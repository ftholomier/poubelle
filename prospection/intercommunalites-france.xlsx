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tes les intercommunalités" sheetId="1" state="visible" r:id="rId1"/>
    <sheet name="CA modèle B" sheetId="2" state="visible" r:id="rId2"/>
    <sheet name="Communautés de communes" sheetId="3" state="visible" r:id="rId3"/>
    <sheet name="Agglos, CU, métropoles" sheetId="4" state="visible" r:id="rId4"/>
    <sheet name="Sources" sheetId="5" state="visible" r:id="rId5"/>
  </sheets>
  <definedNames>
    <definedName name="_xlnm._FilterDatabase" localSheetId="0" hidden="1">'Toutes les intercommunalités'!$A$1:$T$1256</definedName>
    <definedName name="_xlnm._FilterDatabase" localSheetId="1" hidden="1">'CA modèle B'!$A$19:$J$1008</definedName>
    <definedName name="_xlnm._FilterDatabase" localSheetId="2" hidden="1">'Communautés de communes'!$A$1:$T$990</definedName>
    <definedName name="_xlnm._FilterDatabase" localSheetId="3" hidden="1">'Agglos, CU, métropoles'!$A$1:$T$267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 ##0"/>
    <numFmt numFmtId="165" formatCode="# ##0 €"/>
    <numFmt numFmtId="166" formatCode="0.00 €"/>
    <numFmt numFmtId="167" formatCode="0 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4201B"/>
    </font>
    <font>
      <color rgb="001F6B52"/>
      <u val="single"/>
    </font>
    <font>
      <b val="1"/>
      <color rgb="001F6B52"/>
      <sz val="14"/>
    </font>
    <font>
      <i val="1"/>
      <color rgb="005B625D"/>
    </font>
    <font>
      <b val="1"/>
    </font>
  </fonts>
  <fills count="7">
    <fill>
      <patternFill/>
    </fill>
    <fill>
      <patternFill patternType="gray125"/>
    </fill>
    <fill>
      <patternFill patternType="solid">
        <fgColor rgb="001F6B52"/>
      </patternFill>
    </fill>
    <fill>
      <patternFill patternType="solid">
        <fgColor rgb="00F4B266"/>
      </patternFill>
    </fill>
    <fill>
      <patternFill patternType="solid">
        <fgColor rgb="00FFF2B3"/>
      </patternFill>
    </fill>
    <fill>
      <patternFill patternType="solid">
        <fgColor rgb="00F7F4EC"/>
      </patternFill>
    </fill>
    <fill>
      <patternFill patternType="solid">
        <fgColor rgb="00FB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166" fontId="0" fillId="5" borderId="0" pivotButton="0" quotePrefix="0" xfId="0"/>
    <xf numFmtId="0" fontId="6" fillId="6" borderId="0" pivotButton="0" quotePrefix="0" xfId="0"/>
    <xf numFmtId="164" fontId="6" fillId="6" borderId="0" pivotButton="0" quotePrefix="0" xfId="0"/>
    <xf numFmtId="165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ontact@hautbugey-agglomeration.fr" TargetMode="External" Id="rId1" /><Relationship Type="http://schemas.openxmlformats.org/officeDocument/2006/relationships/hyperlink" Target="https://www.hautbugey-agglomeration.fr/" TargetMode="External" Id="rId2" /><Relationship Type="http://schemas.openxmlformats.org/officeDocument/2006/relationships/hyperlink" Target="https://www.hautbugey-agglomeration.fr/contact/" TargetMode="External" Id="rId3" /><Relationship Type="http://schemas.openxmlformats.org/officeDocument/2006/relationships/hyperlink" Target="https://lannuaire.service-public.gouv.fr/auvergne-rhone-alpes/ain/962e7b55-0ddf-4a4f-a60a-ca707ad1b57f" TargetMode="External" Id="rId4" /><Relationship Type="http://schemas.openxmlformats.org/officeDocument/2006/relationships/hyperlink" Target="mailto:courrier@grandbourg.fr" TargetMode="External" Id="rId5" /><Relationship Type="http://schemas.openxmlformats.org/officeDocument/2006/relationships/hyperlink" Target="https://www.grandbourg.fr/index.php" TargetMode="External" Id="rId6" /><Relationship Type="http://schemas.openxmlformats.org/officeDocument/2006/relationships/hyperlink" Target="https://www.grandbourg.fr/13-contact.htm" TargetMode="External" Id="rId7" /><Relationship Type="http://schemas.openxmlformats.org/officeDocument/2006/relationships/hyperlink" Target="https://lannuaire.service-public.gouv.fr/auvergne-rhone-alpes/ain/fc74a1a8-3b7f-42c3-8417-12b50fe31600" TargetMode="External" Id="rId8" /><Relationship Type="http://schemas.openxmlformats.org/officeDocument/2006/relationships/hyperlink" Target="mailto:info@paysdegexagglo.fr" TargetMode="External" Id="rId9" /><Relationship Type="http://schemas.openxmlformats.org/officeDocument/2006/relationships/hyperlink" Target="https://www.paysdegexagglo.fr/" TargetMode="External" Id="rId10" /><Relationship Type="http://schemas.openxmlformats.org/officeDocument/2006/relationships/hyperlink" Target="https://www.facebook.com/PaysdeGexagglo/" TargetMode="External" Id="rId11" /><Relationship Type="http://schemas.openxmlformats.org/officeDocument/2006/relationships/hyperlink" Target="https://lannuaire.service-public.gouv.fr/auvergne-rhone-alpes/ain/e585f86a-f226-409d-88fc-094773ba33fa" TargetMode="External" Id="rId12" /><Relationship Type="http://schemas.openxmlformats.org/officeDocument/2006/relationships/hyperlink" Target="mailto:accueil@ccbresseetsaone.fr" TargetMode="External" Id="rId13" /><Relationship Type="http://schemas.openxmlformats.org/officeDocument/2006/relationships/hyperlink" Target="https://www.ccbresseetsaone.fr/" TargetMode="External" Id="rId14" /><Relationship Type="http://schemas.openxmlformats.org/officeDocument/2006/relationships/hyperlink" Target="https://www.ccbresseetsaone.fr/nous-contacter/" TargetMode="External" Id="rId15" /><Relationship Type="http://schemas.openxmlformats.org/officeDocument/2006/relationships/hyperlink" Target="https://lannuaire.service-public.gouv.fr/auvergne-rhone-alpes/ain/31de1c7a-3bb6-4c7c-a672-816f2af0b87a" TargetMode="External" Id="rId16" /><Relationship Type="http://schemas.openxmlformats.org/officeDocument/2006/relationships/hyperlink" Target="mailto:accueil@ccbugeysud.com" TargetMode="External" Id="rId17" /><Relationship Type="http://schemas.openxmlformats.org/officeDocument/2006/relationships/hyperlink" Target="https://www.ccbugeysud.com/" TargetMode="External" Id="rId18" /><Relationship Type="http://schemas.openxmlformats.org/officeDocument/2006/relationships/hyperlink" Target="https://www.ccbugeysud.com/la-collectivite/contacts-et-logo/" TargetMode="External" Id="rId19" /><Relationship Type="http://schemas.openxmlformats.org/officeDocument/2006/relationships/hyperlink" Target="https://lannuaire.service-public.gouv.fr/auvergne-rhone-alpes/ain/51b6052a-73af-4c3e-bd45-5ac214ff4c71" TargetMode="External" Id="rId20" /><Relationship Type="http://schemas.openxmlformats.org/officeDocument/2006/relationships/hyperlink" Target="mailto:contact@ccdsv.fr" TargetMode="External" Id="rId21" /><Relationship Type="http://schemas.openxmlformats.org/officeDocument/2006/relationships/hyperlink" Target="https://www.ccdsv.fr/" TargetMode="External" Id="rId22" /><Relationship Type="http://schemas.openxmlformats.org/officeDocument/2006/relationships/hyperlink" Target="https://lannuaire.service-public.gouv.fr/auvergne-rhone-alpes/ain/32c18409-c830-4ba1-988f-53798fd4b9a2" TargetMode="External" Id="rId23" /><Relationship Type="http://schemas.openxmlformats.org/officeDocument/2006/relationships/hyperlink" Target="mailto:accueil@ain-cerdon.fr" TargetMode="External" Id="rId24" /><Relationship Type="http://schemas.openxmlformats.org/officeDocument/2006/relationships/hyperlink" Target="https://www.ain-cerdon.fr/" TargetMode="External" Id="rId25" /><Relationship Type="http://schemas.openxmlformats.org/officeDocument/2006/relationships/hyperlink" Target="https://www.ain-cerdon.fr/contact/" TargetMode="External" Id="rId26" /><Relationship Type="http://schemas.openxmlformats.org/officeDocument/2006/relationships/hyperlink" Target="https://lannuaire.service-public.gouv.fr/auvergne-rhone-alpes/ain/7c54a81b-bfe4-4256-8884-5fd8703fb853" TargetMode="External" Id="rId27" /><Relationship Type="http://schemas.openxmlformats.org/officeDocument/2006/relationships/hyperlink" Target="mailto:info@terrevalserhone.fr" TargetMode="External" Id="rId28" /><Relationship Type="http://schemas.openxmlformats.org/officeDocument/2006/relationships/hyperlink" Target="https://terrevalserhone.fr/" TargetMode="External" Id="rId29" /><Relationship Type="http://schemas.openxmlformats.org/officeDocument/2006/relationships/hyperlink" Target="https://lannuaire.service-public.gouv.fr/auvergne-rhone-alpes/ain/f6bc123d-9ed3-4ad9-bc18-685e4142da05" TargetMode="External" Id="rId30" /><Relationship Type="http://schemas.openxmlformats.org/officeDocument/2006/relationships/hyperlink" Target="mailto:accueil@ccvsc01.org" TargetMode="External" Id="rId31" /><Relationship Type="http://schemas.openxmlformats.org/officeDocument/2006/relationships/hyperlink" Target="https://www.ccvsc01.org/" TargetMode="External" Id="rId32" /><Relationship Type="http://schemas.openxmlformats.org/officeDocument/2006/relationships/hyperlink" Target="https://lannuaire.service-public.gouv.fr/auvergne-rhone-alpes/ain/85a7aa66-fdb6-469b-8274-feb81b44a106" TargetMode="External" Id="rId33" /><Relationship Type="http://schemas.openxmlformats.org/officeDocument/2006/relationships/hyperlink" Target="mailto:contact@cc-miribel.fr" TargetMode="External" Id="rId34" /><Relationship Type="http://schemas.openxmlformats.org/officeDocument/2006/relationships/hyperlink" Target="https://cc-miribel.fr/" TargetMode="External" Id="rId35" /><Relationship Type="http://schemas.openxmlformats.org/officeDocument/2006/relationships/hyperlink" Target="https://lannuaire.service-public.gouv.fr/auvergne-rhone-alpes/ain/b311e423-fcc1-41cb-bbec-067819eef761" TargetMode="External" Id="rId36" /><Relationship Type="http://schemas.openxmlformats.org/officeDocument/2006/relationships/hyperlink" Target="mailto:infos@3cm.fr" TargetMode="External" Id="rId37" /><Relationship Type="http://schemas.openxmlformats.org/officeDocument/2006/relationships/hyperlink" Target="https://www.3cm.fr/" TargetMode="External" Id="rId38" /><Relationship Type="http://schemas.openxmlformats.org/officeDocument/2006/relationships/hyperlink" Target="https://lannuaire.service-public.gouv.fr/auvergne-rhone-alpes/ain/1055a5d1-81c2-4d92-960d-5095cbffc5bf" TargetMode="External" Id="rId39" /><Relationship Type="http://schemas.openxmlformats.org/officeDocument/2006/relationships/hyperlink" Target="mailto:contact@ccdombes.fr" TargetMode="External" Id="rId40" /><Relationship Type="http://schemas.openxmlformats.org/officeDocument/2006/relationships/hyperlink" Target="https://www.ccdombes.fr" TargetMode="External" Id="rId41" /><Relationship Type="http://schemas.openxmlformats.org/officeDocument/2006/relationships/hyperlink" Target="https://www.ccdombes.fr/contact/" TargetMode="External" Id="rId42" /><Relationship Type="http://schemas.openxmlformats.org/officeDocument/2006/relationships/hyperlink" Target="https://lannuaire.service-public.gouv.fr/auvergne-rhone-alpes/ain/1c3d258e-06a9-446b-a607-c962b4232c0f" TargetMode="External" Id="rId43" /><Relationship Type="http://schemas.openxmlformats.org/officeDocument/2006/relationships/hyperlink" Target="mailto:contact@cc-plainedelain.fr" TargetMode="External" Id="rId44" /><Relationship Type="http://schemas.openxmlformats.org/officeDocument/2006/relationships/hyperlink" Target="https://cc-plainedelain.fr" TargetMode="External" Id="rId45" /><Relationship Type="http://schemas.openxmlformats.org/officeDocument/2006/relationships/hyperlink" Target="https://www.cc-plainedelain.fr/fr/contact.html" TargetMode="External" Id="rId46" /><Relationship Type="http://schemas.openxmlformats.org/officeDocument/2006/relationships/hyperlink" Target="https://lannuaire.service-public.gouv.fr/auvergne-rhone-alpes/ain/c832c350-2fb4-44f2-b465-4cab3844b8f0" TargetMode="External" Id="rId47" /><Relationship Type="http://schemas.openxmlformats.org/officeDocument/2006/relationships/hyperlink" Target="mailto:accueil@cc-laveyle.fr" TargetMode="External" Id="rId48" /><Relationship Type="http://schemas.openxmlformats.org/officeDocument/2006/relationships/hyperlink" Target="https://www.cc-laveyle.fr/" TargetMode="External" Id="rId49" /><Relationship Type="http://schemas.openxmlformats.org/officeDocument/2006/relationships/hyperlink" Target="https://lannuaire.service-public.gouv.fr/auvergne-rhone-alpes/ain/c727991c-62e6-454a-9e74-ae42f76963b9" TargetMode="External" Id="rId50" /><Relationship Type="http://schemas.openxmlformats.org/officeDocument/2006/relationships/hyperlink" Target="mailto:contact@agglo-villefranche.fr" TargetMode="External" Id="rId51" /><Relationship Type="http://schemas.openxmlformats.org/officeDocument/2006/relationships/hyperlink" Target="https://www.agglo-villefranche.fr/" TargetMode="External" Id="rId52" /><Relationship Type="http://schemas.openxmlformats.org/officeDocument/2006/relationships/hyperlink" Target="https://www.agglo-villefranche.fr/contact.html" TargetMode="External" Id="rId53" /><Relationship Type="http://schemas.openxmlformats.org/officeDocument/2006/relationships/hyperlink" Target="https://lannuaire.service-public.gouv.fr/auvergne-rhone-alpes/rhone/f1576417-82b5-4259-84ee-024d195afb6a" TargetMode="External" Id="rId54" /><Relationship Type="http://schemas.openxmlformats.org/officeDocument/2006/relationships/hyperlink" Target="mailto:accueil@mb-agglo.com" TargetMode="External" Id="rId55" /><Relationship Type="http://schemas.openxmlformats.org/officeDocument/2006/relationships/hyperlink" Target="https://www.mb-agglo.com/" TargetMode="External" Id="rId56" /><Relationship Type="http://schemas.openxmlformats.org/officeDocument/2006/relationships/hyperlink" Target="https://www.mb-agglo.com/contactez-nous/" TargetMode="External" Id="rId57" /><Relationship Type="http://schemas.openxmlformats.org/officeDocument/2006/relationships/hyperlink" Target="https://lannuaire.service-public.gouv.fr/bourgogne-franche-comte/saone-et-loire/d3196a02-46c9-4f45-a8b9-903c09238373" TargetMode="External" Id="rId58" /><Relationship Type="http://schemas.openxmlformats.org/officeDocument/2006/relationships/hyperlink" Target="mailto:accueil@cc-ur.fr" TargetMode="External" Id="rId59" /><Relationship Type="http://schemas.openxmlformats.org/officeDocument/2006/relationships/hyperlink" Target="https://www.usses-et-rhone.fr/" TargetMode="External" Id="rId60" /><Relationship Type="http://schemas.openxmlformats.org/officeDocument/2006/relationships/hyperlink" Target="https://lannuaire.service-public.gouv.fr/auvergne-rhone-alpes/haute-savoie/1197ee22-f148-4d3f-880f-b5373ab2b987" TargetMode="External" Id="rId61" /><Relationship Type="http://schemas.openxmlformats.org/officeDocument/2006/relationships/hyperlink" Target="mailto:accueil@ctlf.fr" TargetMode="External" Id="rId62" /><Relationship Type="http://schemas.openxmlformats.org/officeDocument/2006/relationships/hyperlink" Target="https://ctlf.fr/" TargetMode="External" Id="rId63" /><Relationship Type="http://schemas.openxmlformats.org/officeDocument/2006/relationships/hyperlink" Target="https://lannuaire.service-public.gouv.fr/hauts-de-france/aisne/c727e91b-1c70-40e2-becd-6749aa7bcd40" TargetMode="External" Id="rId64" /><Relationship Type="http://schemas.openxmlformats.org/officeDocument/2006/relationships/hyperlink" Target="mailto:accueilagglo@agglo-soissonnais.com" TargetMode="External" Id="rId65" /><Relationship Type="http://schemas.openxmlformats.org/officeDocument/2006/relationships/hyperlink" Target="https://www.grandsoissons.com/" TargetMode="External" Id="rId66" /><Relationship Type="http://schemas.openxmlformats.org/officeDocument/2006/relationships/hyperlink" Target="https://www.grandsoissons.com/contact-1/" TargetMode="External" Id="rId67" /><Relationship Type="http://schemas.openxmlformats.org/officeDocument/2006/relationships/hyperlink" Target="https://lannuaire.service-public.gouv.fr/hauts-de-france/aisne/c96ebd66-bf83-481a-ab48-1d6e4821cf09" TargetMode="External" Id="rId68" /><Relationship Type="http://schemas.openxmlformats.org/officeDocument/2006/relationships/hyperlink" Target="mailto:contact@carct.fr" TargetMode="External" Id="rId69" /><Relationship Type="http://schemas.openxmlformats.org/officeDocument/2006/relationships/hyperlink" Target="https://www.carct.fr/" TargetMode="External" Id="rId70" /><Relationship Type="http://schemas.openxmlformats.org/officeDocument/2006/relationships/hyperlink" Target="https://www.carct.fr/contact" TargetMode="External" Id="rId71" /><Relationship Type="http://schemas.openxmlformats.org/officeDocument/2006/relationships/hyperlink" Target="https://lannuaire.service-public.gouv.fr/hauts-de-france/aisne/6838c422-6b33-4d95-9982-99d5fadf3cca" TargetMode="External" Id="rId72" /><Relationship Type="http://schemas.openxmlformats.org/officeDocument/2006/relationships/hyperlink" Target="mailto:contact@ca-paysdelaon.fr" TargetMode="External" Id="rId73" /><Relationship Type="http://schemas.openxmlformats.org/officeDocument/2006/relationships/hyperlink" Target="https://www.ca-paysdelaon.fr/" TargetMode="External" Id="rId74" /><Relationship Type="http://schemas.openxmlformats.org/officeDocument/2006/relationships/hyperlink" Target="https://www.ca-paysdelaon.fr/contact/" TargetMode="External" Id="rId75" /><Relationship Type="http://schemas.openxmlformats.org/officeDocument/2006/relationships/hyperlink" Target="https://lannuaire.service-public.gouv.fr/hauts-de-france/aisne/c5c1d88b-fb06-4679-89d2-11fd865af4de" TargetMode="External" Id="rId76" /><Relationship Type="http://schemas.openxmlformats.org/officeDocument/2006/relationships/hyperlink" Target="mailto:agglojecoute@casq.fr" TargetMode="External" Id="rId77" /><Relationship Type="http://schemas.openxmlformats.org/officeDocument/2006/relationships/hyperlink" Target="https://www.agglo-saintquentinois.fr/" TargetMode="External" Id="rId78" /><Relationship Type="http://schemas.openxmlformats.org/officeDocument/2006/relationships/hyperlink" Target="https://www.agglo-saintquentinois.fr/formulaires/contactez-nous-9.html" TargetMode="External" Id="rId79" /><Relationship Type="http://schemas.openxmlformats.org/officeDocument/2006/relationships/hyperlink" Target="https://lannuaire.service-public.gouv.fr/hauts-de-france/aisne/66d47899-ac77-4a53-8a68-19569c321150" TargetMode="External" Id="rId80" /><Relationship Type="http://schemas.openxmlformats.org/officeDocument/2006/relationships/hyperlink" Target="mailto:accueil@picardiedeschateaux.fr" TargetMode="External" Id="rId81" /><Relationship Type="http://schemas.openxmlformats.org/officeDocument/2006/relationships/hyperlink" Target="https://picardiedeschateaux.fr/" TargetMode="External" Id="rId82" /><Relationship Type="http://schemas.openxmlformats.org/officeDocument/2006/relationships/hyperlink" Target="https://lannuaire.service-public.gouv.fr/hauts-de-france/aisne/39032582-3389-4d71-b35d-c4788cfcacdb" TargetMode="External" Id="rId83" /><Relationship Type="http://schemas.openxmlformats.org/officeDocument/2006/relationships/hyperlink" Target="mailto:communautedecommunes@retzenvalois.fr" TargetMode="External" Id="rId84" /><Relationship Type="http://schemas.openxmlformats.org/officeDocument/2006/relationships/hyperlink" Target="https://www.cc-retz-en-valois.fr/" TargetMode="External" Id="rId85" /><Relationship Type="http://schemas.openxmlformats.org/officeDocument/2006/relationships/hyperlink" Target="https://www.cc-retz-en-valois.fr/contact/" TargetMode="External" Id="rId86" /><Relationship Type="http://schemas.openxmlformats.org/officeDocument/2006/relationships/hyperlink" Target="https://lannuaire.service-public.gouv.fr/hauts-de-france/aisne/8e3e9bb2-ac56-4bde-aead-1b97e57fe3ee" TargetMode="External" Id="rId87" /><Relationship Type="http://schemas.openxmlformats.org/officeDocument/2006/relationships/hyperlink" Target="mailto:contact@cctso.fr" TargetMode="External" Id="rId88" /><Relationship Type="http://schemas.openxmlformats.org/officeDocument/2006/relationships/hyperlink" Target="https://www.cctso.fr/" TargetMode="External" Id="rId89" /><Relationship Type="http://schemas.openxmlformats.org/officeDocument/2006/relationships/hyperlink" Target="https://www.cctso.fr/contact/" TargetMode="External" Id="rId90" /><Relationship Type="http://schemas.openxmlformats.org/officeDocument/2006/relationships/hyperlink" Target="https://lannuaire.service-public.gouv.fr/hauts-de-france/aisne/5576b748-5d51-41a2-8dc6-aa17041c0379" TargetMode="External" Id="rId91" /><Relationship Type="http://schemas.openxmlformats.org/officeDocument/2006/relationships/hyperlink" Target="mailto:info@cc-champagnepicarde.fr" TargetMode="External" Id="rId92" /><Relationship Type="http://schemas.openxmlformats.org/officeDocument/2006/relationships/hyperlink" Target="https://www.cc-champagnepicarde.fr/" TargetMode="External" Id="rId93" /><Relationship Type="http://schemas.openxmlformats.org/officeDocument/2006/relationships/hyperlink" Target="https://www.cc-champagnepicarde.fr/contact" TargetMode="External" Id="rId94" /><Relationship Type="http://schemas.openxmlformats.org/officeDocument/2006/relationships/hyperlink" Target="https://lannuaire.service-public.gouv.fr/hauts-de-france/aisne/7f98afca-1ab2-44f6-9b11-ac66219b723c" TargetMode="External" Id="rId95" /><Relationship Type="http://schemas.openxmlformats.org/officeDocument/2006/relationships/hyperlink" Target="mailto:contact@thieracheducentre.fr" TargetMode="External" Id="rId96" /><Relationship Type="http://schemas.openxmlformats.org/officeDocument/2006/relationships/hyperlink" Target="https://lannuaire.service-public.gouv.fr/hauts-de-france/aisne/25f43a15-0a87-4620-8849-29b690c94af2" TargetMode="External" Id="rId97" /><Relationship Type="http://schemas.openxmlformats.org/officeDocument/2006/relationships/hyperlink" Target="mailto:contact@portes-de-thierache.fr" TargetMode="External" Id="rId98" /><Relationship Type="http://schemas.openxmlformats.org/officeDocument/2006/relationships/hyperlink" Target="https://www.portes-de-thierache.fr/" TargetMode="External" Id="rId99" /><Relationship Type="http://schemas.openxmlformats.org/officeDocument/2006/relationships/hyperlink" Target="https://www.portes-de-thierache.fr/" TargetMode="External" Id="rId100" /><Relationship Type="http://schemas.openxmlformats.org/officeDocument/2006/relationships/hyperlink" Target="https://lannuaire.service-public.gouv.fr/hauts-de-france/aisne/aaf459a6-2f1c-43f1-957e-0a766cccb1c9" TargetMode="External" Id="rId101" /><Relationship Type="http://schemas.openxmlformats.org/officeDocument/2006/relationships/hyperlink" Target="mailto:administratif@cc3r.fr" TargetMode="External" Id="rId102" /><Relationship Type="http://schemas.openxmlformats.org/officeDocument/2006/relationships/hyperlink" Target="https://cc3r.fr/" TargetMode="External" Id="rId103" /><Relationship Type="http://schemas.openxmlformats.org/officeDocument/2006/relationships/hyperlink" Target="http://www.cc3r.fr/contact.html" TargetMode="External" Id="rId104" /><Relationship Type="http://schemas.openxmlformats.org/officeDocument/2006/relationships/hyperlink" Target="https://lannuaire.service-public.gouv.fr/hauts-de-france/aisne/afc0adbf-171d-40f4-b571-dd21bdc49032" TargetMode="External" Id="rId105" /><Relationship Type="http://schemas.openxmlformats.org/officeDocument/2006/relationships/hyperlink" Target="mailto:contact@cc-oulchylechateau.fr" TargetMode="External" Id="rId106" /><Relationship Type="http://schemas.openxmlformats.org/officeDocument/2006/relationships/hyperlink" Target="https://www.cc-oulchylechateau.fr/" TargetMode="External" Id="rId107" /><Relationship Type="http://schemas.openxmlformats.org/officeDocument/2006/relationships/hyperlink" Target="https://www.cc-oulchylechateau.fr/contact/" TargetMode="External" Id="rId108" /><Relationship Type="http://schemas.openxmlformats.org/officeDocument/2006/relationships/hyperlink" Target="https://lannuaire.service-public.gouv.fr/hauts-de-france/aisne/21e42e96-f87f-484a-ae22-3992807abb25" TargetMode="External" Id="rId109" /><Relationship Type="http://schemas.openxmlformats.org/officeDocument/2006/relationships/hyperlink" Target="mailto:accueil.c4@c4charly.fr" TargetMode="External" Id="rId110" /><Relationship Type="http://schemas.openxmlformats.org/officeDocument/2006/relationships/hyperlink" Target="https://www.c4-charlysurmarne.fr/" TargetMode="External" Id="rId111" /><Relationship Type="http://schemas.openxmlformats.org/officeDocument/2006/relationships/hyperlink" Target="https://lannuaire.service-public.gouv.fr/hauts-de-france/aisne/d5dc72fc-9c23-4f46-a904-dc15bfea30b6" TargetMode="External" Id="rId112" /><Relationship Type="http://schemas.openxmlformats.org/officeDocument/2006/relationships/hyperlink" Target="mailto:administration@cc-cheminsdesdames.fr" TargetMode="External" Id="rId113" /><Relationship Type="http://schemas.openxmlformats.org/officeDocument/2006/relationships/hyperlink" Target="https://www.cc-chemindesdames.fr" TargetMode="External" Id="rId114" /><Relationship Type="http://schemas.openxmlformats.org/officeDocument/2006/relationships/hyperlink" Target="https://www.cc-chemindesdames.fr/contact" TargetMode="External" Id="rId115" /><Relationship Type="http://schemas.openxmlformats.org/officeDocument/2006/relationships/hyperlink" Target="https://lannuaire.service-public.gouv.fr/hauts-de-france/aisne/8c046bd4-3033-4345-8450-65f23b9f3c24" TargetMode="External" Id="rId116" /><Relationship Type="http://schemas.openxmlformats.org/officeDocument/2006/relationships/hyperlink" Target="mailto:contact@paysdelaserre.fr" TargetMode="External" Id="rId117" /><Relationship Type="http://schemas.openxmlformats.org/officeDocument/2006/relationships/hyperlink" Target="https://paysdelaserre.fr/" TargetMode="External" Id="rId118" /><Relationship Type="http://schemas.openxmlformats.org/officeDocument/2006/relationships/hyperlink" Target="https://paysdelaserre.fr/informations-utiles/nous-contacter/" TargetMode="External" Id="rId119" /><Relationship Type="http://schemas.openxmlformats.org/officeDocument/2006/relationships/hyperlink" Target="https://lannuaire.service-public.gouv.fr/hauts-de-france/aisne/5cb550d9-0183-4531-9094-a293f5bfe7dc" TargetMode="External" Id="rId120" /><Relationship Type="http://schemas.openxmlformats.org/officeDocument/2006/relationships/hyperlink" Target="mailto:contact@cc-vermandois.com" TargetMode="External" Id="rId121" /><Relationship Type="http://schemas.openxmlformats.org/officeDocument/2006/relationships/hyperlink" Target="https://www.cc-vermandois.com/" TargetMode="External" Id="rId122" /><Relationship Type="http://schemas.openxmlformats.org/officeDocument/2006/relationships/hyperlink" Target="https://www.cc-vermandois.com/nous-contacter" TargetMode="External" Id="rId123" /><Relationship Type="http://schemas.openxmlformats.org/officeDocument/2006/relationships/hyperlink" Target="https://lannuaire.service-public.gouv.fr/hauts-de-france/aisne/3e99c6f3-b886-476e-8687-89195cb252be" TargetMode="External" Id="rId124" /><Relationship Type="http://schemas.openxmlformats.org/officeDocument/2006/relationships/hyperlink" Target="mailto:accueil@cc-valdeaisne.fr" TargetMode="External" Id="rId125" /><Relationship Type="http://schemas.openxmlformats.org/officeDocument/2006/relationships/hyperlink" Target="http://www.cc-valdeaisne.fr" TargetMode="External" Id="rId126" /><Relationship Type="http://schemas.openxmlformats.org/officeDocument/2006/relationships/hyperlink" Target="https://lannuaire.service-public.gouv.fr/hauts-de-france/aisne/1a4ba3af-b3c2-4409-8804-6809875c1502" TargetMode="External" Id="rId127" /><Relationship Type="http://schemas.openxmlformats.org/officeDocument/2006/relationships/hyperlink" Target="mailto:contact@ccvo.fr" TargetMode="External" Id="rId128" /><Relationship Type="http://schemas.openxmlformats.org/officeDocument/2006/relationships/hyperlink" Target="https://www.ccvo.fr/" TargetMode="External" Id="rId129" /><Relationship Type="http://schemas.openxmlformats.org/officeDocument/2006/relationships/hyperlink" Target="https://lannuaire.service-public.gouv.fr/hauts-de-france/aisne/0e647563-373e-41fa-b670-06f79ca36401" TargetMode="External" Id="rId130" /><Relationship Type="http://schemas.openxmlformats.org/officeDocument/2006/relationships/hyperlink" Target="mailto:contact@estdelasomme.fr" TargetMode="External" Id="rId131" /><Relationship Type="http://schemas.openxmlformats.org/officeDocument/2006/relationships/hyperlink" Target="https://estdelasomme.fr/" TargetMode="External" Id="rId132" /><Relationship Type="http://schemas.openxmlformats.org/officeDocument/2006/relationships/hyperlink" Target="https://lannuaire.service-public.gouv.fr/hauts-de-france/somme/889262fe-2f8f-4ed7-aae0-82633096bad4" TargetMode="External" Id="rId133" /><Relationship Type="http://schemas.openxmlformats.org/officeDocument/2006/relationships/hyperlink" Target="mailto:contact@agglo-montlucon.fr" TargetMode="External" Id="rId134" /><Relationship Type="http://schemas.openxmlformats.org/officeDocument/2006/relationships/hyperlink" Target="https://www.montlucon-communaute.com/" TargetMode="External" Id="rId135" /><Relationship Type="http://schemas.openxmlformats.org/officeDocument/2006/relationships/hyperlink" Target="https://www.montlucon-communaute.com/divers/contactez-nous/" TargetMode="External" Id="rId136" /><Relationship Type="http://schemas.openxmlformats.org/officeDocument/2006/relationships/hyperlink" Target="https://lannuaire.service-public.gouv.fr/auvergne-rhone-alpes/allier/421d109f-86fe-4f13-81d0-181a17eb15f0" TargetMode="External" Id="rId137" /><Relationship Type="http://schemas.openxmlformats.org/officeDocument/2006/relationships/hyperlink" Target="mailto:accueil@vichy-communaute.fr" TargetMode="External" Id="rId138" /><Relationship Type="http://schemas.openxmlformats.org/officeDocument/2006/relationships/hyperlink" Target="https://www.vichy-communaute.fr/" TargetMode="External" Id="rId139" /><Relationship Type="http://schemas.openxmlformats.org/officeDocument/2006/relationships/hyperlink" Target="https://www.vichy-communaute.fr/contact/" TargetMode="External" Id="rId140" /><Relationship Type="http://schemas.openxmlformats.org/officeDocument/2006/relationships/hyperlink" Target="https://lannuaire.service-public.gouv.fr/auvergne-rhone-alpes/allier/bd0f190a-8582-44ca-9210-e1de5a9aeed6" TargetMode="External" Id="rId141" /><Relationship Type="http://schemas.openxmlformats.org/officeDocument/2006/relationships/hyperlink" Target="mailto:cmnc@cmnc03.fr" TargetMode="External" Id="rId142" /><Relationship Type="http://schemas.openxmlformats.org/officeDocument/2006/relationships/hyperlink" Target="https://www.cmnc03.fr/" TargetMode="External" Id="rId143" /><Relationship Type="http://schemas.openxmlformats.org/officeDocument/2006/relationships/hyperlink" Target="https://lannuaire.service-public.gouv.fr/auvergne-rhone-alpes/allier/8d068ead-d162-4dc1-a0f3-0438d5e0279a" TargetMode="External" Id="rId144" /><Relationship Type="http://schemas.openxmlformats.org/officeDocument/2006/relationships/hyperlink" Target="mailto:contact@interco-abl.fr" TargetMode="External" Id="rId145" /><Relationship Type="http://schemas.openxmlformats.org/officeDocument/2006/relationships/hyperlink" Target="https://www.interco-abl.fr/" TargetMode="External" Id="rId146" /><Relationship Type="http://schemas.openxmlformats.org/officeDocument/2006/relationships/hyperlink" Target="https://www.interco-abl.fr/index.php/territoire/contact" TargetMode="External" Id="rId147" /><Relationship Type="http://schemas.openxmlformats.org/officeDocument/2006/relationships/hyperlink" Target="https://lannuaire.service-public.gouv.fr/auvergne-rhone-alpes/allier/4ca3cd61-cb44-4afb-857e-6ca95f90d60c" TargetMode="External" Id="rId148" /><Relationship Type="http://schemas.openxmlformats.org/officeDocument/2006/relationships/hyperlink" Target="mailto:accueil@ccspsl.fr" TargetMode="External" Id="rId149" /><Relationship Type="http://schemas.openxmlformats.org/officeDocument/2006/relationships/hyperlink" Target="https://www.comcom-ccspsl.fr/" TargetMode="External" Id="rId150" /><Relationship Type="http://schemas.openxmlformats.org/officeDocument/2006/relationships/hyperlink" Target="https://www.comcom-ccspsl.fr/nous-contacter/" TargetMode="External" Id="rId151" /><Relationship Type="http://schemas.openxmlformats.org/officeDocument/2006/relationships/hyperlink" Target="https://lannuaire.service-public.gouv.fr/auvergne-rhone-alpes/allier/85039543-6ba3-464f-944e-7b24507e2e3c" TargetMode="External" Id="rId152" /><Relationship Type="http://schemas.openxmlformats.org/officeDocument/2006/relationships/hyperlink" Target="mailto:contact@ccbb.fr" TargetMode="External" Id="rId153" /><Relationship Type="http://schemas.openxmlformats.org/officeDocument/2006/relationships/hyperlink" Target="https://www.cc-bocage-bourbonnais.com/" TargetMode="External" Id="rId154" /><Relationship Type="http://schemas.openxmlformats.org/officeDocument/2006/relationships/hyperlink" Target="https://www.cc-bocage-bourbonnais.com/contacter-ma-comcom.html" TargetMode="External" Id="rId155" /><Relationship Type="http://schemas.openxmlformats.org/officeDocument/2006/relationships/hyperlink" Target="https://lannuaire.service-public.gouv.fr/auvergne-rhone-alpes/allier/1a06c556-12c6-470d-bc74-3929fc79193f" TargetMode="External" Id="rId156" /><Relationship Type="http://schemas.openxmlformats.org/officeDocument/2006/relationships/hyperlink" Target="mailto:contact@cc-pays-huriel.com" TargetMode="External" Id="rId157" /><Relationship Type="http://schemas.openxmlformats.org/officeDocument/2006/relationships/hyperlink" Target="https://www.cc-pays-huriel.com/" TargetMode="External" Id="rId158" /><Relationship Type="http://schemas.openxmlformats.org/officeDocument/2006/relationships/hyperlink" Target="https://www.cc-pays-huriel.com/contact/" TargetMode="External" Id="rId159" /><Relationship Type="http://schemas.openxmlformats.org/officeDocument/2006/relationships/hyperlink" Target="https://lannuaire.service-public.gouv.fr/auvergne-rhone-alpes/allier/4ced9a02-3ba4-4d1b-a392-25e6a5448093" TargetMode="External" Id="rId160" /><Relationship Type="http://schemas.openxmlformats.org/officeDocument/2006/relationships/hyperlink" Target="mailto:contact@cc-paysdelapalisse.fr" TargetMode="External" Id="rId161" /><Relationship Type="http://schemas.openxmlformats.org/officeDocument/2006/relationships/hyperlink" Target="https://www.cc-paysdelapalisse.fr/fr/" TargetMode="External" Id="rId162" /><Relationship Type="http://schemas.openxmlformats.org/officeDocument/2006/relationships/hyperlink" Target="https://www.cc-paysdelapalisse.fr/fr/nous-contacter.html" TargetMode="External" Id="rId163" /><Relationship Type="http://schemas.openxmlformats.org/officeDocument/2006/relationships/hyperlink" Target="https://lannuaire.service-public.gouv.fr/auvergne-rhone-alpes/allier/333ca82c-626a-4f05-a46c-74e79e0abe7e" TargetMode="External" Id="rId164" /><Relationship Type="http://schemas.openxmlformats.org/officeDocument/2006/relationships/hyperlink" Target="mailto:comcom@paysdetroncais.fr" TargetMode="External" Id="rId165" /><Relationship Type="http://schemas.openxmlformats.org/officeDocument/2006/relationships/hyperlink" Target="https://www.paysdetroncais.fr/" TargetMode="External" Id="rId166" /><Relationship Type="http://schemas.openxmlformats.org/officeDocument/2006/relationships/hyperlink" Target="https://www.paysdetroncais.fr/" TargetMode="External" Id="rId167" /><Relationship Type="http://schemas.openxmlformats.org/officeDocument/2006/relationships/hyperlink" Target="https://lannuaire.service-public.gouv.fr/auvergne-rhone-alpes/allier/5e727590-45d0-45e2-85e2-50ababa7c440" TargetMode="External" Id="rId168" /><Relationship Type="http://schemas.openxmlformats.org/officeDocument/2006/relationships/hyperlink" Target="mailto:contact@valdecher.fr" TargetMode="External" Id="rId169" /><Relationship Type="http://schemas.openxmlformats.org/officeDocument/2006/relationships/hyperlink" Target="https://www.valdecher.fr/" TargetMode="External" Id="rId170" /><Relationship Type="http://schemas.openxmlformats.org/officeDocument/2006/relationships/hyperlink" Target="https://www.valdecher.fr/contactez-nous/" TargetMode="External" Id="rId171" /><Relationship Type="http://schemas.openxmlformats.org/officeDocument/2006/relationships/hyperlink" Target="https://lannuaire.service-public.gouv.fr/auvergne-rhone-alpes/allier/6ad0d449-cd8a-4bb7-9073-8a0ab825263a" TargetMode="External" Id="rId172" /><Relationship Type="http://schemas.openxmlformats.org/officeDocument/2006/relationships/hyperlink" Target="mailto:contact.agglo@agglo-moulins.fr" TargetMode="External" Id="rId173" /><Relationship Type="http://schemas.openxmlformats.org/officeDocument/2006/relationships/hyperlink" Target="https://www.agglo-moulins.fr/" TargetMode="External" Id="rId174" /><Relationship Type="http://schemas.openxmlformats.org/officeDocument/2006/relationships/hyperlink" Target="https://www.agglo-moulins.fr/contact.html" TargetMode="External" Id="rId175" /><Relationship Type="http://schemas.openxmlformats.org/officeDocument/2006/relationships/hyperlink" Target="https://lannuaire.service-public.gouv.fr/auvergne-rhone-alpes/allier/7c1ae671-e9af-4b4b-b4fb-cc80ad8fa9df" TargetMode="External" Id="rId176" /><Relationship Type="http://schemas.openxmlformats.org/officeDocument/2006/relationships/hyperlink" Target="mailto:contact@legrandcharolais.fr" TargetMode="External" Id="rId177" /><Relationship Type="http://schemas.openxmlformats.org/officeDocument/2006/relationships/hyperlink" Target="https://www.legrandcharolais.fr" TargetMode="External" Id="rId178" /><Relationship Type="http://schemas.openxmlformats.org/officeDocument/2006/relationships/hyperlink" Target="https://www.legrandcharolais.fr/contact.html" TargetMode="External" Id="rId179" /><Relationship Type="http://schemas.openxmlformats.org/officeDocument/2006/relationships/hyperlink" Target="https://lannuaire.service-public.gouv.fr/bourgogne-franche-comte/saone-et-loire/b2002776-dd3e-4db2-a0b2-7b3884b70ff4" TargetMode="External" Id="rId180" /><Relationship Type="http://schemas.openxmlformats.org/officeDocument/2006/relationships/hyperlink" Target="mailto:contact@provencealpesagglo.fr" TargetMode="External" Id="rId181" /><Relationship Type="http://schemas.openxmlformats.org/officeDocument/2006/relationships/hyperlink" Target="https://www.provencealpesagglo.fr/" TargetMode="External" Id="rId182" /><Relationship Type="http://schemas.openxmlformats.org/officeDocument/2006/relationships/hyperlink" Target="https://www.provencealpesagglo.fr/contact/" TargetMode="External" Id="rId183" /><Relationship Type="http://schemas.openxmlformats.org/officeDocument/2006/relationships/hyperlink" Target="https://lannuaire.service-public.gouv.fr/provence-alpes-cote-d-azur/alpes-de-haute-provence/3c4382b9-0937-4bd4-9c1d-b64700b28f16" TargetMode="External" Id="rId184" /><Relationship Type="http://schemas.openxmlformats.org/officeDocument/2006/relationships/hyperlink" Target="mailto:contact@ccapv.fr" TargetMode="External" Id="rId185" /><Relationship Type="http://schemas.openxmlformats.org/officeDocument/2006/relationships/hyperlink" Target="https://ccapv.fr/" TargetMode="External" Id="rId186" /><Relationship Type="http://schemas.openxmlformats.org/officeDocument/2006/relationships/hyperlink" Target="https://ccapv.fr/alpes-provence-verdon/contact-acces" TargetMode="External" Id="rId187" /><Relationship Type="http://schemas.openxmlformats.org/officeDocument/2006/relationships/hyperlink" Target="https://lannuaire.service-public.gouv.fr/provence-alpes-cote-d-azur/alpes-de-haute-provence/69dca1ee-7bca-4c4b-80b8-41be260d4a92" TargetMode="External" Id="rId188" /><Relationship Type="http://schemas.openxmlformats.org/officeDocument/2006/relationships/hyperlink" Target="mailto:mairie@mane-en-provence.com" TargetMode="External" Id="rId189" /><Relationship Type="http://schemas.openxmlformats.org/officeDocument/2006/relationships/hyperlink" Target="https://www.cchppb.fr/" TargetMode="External" Id="rId190" /><Relationship Type="http://schemas.openxmlformats.org/officeDocument/2006/relationships/hyperlink" Target="https://www.cchppb.fr/" TargetMode="External" Id="rId191" /><Relationship Type="http://schemas.openxmlformats.org/officeDocument/2006/relationships/hyperlink" Target="https://lannuaire.service-public.gouv.fr/provence-alpes-cote-d-azur/alpes-de-haute-provence/edffaf94-792b-49ae-ab47-02c0f7b68200" TargetMode="External" Id="rId192" /><Relationship Type="http://schemas.openxmlformats.org/officeDocument/2006/relationships/hyperlink" Target="mailto:accueil@ville-forcalquier.fr" TargetMode="External" Id="rId193" /><Relationship Type="http://schemas.openxmlformats.org/officeDocument/2006/relationships/hyperlink" Target="https://www.forcalquier-lure.com/" TargetMode="External" Id="rId194" /><Relationship Type="http://schemas.openxmlformats.org/officeDocument/2006/relationships/hyperlink" Target="https://www.forcalquier-lure.com/contact/" TargetMode="External" Id="rId195" /><Relationship Type="http://schemas.openxmlformats.org/officeDocument/2006/relationships/hyperlink" Target="https://lannuaire.service-public.gouv.fr/provence-alpes-cote-d-azur/alpes-de-haute-provence/70794785-6c3e-4a49-844c-c9f52a8d9aca" TargetMode="External" Id="rId196" /><Relationship Type="http://schemas.openxmlformats.org/officeDocument/2006/relationships/hyperlink" Target="mailto:info@ccvusp.fr" TargetMode="External" Id="rId197" /><Relationship Type="http://schemas.openxmlformats.org/officeDocument/2006/relationships/hyperlink" Target="https://www.ccvusp.fr/" TargetMode="External" Id="rId198" /><Relationship Type="http://schemas.openxmlformats.org/officeDocument/2006/relationships/hyperlink" Target="https://www.ccvusp.fr/contact.html" TargetMode="External" Id="rId199" /><Relationship Type="http://schemas.openxmlformats.org/officeDocument/2006/relationships/hyperlink" Target="https://lannuaire.service-public.gouv.fr/provence-alpes-cote-d-azur/alpes-de-haute-provence/b880471d-42b0-4fa1-814a-7d628b895c15" TargetMode="External" Id="rId200" /><Relationship Type="http://schemas.openxmlformats.org/officeDocument/2006/relationships/hyperlink" Target="mailto:contact@agglo-gap.fr" TargetMode="External" Id="rId201" /><Relationship Type="http://schemas.openxmlformats.org/officeDocument/2006/relationships/hyperlink" Target="https://www.gap-tallard-durance.fr/" TargetMode="External" Id="rId202" /><Relationship Type="http://schemas.openxmlformats.org/officeDocument/2006/relationships/hyperlink" Target="https://lannuaire.service-public.gouv.fr/provence-alpes-cote-d-azur/hautes-alpes/076f405f-c409-4f65-bf5b-e706237ecec5" TargetMode="External" Id="rId203" /><Relationship Type="http://schemas.openxmlformats.org/officeDocument/2006/relationships/hyperlink" Target="mailto:contact@ccserreponcon.com" TargetMode="External" Id="rId204" /><Relationship Type="http://schemas.openxmlformats.org/officeDocument/2006/relationships/hyperlink" Target="https://www.ccserreponcon.com/" TargetMode="External" Id="rId205" /><Relationship Type="http://schemas.openxmlformats.org/officeDocument/2006/relationships/hyperlink" Target="https://www.ccserreponcon.com/contacter/contacter" TargetMode="External" Id="rId206" /><Relationship Type="http://schemas.openxmlformats.org/officeDocument/2006/relationships/hyperlink" Target="https://lannuaire.service-public.gouv.fr/provence-alpes-cote-d-azur/hautes-alpes/65d93037-e3ac-4261-ab71-ec6fbec5794a" TargetMode="External" Id="rId207" /><Relationship Type="http://schemas.openxmlformats.org/officeDocument/2006/relationships/hyperlink" Target="mailto:secretariat@ccspva.com" TargetMode="External" Id="rId208" /><Relationship Type="http://schemas.openxmlformats.org/officeDocument/2006/relationships/hyperlink" Target="https://www.cc-serreponconvaldavance.com/" TargetMode="External" Id="rId209" /><Relationship Type="http://schemas.openxmlformats.org/officeDocument/2006/relationships/hyperlink" Target="https://www.cc-serreponconvaldavance.com/fr/nous-connaitre/nous-contacter.html" TargetMode="External" Id="rId210" /><Relationship Type="http://schemas.openxmlformats.org/officeDocument/2006/relationships/hyperlink" Target="https://lannuaire.service-public.gouv.fr/provence-alpes-cote-d-azur/hautes-alpes/89c4d6e8-8c05-4ef0-9779-f150f71ae27d" TargetMode="External" Id="rId211" /><Relationship Type="http://schemas.openxmlformats.org/officeDocument/2006/relationships/hyperlink" Target="mailto:contact.ccsb@sisteronais-buech.fr" TargetMode="External" Id="rId212" /><Relationship Type="http://schemas.openxmlformats.org/officeDocument/2006/relationships/hyperlink" Target="https://www.sisteronais-buech.fr/" TargetMode="External" Id="rId213" /><Relationship Type="http://schemas.openxmlformats.org/officeDocument/2006/relationships/hyperlink" Target="https://www.sisteronais-buech.fr/nous-contacter/" TargetMode="External" Id="rId214" /><Relationship Type="http://schemas.openxmlformats.org/officeDocument/2006/relationships/hyperlink" Target="https://lannuaire.service-public.gouv.fr/provence-alpes-cote-d-azur/alpes-de-haute-provence/1db16ee5-afe7-40e7-bbf2-196ccc4de931" TargetMode="External" Id="rId215" /><Relationship Type="http://schemas.openxmlformats.org/officeDocument/2006/relationships/hyperlink" Target="mailto:secretariat@ccjlvd.fr" TargetMode="External" Id="rId216" /><Relationship Type="http://schemas.openxmlformats.org/officeDocument/2006/relationships/hyperlink" Target="https://ccjlvd.fr" TargetMode="External" Id="rId217" /><Relationship Type="http://schemas.openxmlformats.org/officeDocument/2006/relationships/hyperlink" Target="https://lannuaire.service-public.gouv.fr/provence-alpes-cote-d-azur/alpes-de-haute-provence/d9e5c89f-2bbb-4190-ae16-9793846e3e59" TargetMode="External" Id="rId218" /><Relationship Type="http://schemas.openxmlformats.org/officeDocument/2006/relationships/hyperlink" Target="mailto:accueil@dlva.fr" TargetMode="External" Id="rId219" /><Relationship Type="http://schemas.openxmlformats.org/officeDocument/2006/relationships/hyperlink" Target="https://www.dlva.fr/" TargetMode="External" Id="rId220" /><Relationship Type="http://schemas.openxmlformats.org/officeDocument/2006/relationships/hyperlink" Target="https://www.dlva.fr/nous-contacter/" TargetMode="External" Id="rId221" /><Relationship Type="http://schemas.openxmlformats.org/officeDocument/2006/relationships/hyperlink" Target="https://lannuaire.service-public.gouv.fr/provence-alpes-cote-d-azur/alpes-de-haute-provence/35dfb8cf-2695-4b64-94a9-eb9006a9d480" TargetMode="External" Id="rId222" /><Relationship Type="http://schemas.openxmlformats.org/officeDocument/2006/relationships/hyperlink" Target="mailto:contact@paysapt-luberon.fr" TargetMode="External" Id="rId223" /><Relationship Type="http://schemas.openxmlformats.org/officeDocument/2006/relationships/hyperlink" Target="https://www.paysapt-luberon.fr/" TargetMode="External" Id="rId224" /><Relationship Type="http://schemas.openxmlformats.org/officeDocument/2006/relationships/hyperlink" Target="https://www.paysapt-luberon.fr/contactez-nous/" TargetMode="External" Id="rId225" /><Relationship Type="http://schemas.openxmlformats.org/officeDocument/2006/relationships/hyperlink" Target="https://lannuaire.service-public.gouv.fr/provence-alpes-cote-d-azur/vaucluse/6061a275-82d8-4f0f-9c13-cff637ad4437" TargetMode="External" Id="rId226" /><Relationship Type="http://schemas.openxmlformats.org/officeDocument/2006/relationships/hyperlink" Target="mailto:accueil@ccbd.fr" TargetMode="External" Id="rId227" /><Relationship Type="http://schemas.openxmlformats.org/officeDocument/2006/relationships/hyperlink" Target="https://www.ccbuechdevoluy.fr/" TargetMode="External" Id="rId228" /><Relationship Type="http://schemas.openxmlformats.org/officeDocument/2006/relationships/hyperlink" Target="https://www.ccbuechdevoluy.fr/contact.html" TargetMode="External" Id="rId229" /><Relationship Type="http://schemas.openxmlformats.org/officeDocument/2006/relationships/hyperlink" Target="https://lannuaire.service-public.gouv.fr/provence-alpes-cote-d-azur/hautes-alpes/79ef0a90-0e1e-45d3-9d0c-45cd81a50715" TargetMode="External" Id="rId230" /><Relationship Type="http://schemas.openxmlformats.org/officeDocument/2006/relationships/hyperlink" Target="mailto:contact@champsaur-valgaudemar.fr" TargetMode="External" Id="rId231" /><Relationship Type="http://schemas.openxmlformats.org/officeDocument/2006/relationships/hyperlink" Target="https://www.champsaur-valgaudemar.com/accueil-cccv/" TargetMode="External" Id="rId232" /><Relationship Type="http://schemas.openxmlformats.org/officeDocument/2006/relationships/hyperlink" Target="https://www.champsaur-valgaudemar.com/accueil-cccv/contact/" TargetMode="External" Id="rId233" /><Relationship Type="http://schemas.openxmlformats.org/officeDocument/2006/relationships/hyperlink" Target="https://lannuaire.service-public.gouv.fr/provence-alpes-cote-d-azur/hautes-alpes/cf887aee-b16d-4396-bb14-2da57a842ac0" TargetMode="External" Id="rId234" /><Relationship Type="http://schemas.openxmlformats.org/officeDocument/2006/relationships/hyperlink" Target="mailto:accueil@ccbrianconnais.fr" TargetMode="External" Id="rId235" /><Relationship Type="http://schemas.openxmlformats.org/officeDocument/2006/relationships/hyperlink" Target="https://www.ccbrianconnais.fr/" TargetMode="External" Id="rId236" /><Relationship Type="http://schemas.openxmlformats.org/officeDocument/2006/relationships/hyperlink" Target="https://www.ccbrianconnais.fr/nous-contacter" TargetMode="External" Id="rId237" /><Relationship Type="http://schemas.openxmlformats.org/officeDocument/2006/relationships/hyperlink" Target="https://lannuaire.service-public.gouv.fr/provence-alpes-cote-d-azur/hautes-alpes/6fa46dec-65d7-463f-b5aa-946752287124" TargetMode="External" Id="rId238" /><Relationship Type="http://schemas.openxmlformats.org/officeDocument/2006/relationships/hyperlink" Target="mailto:contact@comcomgq.com" TargetMode="External" Id="rId239" /><Relationship Type="http://schemas.openxmlformats.org/officeDocument/2006/relationships/hyperlink" Target="https://www.ccguillestroisqueyras.fr/" TargetMode="External" Id="rId240" /><Relationship Type="http://schemas.openxmlformats.org/officeDocument/2006/relationships/hyperlink" Target="https://demarches.collectivites.hautes-alpes.fr/contacter-une-collectivite/saisine-par-voie-electronique-du-territoire/" TargetMode="External" Id="rId241" /><Relationship Type="http://schemas.openxmlformats.org/officeDocument/2006/relationships/hyperlink" Target="https://lannuaire.service-public.gouv.fr/provence-alpes-cote-d-azur/hautes-alpes/f1a383e3-8ad9-4073-8fd3-3c6bf61041c0" TargetMode="External" Id="rId242" /><Relationship Type="http://schemas.openxmlformats.org/officeDocument/2006/relationships/hyperlink" Target="mailto:info@cc-paysdesecrins.com" TargetMode="External" Id="rId243" /><Relationship Type="http://schemas.openxmlformats.org/officeDocument/2006/relationships/hyperlink" Target="https://www.cc-paysdesecrins.fr/" TargetMode="External" Id="rId244" /><Relationship Type="http://schemas.openxmlformats.org/officeDocument/2006/relationships/hyperlink" Target="https://www.cc-paysdesecrins.fr/formulaire-de-contact" TargetMode="External" Id="rId245" /><Relationship Type="http://schemas.openxmlformats.org/officeDocument/2006/relationships/hyperlink" Target="https://lannuaire.service-public.gouv.fr/provence-alpes-cote-d-azur/hautes-alpes/b86879a2-252c-4810-88b3-b95922755984" TargetMode="External" Id="rId246" /><Relationship Type="http://schemas.openxmlformats.org/officeDocument/2006/relationships/hyperlink" Target="mailto:contact@cannespaysdelerins.fr" TargetMode="External" Id="rId247" /><Relationship Type="http://schemas.openxmlformats.org/officeDocument/2006/relationships/hyperlink" Target="https://cannespaysdelerins.fr/" TargetMode="External" Id="rId248" /><Relationship Type="http://schemas.openxmlformats.org/officeDocument/2006/relationships/hyperlink" Target="https://cannespaysdelerins.fr/index.php/contact/" TargetMode="External" Id="rId249" /><Relationship Type="http://schemas.openxmlformats.org/officeDocument/2006/relationships/hyperlink" Target="https://lannuaire.service-public.gouv.fr/provence-alpes-cote-d-azur/alpes-maritimes/c1c44a0d-3f55-4b32-ab49-63f0bcb62eba" TargetMode="External" Id="rId250" /><Relationship Type="http://schemas.openxmlformats.org/officeDocument/2006/relationships/hyperlink" Target="mailto:info@agglo-casa.fr" TargetMode="External" Id="rId251" /><Relationship Type="http://schemas.openxmlformats.org/officeDocument/2006/relationships/hyperlink" Target="https://casa-infos.fr/" TargetMode="External" Id="rId252" /><Relationship Type="http://schemas.openxmlformats.org/officeDocument/2006/relationships/hyperlink" Target="https://casa-infos.fr/contact/" TargetMode="External" Id="rId253" /><Relationship Type="http://schemas.openxmlformats.org/officeDocument/2006/relationships/hyperlink" Target="https://lannuaire.service-public.gouv.fr/provence-alpes-cote-d-azur/alpes-maritimes/de9d08f3-a6b4-4a2f-adf3-da96975e07ae" TargetMode="External" Id="rId254" /><Relationship Type="http://schemas.openxmlformats.org/officeDocument/2006/relationships/hyperlink" Target="mailto:direction.generale@carf.fr" TargetMode="External" Id="rId255" /><Relationship Type="http://schemas.openxmlformats.org/officeDocument/2006/relationships/hyperlink" Target="https://www.riviera-francaise.fr/" TargetMode="External" Id="rId256" /><Relationship Type="http://schemas.openxmlformats.org/officeDocument/2006/relationships/hyperlink" Target="https://lannuaire.service-public.gouv.fr/provence-alpes-cote-d-azur/alpes-maritimes/43576eda-b638-4dc1-90ad-1f029e1645ee" TargetMode="External" Id="rId257" /><Relationship Type="http://schemas.openxmlformats.org/officeDocument/2006/relationships/hyperlink" Target="mailto:contact@paysdegrasse.fr" TargetMode="External" Id="rId258" /><Relationship Type="http://schemas.openxmlformats.org/officeDocument/2006/relationships/hyperlink" Target="http://www.paysdegrasse.fr" TargetMode="External" Id="rId259" /><Relationship Type="http://schemas.openxmlformats.org/officeDocument/2006/relationships/hyperlink" Target="https://lannuaire.service-public.gouv.fr/provence-alpes-cote-d-azur/alpes-maritimes/17b17e6d-00a6-4796-87a9-9d35182bbea2" TargetMode="External" Id="rId260" /><Relationship Type="http://schemas.openxmlformats.org/officeDocument/2006/relationships/hyperlink" Target="mailto:secretariat@alpesdazur.fr" TargetMode="External" Id="rId261" /><Relationship Type="http://schemas.openxmlformats.org/officeDocument/2006/relationships/hyperlink" Target="https://lannuaire.service-public.gouv.fr/provence-alpes-cote-d-azur/alpes-maritimes/cc6cd85a-0aa5-46df-b303-e8fdc3eb3349" TargetMode="External" Id="rId262" /><Relationship Type="http://schemas.openxmlformats.org/officeDocument/2006/relationships/hyperlink" Target="mailto:info@ccpp06.fr" TargetMode="External" Id="rId263" /><Relationship Type="http://schemas.openxmlformats.org/officeDocument/2006/relationships/hyperlink" Target="https://ccpp06.fr/" TargetMode="External" Id="rId264" /><Relationship Type="http://schemas.openxmlformats.org/officeDocument/2006/relationships/hyperlink" Target="https://lannuaire.service-public.gouv.fr/provence-alpes-cote-d-azur/alpes-maritimes/86e12e8e-2004-41b6-b131-b76ee96330bd" TargetMode="External" Id="rId265" /><Relationship Type="http://schemas.openxmlformats.org/officeDocument/2006/relationships/hyperlink" Target="https://www.nicecotedazur.org/" TargetMode="External" Id="rId266" /><Relationship Type="http://schemas.openxmlformats.org/officeDocument/2006/relationships/hyperlink" Target="https://www.nicecotedazur.org/contact/" TargetMode="External" Id="rId267" /><Relationship Type="http://schemas.openxmlformats.org/officeDocument/2006/relationships/hyperlink" Target="https://lannuaire.service-public.gouv.fr/provence-alpes-cote-d-azur/alpes-maritimes/ebf3793d-85cb-431c-bd02-b62a44a49e38" TargetMode="External" Id="rId268" /><Relationship Type="http://schemas.openxmlformats.org/officeDocument/2006/relationships/hyperlink" Target="mailto:courrier.agglo@annonayrhoneagglo.fr" TargetMode="External" Id="rId269" /><Relationship Type="http://schemas.openxmlformats.org/officeDocument/2006/relationships/hyperlink" Target="https://www.annonayrhoneagglo.fr/" TargetMode="External" Id="rId270" /><Relationship Type="http://schemas.openxmlformats.org/officeDocument/2006/relationships/hyperlink" Target="https://www.annonayrhoneagglo.fr/contact" TargetMode="External" Id="rId271" /><Relationship Type="http://schemas.openxmlformats.org/officeDocument/2006/relationships/hyperlink" Target="https://lannuaire.service-public.gouv.fr/auvergne-rhone-alpes/ardeche/32e8b582-9501-4d7c-98c9-92acafbcddc5" TargetMode="External" Id="rId272" /><Relationship Type="http://schemas.openxmlformats.org/officeDocument/2006/relationships/hyperlink" Target="mailto:agglo@privas-centre-ardeche.fr" TargetMode="External" Id="rId273" /><Relationship Type="http://schemas.openxmlformats.org/officeDocument/2006/relationships/hyperlink" Target="https://www.privas-centre-ardeche.fr/" TargetMode="External" Id="rId274" /><Relationship Type="http://schemas.openxmlformats.org/officeDocument/2006/relationships/hyperlink" Target="https://www.privas-centre-ardeche.fr/contact/" TargetMode="External" Id="rId275" /><Relationship Type="http://schemas.openxmlformats.org/officeDocument/2006/relationships/hyperlink" Target="https://lannuaire.service-public.gouv.fr/auvergne-rhone-alpes/ardeche/f4c58669-23f8-4896-a814-5d48286ce7e5" TargetMode="External" Id="rId276" /><Relationship Type="http://schemas.openxmlformats.org/officeDocument/2006/relationships/hyperlink" Target="mailto:accueil@ardecherhonecoiron.fr" TargetMode="External" Id="rId277" /><Relationship Type="http://schemas.openxmlformats.org/officeDocument/2006/relationships/hyperlink" Target="https://www.ardecherhonecoiron.fr" TargetMode="External" Id="rId278" /><Relationship Type="http://schemas.openxmlformats.org/officeDocument/2006/relationships/hyperlink" Target="https://ardecherhonecoiron.fr/arcpratique/nous-contacter/" TargetMode="External" Id="rId279" /><Relationship Type="http://schemas.openxmlformats.org/officeDocument/2006/relationships/hyperlink" Target="https://lannuaire.service-public.gouv.fr/auvergne-rhone-alpes/ardeche/4fce06f8-3da5-4757-9b93-87bdb10057ef" TargetMode="External" Id="rId280" /><Relationship Type="http://schemas.openxmlformats.org/officeDocument/2006/relationships/hyperlink" Target="mailto:cdc@asv-cdc.fr" TargetMode="External" Id="rId281" /><Relationship Type="http://schemas.openxmlformats.org/officeDocument/2006/relationships/hyperlink" Target="https://www.asv-cdc.fr/" TargetMode="External" Id="rId282" /><Relationship Type="http://schemas.openxmlformats.org/officeDocument/2006/relationships/hyperlink" Target="https://lannuaire.service-public.gouv.fr/auvergne-rhone-alpes/ardeche/6c4315a8-3d18-4506-aa15-d739552f47b7" TargetMode="External" Id="rId283" /><Relationship Type="http://schemas.openxmlformats.org/officeDocument/2006/relationships/hyperlink" Target="mailto:contact@bergetcoiron.fr" TargetMode="External" Id="rId284" /><Relationship Type="http://schemas.openxmlformats.org/officeDocument/2006/relationships/hyperlink" Target="https://www.bergetcoiron.fr/" TargetMode="External" Id="rId285" /><Relationship Type="http://schemas.openxmlformats.org/officeDocument/2006/relationships/hyperlink" Target="https://www.bergetcoiron.fr/contact/" TargetMode="External" Id="rId286" /><Relationship Type="http://schemas.openxmlformats.org/officeDocument/2006/relationships/hyperlink" Target="https://lannuaire.service-public.gouv.fr/auvergne-rhone-alpes/ardeche/43372912-993d-4d5e-92e0-2ff3d4ecfe66" TargetMode="External" Id="rId287" /><Relationship Type="http://schemas.openxmlformats.org/officeDocument/2006/relationships/hyperlink" Target="mailto:accueil@montagne-ardeche.fr" TargetMode="External" Id="rId288" /><Relationship Type="http://schemas.openxmlformats.org/officeDocument/2006/relationships/hyperlink" Target="https://cc-montagne-ardeche.fr/" TargetMode="External" Id="rId289" /><Relationship Type="http://schemas.openxmlformats.org/officeDocument/2006/relationships/hyperlink" Target="https://cc-montagne-ardeche.fr/nous-contacter/" TargetMode="External" Id="rId290" /><Relationship Type="http://schemas.openxmlformats.org/officeDocument/2006/relationships/hyperlink" Target="https://lannuaire.service-public.gouv.fr/auvergne-rhone-alpes/ardeche/2d6f6313-26f9-415e-b96c-f461c18859d7" TargetMode="External" Id="rId291" /><Relationship Type="http://schemas.openxmlformats.org/officeDocument/2006/relationships/hyperlink" Target="mailto:accueil@cdc-vansencevennes.fr" TargetMode="External" Id="rId292" /><Relationship Type="http://schemas.openxmlformats.org/officeDocument/2006/relationships/hyperlink" Target="https://www.cdc-vansencevennes.fr/" TargetMode="External" Id="rId293" /><Relationship Type="http://schemas.openxmlformats.org/officeDocument/2006/relationships/hyperlink" Target="https://www.cdc-vansencevennes.fr/contact/" TargetMode="External" Id="rId294" /><Relationship Type="http://schemas.openxmlformats.org/officeDocument/2006/relationships/hyperlink" Target="https://lannuaire.service-public.gouv.fr/auvergne-rhone-alpes/ardeche/8764b263-cb33-4251-b329-cc11a820316d" TargetMode="External" Id="rId295" /><Relationship Type="http://schemas.openxmlformats.org/officeDocument/2006/relationships/hyperlink" Target="mailto:contact@rhone-crussol.fr" TargetMode="External" Id="rId296" /><Relationship Type="http://schemas.openxmlformats.org/officeDocument/2006/relationships/hyperlink" Target="https://www.rhone-crussol.fr/contact/" TargetMode="External" Id="rId297" /><Relationship Type="http://schemas.openxmlformats.org/officeDocument/2006/relationships/hyperlink" Target="https://lannuaire.service-public.gouv.fr/auvergne-rhone-alpes/ardeche/38b1041a-0102-4317-8e47-20608dffa8c6" TargetMode="External" Id="rId298" /><Relationship Type="http://schemas.openxmlformats.org/officeDocument/2006/relationships/hyperlink" Target="mailto:accueil@valeyrieux.fr" TargetMode="External" Id="rId299" /><Relationship Type="http://schemas.openxmlformats.org/officeDocument/2006/relationships/hyperlink" Target="https://www.valeyrieux.fr/" TargetMode="External" Id="rId300" /><Relationship Type="http://schemas.openxmlformats.org/officeDocument/2006/relationships/hyperlink" Target="https://www.valeyrieux.fr/acc%C3%A8s/contact/" TargetMode="External" Id="rId301" /><Relationship Type="http://schemas.openxmlformats.org/officeDocument/2006/relationships/hyperlink" Target="https://lannuaire.service-public.gouv.fr/auvergne-rhone-alpes/ardeche/43e86c0e-8bca-4cfa-9d23-cdf3eea71026" TargetMode="External" Id="rId302" /><Relationship Type="http://schemas.openxmlformats.org/officeDocument/2006/relationships/hyperlink" Target="mailto:secretariat@cc-valdeligne.fr" TargetMode="External" Id="rId303" /><Relationship Type="http://schemas.openxmlformats.org/officeDocument/2006/relationships/hyperlink" Target="https://cc-valdeligne.fr/" TargetMode="External" Id="rId304" /><Relationship Type="http://schemas.openxmlformats.org/officeDocument/2006/relationships/hyperlink" Target="https://lannuaire.service-public.gouv.fr/auvergne-rhone-alpes/ardeche/b09fb200-1dfa-4b18-a988-a644e92938fd" TargetMode="External" Id="rId305" /><Relationship Type="http://schemas.openxmlformats.org/officeDocument/2006/relationships/hyperlink" Target="mailto:info@cc-gorgesardeche.fr" TargetMode="External" Id="rId306" /><Relationship Type="http://schemas.openxmlformats.org/officeDocument/2006/relationships/hyperlink" Target="https://www.cc-gorgesardeche.fr/" TargetMode="External" Id="rId307" /><Relationship Type="http://schemas.openxmlformats.org/officeDocument/2006/relationships/hyperlink" Target="https://www.cc-gorgesardeche.fr/contact" TargetMode="External" Id="rId308" /><Relationship Type="http://schemas.openxmlformats.org/officeDocument/2006/relationships/hyperlink" Target="https://lannuaire.service-public.gouv.fr/auvergne-rhone-alpes/ardeche/b66cbf4d-bee5-4049-ae84-4230ca75b716" TargetMode="External" Id="rId309" /><Relationship Type="http://schemas.openxmlformats.org/officeDocument/2006/relationships/hyperlink" Target="mailto:contact@cdcba.fr" TargetMode="External" Id="rId310" /><Relationship Type="http://schemas.openxmlformats.org/officeDocument/2006/relationships/hyperlink" Target="https://www.bassin-aubenas.fr/" TargetMode="External" Id="rId311" /><Relationship Type="http://schemas.openxmlformats.org/officeDocument/2006/relationships/hyperlink" Target="https://www.bassin-aubenas.fr/en-un-clic/contact/" TargetMode="External" Id="rId312" /><Relationship Type="http://schemas.openxmlformats.org/officeDocument/2006/relationships/hyperlink" Target="https://lannuaire.service-public.gouv.fr/auvergne-rhone-alpes/ardeche/dfe75db7-153f-4726-b87f-ad01db701ca2" TargetMode="External" Id="rId313" /><Relationship Type="http://schemas.openxmlformats.org/officeDocument/2006/relationships/hyperlink" Target="mailto:comcom@pays-beaumedrobie.com" TargetMode="External" Id="rId314" /><Relationship Type="http://schemas.openxmlformats.org/officeDocument/2006/relationships/hyperlink" Target="https://www.pays-beaumedrobie.com/" TargetMode="External" Id="rId315" /><Relationship Type="http://schemas.openxmlformats.org/officeDocument/2006/relationships/hyperlink" Target="https://www.pays-beaumedrobie.com/contact-horaires-ouverture/" TargetMode="External" Id="rId316" /><Relationship Type="http://schemas.openxmlformats.org/officeDocument/2006/relationships/hyperlink" Target="https://lannuaire.service-public.gouv.fr/auvergne-rhone-alpes/ardeche/25967d35-8b32-4719-8dfd-3399c4306b5a" TargetMode="External" Id="rId317" /><Relationship Type="http://schemas.openxmlformats.org/officeDocument/2006/relationships/hyperlink" Target="mailto:cdclamastre@gmail.com" TargetMode="External" Id="rId318" /><Relationship Type="http://schemas.openxmlformats.org/officeDocument/2006/relationships/hyperlink" Target="https://comcompaysdelamastre.fr/" TargetMode="External" Id="rId319" /><Relationship Type="http://schemas.openxmlformats.org/officeDocument/2006/relationships/hyperlink" Target="https://comcompaysdelamastre.fr/contact" TargetMode="External" Id="rId320" /><Relationship Type="http://schemas.openxmlformats.org/officeDocument/2006/relationships/hyperlink" Target="https://lannuaire.service-public.gouv.fr/auvergne-rhone-alpes/ardeche/743f3c34-ac7b-4793-aa56-9c05ec6c1a99" TargetMode="External" Id="rId321" /><Relationship Type="http://schemas.openxmlformats.org/officeDocument/2006/relationships/hyperlink" Target="mailto:contact@ccdraga.fr" TargetMode="External" Id="rId322" /><Relationship Type="http://schemas.openxmlformats.org/officeDocument/2006/relationships/hyperlink" Target="https://www.ccdraga.fr/" TargetMode="External" Id="rId323" /><Relationship Type="http://schemas.openxmlformats.org/officeDocument/2006/relationships/hyperlink" Target="https://www.ccdraga.fr/contact" TargetMode="External" Id="rId324" /><Relationship Type="http://schemas.openxmlformats.org/officeDocument/2006/relationships/hyperlink" Target="https://lannuaire.service-public.gouv.fr/auvergne-rhone-alpes/ardeche/dbacef72-03b4-4e52-aec7-ad17767b71a9" TargetMode="External" Id="rId325" /><Relationship Type="http://schemas.openxmlformats.org/officeDocument/2006/relationships/hyperlink" Target="mailto:secretariat@val-d-ay.fr" TargetMode="External" Id="rId326" /><Relationship Type="http://schemas.openxmlformats.org/officeDocument/2006/relationships/hyperlink" Target="https://www.val-d-ay.fr/" TargetMode="External" Id="rId327" /><Relationship Type="http://schemas.openxmlformats.org/officeDocument/2006/relationships/hyperlink" Target="https://lannuaire.service-public.gouv.fr/auvergne-rhone-alpes/ardeche/d38ee1a0-474d-4333-b3d5-207d3b9f7d71" TargetMode="External" Id="rId328" /><Relationship Type="http://schemas.openxmlformats.org/officeDocument/2006/relationships/hyperlink" Target="mailto:accueil@archeagglo.fr" TargetMode="External" Id="rId329" /><Relationship Type="http://schemas.openxmlformats.org/officeDocument/2006/relationships/hyperlink" Target="https://www.archeagglo.fr/" TargetMode="External" Id="rId330" /><Relationship Type="http://schemas.openxmlformats.org/officeDocument/2006/relationships/hyperlink" Target="https://www.archeagglo.fr/contact/" TargetMode="External" Id="rId331" /><Relationship Type="http://schemas.openxmlformats.org/officeDocument/2006/relationships/hyperlink" Target="https://lannuaire.service-public.gouv.fr/auvergne-rhone-alpes/ardeche/6d735793-e336-4a73-b68a-7a28983fd534" TargetMode="External" Id="rId332" /><Relationship Type="http://schemas.openxmlformats.org/officeDocument/2006/relationships/hyperlink" Target="mailto:contact@portededromardeche.fr" TargetMode="External" Id="rId333" /><Relationship Type="http://schemas.openxmlformats.org/officeDocument/2006/relationships/hyperlink" Target="https://www.portededromardeche.fr/" TargetMode="External" Id="rId334" /><Relationship Type="http://schemas.openxmlformats.org/officeDocument/2006/relationships/hyperlink" Target="https://www.portededromardeche.fr/contact/" TargetMode="External" Id="rId335" /><Relationship Type="http://schemas.openxmlformats.org/officeDocument/2006/relationships/hyperlink" Target="https://lannuaire.service-public.gouv.fr/auvergne-rhone-alpes/drome/6a25920f-2424-411a-b1c9-659963aacf39" TargetMode="External" Id="rId336" /><Relationship Type="http://schemas.openxmlformats.org/officeDocument/2006/relationships/hyperlink" Target="mailto:info@ceze-cevennes.fr" TargetMode="External" Id="rId337" /><Relationship Type="http://schemas.openxmlformats.org/officeDocument/2006/relationships/hyperlink" Target="http://www.ceze-cevennes.fr" TargetMode="External" Id="rId338" /><Relationship Type="http://schemas.openxmlformats.org/officeDocument/2006/relationships/hyperlink" Target="http://www.ceze-cevennes.fr/fr/contact" TargetMode="External" Id="rId339" /><Relationship Type="http://schemas.openxmlformats.org/officeDocument/2006/relationships/hyperlink" Target="https://lannuaire.service-public.gouv.fr/occitanie/gard/f90ba09c-b30a-4323-ac10-573ec38c78e8" TargetMode="External" Id="rId340" /><Relationship Type="http://schemas.openxmlformats.org/officeDocument/2006/relationships/hyperlink" Target="mailto:accueil@ardenne-metropole.fr" TargetMode="External" Id="rId341" /><Relationship Type="http://schemas.openxmlformats.org/officeDocument/2006/relationships/hyperlink" Target="https://ardenne-metropole.fr/" TargetMode="External" Id="rId342" /><Relationship Type="http://schemas.openxmlformats.org/officeDocument/2006/relationships/hyperlink" Target="https://ardenne-metropole.fr/contact/" TargetMode="External" Id="rId343" /><Relationship Type="http://schemas.openxmlformats.org/officeDocument/2006/relationships/hyperlink" Target="https://lannuaire.service-public.gouv.fr/grand-est/ardennes/7c8fe83d-2f74-464a-8782-0d1c781a33a7" TargetMode="External" Id="rId344" /><Relationship Type="http://schemas.openxmlformats.org/officeDocument/2006/relationships/hyperlink" Target="mailto:president@ardennerivesdemeuse.com" TargetMode="External" Id="rId345" /><Relationship Type="http://schemas.openxmlformats.org/officeDocument/2006/relationships/hyperlink" Target="https://www.ccarm.fr/" TargetMode="External" Id="rId346" /><Relationship Type="http://schemas.openxmlformats.org/officeDocument/2006/relationships/hyperlink" Target="https://lannuaire.service-public.gouv.fr/grand-est/ardennes/77cee0dc-45af-4325-b11e-bbd31ab41804" TargetMode="External" Id="rId347" /><Relationship Type="http://schemas.openxmlformats.org/officeDocument/2006/relationships/hyperlink" Target="mailto:contact@ardennesthierache.fr" TargetMode="External" Id="rId348" /><Relationship Type="http://schemas.openxmlformats.org/officeDocument/2006/relationships/hyperlink" Target="https://www.ardennes-thierache.com/fr/" TargetMode="External" Id="rId349" /><Relationship Type="http://schemas.openxmlformats.org/officeDocument/2006/relationships/hyperlink" Target="https://lannuaire.service-public.gouv.fr/grand-est/ardennes/7e2db839-ccc4-4d2d-a904-3f6d1bd8d7fb" TargetMode="External" Id="rId350" /><Relationship Type="http://schemas.openxmlformats.org/officeDocument/2006/relationships/hyperlink" Target="mailto:contact@ccvpa.fr" TargetMode="External" Id="rId351" /><Relationship Type="http://schemas.openxmlformats.org/officeDocument/2006/relationships/hyperlink" Target="https://www.cc-valleesetplateaudardenne.fr/" TargetMode="External" Id="rId352" /><Relationship Type="http://schemas.openxmlformats.org/officeDocument/2006/relationships/hyperlink" Target="https://www.cc-valleesetplateaudardenne.fr/contact/" TargetMode="External" Id="rId353" /><Relationship Type="http://schemas.openxmlformats.org/officeDocument/2006/relationships/hyperlink" Target="https://lannuaire.service-public.gouv.fr/grand-est/ardennes/9104cefb-5e49-442d-b7c8-e9442d61b37c" TargetMode="External" Id="rId354" /><Relationship Type="http://schemas.openxmlformats.org/officeDocument/2006/relationships/hyperlink" Target="mailto:secretariat@argonne-ardennaise.fr" TargetMode="External" Id="rId355" /><Relationship Type="http://schemas.openxmlformats.org/officeDocument/2006/relationships/hyperlink" Target="https://www.argonne-ardennaise.fr/" TargetMode="External" Id="rId356" /><Relationship Type="http://schemas.openxmlformats.org/officeDocument/2006/relationships/hyperlink" Target="https://www.argonne-ardennaise.fr/contact" TargetMode="External" Id="rId357" /><Relationship Type="http://schemas.openxmlformats.org/officeDocument/2006/relationships/hyperlink" Target="https://lannuaire.service-public.gouv.fr/grand-est/ardennes/8985942b-ac12-4984-8602-da95a5422777" TargetMode="External" Id="rId358" /><Relationship Type="http://schemas.openxmlformats.org/officeDocument/2006/relationships/hyperlink" Target="mailto:communaute@lescretes.fr" TargetMode="External" Id="rId359" /><Relationship Type="http://schemas.openxmlformats.org/officeDocument/2006/relationships/hyperlink" Target="https://www.cretespreardennaises.fr/" TargetMode="External" Id="rId360" /><Relationship Type="http://schemas.openxmlformats.org/officeDocument/2006/relationships/hyperlink" Target="https://www.cretespreardennaises.fr/contact" TargetMode="External" Id="rId361" /><Relationship Type="http://schemas.openxmlformats.org/officeDocument/2006/relationships/hyperlink" Target="https://lannuaire.service-public.gouv.fr/grand-est/ardennes/dfd9b999-0d68-4512-a263-74a0d1c55606" TargetMode="External" Id="rId362" /><Relationship Type="http://schemas.openxmlformats.org/officeDocument/2006/relationships/hyperlink" Target="mailto:contact@portesduluxembourg.fr" TargetMode="External" Id="rId363" /><Relationship Type="http://schemas.openxmlformats.org/officeDocument/2006/relationships/hyperlink" Target="https://www.portesduluxembourg.fr/" TargetMode="External" Id="rId364" /><Relationship Type="http://schemas.openxmlformats.org/officeDocument/2006/relationships/hyperlink" Target="https://www.portesduluxembourg.fr/contact" TargetMode="External" Id="rId365" /><Relationship Type="http://schemas.openxmlformats.org/officeDocument/2006/relationships/hyperlink" Target="https://lannuaire.service-public.gouv.fr/grand-est/ardennes/68883a3a-2f54-4ad1-841c-7c57294e4e4a" TargetMode="External" Id="rId366" /><Relationship Type="http://schemas.openxmlformats.org/officeDocument/2006/relationships/hyperlink" Target="mailto:accueil@cc-paysrethelois.fr" TargetMode="External" Id="rId367" /><Relationship Type="http://schemas.openxmlformats.org/officeDocument/2006/relationships/hyperlink" Target="https://www.paysrethelois.fr/" TargetMode="External" Id="rId368" /><Relationship Type="http://schemas.openxmlformats.org/officeDocument/2006/relationships/hyperlink" Target="https://www.paysrethelois.fr/fr/contact.html" TargetMode="External" Id="rId369" /><Relationship Type="http://schemas.openxmlformats.org/officeDocument/2006/relationships/hyperlink" Target="https://lannuaire.service-public.gouv.fr/grand-est/ardennes/68db4071-884a-4992-8208-53648b268775" TargetMode="External" Id="rId370" /><Relationship Type="http://schemas.openxmlformats.org/officeDocument/2006/relationships/hyperlink" Target="mailto:accueil@agglo-pfv.fr" TargetMode="External" Id="rId371" /><Relationship Type="http://schemas.openxmlformats.org/officeDocument/2006/relationships/hyperlink" Target="https://www.agglo-foix-varilhes.fr/" TargetMode="External" Id="rId372" /><Relationship Type="http://schemas.openxmlformats.org/officeDocument/2006/relationships/hyperlink" Target="https://www.agglo-foix-varilhes.fr/Contact/97/" TargetMode="External" Id="rId373" /><Relationship Type="http://schemas.openxmlformats.org/officeDocument/2006/relationships/hyperlink" Target="https://lannuaire.service-public.gouv.fr/occitanie/ariege/6fca2413-38c3-40ae-9ab8-08030aee6555" TargetMode="External" Id="rId374" /><Relationship Type="http://schemas.openxmlformats.org/officeDocument/2006/relationships/hyperlink" Target="mailto:accueil@arize-leze.fr" TargetMode="External" Id="rId375" /><Relationship Type="http://schemas.openxmlformats.org/officeDocument/2006/relationships/hyperlink" Target="https://www.arize-leze.fr/" TargetMode="External" Id="rId376" /><Relationship Type="http://schemas.openxmlformats.org/officeDocument/2006/relationships/hyperlink" Target="https://lannuaire.service-public.gouv.fr/occitanie/ariege/2287290a-bed6-4da4-b92a-977289c5c76b" TargetMode="External" Id="rId377" /><Relationship Type="http://schemas.openxmlformats.org/officeDocument/2006/relationships/hyperlink" Target="mailto:communaute.communes@couserans-pyrenees.fr" TargetMode="External" Id="rId378" /><Relationship Type="http://schemas.openxmlformats.org/officeDocument/2006/relationships/hyperlink" Target="https://couserans-pyrenees.fr" TargetMode="External" Id="rId379" /><Relationship Type="http://schemas.openxmlformats.org/officeDocument/2006/relationships/hyperlink" Target="https://couserans-pyrenees.fr/" TargetMode="External" Id="rId380" /><Relationship Type="http://schemas.openxmlformats.org/officeDocument/2006/relationships/hyperlink" Target="https://lannuaire.service-public.gouv.fr/occitanie/ariege/e35d3104-4882-4ce9-838e-081903db8cae" TargetMode="External" Id="rId381" /><Relationship Type="http://schemas.openxmlformats.org/officeDocument/2006/relationships/hyperlink" Target="mailto:administration.generale@cc-hauteariege.fr" TargetMode="External" Id="rId382" /><Relationship Type="http://schemas.openxmlformats.org/officeDocument/2006/relationships/hyperlink" Target="https://cc-hauteariege.fr/" TargetMode="External" Id="rId383" /><Relationship Type="http://schemas.openxmlformats.org/officeDocument/2006/relationships/hyperlink" Target="https://cc-hauteariege.fr/@@contact" TargetMode="External" Id="rId384" /><Relationship Type="http://schemas.openxmlformats.org/officeDocument/2006/relationships/hyperlink" Target="https://lannuaire.service-public.gouv.fr/occitanie/ariege/856f3b71-e25a-4475-ba32-0d2e1156bf4e" TargetMode="External" Id="rId385" /><Relationship Type="http://schemas.openxmlformats.org/officeDocument/2006/relationships/hyperlink" Target="mailto:contact@ccpap.fr" TargetMode="External" Id="rId386" /><Relationship Type="http://schemas.openxmlformats.org/officeDocument/2006/relationships/hyperlink" Target="https://ccpap.fr/" TargetMode="External" Id="rId387" /><Relationship Type="http://schemas.openxmlformats.org/officeDocument/2006/relationships/hyperlink" Target="https://ccpap.fr/contactez-nous/" TargetMode="External" Id="rId388" /><Relationship Type="http://schemas.openxmlformats.org/officeDocument/2006/relationships/hyperlink" Target="https://lannuaire.service-public.gouv.fr/occitanie/ariege/f4533902-27a9-462f-a272-2926a5a11289" TargetMode="External" Id="rId389" /><Relationship Type="http://schemas.openxmlformats.org/officeDocument/2006/relationships/hyperlink" Target="mailto:a.chacon@paysdolmes.org" TargetMode="External" Id="rId390" /><Relationship Type="http://schemas.openxmlformats.org/officeDocument/2006/relationships/hyperlink" Target="https://paysdolmes.org/fr/" TargetMode="External" Id="rId391" /><Relationship Type="http://schemas.openxmlformats.org/officeDocument/2006/relationships/hyperlink" Target="https://lannuaire.service-public.gouv.fr/occitanie/ariege/5cdee43c-e61a-42c9-8038-658952fed55e" TargetMode="External" Id="rId392" /><Relationship Type="http://schemas.openxmlformats.org/officeDocument/2006/relationships/hyperlink" Target="mailto:contact@cc-paysdemirepoix.fr" TargetMode="External" Id="rId393" /><Relationship Type="http://schemas.openxmlformats.org/officeDocument/2006/relationships/hyperlink" Target="https://www.cc-paysdemirepoix.fr/" TargetMode="External" Id="rId394" /><Relationship Type="http://schemas.openxmlformats.org/officeDocument/2006/relationships/hyperlink" Target="https://www.cc-paysdemirepoix.fr/systeme/nous-contacter/" TargetMode="External" Id="rId395" /><Relationship Type="http://schemas.openxmlformats.org/officeDocument/2006/relationships/hyperlink" Target="https://lannuaire.service-public.gouv.fr/occitanie/ariege/2e58671c-5f19-4796-9c0b-415965e3f4fe" TargetMode="External" Id="rId396" /><Relationship Type="http://schemas.openxmlformats.org/officeDocument/2006/relationships/hyperlink" Target="mailto:contact@cc-paysdetarascon.fr" TargetMode="External" Id="rId397" /><Relationship Type="http://schemas.openxmlformats.org/officeDocument/2006/relationships/hyperlink" Target="https://www.cc-paysdetarascon.fr/" TargetMode="External" Id="rId398" /><Relationship Type="http://schemas.openxmlformats.org/officeDocument/2006/relationships/hyperlink" Target="https://www.cc-paysdetarascon.fr/contact/" TargetMode="External" Id="rId399" /><Relationship Type="http://schemas.openxmlformats.org/officeDocument/2006/relationships/hyperlink" Target="https://lannuaire.service-public.gouv.fr/occitanie/ariege/96a070e2-b832-435b-b43f-e01d9742073b" TargetMode="External" Id="rId400" /><Relationship Type="http://schemas.openxmlformats.org/officeDocument/2006/relationships/hyperlink" Target="mailto:accueil.tcm@troyes-cm.fr" TargetMode="External" Id="rId401" /><Relationship Type="http://schemas.openxmlformats.org/officeDocument/2006/relationships/hyperlink" Target="https://troyes-champagne-metropole.fr/" TargetMode="External" Id="rId402" /><Relationship Type="http://schemas.openxmlformats.org/officeDocument/2006/relationships/hyperlink" Target="https://lannuaire.service-public.gouv.fr/grand-est/aube/455d4194-6c9b-4b17-89a3-f2e19132a15d" TargetMode="External" Id="rId403" /><Relationship Type="http://schemas.openxmlformats.org/officeDocument/2006/relationships/hyperlink" Target="mailto:cdc.piney@ccpiney.fr" TargetMode="External" Id="rId404" /><Relationship Type="http://schemas.openxmlformats.org/officeDocument/2006/relationships/hyperlink" Target="https://www.foretslacsterresenchampagne.fr/index.php/fr/" TargetMode="External" Id="rId405" /><Relationship Type="http://schemas.openxmlformats.org/officeDocument/2006/relationships/hyperlink" Target="https://www.foretslacsterresenchampagne.fr/index.php/fr/" TargetMode="External" Id="rId406" /><Relationship Type="http://schemas.openxmlformats.org/officeDocument/2006/relationships/hyperlink" Target="https://lannuaire.service-public.gouv.fr/grand-est/aube/2e65c2cd-39a2-48e1-810b-ef10b649df14" TargetMode="External" Id="rId407" /><Relationship Type="http://schemas.openxmlformats.org/officeDocument/2006/relationships/hyperlink" Target="mailto:contact@comcomsa.fr" TargetMode="External" Id="rId408" /><Relationship Type="http://schemas.openxmlformats.org/officeDocument/2006/relationships/hyperlink" Target="https://www.ccseineetaube.fr/" TargetMode="External" Id="rId409" /><Relationship Type="http://schemas.openxmlformats.org/officeDocument/2006/relationships/hyperlink" Target="https://www.ccseineetaube.fr/contactez-nous" TargetMode="External" Id="rId410" /><Relationship Type="http://schemas.openxmlformats.org/officeDocument/2006/relationships/hyperlink" Target="https://lannuaire.service-public.gouv.fr/grand-est/aube/3b4f9e82-7efd-4770-ab96-3e3cbfa03eb3" TargetMode="External" Id="rId411" /><Relationship Type="http://schemas.openxmlformats.org/officeDocument/2006/relationships/hyperlink" Target="mailto:contact@ccamr.fr" TargetMode="External" Id="rId412" /><Relationship Type="http://schemas.openxmlformats.org/officeDocument/2006/relationships/hyperlink" Target="https://www.arcismaillyramerupt.fr/" TargetMode="External" Id="rId413" /><Relationship Type="http://schemas.openxmlformats.org/officeDocument/2006/relationships/hyperlink" Target="https://www.arcismaillyramerupt.fr/contact/" TargetMode="External" Id="rId414" /><Relationship Type="http://schemas.openxmlformats.org/officeDocument/2006/relationships/hyperlink" Target="https://lannuaire.service-public.gouv.fr/grand-est/aube/0620de02-57a9-48f3-9794-dc71f660d2a6" TargetMode="External" Id="rId415" /><Relationship Type="http://schemas.openxmlformats.org/officeDocument/2006/relationships/hyperlink" Target="mailto:secretariat@ccvendeuvresoulaines.fr" TargetMode="External" Id="rId416" /><Relationship Type="http://schemas.openxmlformats.org/officeDocument/2006/relationships/hyperlink" Target="https://www.ccvendeuvresoulaines.fr/" TargetMode="External" Id="rId417" /><Relationship Type="http://schemas.openxmlformats.org/officeDocument/2006/relationships/hyperlink" Target="https://lannuaire.service-public.gouv.fr/grand-est/aube/0dd59bdb-9349-4b46-b934-1c7ff8995942" TargetMode="External" Id="rId418" /><Relationship Type="http://schemas.openxmlformats.org/officeDocument/2006/relationships/hyperlink" Target="mailto:secretariat@ccoa-aube.fr" TargetMode="External" Id="rId419" /><Relationship Type="http://schemas.openxmlformats.org/officeDocument/2006/relationships/hyperlink" Target="https://lannuaire.service-public.gouv.fr/grand-est/aube/f18d345c-6e9c-4e77-a86d-b2fef65e7fae" TargetMode="External" Id="rId420" /><Relationship Type="http://schemas.openxmlformats.org/officeDocument/2006/relationships/hyperlink" Target="mailto:contact.ccrb@barsuraube.org" TargetMode="External" Id="rId421" /><Relationship Type="http://schemas.openxmlformats.org/officeDocument/2006/relationships/hyperlink" Target="https://www.barsuraube.org/" TargetMode="External" Id="rId422" /><Relationship Type="http://schemas.openxmlformats.org/officeDocument/2006/relationships/hyperlink" Target="https://www.barsuraube.org/contact" TargetMode="External" Id="rId423" /><Relationship Type="http://schemas.openxmlformats.org/officeDocument/2006/relationships/hyperlink" Target="https://lannuaire.service-public.gouv.fr/grand-est/aube/343b8090-2b8a-40e7-97ac-63f7a2740b61" TargetMode="External" Id="rId424" /><Relationship Type="http://schemas.openxmlformats.org/officeDocument/2006/relationships/hyperlink" Target="mailto:secretariat@cclacsdechampagne.fr" TargetMode="External" Id="rId425" /><Relationship Type="http://schemas.openxmlformats.org/officeDocument/2006/relationships/hyperlink" Target="https://www.cclacsdechampagne.fr" TargetMode="External" Id="rId426" /><Relationship Type="http://schemas.openxmlformats.org/officeDocument/2006/relationships/hyperlink" Target="https://lannuaire.service-public.gouv.fr/grand-est/aube/08b1af14-18a6-4c52-800d-3fd76b369775" TargetMode="External" Id="rId427" /><Relationship Type="http://schemas.openxmlformats.org/officeDocument/2006/relationships/hyperlink" Target="mailto:cc.portesderomilly@ccprs.fr" TargetMode="External" Id="rId428" /><Relationship Type="http://schemas.openxmlformats.org/officeDocument/2006/relationships/hyperlink" Target="https://ccprs.fr/" TargetMode="External" Id="rId429" /><Relationship Type="http://schemas.openxmlformats.org/officeDocument/2006/relationships/hyperlink" Target="https://ccprs.fr/contact" TargetMode="External" Id="rId430" /><Relationship Type="http://schemas.openxmlformats.org/officeDocument/2006/relationships/hyperlink" Target="https://lannuaire.service-public.gouv.fr/grand-est/aube/417c9f91-99bf-4e17-add4-18d8c1729f97" TargetMode="External" Id="rId431" /><Relationship Type="http://schemas.openxmlformats.org/officeDocument/2006/relationships/hyperlink" Target="mailto:contact@cc-barsequanais.fr" TargetMode="External" Id="rId432" /><Relationship Type="http://schemas.openxmlformats.org/officeDocument/2006/relationships/hyperlink" Target="https://www.cc-barsequanais.fr" TargetMode="External" Id="rId433" /><Relationship Type="http://schemas.openxmlformats.org/officeDocument/2006/relationships/hyperlink" Target="https://www.cc-barsequanais.fr/contact/" TargetMode="External" Id="rId434" /><Relationship Type="http://schemas.openxmlformats.org/officeDocument/2006/relationships/hyperlink" Target="https://lannuaire.service-public.gouv.fr/grand-est/aube/9e3c0e6b-34a2-45be-b283-f9559a02c128" TargetMode="External" Id="rId435" /><Relationship Type="http://schemas.openxmlformats.org/officeDocument/2006/relationships/hyperlink" Target="mailto:contact@cccva10.fr" TargetMode="External" Id="rId436" /><Relationship Type="http://schemas.openxmlformats.org/officeDocument/2006/relationships/hyperlink" Target="https://cc-chaourcois-val-armance.fr/" TargetMode="External" Id="rId437" /><Relationship Type="http://schemas.openxmlformats.org/officeDocument/2006/relationships/hyperlink" Target="https://cc-chaourcois-val-armance.fr/nous-contacter/" TargetMode="External" Id="rId438" /><Relationship Type="http://schemas.openxmlformats.org/officeDocument/2006/relationships/hyperlink" Target="https://lannuaire.service-public.gouv.fr/grand-est/aube/f3c75f31-d1aa-4d9e-9a87-6ae1259af2b6" TargetMode="External" Id="rId439" /><Relationship Type="http://schemas.openxmlformats.org/officeDocument/2006/relationships/hyperlink" Target="mailto:contact@ccdunogentais.fr" TargetMode="External" Id="rId440" /><Relationship Type="http://schemas.openxmlformats.org/officeDocument/2006/relationships/hyperlink" Target="http://www.ccdunogentais.fr" TargetMode="External" Id="rId441" /><Relationship Type="http://schemas.openxmlformats.org/officeDocument/2006/relationships/hyperlink" Target="http://www.ccdunogentais.fr/contact" TargetMode="External" Id="rId442" /><Relationship Type="http://schemas.openxmlformats.org/officeDocument/2006/relationships/hyperlink" Target="https://lannuaire.service-public.gouv.fr/grand-est/aube/20e5ad00-c053-4514-a0af-3210bf4d1b5c" TargetMode="External" Id="rId443" /><Relationship Type="http://schemas.openxmlformats.org/officeDocument/2006/relationships/hyperlink" Target="mailto:contact@cc-po.fr" TargetMode="External" Id="rId444" /><Relationship Type="http://schemas.openxmlformats.org/officeDocument/2006/relationships/hyperlink" Target="https://www.cdc-pays-othe.fr" TargetMode="External" Id="rId445" /><Relationship Type="http://schemas.openxmlformats.org/officeDocument/2006/relationships/hyperlink" Target="https://lannuaire.service-public.gouv.fr/grand-est/aube/ab35d5db-7ddc-49a6-819b-8a69dc5e9e6a" TargetMode="External" Id="rId446" /><Relationship Type="http://schemas.openxmlformats.org/officeDocument/2006/relationships/hyperlink" Target="mailto:cabinet@carcassone-agglo.fr" TargetMode="External" Id="rId447" /><Relationship Type="http://schemas.openxmlformats.org/officeDocument/2006/relationships/hyperlink" Target="https://www.carcassonne-agglo.fr" TargetMode="External" Id="rId448" /><Relationship Type="http://schemas.openxmlformats.org/officeDocument/2006/relationships/hyperlink" Target="https://www.carcassonne-agglo.fr/fr/contact.html" TargetMode="External" Id="rId449" /><Relationship Type="http://schemas.openxmlformats.org/officeDocument/2006/relationships/hyperlink" Target="https://lannuaire.service-public.gouv.fr/occitanie/aude/03ad4bc6-785f-4857-a955-6417151d37f2" TargetMode="External" Id="rId450" /><Relationship Type="http://schemas.openxmlformats.org/officeDocument/2006/relationships/hyperlink" Target="mailto:contact@legrandnarbonne.com" TargetMode="External" Id="rId451" /><Relationship Type="http://schemas.openxmlformats.org/officeDocument/2006/relationships/hyperlink" Target="https://www.legrandnarbonne.com/" TargetMode="External" Id="rId452" /><Relationship Type="http://schemas.openxmlformats.org/officeDocument/2006/relationships/hyperlink" Target="https://www.legrandnarbonne.com/contact" TargetMode="External" Id="rId453" /><Relationship Type="http://schemas.openxmlformats.org/officeDocument/2006/relationships/hyperlink" Target="https://lannuaire.service-public.gouv.fr/occitanie/aude/6e6204c9-67dc-4f94-bb06-454971b76038" TargetMode="External" Id="rId454" /><Relationship Type="http://schemas.openxmlformats.org/officeDocument/2006/relationships/hyperlink" Target="mailto:contact@cccla.fr" TargetMode="External" Id="rId455" /><Relationship Type="http://schemas.openxmlformats.org/officeDocument/2006/relationships/hyperlink" Target="https://www.cccla.fr/" TargetMode="External" Id="rId456" /><Relationship Type="http://schemas.openxmlformats.org/officeDocument/2006/relationships/hyperlink" Target="https://www.cccla.fr/contactez-la-cccla/page-6-accueil" TargetMode="External" Id="rId457" /><Relationship Type="http://schemas.openxmlformats.org/officeDocument/2006/relationships/hyperlink" Target="https://lannuaire.service-public.gouv.fr/occitanie/aude/726d47fb-7ab9-4ca8-abbf-3923b6e73242" TargetMode="External" Id="rId458" /><Relationship Type="http://schemas.openxmlformats.org/officeDocument/2006/relationships/hyperlink" Target="mailto:contact@ccplm.fr" TargetMode="External" Id="rId459" /><Relationship Type="http://schemas.openxmlformats.org/officeDocument/2006/relationships/hyperlink" Target="https://ccplm.fr/" TargetMode="External" Id="rId460" /><Relationship Type="http://schemas.openxmlformats.org/officeDocument/2006/relationships/hyperlink" Target="https://lannuaire.service-public.gouv.fr/occitanie/aude/3d50fc89-0d1d-4f82-a010-c1ce31f5e6e0" TargetMode="External" Id="rId461" /><Relationship Type="http://schemas.openxmlformats.org/officeDocument/2006/relationships/hyperlink" Target="mailto:accueil@pyreneesaudoises.fr" TargetMode="External" Id="rId462" /><Relationship Type="http://schemas.openxmlformats.org/officeDocument/2006/relationships/hyperlink" Target="https://www.pyreneesaudoises.fr/" TargetMode="External" Id="rId463" /><Relationship Type="http://schemas.openxmlformats.org/officeDocument/2006/relationships/hyperlink" Target="https://www.pyreneesaudoises.fr/contacts/" TargetMode="External" Id="rId464" /><Relationship Type="http://schemas.openxmlformats.org/officeDocument/2006/relationships/hyperlink" Target="https://lannuaire.service-public.gouv.fr/occitanie/aude/5ec4fde1-7eff-45a0-a36e-6174050f917a" TargetMode="External" Id="rId465" /><Relationship Type="http://schemas.openxmlformats.org/officeDocument/2006/relationships/hyperlink" Target="mailto:contact@ccrlcm.fr" TargetMode="External" Id="rId466" /><Relationship Type="http://schemas.openxmlformats.org/officeDocument/2006/relationships/hyperlink" Target="https://www.ccrlcm.fr/" TargetMode="External" Id="rId467" /><Relationship Type="http://schemas.openxmlformats.org/officeDocument/2006/relationships/hyperlink" Target="https://www.ccrlcm.fr/nous-contacter" TargetMode="External" Id="rId468" /><Relationship Type="http://schemas.openxmlformats.org/officeDocument/2006/relationships/hyperlink" Target="https://lannuaire.service-public.gouv.fr/occitanie/aude/b4e864ba-3f03-4c67-ac0f-218c26760981" TargetMode="External" Id="rId469" /><Relationship Type="http://schemas.openxmlformats.org/officeDocument/2006/relationships/hyperlink" Target="mailto:contact@cdcmontagnenoire.fr" TargetMode="External" Id="rId470" /><Relationship Type="http://schemas.openxmlformats.org/officeDocument/2006/relationships/hyperlink" Target="https://www.cdcmontagnenoire.fr/" TargetMode="External" Id="rId471" /><Relationship Type="http://schemas.openxmlformats.org/officeDocument/2006/relationships/hyperlink" Target="https://www.cdcmontagnenoire.fr/contactez-nous" TargetMode="External" Id="rId472" /><Relationship Type="http://schemas.openxmlformats.org/officeDocument/2006/relationships/hyperlink" Target="https://lannuaire.service-public.gouv.fr/occitanie/aude/78174971-4645-4030-9f8e-4ca4ec35d49d" TargetMode="External" Id="rId473" /><Relationship Type="http://schemas.openxmlformats.org/officeDocument/2006/relationships/hyperlink" Target="mailto:accueil@cc-limouxin.fr" TargetMode="External" Id="rId474" /><Relationship Type="http://schemas.openxmlformats.org/officeDocument/2006/relationships/hyperlink" Target="https://cc-limouxin.com/" TargetMode="External" Id="rId475" /><Relationship Type="http://schemas.openxmlformats.org/officeDocument/2006/relationships/hyperlink" Target="https://lannuaire.service-public.gouv.fr/occitanie/aude/141a61ee-960e-4f72-82ed-28666a94277f" TargetMode="External" Id="rId476" /><Relationship Type="http://schemas.openxmlformats.org/officeDocument/2006/relationships/hyperlink" Target="mailto:accueil@revel-lauragais.com" TargetMode="External" Id="rId477" /><Relationship Type="http://schemas.openxmlformats.org/officeDocument/2006/relationships/hyperlink" Target="https://www.revel-lauragais.com/" TargetMode="External" Id="rId478" /><Relationship Type="http://schemas.openxmlformats.org/officeDocument/2006/relationships/hyperlink" Target="https://www.revel-lauragais.com/contactez-nous/" TargetMode="External" Id="rId479" /><Relationship Type="http://schemas.openxmlformats.org/officeDocument/2006/relationships/hyperlink" Target="https://lannuaire.service-public.gouv.fr/occitanie/haute-garonne/ee1cd0d2-3ba1-4b8b-824c-6a56373f9929" TargetMode="External" Id="rId480" /><Relationship Type="http://schemas.openxmlformats.org/officeDocument/2006/relationships/hyperlink" Target="mailto:accueil@c3sm.fr" TargetMode="External" Id="rId481" /><Relationship Type="http://schemas.openxmlformats.org/officeDocument/2006/relationships/hyperlink" Target="https://www.c3sm.fr/" TargetMode="External" Id="rId482" /><Relationship Type="http://schemas.openxmlformats.org/officeDocument/2006/relationships/hyperlink" Target="https://lannuaire.service-public.gouv.fr/occitanie/pyrenees-orientales/69c22875-1407-4377-b729-ba132253e010" TargetMode="External" Id="rId483" /><Relationship Type="http://schemas.openxmlformats.org/officeDocument/2006/relationships/hyperlink" Target="mailto:rodezagglomeration@rodezagglo.fr" TargetMode="External" Id="rId484" /><Relationship Type="http://schemas.openxmlformats.org/officeDocument/2006/relationships/hyperlink" Target="https://www.rodezagglo.fr" TargetMode="External" Id="rId485" /><Relationship Type="http://schemas.openxmlformats.org/officeDocument/2006/relationships/hyperlink" Target="https://www.rodezagglo.fr/contact/" TargetMode="External" Id="rId486" /><Relationship Type="http://schemas.openxmlformats.org/officeDocument/2006/relationships/hyperlink" Target="https://lannuaire.service-public.gouv.fr/occitanie/aveyron/577968cc-400a-46b5-804c-f0d6db15efb6" TargetMode="External" Id="rId487" /><Relationship Type="http://schemas.openxmlformats.org/officeDocument/2006/relationships/hyperlink" Target="mailto:contact@ccacv.fr" TargetMode="External" Id="rId488" /><Relationship Type="http://schemas.openxmlformats.org/officeDocument/2006/relationships/hyperlink" Target="https://www.ccacv.fr/" TargetMode="External" Id="rId489" /><Relationship Type="http://schemas.openxmlformats.org/officeDocument/2006/relationships/hyperlink" Target="https://www.ccacv.fr/contact/" TargetMode="External" Id="rId490" /><Relationship Type="http://schemas.openxmlformats.org/officeDocument/2006/relationships/hyperlink" Target="https://lannuaire.service-public.gouv.fr/occitanie/aveyron/a52840bc-48ac-455f-bba0-e1dd5632dca7" TargetMode="External" Id="rId491" /><Relationship Type="http://schemas.openxmlformats.org/officeDocument/2006/relationships/hyperlink" Target="mailto:administration@ccabsv.fr" TargetMode="External" Id="rId492" /><Relationship Type="http://schemas.openxmlformats.org/officeDocument/2006/relationships/hyperlink" Target="https://aveyronbassegalaviaur.fr" TargetMode="External" Id="rId493" /><Relationship Type="http://schemas.openxmlformats.org/officeDocument/2006/relationships/hyperlink" Target="https://aveyronbassegalaviaur.fr/contact-ccabsv" TargetMode="External" Id="rId494" /><Relationship Type="http://schemas.openxmlformats.org/officeDocument/2006/relationships/hyperlink" Target="https://lannuaire.service-public.gouv.fr/occitanie/aveyron/9dd2bd6d-3237-4fc2-b287-660a30e60dd7" TargetMode="External" Id="rId495" /><Relationship Type="http://schemas.openxmlformats.org/officeDocument/2006/relationships/hyperlink" Target="mailto:secretariat@3clt.fr" TargetMode="External" Id="rId496" /><Relationship Type="http://schemas.openxmlformats.org/officeDocument/2006/relationships/hyperlink" Target="https://comtal-lot-truyere.fr/" TargetMode="External" Id="rId497" /><Relationship Type="http://schemas.openxmlformats.org/officeDocument/2006/relationships/hyperlink" Target="https://comtal-lot-truyere.fr/contact" TargetMode="External" Id="rId498" /><Relationship Type="http://schemas.openxmlformats.org/officeDocument/2006/relationships/hyperlink" Target="https://lannuaire.service-public.gouv.fr/occitanie/aveyron/2bbbfc9b-931d-4ae1-a49b-ecfd245f29eb" TargetMode="External" Id="rId499" /><Relationship Type="http://schemas.openxmlformats.org/officeDocument/2006/relationships/hyperlink" Target="mailto:contact@cc-conques-marcillac.fr" TargetMode="External" Id="rId500" /><Relationship Type="http://schemas.openxmlformats.org/officeDocument/2006/relationships/hyperlink" Target="https://cc-conques-marcillac.fr/" TargetMode="External" Id="rId501" /><Relationship Type="http://schemas.openxmlformats.org/officeDocument/2006/relationships/hyperlink" Target="https://lannuaire.service-public.gouv.fr/occitanie/aveyron/138d9e89-3bd7-470b-9fab-ec5a560db4ee" TargetMode="External" Id="rId502" /><Relationship Type="http://schemas.openxmlformats.org/officeDocument/2006/relationships/hyperlink" Target="mailto:contact@decazeville-communaute.fr" TargetMode="External" Id="rId503" /><Relationship Type="http://schemas.openxmlformats.org/officeDocument/2006/relationships/hyperlink" Target="https://www.decazeville-communaute.fr" TargetMode="External" Id="rId504" /><Relationship Type="http://schemas.openxmlformats.org/officeDocument/2006/relationships/hyperlink" Target="https://www.decazeville-communaute.fr/systeme/contact/" TargetMode="External" Id="rId505" /><Relationship Type="http://schemas.openxmlformats.org/officeDocument/2006/relationships/hyperlink" Target="https://lannuaire.service-public.gouv.fr/occitanie/aveyron/51d2b461-3cf1-4dc1-90cf-3d5a9056154e" TargetMode="External" Id="rId506" /><Relationship Type="http://schemas.openxmlformats.org/officeDocument/2006/relationships/hyperlink" Target="mailto:contact@cc-larzacvallees.fr" TargetMode="External" Id="rId507" /><Relationship Type="http://schemas.openxmlformats.org/officeDocument/2006/relationships/hyperlink" Target="https://www.cc-larzacvallees.fr" TargetMode="External" Id="rId508" /><Relationship Type="http://schemas.openxmlformats.org/officeDocument/2006/relationships/hyperlink" Target="https://www.cc-larzacvallees.fr/fr/contactez-nous" TargetMode="External" Id="rId509" /><Relationship Type="http://schemas.openxmlformats.org/officeDocument/2006/relationships/hyperlink" Target="https://lannuaire.service-public.gouv.fr/occitanie/aveyron/2c1813e4-52f6-4b92-bbf7-a3ac7208bf2d" TargetMode="External" Id="rId510" /><Relationship Type="http://schemas.openxmlformats.org/officeDocument/2006/relationships/hyperlink" Target="mailto:contact@ccmrr.fr" TargetMode="External" Id="rId511" /><Relationship Type="http://schemas.openxmlformats.org/officeDocument/2006/relationships/hyperlink" Target="https://www.ccmrr.fr/" TargetMode="External" Id="rId512" /><Relationship Type="http://schemas.openxmlformats.org/officeDocument/2006/relationships/hyperlink" Target="https://lannuaire.service-public.gouv.fr/occitanie/aveyron/768501d1-236f-4178-9d10-95938f6c9082" TargetMode="External" Id="rId513" /><Relationship Type="http://schemas.openxmlformats.org/officeDocument/2006/relationships/hyperlink" Target="mailto:accueil@payssegali.fr" TargetMode="External" Id="rId514" /><Relationship Type="http://schemas.openxmlformats.org/officeDocument/2006/relationships/hyperlink" Target="https://www.payssegali.fr" TargetMode="External" Id="rId515" /><Relationship Type="http://schemas.openxmlformats.org/officeDocument/2006/relationships/hyperlink" Target="https://www.payssegali.fr/contact/" TargetMode="External" Id="rId516" /><Relationship Type="http://schemas.openxmlformats.org/officeDocument/2006/relationships/hyperlink" Target="https://lannuaire.service-public.gouv.fr/occitanie/aveyron/7277d212-d6d3-44bf-b1b5-75385ff3e0e5" TargetMode="External" Id="rId517" /><Relationship Type="http://schemas.openxmlformats.org/officeDocument/2006/relationships/hyperlink" Target="mailto:accueil@cc-saintaffricain.fr" TargetMode="External" Id="rId518" /><Relationship Type="http://schemas.openxmlformats.org/officeDocument/2006/relationships/hyperlink" Target="https://www.comcom-sar7v.fr/" TargetMode="External" Id="rId519" /><Relationship Type="http://schemas.openxmlformats.org/officeDocument/2006/relationships/hyperlink" Target="https://www.comcom-sar7v.fr/?th=6801" TargetMode="External" Id="rId520" /><Relationship Type="http://schemas.openxmlformats.org/officeDocument/2006/relationships/hyperlink" Target="https://lannuaire.service-public.gouv.fr/occitanie/aveyron/5f4de389-cdb5-4bd9-b16e-202ce2c626c8" TargetMode="External" Id="rId521" /><Relationship Type="http://schemas.openxmlformats.org/officeDocument/2006/relationships/hyperlink" Target="mailto:cc.museetraspesdutarn@orange.fr" TargetMode="External" Id="rId522" /><Relationship Type="http://schemas.openxmlformats.org/officeDocument/2006/relationships/hyperlink" Target="https://www.cc-museetraspesdutarn.fr/" TargetMode="External" Id="rId523" /><Relationship Type="http://schemas.openxmlformats.org/officeDocument/2006/relationships/hyperlink" Target="https://lannuaire.service-public.gouv.fr/occitanie/aveyron/741bd574-1707-4aca-b9d6-f110597db96a" TargetMode="External" Id="rId524" /><Relationship Type="http://schemas.openxmlformats.org/officeDocument/2006/relationships/hyperlink" Target="mailto:contact@caussesaubrac.fr" TargetMode="External" Id="rId525" /><Relationship Type="http://schemas.openxmlformats.org/officeDocument/2006/relationships/hyperlink" Target="http://www.caussesaubrac.fr" TargetMode="External" Id="rId526" /><Relationship Type="http://schemas.openxmlformats.org/officeDocument/2006/relationships/hyperlink" Target="https://lannuaire.service-public.gouv.fr/occitanie/aveyron/4245cf90-5df1-49fb-9ff8-97d4398d6fc1" TargetMode="External" Id="rId527" /><Relationship Type="http://schemas.openxmlformats.org/officeDocument/2006/relationships/hyperlink" Target="mailto:communautedecommunes@pays-rignacois.fr" TargetMode="External" Id="rId528" /><Relationship Type="http://schemas.openxmlformats.org/officeDocument/2006/relationships/hyperlink" Target="https://www.pays-rignacois.fr/" TargetMode="External" Id="rId529" /><Relationship Type="http://schemas.openxmlformats.org/officeDocument/2006/relationships/hyperlink" Target="https://www.pays-rignacois.fr/contact/" TargetMode="External" Id="rId530" /><Relationship Type="http://schemas.openxmlformats.org/officeDocument/2006/relationships/hyperlink" Target="https://lannuaire.service-public.gouv.fr/occitanie/aveyron/cdb9521d-42ef-48c4-83d8-81a97f91f96d" TargetMode="External" Id="rId531" /><Relationship Type="http://schemas.openxmlformats.org/officeDocument/2006/relationships/hyperlink" Target="mailto:com.cnes.montbazens@wanadoo.fr" TargetMode="External" Id="rId532" /><Relationship Type="http://schemas.openxmlformats.org/officeDocument/2006/relationships/hyperlink" Target="https://plateau-de-montbazens.com/" TargetMode="External" Id="rId533" /><Relationship Type="http://schemas.openxmlformats.org/officeDocument/2006/relationships/hyperlink" Target="https://plateau-de-montbazens.com/accueil-comunaute-de-communes/contact/" TargetMode="External" Id="rId534" /><Relationship Type="http://schemas.openxmlformats.org/officeDocument/2006/relationships/hyperlink" Target="https://lannuaire.service-public.gouv.fr/occitanie/aveyron/a60c65ee-2dea-4797-ad64-afe713acef61" TargetMode="External" Id="rId535" /><Relationship Type="http://schemas.openxmlformats.org/officeDocument/2006/relationships/hyperlink" Target="mailto:secretariat@requistanais.fr" TargetMode="External" Id="rId536" /><Relationship Type="http://schemas.openxmlformats.org/officeDocument/2006/relationships/hyperlink" Target="https://requistanais.fr/" TargetMode="External" Id="rId537" /><Relationship Type="http://schemas.openxmlformats.org/officeDocument/2006/relationships/hyperlink" Target="https://formulaires.mesdemarches.cap-atlantique.fr/une-infos-une-remarque-une-idee/contact/" TargetMode="External" Id="rId538" /><Relationship Type="http://schemas.openxmlformats.org/officeDocument/2006/relationships/hyperlink" Target="https://lannuaire.service-public.gouv.fr/occitanie/aveyron/5aa9b1a2-cedc-4f12-8440-159662a3cb5c" TargetMode="External" Id="rId539" /><Relationship Type="http://schemas.openxmlformats.org/officeDocument/2006/relationships/hyperlink" Target="mailto:secretariat.general@grand-figeac.fr" TargetMode="External" Id="rId540" /><Relationship Type="http://schemas.openxmlformats.org/officeDocument/2006/relationships/hyperlink" Target="https://www.grand-figeac.fr/" TargetMode="External" Id="rId541" /><Relationship Type="http://schemas.openxmlformats.org/officeDocument/2006/relationships/hyperlink" Target="https://www.grand-figeac.fr/formulaire-de-contact/" TargetMode="External" Id="rId542" /><Relationship Type="http://schemas.openxmlformats.org/officeDocument/2006/relationships/hyperlink" Target="https://lannuaire.service-public.gouv.fr/occitanie/lot/741673e5-20b9-4b45-9fcf-8df07e2bc25e" TargetMode="External" Id="rId543" /><Relationship Type="http://schemas.openxmlformats.org/officeDocument/2006/relationships/hyperlink" Target="mailto:contact@ouestaveyron.fr" TargetMode="External" Id="rId544" /><Relationship Type="http://schemas.openxmlformats.org/officeDocument/2006/relationships/hyperlink" Target="https://www.ouestaveyron.fr/" TargetMode="External" Id="rId545" /><Relationship Type="http://schemas.openxmlformats.org/officeDocument/2006/relationships/hyperlink" Target="https://www.ouestaveyron.fr/nous-contacter/" TargetMode="External" Id="rId546" /><Relationship Type="http://schemas.openxmlformats.org/officeDocument/2006/relationships/hyperlink" Target="https://lannuaire.service-public.gouv.fr/occitanie/aveyron/be748184-7a4f-40a9-859f-16b6c21bf84e" TargetMode="External" Id="rId547" /><Relationship Type="http://schemas.openxmlformats.org/officeDocument/2006/relationships/hyperlink" Target="mailto:contact@cc-millaugrandscausses.fr" TargetMode="External" Id="rId548" /><Relationship Type="http://schemas.openxmlformats.org/officeDocument/2006/relationships/hyperlink" Target="https://www.cc-millaugrandscausses.fr/" TargetMode="External" Id="rId549" /><Relationship Type="http://schemas.openxmlformats.org/officeDocument/2006/relationships/hyperlink" Target="https://www.cc-millaugrandscausses.fr/pages-pratiques/contact" TargetMode="External" Id="rId550" /><Relationship Type="http://schemas.openxmlformats.org/officeDocument/2006/relationships/hyperlink" Target="https://lannuaire.service-public.gouv.fr/occitanie/aveyron/d36fd525-141c-44fc-81f5-5842a1bff2a7" TargetMode="External" Id="rId551" /><Relationship Type="http://schemas.openxmlformats.org/officeDocument/2006/relationships/hyperlink" Target="mailto:accueil@terredeprovence-agglo.com" TargetMode="External" Id="rId552" /><Relationship Type="http://schemas.openxmlformats.org/officeDocument/2006/relationships/hyperlink" Target="https://www.terredeprovence-agglo.com/page/eyragues" TargetMode="External" Id="rId553" /><Relationship Type="http://schemas.openxmlformats.org/officeDocument/2006/relationships/hyperlink" Target="https://www.terredeprovence-agglo.com/contact" TargetMode="External" Id="rId554" /><Relationship Type="http://schemas.openxmlformats.org/officeDocument/2006/relationships/hyperlink" Target="https://lannuaire.service-public.gouv.fr/provence-alpes-cote-d-azur/bouches-du-rhone/21bdaedc-c696-4757-a8b1-ee99a085d33f" TargetMode="External" Id="rId555" /><Relationship Type="http://schemas.openxmlformats.org/officeDocument/2006/relationships/hyperlink" Target="mailto:lepresident@agglo-accm.fr" TargetMode="External" Id="rId556" /><Relationship Type="http://schemas.openxmlformats.org/officeDocument/2006/relationships/hyperlink" Target="https://www.agglo-accm.fr/" TargetMode="External" Id="rId557" /><Relationship Type="http://schemas.openxmlformats.org/officeDocument/2006/relationships/hyperlink" Target="https://lannuaire.service-public.gouv.fr/provence-alpes-cote-d-azur/bouches-du-rhone/a77a7333-9766-4581-afad-684d31aa67b5" TargetMode="External" Id="rId558" /><Relationship Type="http://schemas.openxmlformats.org/officeDocument/2006/relationships/hyperlink" Target="mailto:bienvenue@ccvba.fr" TargetMode="External" Id="rId559" /><Relationship Type="http://schemas.openxmlformats.org/officeDocument/2006/relationships/hyperlink" Target="https://www.vallee-des-baux-alpilles.fr/" TargetMode="External" Id="rId560" /><Relationship Type="http://schemas.openxmlformats.org/officeDocument/2006/relationships/hyperlink" Target="https://www.vallee-des-baux-alpilles.fr/contactez-nous/" TargetMode="External" Id="rId561" /><Relationship Type="http://schemas.openxmlformats.org/officeDocument/2006/relationships/hyperlink" Target="https://lannuaire.service-public.gouv.fr/provence-alpes-cote-d-azur/bouches-du-rhone/73f09749-0063-4339-8369-ee180e77ed85" TargetMode="External" Id="rId562" /><Relationship Type="http://schemas.openxmlformats.org/officeDocument/2006/relationships/hyperlink" Target="https://ampmetropole.fr/" TargetMode="External" Id="rId563" /><Relationship Type="http://schemas.openxmlformats.org/officeDocument/2006/relationships/hyperlink" Target="https://ampmetropole.fr/nous-contacter/" TargetMode="External" Id="rId564" /><Relationship Type="http://schemas.openxmlformats.org/officeDocument/2006/relationships/hyperlink" Target="https://lannuaire.service-public.gouv.fr/provence-alpes-cote-d-azur/bouches-du-rhone/b1334731-396e-456d-8f9d-2e3868d6c688" TargetMode="External" Id="rId565" /><Relationship Type="http://schemas.openxmlformats.org/officeDocument/2006/relationships/hyperlink" Target="mailto:secretariat@agglo-lisieux.fr" TargetMode="External" Id="rId566" /><Relationship Type="http://schemas.openxmlformats.org/officeDocument/2006/relationships/hyperlink" Target="https://lisieux-normandie.fr/" TargetMode="External" Id="rId567" /><Relationship Type="http://schemas.openxmlformats.org/officeDocument/2006/relationships/hyperlink" Target="https://lisieux-normandie.fr/contact/" TargetMode="External" Id="rId568" /><Relationship Type="http://schemas.openxmlformats.org/officeDocument/2006/relationships/hyperlink" Target="https://lannuaire.service-public.gouv.fr/normandie/calvados/d340c45c-a8c3-452a-9dd2-fcbbe77ad842" TargetMode="External" Id="rId569" /><Relationship Type="http://schemas.openxmlformats.org/officeDocument/2006/relationships/hyperlink" Target="mailto:cdc@cingal-suissenormande.fr" TargetMode="External" Id="rId570" /><Relationship Type="http://schemas.openxmlformats.org/officeDocument/2006/relationships/hyperlink" Target="https://www.suisse-normande.com/" TargetMode="External" Id="rId571" /><Relationship Type="http://schemas.openxmlformats.org/officeDocument/2006/relationships/hyperlink" Target="https://www.suisse-normande.com/contactez-nous/" TargetMode="External" Id="rId572" /><Relationship Type="http://schemas.openxmlformats.org/officeDocument/2006/relationships/hyperlink" Target="https://lannuaire.service-public.gouv.fr/normandie/calvados/301a9d4a-3b3c-4f7e-ad6c-a48c018f76fe" TargetMode="External" Id="rId573" /><Relationship Type="http://schemas.openxmlformats.org/officeDocument/2006/relationships/hyperlink" Target="mailto:info@coeurcotefleurie.org" TargetMode="External" Id="rId574" /><Relationship Type="http://schemas.openxmlformats.org/officeDocument/2006/relationships/hyperlink" Target="https://www.coeurcotefleurie.org/" TargetMode="External" Id="rId575" /><Relationship Type="http://schemas.openxmlformats.org/officeDocument/2006/relationships/hyperlink" Target="https://www.coeurcotefleurie.org/contact/" TargetMode="External" Id="rId576" /><Relationship Type="http://schemas.openxmlformats.org/officeDocument/2006/relationships/hyperlink" Target="https://lannuaire.service-public.gouv.fr/normandie/calvados/4dd72523-f656-4b6b-82e6-7693dd451106" TargetMode="External" Id="rId577" /><Relationship Type="http://schemas.openxmlformats.org/officeDocument/2006/relationships/hyperlink" Target="mailto:contact@coeurdenacre.fr" TargetMode="External" Id="rId578" /><Relationship Type="http://schemas.openxmlformats.org/officeDocument/2006/relationships/hyperlink" Target="https://www.coeurdenacre.fr/web/index.php" TargetMode="External" Id="rId579" /><Relationship Type="http://schemas.openxmlformats.org/officeDocument/2006/relationships/hyperlink" Target="https://www.coeurdenacre.fr/contact.html" TargetMode="External" Id="rId580" /><Relationship Type="http://schemas.openxmlformats.org/officeDocument/2006/relationships/hyperlink" Target="https://lannuaire.service-public.gouv.fr/normandie/calvados/2d6b02bd-b9fc-467b-a94b-a737596fa647" TargetMode="External" Id="rId581" /><Relationship Type="http://schemas.openxmlformats.org/officeDocument/2006/relationships/hyperlink" Target="mailto:accueil.ivn@vireaunoireau.fr" TargetMode="External" Id="rId582" /><Relationship Type="http://schemas.openxmlformats.org/officeDocument/2006/relationships/hyperlink" Target="https://www.vireaunoireau.fr/" TargetMode="External" Id="rId583" /><Relationship Type="http://schemas.openxmlformats.org/officeDocument/2006/relationships/hyperlink" Target="https://lannuaire.service-public.gouv.fr/normandie/calvados/7d836e95-d9fa-49c3-b60d-d4efc9d33203" TargetMode="External" Id="rId584" /><Relationship Type="http://schemas.openxmlformats.org/officeDocument/2006/relationships/hyperlink" Target="mailto:accueil@isigny-omaha-intercom.fr" TargetMode="External" Id="rId585" /><Relationship Type="http://schemas.openxmlformats.org/officeDocument/2006/relationships/hyperlink" Target="https://isigny-omaha-intercom.fr/" TargetMode="External" Id="rId586" /><Relationship Type="http://schemas.openxmlformats.org/officeDocument/2006/relationships/hyperlink" Target="https://isigny-omaha-intercom.fr/contact/" TargetMode="External" Id="rId587" /><Relationship Type="http://schemas.openxmlformats.org/officeDocument/2006/relationships/hyperlink" Target="https://lannuaire.service-public.gouv.fr/normandie/calvados/d6f33c2e-5f65-482f-8bed-9393253d3da0" TargetMode="External" Id="rId588" /><Relationship Type="http://schemas.openxmlformats.org/officeDocument/2006/relationships/hyperlink" Target="mailto:accueil@normandiecabourgpaysdauge.fr" TargetMode="External" Id="rId589" /><Relationship Type="http://schemas.openxmlformats.org/officeDocument/2006/relationships/hyperlink" Target="https://www.normandiecabourgpaysdauge.fr/#modal" TargetMode="External" Id="rId590" /><Relationship Type="http://schemas.openxmlformats.org/officeDocument/2006/relationships/hyperlink" Target="https://www.normandiecabourgpaysdauge.fr/contact/" TargetMode="External" Id="rId591" /><Relationship Type="http://schemas.openxmlformats.org/officeDocument/2006/relationships/hyperlink" Target="https://lannuaire.service-public.gouv.fr/normandie/calvados/b09f9e02-def0-46c3-919b-2b5e37aebbd5" TargetMode="External" Id="rId592" /><Relationship Type="http://schemas.openxmlformats.org/officeDocument/2006/relationships/hyperlink" Target="mailto:contact@pbi14.fr" TargetMode="External" Id="rId593" /><Relationship Type="http://schemas.openxmlformats.org/officeDocument/2006/relationships/hyperlink" Target="https://prebocageintercom.fr" TargetMode="External" Id="rId594" /><Relationship Type="http://schemas.openxmlformats.org/officeDocument/2006/relationships/hyperlink" Target="https://lannuaire.service-public.gouv.fr/normandie/calvados/14d1674b-92d5-44c2-8f22-6c07c0406f7c" TargetMode="External" Id="rId595" /><Relationship Type="http://schemas.openxmlformats.org/officeDocument/2006/relationships/hyperlink" Target="mailto:contact@cdc-stm.fr" TargetMode="External" Id="rId596" /><Relationship Type="http://schemas.openxmlformats.org/officeDocument/2006/relationships/hyperlink" Target="https://www.seulles-terre-mer.fr" TargetMode="External" Id="rId597" /><Relationship Type="http://schemas.openxmlformats.org/officeDocument/2006/relationships/hyperlink" Target="https://seulles-terre-mer.fr/contact/" TargetMode="External" Id="rId598" /><Relationship Type="http://schemas.openxmlformats.org/officeDocument/2006/relationships/hyperlink" Target="https://lannuaire.service-public.gouv.fr/normandie/calvados/87b7a1ae-638a-45a1-8d98-d14488371d14" TargetMode="External" Id="rId599" /><Relationship Type="http://schemas.openxmlformats.org/officeDocument/2006/relationships/hyperlink" Target="mailto:accueil@terredauge.fr" TargetMode="External" Id="rId600" /><Relationship Type="http://schemas.openxmlformats.org/officeDocument/2006/relationships/hyperlink" Target="https://www.terredauge.fr/" TargetMode="External" Id="rId601" /><Relationship Type="http://schemas.openxmlformats.org/officeDocument/2006/relationships/hyperlink" Target="https://www.terredauge.fr/contact/" TargetMode="External" Id="rId602" /><Relationship Type="http://schemas.openxmlformats.org/officeDocument/2006/relationships/hyperlink" Target="https://lannuaire.service-public.gouv.fr/normandie/calvados/f7754cf2-bbe4-4e33-bd3d-f89c723b9877" TargetMode="External" Id="rId603" /><Relationship Type="http://schemas.openxmlformats.org/officeDocument/2006/relationships/hyperlink" Target="mailto:cdc@valesdunes.fr" TargetMode="External" Id="rId604" /><Relationship Type="http://schemas.openxmlformats.org/officeDocument/2006/relationships/hyperlink" Target="https://www.valesdunes.fr/" TargetMode="External" Id="rId605" /><Relationship Type="http://schemas.openxmlformats.org/officeDocument/2006/relationships/hyperlink" Target="https://www.valesdunes.fr/contact/" TargetMode="External" Id="rId606" /><Relationship Type="http://schemas.openxmlformats.org/officeDocument/2006/relationships/hyperlink" Target="https://lannuaire.service-public.gouv.fr/normandie/calvados/37f77977-5027-4527-8ff1-d27d53bfdce7" TargetMode="External" Id="rId607" /><Relationship Type="http://schemas.openxmlformats.org/officeDocument/2006/relationships/hyperlink" Target="mailto:contact@vallees-orne-odon.fr" TargetMode="External" Id="rId608" /><Relationship Type="http://schemas.openxmlformats.org/officeDocument/2006/relationships/hyperlink" Target="https://cdc.vallees-orne-odon.fr/" TargetMode="External" Id="rId609" /><Relationship Type="http://schemas.openxmlformats.org/officeDocument/2006/relationships/hyperlink" Target="https://cdc.vallees-orne-odon.fr/contacts/" TargetMode="External" Id="rId610" /><Relationship Type="http://schemas.openxmlformats.org/officeDocument/2006/relationships/hyperlink" Target="https://lannuaire.service-public.gouv.fr/normandie/calvados/42b1e277-6e97-4327-9b01-77e72570390a" TargetMode="External" Id="rId611" /><Relationship Type="http://schemas.openxmlformats.org/officeDocument/2006/relationships/hyperlink" Target="mailto:siege@bayeux-intercom.fr" TargetMode="External" Id="rId612" /><Relationship Type="http://schemas.openxmlformats.org/officeDocument/2006/relationships/hyperlink" Target="https://www.bayeux-intercom.fr/" TargetMode="External" Id="rId613" /><Relationship Type="http://schemas.openxmlformats.org/officeDocument/2006/relationships/hyperlink" Target="https://www.bayeux-intercom.fr/infos/contact/" TargetMode="External" Id="rId614" /><Relationship Type="http://schemas.openxmlformats.org/officeDocument/2006/relationships/hyperlink" Target="https://lannuaire.service-public.gouv.fr/normandie/calvados/8687d9bd-03c6-44ba-a679-fe8c86ce8717" TargetMode="External" Id="rId615" /><Relationship Type="http://schemas.openxmlformats.org/officeDocument/2006/relationships/hyperlink" Target="mailto:accueil@paysdefalaise.fr" TargetMode="External" Id="rId616" /><Relationship Type="http://schemas.openxmlformats.org/officeDocument/2006/relationships/hyperlink" Target="https://www.paysdefalaise.fr/" TargetMode="External" Id="rId617" /><Relationship Type="http://schemas.openxmlformats.org/officeDocument/2006/relationships/hyperlink" Target="https://www.paysdefalaise.fr/communaute-de-communes/notre-fonctionnement/contact/" TargetMode="External" Id="rId618" /><Relationship Type="http://schemas.openxmlformats.org/officeDocument/2006/relationships/hyperlink" Target="https://lannuaire.service-public.gouv.fr/normandie/calvados/96e52221-71b0-4e5f-b25f-f7beed394447" TargetMode="External" Id="rId619" /><Relationship Type="http://schemas.openxmlformats.org/officeDocument/2006/relationships/hyperlink" Target="mailto:caenlamer@caenlamer.fr" TargetMode="External" Id="rId620" /><Relationship Type="http://schemas.openxmlformats.org/officeDocument/2006/relationships/hyperlink" Target="https://caenlamer.fr/" TargetMode="External" Id="rId621" /><Relationship Type="http://schemas.openxmlformats.org/officeDocument/2006/relationships/hyperlink" Target="https://caenlamer.fr/formulaire/contact" TargetMode="External" Id="rId622" /><Relationship Type="http://schemas.openxmlformats.org/officeDocument/2006/relationships/hyperlink" Target="https://lannuaire.service-public.gouv.fr/normandie/calvados/95128487-1958-49c5-a4ca-3cacf3cd0a05" TargetMode="External" Id="rId623" /><Relationship Type="http://schemas.openxmlformats.org/officeDocument/2006/relationships/hyperlink" Target="mailto:contact@ccphb.fr" TargetMode="External" Id="rId624" /><Relationship Type="http://schemas.openxmlformats.org/officeDocument/2006/relationships/hyperlink" Target="https://www.ccphb.fr/" TargetMode="External" Id="rId625" /><Relationship Type="http://schemas.openxmlformats.org/officeDocument/2006/relationships/hyperlink" Target="https://www.ccphb.fr/contact/" TargetMode="External" Id="rId626" /><Relationship Type="http://schemas.openxmlformats.org/officeDocument/2006/relationships/hyperlink" Target="https://lannuaire.service-public.gouv.fr/normandie/calvados/bd821f66-9c8a-47b5-bc80-1c72331aaf45" TargetMode="External" Id="rId627" /><Relationship Type="http://schemas.openxmlformats.org/officeDocument/2006/relationships/hyperlink" Target="mailto:contact@caba.fr" TargetMode="External" Id="rId628" /><Relationship Type="http://schemas.openxmlformats.org/officeDocument/2006/relationships/hyperlink" Target="https://www.caba.fr/fr/" TargetMode="External" Id="rId629" /><Relationship Type="http://schemas.openxmlformats.org/officeDocument/2006/relationships/hyperlink" Target="https://www.caba.fr/fr/contact/" TargetMode="External" Id="rId630" /><Relationship Type="http://schemas.openxmlformats.org/officeDocument/2006/relationships/hyperlink" Target="https://lannuaire.service-public.gouv.fr/auvergne-rhone-alpes/cantal/043db1ce-a865-4d71-b1ac-c188793066d5" TargetMode="External" Id="rId631" /><Relationship Type="http://schemas.openxmlformats.org/officeDocument/2006/relationships/hyperlink" Target="mailto:secretariat@carlades.fr" TargetMode="External" Id="rId632" /><Relationship Type="http://schemas.openxmlformats.org/officeDocument/2006/relationships/hyperlink" Target="https://www.carlades.com/" TargetMode="External" Id="rId633" /><Relationship Type="http://schemas.openxmlformats.org/officeDocument/2006/relationships/hyperlink" Target="https://www.carlades.com/nous-joindre/" TargetMode="External" Id="rId634" /><Relationship Type="http://schemas.openxmlformats.org/officeDocument/2006/relationships/hyperlink" Target="https://lannuaire.service-public.gouv.fr/auvergne-rhone-alpes/cantal/4b15dd65-2ec4-4f19-9780-5a318eabaf9d" TargetMode="External" Id="rId635" /><Relationship Type="http://schemas.openxmlformats.org/officeDocument/2006/relationships/hyperlink" Target="mailto:contact@hautesterres.fr" TargetMode="External" Id="rId636" /><Relationship Type="http://schemas.openxmlformats.org/officeDocument/2006/relationships/hyperlink" Target="https://www.hautesterres.fr/" TargetMode="External" Id="rId637" /><Relationship Type="http://schemas.openxmlformats.org/officeDocument/2006/relationships/hyperlink" Target="https://lannuaire.service-public.gouv.fr/auvergne-rhone-alpes/cantal/13bb3803-022e-4d86-85b7-016b0c2e98a0" TargetMode="External" Id="rId638" /><Relationship Type="http://schemas.openxmlformats.org/officeDocument/2006/relationships/hyperlink" Target="mailto:contact@sumene-artense.com" TargetMode="External" Id="rId639" /><Relationship Type="http://schemas.openxmlformats.org/officeDocument/2006/relationships/hyperlink" Target="https://www.sumene-artense.com/" TargetMode="External" Id="rId640" /><Relationship Type="http://schemas.openxmlformats.org/officeDocument/2006/relationships/hyperlink" Target="https://www.sumene-artense.com/contact-communaute-communes-sumene-artense_fr.html" TargetMode="External" Id="rId641" /><Relationship Type="http://schemas.openxmlformats.org/officeDocument/2006/relationships/hyperlink" Target="https://lannuaire.service-public.gouv.fr/auvergne-rhone-alpes/cantal/d8fcef57-aee0-485c-bd42-d49fee79f5c1" TargetMode="External" Id="rId642" /><Relationship Type="http://schemas.openxmlformats.org/officeDocument/2006/relationships/hyperlink" Target="mailto:contact@saintflourco.fr" TargetMode="External" Id="rId643" /><Relationship Type="http://schemas.openxmlformats.org/officeDocument/2006/relationships/hyperlink" Target="https://saint-flour-communaute.fr/" TargetMode="External" Id="rId644" /><Relationship Type="http://schemas.openxmlformats.org/officeDocument/2006/relationships/hyperlink" Target="https://lannuaire.service-public.gouv.fr/auvergne-rhone-alpes/cantal/d2c6efd3-5c1b-4bc1-b82c-117d04be7e0c" TargetMode="External" Id="rId645" /><Relationship Type="http://schemas.openxmlformats.org/officeDocument/2006/relationships/hyperlink" Target="mailto:accueil@chataigneraie15.fr" TargetMode="External" Id="rId646" /><Relationship Type="http://schemas.openxmlformats.org/officeDocument/2006/relationships/hyperlink" Target="https://www.chataigneraie15.fr/" TargetMode="External" Id="rId647" /><Relationship Type="http://schemas.openxmlformats.org/officeDocument/2006/relationships/hyperlink" Target="https://www.chataigneraie15.fr/rdv-contact-communaute-communes-cantalienne-cantal_fr.html" TargetMode="External" Id="rId648" /><Relationship Type="http://schemas.openxmlformats.org/officeDocument/2006/relationships/hyperlink" Target="https://lannuaire.service-public.gouv.fr/auvergne-rhone-alpes/cantal/54e352a3-71d2-40f8-8001-ed3bd723b35d" TargetMode="External" Id="rId649" /><Relationship Type="http://schemas.openxmlformats.org/officeDocument/2006/relationships/hyperlink" Target="mailto:efs@pays-gentiane.com;secretariat@pays-gentiane.com" TargetMode="External" Id="rId650" /><Relationship Type="http://schemas.openxmlformats.org/officeDocument/2006/relationships/hyperlink" Target="https://www.pays-gentiane.fr" TargetMode="External" Id="rId651" /><Relationship Type="http://schemas.openxmlformats.org/officeDocument/2006/relationships/hyperlink" Target="https://lannuaire.service-public.gouv.fr/auvergne-rhone-alpes/cantal/7c1f734d-d6da-4502-b0df-53a9ca4a6fd4" TargetMode="External" Id="rId652" /><Relationship Type="http://schemas.openxmlformats.org/officeDocument/2006/relationships/hyperlink" Target="mailto:administration@paysdemauriac.fr" TargetMode="External" Id="rId653" /><Relationship Type="http://schemas.openxmlformats.org/officeDocument/2006/relationships/hyperlink" Target="http://www.paysdemauriac.fr/" TargetMode="External" Id="rId654" /><Relationship Type="http://schemas.openxmlformats.org/officeDocument/2006/relationships/hyperlink" Target="https://lannuaire.service-public.gouv.fr/auvergne-rhone-alpes/cantal/958767ad-6a4a-4cb3-9c83-df08035bb9be" TargetMode="External" Id="rId655" /><Relationship Type="http://schemas.openxmlformats.org/officeDocument/2006/relationships/hyperlink" Target="mailto:contact@pays-salers.fr" TargetMode="External" Id="rId656" /><Relationship Type="http://schemas.openxmlformats.org/officeDocument/2006/relationships/hyperlink" Target="https://www.pays-salers.fr/" TargetMode="External" Id="rId657" /><Relationship Type="http://schemas.openxmlformats.org/officeDocument/2006/relationships/hyperlink" Target="https://www.pays-salers.fr/contact" TargetMode="External" Id="rId658" /><Relationship Type="http://schemas.openxmlformats.org/officeDocument/2006/relationships/hyperlink" Target="https://lannuaire.service-public.gouv.fr/auvergne-rhone-alpes/cantal/d3fff799-32bd-4422-a7a5-418a3ef1584f" TargetMode="External" Id="rId659" /><Relationship Type="http://schemas.openxmlformats.org/officeDocument/2006/relationships/hyperlink" Target="mailto:ccms@cc-massifdusancy.fr" TargetMode="External" Id="rId660" /><Relationship Type="http://schemas.openxmlformats.org/officeDocument/2006/relationships/hyperlink" Target="https://www.cc-massifdusancy.fr/" TargetMode="External" Id="rId661" /><Relationship Type="http://schemas.openxmlformats.org/officeDocument/2006/relationships/hyperlink" Target="https://www.cc-massifdusancy.fr/contact/" TargetMode="External" Id="rId662" /><Relationship Type="http://schemas.openxmlformats.org/officeDocument/2006/relationships/hyperlink" Target="https://lannuaire.service-public.gouv.fr/auvergne-rhone-alpes/puy-de-dome/c53b0361-48b2-4b2b-a982-14d65c55a646" TargetMode="External" Id="rId663" /><Relationship Type="http://schemas.openxmlformats.org/officeDocument/2006/relationships/hyperlink" Target="mailto:contact@grandangouleme.fr" TargetMode="External" Id="rId664" /><Relationship Type="http://schemas.openxmlformats.org/officeDocument/2006/relationships/hyperlink" Target="https://www.grandangouleme.fr/" TargetMode="External" Id="rId665" /><Relationship Type="http://schemas.openxmlformats.org/officeDocument/2006/relationships/hyperlink" Target="https://lannuaire.service-public.gouv.fr/nouvelle-aquitaine/charente/3f329b4f-5e24-4ce7-b2c5-05616ee62307" TargetMode="External" Id="rId666" /><Relationship Type="http://schemas.openxmlformats.org/officeDocument/2006/relationships/hyperlink" Target="mailto:contact@grand-cognac.fr" TargetMode="External" Id="rId667" /><Relationship Type="http://schemas.openxmlformats.org/officeDocument/2006/relationships/hyperlink" Target="https://www.grand-cognac.fr/" TargetMode="External" Id="rId668" /><Relationship Type="http://schemas.openxmlformats.org/officeDocument/2006/relationships/hyperlink" Target="https://www.grand-cognac.fr/nous-contacter" TargetMode="External" Id="rId669" /><Relationship Type="http://schemas.openxmlformats.org/officeDocument/2006/relationships/hyperlink" Target="https://lannuaire.service-public.gouv.fr/nouvelle-aquitaine/charente/eabefdf6-c8ff-45a6-9e99-0cb25ee7ec56" TargetMode="External" Id="rId670" /><Relationship Type="http://schemas.openxmlformats.org/officeDocument/2006/relationships/hyperlink" Target="mailto:secretariat@coeurdecharente.fr" TargetMode="External" Id="rId671" /><Relationship Type="http://schemas.openxmlformats.org/officeDocument/2006/relationships/hyperlink" Target="https://www.coeurdecharente.fr/" TargetMode="External" Id="rId672" /><Relationship Type="http://schemas.openxmlformats.org/officeDocument/2006/relationships/hyperlink" Target="https://www.coeurdecharente.fr/contact/" TargetMode="External" Id="rId673" /><Relationship Type="http://schemas.openxmlformats.org/officeDocument/2006/relationships/hyperlink" Target="https://lannuaire.service-public.gouv.fr/nouvelle-aquitaine/charente/db456363-6ebe-4e0b-990c-160746cc1885" TargetMode="External" Id="rId674" /><Relationship Type="http://schemas.openxmlformats.org/officeDocument/2006/relationships/hyperlink" Target="mailto:accueil@rochefoucauld-perigord.fr" TargetMode="External" Id="rId675" /><Relationship Type="http://schemas.openxmlformats.org/officeDocument/2006/relationships/hyperlink" Target="https://www.rochefoucauld-perigord.fr/" TargetMode="External" Id="rId676" /><Relationship Type="http://schemas.openxmlformats.org/officeDocument/2006/relationships/hyperlink" Target="https://lannuaire.service-public.gouv.fr/nouvelle-aquitaine/charente/cfef3744-484d-425b-bc79-69ab23b19c18" TargetMode="External" Id="rId677" /><Relationship Type="http://schemas.openxmlformats.org/officeDocument/2006/relationships/hyperlink" Target="mailto:accueil@ccltd.fr" TargetMode="External" Id="rId678" /><Relationship Type="http://schemas.openxmlformats.org/officeDocument/2006/relationships/hyperlink" Target="https://www.lavalette-tude-dronne.fr/" TargetMode="External" Id="rId679" /><Relationship Type="http://schemas.openxmlformats.org/officeDocument/2006/relationships/hyperlink" Target="https://www.lavalette-tude-dronne.fr/contact/" TargetMode="External" Id="rId680" /><Relationship Type="http://schemas.openxmlformats.org/officeDocument/2006/relationships/hyperlink" Target="https://lannuaire.service-public.gouv.fr/nouvelle-aquitaine/charente/ca3c3e66-3c7c-48db-b44d-ec727300aac5" TargetMode="External" Id="rId681" /><Relationship Type="http://schemas.openxmlformats.org/officeDocument/2006/relationships/hyperlink" Target="mailto:president@ccvaldecharente.fr" TargetMode="External" Id="rId682" /><Relationship Type="http://schemas.openxmlformats.org/officeDocument/2006/relationships/hyperlink" Target="https://www.ccvaldecharente.fr/" TargetMode="External" Id="rId683" /><Relationship Type="http://schemas.openxmlformats.org/officeDocument/2006/relationships/hyperlink" Target="https://www.ccvaldecharente.fr/intercommunalite/cc-val-de-charente/nous-contacter" TargetMode="External" Id="rId684" /><Relationship Type="http://schemas.openxmlformats.org/officeDocument/2006/relationships/hyperlink" Target="https://lannuaire.service-public.gouv.fr/nouvelle-aquitaine/charente/9aa3d0c6-94a0-4545-84c0-31075edbb81b" TargetMode="External" Id="rId685" /><Relationship Type="http://schemas.openxmlformats.org/officeDocument/2006/relationships/hyperlink" Target="mailto:contact@charente-limousine.fr" TargetMode="External" Id="rId686" /><Relationship Type="http://schemas.openxmlformats.org/officeDocument/2006/relationships/hyperlink" Target="https://charente-limousine.fr/" TargetMode="External" Id="rId687" /><Relationship Type="http://schemas.openxmlformats.org/officeDocument/2006/relationships/hyperlink" Target="https://charente-limousine.fr/contact/" TargetMode="External" Id="rId688" /><Relationship Type="http://schemas.openxmlformats.org/officeDocument/2006/relationships/hyperlink" Target="https://lannuaire.service-public.gouv.fr/nouvelle-aquitaine/charente/284acdc4-c744-4631-a458-c1383236aa1b" TargetMode="External" Id="rId689" /><Relationship Type="http://schemas.openxmlformats.org/officeDocument/2006/relationships/hyperlink" Target="mailto:accueil@cdc4b.com" TargetMode="External" Id="rId690" /><Relationship Type="http://schemas.openxmlformats.org/officeDocument/2006/relationships/hyperlink" Target="https://www.cdc4b.com/" TargetMode="External" Id="rId691" /><Relationship Type="http://schemas.openxmlformats.org/officeDocument/2006/relationships/hyperlink" Target="https://www.cdc4b.com/systeme/nous-contacter/" TargetMode="External" Id="rId692" /><Relationship Type="http://schemas.openxmlformats.org/officeDocument/2006/relationships/hyperlink" Target="https://lannuaire.service-public.gouv.fr/nouvelle-aquitaine/charente/80c37675-5942-488e-8fb7-a1a8ad62ae25" TargetMode="External" Id="rId693" /><Relationship Type="http://schemas.openxmlformats.org/officeDocument/2006/relationships/hyperlink" Target="mailto:administration@ccrouillacais.fr" TargetMode="External" Id="rId694" /><Relationship Type="http://schemas.openxmlformats.org/officeDocument/2006/relationships/hyperlink" Target="https://www.lerouillacais.fr/" TargetMode="External" Id="rId695" /><Relationship Type="http://schemas.openxmlformats.org/officeDocument/2006/relationships/hyperlink" Target="https://www.lerouillacais.fr/" TargetMode="External" Id="rId696" /><Relationship Type="http://schemas.openxmlformats.org/officeDocument/2006/relationships/hyperlink" Target="https://lannuaire.service-public.gouv.fr/nouvelle-aquitaine/charente/462a446d-1e0d-461c-b707-8952dcce090d" TargetMode="External" Id="rId697" /><Relationship Type="http://schemas.openxmlformats.org/officeDocument/2006/relationships/hyperlink" Target="mailto:info@agglo-saintes.fr" TargetMode="External" Id="rId698" /><Relationship Type="http://schemas.openxmlformats.org/officeDocument/2006/relationships/hyperlink" Target="https://www.agglo-saintes.fr/" TargetMode="External" Id="rId699" /><Relationship Type="http://schemas.openxmlformats.org/officeDocument/2006/relationships/hyperlink" Target="https://lannuaire.service-public.gouv.fr/nouvelle-aquitaine/charente-maritime/09ef2bb5-de2c-4dfa-8339-40438bc212de" TargetMode="External" Id="rId700" /><Relationship Type="http://schemas.openxmlformats.org/officeDocument/2006/relationships/hyperlink" Target="mailto:contact@agglo-rochefortocean.fr" TargetMode="External" Id="rId701" /><Relationship Type="http://schemas.openxmlformats.org/officeDocument/2006/relationships/hyperlink" Target="https://www.agglo-rochefortocean.fr/" TargetMode="External" Id="rId702" /><Relationship Type="http://schemas.openxmlformats.org/officeDocument/2006/relationships/hyperlink" Target="https://www.agglo-rochefortocean.fr/contact" TargetMode="External" Id="rId703" /><Relationship Type="http://schemas.openxmlformats.org/officeDocument/2006/relationships/hyperlink" Target="https://lannuaire.service-public.gouv.fr/nouvelle-aquitaine/charente-maritime/8306682f-f64e-4c61-804d-d0fc19b6e8c6" TargetMode="External" Id="rId704" /><Relationship Type="http://schemas.openxmlformats.org/officeDocument/2006/relationships/hyperlink" Target="mailto:contact@agglo-royan.fr" TargetMode="External" Id="rId705" /><Relationship Type="http://schemas.openxmlformats.org/officeDocument/2006/relationships/hyperlink" Target="https://www.agglo-royan.fr/" TargetMode="External" Id="rId706" /><Relationship Type="http://schemas.openxmlformats.org/officeDocument/2006/relationships/hyperlink" Target="https://lannuaire.service-public.gouv.fr/nouvelle-aquitaine/charente-maritime/dbb8caeb-a95c-4578-a92e-53fbe46d54c8" TargetMode="External" Id="rId707" /><Relationship Type="http://schemas.openxmlformats.org/officeDocument/2006/relationships/hyperlink" Target="mailto:accueil@agglo-larochelle.fr" TargetMode="External" Id="rId708" /><Relationship Type="http://schemas.openxmlformats.org/officeDocument/2006/relationships/hyperlink" Target="https://www.agglo-larochelle.fr/" TargetMode="External" Id="rId709" /><Relationship Type="http://schemas.openxmlformats.org/officeDocument/2006/relationships/hyperlink" Target="https://www.agglo-larochelle.fr/contacter-l-agglo" TargetMode="External" Id="rId710" /><Relationship Type="http://schemas.openxmlformats.org/officeDocument/2006/relationships/hyperlink" Target="https://lannuaire.service-public.gouv.fr/nouvelle-aquitaine/charente-maritime/4829690c-ce89-4cd6-8f8c-5aa4eae83f99" TargetMode="External" Id="rId711" /><Relationship Type="http://schemas.openxmlformats.org/officeDocument/2006/relationships/hyperlink" Target="mailto:contact@aunisatlantique.fr" TargetMode="External" Id="rId712" /><Relationship Type="http://schemas.openxmlformats.org/officeDocument/2006/relationships/hyperlink" Target="https://www.aunisatlantique.fr/" TargetMode="External" Id="rId713" /><Relationship Type="http://schemas.openxmlformats.org/officeDocument/2006/relationships/hyperlink" Target="https://lannuaire.service-public.gouv.fr/nouvelle-aquitaine/charente-maritime/c79e4812-43e2-4dc5-b38e-5f98fac78595" TargetMode="External" Id="rId714" /><Relationship Type="http://schemas.openxmlformats.org/officeDocument/2006/relationships/hyperlink" Target="mailto:contact@aunis-sud.fr" TargetMode="External" Id="rId715" /><Relationship Type="http://schemas.openxmlformats.org/officeDocument/2006/relationships/hyperlink" Target="https://aunis-sud.fr/" TargetMode="External" Id="rId716" /><Relationship Type="http://schemas.openxmlformats.org/officeDocument/2006/relationships/hyperlink" Target="https://aunis-sud.fr/contactez-nous/" TargetMode="External" Id="rId717" /><Relationship Type="http://schemas.openxmlformats.org/officeDocument/2006/relationships/hyperlink" Target="https://lannuaire.service-public.gouv.fr/nouvelle-aquitaine/charente-maritime/f6ee470a-4309-4f69-8027-94fbf56e60c8" TargetMode="External" Id="rId718" /><Relationship Type="http://schemas.openxmlformats.org/officeDocument/2006/relationships/hyperlink" Target="mailto:accueil@coeurdesaintonge.fr" TargetMode="External" Id="rId719" /><Relationship Type="http://schemas.openxmlformats.org/officeDocument/2006/relationships/hyperlink" Target="https://www.coeurdesaintonge.fr/" TargetMode="External" Id="rId720" /><Relationship Type="http://schemas.openxmlformats.org/officeDocument/2006/relationships/hyperlink" Target="https://www.coeurdesaintonge.fr/index.php/contact-cdc-coeur-de-saintonge" TargetMode="External" Id="rId721" /><Relationship Type="http://schemas.openxmlformats.org/officeDocument/2006/relationships/hyperlink" Target="https://lannuaire.service-public.gouv.fr/nouvelle-aquitaine/charente-maritime/5319df97-61e3-4769-97fb-519ba9f2a174" TargetMode="External" Id="rId722" /><Relationship Type="http://schemas.openxmlformats.org/officeDocument/2006/relationships/hyperlink" Target="mailto:info@valsdesaintonge.fr" TargetMode="External" Id="rId723" /><Relationship Type="http://schemas.openxmlformats.org/officeDocument/2006/relationships/hyperlink" Target="https://www.valsdesaintonge.fr/" TargetMode="External" Id="rId724" /><Relationship Type="http://schemas.openxmlformats.org/officeDocument/2006/relationships/hyperlink" Target="https://www.valsdesaintonge.fr/nous-contacter/" TargetMode="External" Id="rId725" /><Relationship Type="http://schemas.openxmlformats.org/officeDocument/2006/relationships/hyperlink" Target="https://lannuaire.service-public.gouv.fr/nouvelle-aquitaine/charente-maritime/37d7cf93-bb14-47d9-bb2e-54cad061115a" TargetMode="External" Id="rId726" /><Relationship Type="http://schemas.openxmlformats.org/officeDocument/2006/relationships/hyperlink" Target="mailto:contact@cdcgemozac.fr" TargetMode="External" Id="rId727" /><Relationship Type="http://schemas.openxmlformats.org/officeDocument/2006/relationships/hyperlink" Target="https://cdc-gemozac.fr/" TargetMode="External" Id="rId728" /><Relationship Type="http://schemas.openxmlformats.org/officeDocument/2006/relationships/hyperlink" Target="https://lannuaire.service-public.gouv.fr/nouvelle-aquitaine/charente-maritime/c71fd38b-c808-41e9-8a12-60274705a498" TargetMode="External" Id="rId729" /><Relationship Type="http://schemas.openxmlformats.org/officeDocument/2006/relationships/hyperlink" Target="mailto:accueil@cdc-oleron.fr" TargetMode="External" Id="rId730" /><Relationship Type="http://schemas.openxmlformats.org/officeDocument/2006/relationships/hyperlink" Target="https://www.cdc-oleron.com/" TargetMode="External" Id="rId731" /><Relationship Type="http://schemas.openxmlformats.org/officeDocument/2006/relationships/hyperlink" Target="https://www.cdc-oleron.com/liens-divers/contactez-nous/" TargetMode="External" Id="rId732" /><Relationship Type="http://schemas.openxmlformats.org/officeDocument/2006/relationships/hyperlink" Target="https://lannuaire.service-public.gouv.fr/nouvelle-aquitaine/charente-maritime/d2f556e3-8ebc-41a8-8403-6b0857408e7b" TargetMode="External" Id="rId733" /><Relationship Type="http://schemas.openxmlformats.org/officeDocument/2006/relationships/hyperlink" Target="mailto:accueil@cc-iledere.fr" TargetMode="External" Id="rId734" /><Relationship Type="http://schemas.openxmlformats.org/officeDocument/2006/relationships/hyperlink" Target="https://cdciledere.fr/" TargetMode="External" Id="rId735" /><Relationship Type="http://schemas.openxmlformats.org/officeDocument/2006/relationships/hyperlink" Target="https://cdciledere.fr/contact/" TargetMode="External" Id="rId736" /><Relationship Type="http://schemas.openxmlformats.org/officeDocument/2006/relationships/hyperlink" Target="https://lannuaire.service-public.gouv.fr/nouvelle-aquitaine/charente-maritime/97bd0422-4286-4966-8b5d-c509bf85270c" TargetMode="External" Id="rId737" /><Relationship Type="http://schemas.openxmlformats.org/officeDocument/2006/relationships/hyperlink" Target="mailto:contact@haute-saintonge.org" TargetMode="External" Id="rId738" /><Relationship Type="http://schemas.openxmlformats.org/officeDocument/2006/relationships/hyperlink" Target="https://www.haute-saintonge.org/" TargetMode="External" Id="rId739" /><Relationship Type="http://schemas.openxmlformats.org/officeDocument/2006/relationships/hyperlink" Target="https://lannuaire.service-public.gouv.fr/nouvelle-aquitaine/charente-maritime/c0834af6-918e-4d9e-a753-d012409a58a4" TargetMode="External" Id="rId740" /><Relationship Type="http://schemas.openxmlformats.org/officeDocument/2006/relationships/hyperlink" Target="mailto:contact@bassin-de-marennes.com" TargetMode="External" Id="rId741" /><Relationship Type="http://schemas.openxmlformats.org/officeDocument/2006/relationships/hyperlink" Target="https://www.bassin-de-marennes.com/" TargetMode="External" Id="rId742" /><Relationship Type="http://schemas.openxmlformats.org/officeDocument/2006/relationships/hyperlink" Target="https://www.bassin-de-marennes.com/contactez-nous/" TargetMode="External" Id="rId743" /><Relationship Type="http://schemas.openxmlformats.org/officeDocument/2006/relationships/hyperlink" Target="https://lannuaire.service-public.gouv.fr/nouvelle-aquitaine/charente-maritime/bf573ece-2428-4193-adce-35c1dee29c24" TargetMode="External" Id="rId744" /><Relationship Type="http://schemas.openxmlformats.org/officeDocument/2006/relationships/hyperlink" Target="mailto:service.clientele@agglo-bourgesplus.fr" TargetMode="External" Id="rId745" /><Relationship Type="http://schemas.openxmlformats.org/officeDocument/2006/relationships/hyperlink" Target="https://www.agglo-bourgesplus.fr/" TargetMode="External" Id="rId746" /><Relationship Type="http://schemas.openxmlformats.org/officeDocument/2006/relationships/hyperlink" Target="https://lannuaire.service-public.gouv.fr/centre-val-de-loire/cher/32a6d646-b93b-48d9-8505-06664035e126" TargetMode="External" Id="rId747" /><Relationship Type="http://schemas.openxmlformats.org/officeDocument/2006/relationships/hyperlink" Target="mailto:contact@comcomabc.fr" TargetMode="External" Id="rId748" /><Relationship Type="http://schemas.openxmlformats.org/officeDocument/2006/relationships/hyperlink" Target="https://www.comcomabc.fr/" TargetMode="External" Id="rId749" /><Relationship Type="http://schemas.openxmlformats.org/officeDocument/2006/relationships/hyperlink" Target="https://www.comcomabc.fr/contact/" TargetMode="External" Id="rId750" /><Relationship Type="http://schemas.openxmlformats.org/officeDocument/2006/relationships/hyperlink" Target="https://lannuaire.service-public.gouv.fr/centre-val-de-loire/cher/66080191-8942-4bec-bf50-44cd8c6185a6" TargetMode="External" Id="rId751" /><Relationship Type="http://schemas.openxmlformats.org/officeDocument/2006/relationships/hyperlink" Target="mailto:contact@cdc-berry-grand-sud.fr" TargetMode="External" Id="rId752" /><Relationship Type="http://schemas.openxmlformats.org/officeDocument/2006/relationships/hyperlink" Target="https://cdc-berry-grand-sud.fr/" TargetMode="External" Id="rId753" /><Relationship Type="http://schemas.openxmlformats.org/officeDocument/2006/relationships/hyperlink" Target="https://cdc-berry-grand-sud.fr/contact/" TargetMode="External" Id="rId754" /><Relationship Type="http://schemas.openxmlformats.org/officeDocument/2006/relationships/hyperlink" Target="https://lannuaire.service-public.gouv.fr/centre-val-de-loire/cher/46eace04-0ff0-4fa3-8806-b2eb1b7794ae" TargetMode="External" Id="rId755" /><Relationship Type="http://schemas.openxmlformats.org/officeDocument/2006/relationships/hyperlink" Target="mailto:cdc.berryloirevauvise@gmail.com" TargetMode="External" Id="rId756" /><Relationship Type="http://schemas.openxmlformats.org/officeDocument/2006/relationships/hyperlink" Target="http://www.cdc-berryloirevauvise.fr" TargetMode="External" Id="rId757" /><Relationship Type="http://schemas.openxmlformats.org/officeDocument/2006/relationships/hyperlink" Target="https://lannuaire.service-public.gouv.fr/centre-val-de-loire/cher/12c37d3d-2b60-4e70-a5fc-6814174295aa" TargetMode="External" Id="rId758" /><Relationship Type="http://schemas.openxmlformats.org/officeDocument/2006/relationships/hyperlink" Target="mailto:coeurdeberry@orange.fr" TargetMode="External" Id="rId759" /><Relationship Type="http://schemas.openxmlformats.org/officeDocument/2006/relationships/hyperlink" Target="https://www.coeurdeberry.fr/" TargetMode="External" Id="rId760" /><Relationship Type="http://schemas.openxmlformats.org/officeDocument/2006/relationships/hyperlink" Target="https://www.coeurdeberry.fr/contact-cc-coeur-de-berry-18_fr.html" TargetMode="External" Id="rId761" /><Relationship Type="http://schemas.openxmlformats.org/officeDocument/2006/relationships/hyperlink" Target="https://lannuaire.service-public.gouv.fr/centre-val-de-loire/cher/a90d2785-ace4-42f2-8142-891ec1387b8e" TargetMode="External" Id="rId762" /><Relationship Type="http://schemas.openxmlformats.org/officeDocument/2006/relationships/hyperlink" Target="mailto:contact@cc-coeurdefrance.fr" TargetMode="External" Id="rId763" /><Relationship Type="http://schemas.openxmlformats.org/officeDocument/2006/relationships/hyperlink" Target="https://cc-coeurdefrance.fr/" TargetMode="External" Id="rId764" /><Relationship Type="http://schemas.openxmlformats.org/officeDocument/2006/relationships/hyperlink" Target="https://cc-coeurdefrance.fr/contact/" TargetMode="External" Id="rId765" /><Relationship Type="http://schemas.openxmlformats.org/officeDocument/2006/relationships/hyperlink" Target="https://lannuaire.service-public.gouv.fr/centre-val-de-loire/cher/89b4843f-2621-4872-9219-5e069e3c5d4f" TargetMode="External" Id="rId766" /><Relationship Type="http://schemas.openxmlformats.org/officeDocument/2006/relationships/hyperlink" Target="mailto:paysflorentais@cc-fercher.fr" TargetMode="External" Id="rId767" /><Relationship Type="http://schemas.openxmlformats.org/officeDocument/2006/relationships/hyperlink" Target="https://www.ccfercher.fr/" TargetMode="External" Id="rId768" /><Relationship Type="http://schemas.openxmlformats.org/officeDocument/2006/relationships/hyperlink" Target="https://www.ccfercher.fr/nous-contacter/" TargetMode="External" Id="rId769" /><Relationship Type="http://schemas.openxmlformats.org/officeDocument/2006/relationships/hyperlink" Target="https://lannuaire.service-public.gouv.fr/centre-val-de-loire/cher/90e97dce-f69e-4dbe-89f3-f7f85c29d8c0" TargetMode="External" Id="rId770" /><Relationship Type="http://schemas.openxmlformats.org/officeDocument/2006/relationships/hyperlink" Target="mailto:secretariat@cdc-du-sancerrois.fr" TargetMode="External" Id="rId771" /><Relationship Type="http://schemas.openxmlformats.org/officeDocument/2006/relationships/hyperlink" Target="https://www.comcompsv.fr/" TargetMode="External" Id="rId772" /><Relationship Type="http://schemas.openxmlformats.org/officeDocument/2006/relationships/hyperlink" Target="https://www.comcompsv.fr/contact-pays-fort-sancerrois-valdeloire_fr.html" TargetMode="External" Id="rId773" /><Relationship Type="http://schemas.openxmlformats.org/officeDocument/2006/relationships/hyperlink" Target="https://lannuaire.service-public.gouv.fr/centre-val-de-loire/cher/e2b89a70-4ec8-482e-94fb-dd6a23d8cf11" TargetMode="External" Id="rId774" /><Relationship Type="http://schemas.openxmlformats.org/officeDocument/2006/relationships/hyperlink" Target="mailto:accueil@cdcpaysnerondes.com" TargetMode="External" Id="rId775" /><Relationship Type="http://schemas.openxmlformats.org/officeDocument/2006/relationships/hyperlink" Target="https://cdcpaysnerondes.com/" TargetMode="External" Id="rId776" /><Relationship Type="http://schemas.openxmlformats.org/officeDocument/2006/relationships/hyperlink" Target="https://cdcpaysnerondes.com/contact/" TargetMode="External" Id="rId777" /><Relationship Type="http://schemas.openxmlformats.org/officeDocument/2006/relationships/hyperlink" Target="https://lannuaire.service-public.gouv.fr/centre-val-de-loire/cher/3369c1f9-70e6-4998-9198-560dc67be1c3" TargetMode="External" Id="rId778" /><Relationship Type="http://schemas.openxmlformats.org/officeDocument/2006/relationships/hyperlink" Target="mailto:cdcportesduberry@orange.fr" TargetMode="External" Id="rId779" /><Relationship Type="http://schemas.openxmlformats.org/officeDocument/2006/relationships/hyperlink" Target="https://www.cdc-portesduberry.fr/" TargetMode="External" Id="rId780" /><Relationship Type="http://schemas.openxmlformats.org/officeDocument/2006/relationships/hyperlink" Target="https://lannuaire.service-public.gouv.fr/centre-val-de-loire/cher/93d007d2-03af-444c-a879-1fa24bc5b533" TargetMode="External" Id="rId781" /><Relationship Type="http://schemas.openxmlformats.org/officeDocument/2006/relationships/hyperlink" Target="mailto:contact@sauldre-sologne.fr" TargetMode="External" Id="rId782" /><Relationship Type="http://schemas.openxmlformats.org/officeDocument/2006/relationships/hyperlink" Target="https://www.sauldre-sologne.fr/" TargetMode="External" Id="rId783" /><Relationship Type="http://schemas.openxmlformats.org/officeDocument/2006/relationships/hyperlink" Target="https://www.sauldre-sologne.fr/contact-cdc-sauldre-sologne_fr.html" TargetMode="External" Id="rId784" /><Relationship Type="http://schemas.openxmlformats.org/officeDocument/2006/relationships/hyperlink" Target="https://lannuaire.service-public.gouv.fr/centre-val-de-loire/cher/98664bfd-73fe-4874-a2c4-67a75a48b2f3" TargetMode="External" Id="rId785" /><Relationship Type="http://schemas.openxmlformats.org/officeDocument/2006/relationships/hyperlink" Target="mailto:contact@terresduhautberry.fr" TargetMode="External" Id="rId786" /><Relationship Type="http://schemas.openxmlformats.org/officeDocument/2006/relationships/hyperlink" Target="https://terresduhautberry.fr/" TargetMode="External" Id="rId787" /><Relationship Type="http://schemas.openxmlformats.org/officeDocument/2006/relationships/hyperlink" Target="https://lannuaire.service-public.gouv.fr/centre-val-de-loire/cher/c7ae270d-3b00-46ba-828a-db0fc7934e97" TargetMode="External" Id="rId788" /><Relationship Type="http://schemas.openxmlformats.org/officeDocument/2006/relationships/hyperlink" Target="mailto:contact@cc-vierzon.fr" TargetMode="External" Id="rId789" /><Relationship Type="http://schemas.openxmlformats.org/officeDocument/2006/relationships/hyperlink" Target="https://www.cc-vierzon.fr/" TargetMode="External" Id="rId790" /><Relationship Type="http://schemas.openxmlformats.org/officeDocument/2006/relationships/hyperlink" Target="https://www.cc-vierzon.fr/contact/" TargetMode="External" Id="rId791" /><Relationship Type="http://schemas.openxmlformats.org/officeDocument/2006/relationships/hyperlink" Target="https://lannuaire.service-public.gouv.fr/centre-val-de-loire/cher/c40b9076-b5d3-4d52-9ec6-0aa4f4ac8e03" TargetMode="External" Id="rId792" /><Relationship Type="http://schemas.openxmlformats.org/officeDocument/2006/relationships/hyperlink" Target="mailto:cclaseptaine@cc-laseptaine.fr" TargetMode="External" Id="rId793" /><Relationship Type="http://schemas.openxmlformats.org/officeDocument/2006/relationships/hyperlink" Target="http://cc-laseptaine.fr" TargetMode="External" Id="rId794" /><Relationship Type="http://schemas.openxmlformats.org/officeDocument/2006/relationships/hyperlink" Target="https://lannuaire.service-public.gouv.fr/centre-val-de-loire/cher/6367e3f6-0f95-4398-a7c8-1cc55104be3d" TargetMode="External" Id="rId795" /><Relationship Type="http://schemas.openxmlformats.org/officeDocument/2006/relationships/hyperlink" Target="mailto:contact@cdcledunois.fr" TargetMode="External" Id="rId796" /><Relationship Type="http://schemas.openxmlformats.org/officeDocument/2006/relationships/hyperlink" Target="https://lannuaire.service-public.gouv.fr/centre-val-de-loire/cher/10cb3b9b-928f-4d2c-b14b-42c8ba2d83e3" TargetMode="External" Id="rId797" /><Relationship Type="http://schemas.openxmlformats.org/officeDocument/2006/relationships/hyperlink" Target="mailto:contact@cc3p.fr" TargetMode="External" Id="rId798" /><Relationship Type="http://schemas.openxmlformats.org/officeDocument/2006/relationships/hyperlink" Target="https://www.cc3p.fr/" TargetMode="External" Id="rId799" /><Relationship Type="http://schemas.openxmlformats.org/officeDocument/2006/relationships/hyperlink" Target="https://www.cc3p.fr/contact/" TargetMode="External" Id="rId800" /><Relationship Type="http://schemas.openxmlformats.org/officeDocument/2006/relationships/hyperlink" Target="https://lannuaire.service-public.gouv.fr/centre-val-de-loire/cher/7ca0ed72-f637-4f65-9029-88f9af27ade0" TargetMode="External" Id="rId801" /><Relationship Type="http://schemas.openxmlformats.org/officeDocument/2006/relationships/hyperlink" Target="mailto:ccpi@issoudun.fr" TargetMode="External" Id="rId802" /><Relationship Type="http://schemas.openxmlformats.org/officeDocument/2006/relationships/hyperlink" Target="https://www.issoudun.fr/vivre-a-issoudun/ccpi/" TargetMode="External" Id="rId803" /><Relationship Type="http://schemas.openxmlformats.org/officeDocument/2006/relationships/hyperlink" Target="https://lannuaire.service-public.gouv.fr/centre-val-de-loire/indre/4b9575d2-70d4-470a-a622-0b79613ca1fa" TargetMode="External" Id="rId804" /><Relationship Type="http://schemas.openxmlformats.org/officeDocument/2006/relationships/hyperlink" Target="mailto:mathilde.adrien@lesbertranges.fr" TargetMode="External" Id="rId805" /><Relationship Type="http://schemas.openxmlformats.org/officeDocument/2006/relationships/hyperlink" Target="https://www.lesbertranges.fr" TargetMode="External" Id="rId806" /><Relationship Type="http://schemas.openxmlformats.org/officeDocument/2006/relationships/hyperlink" Target="https://www.lesbertranges.fr/index.php/contact/" TargetMode="External" Id="rId807" /><Relationship Type="http://schemas.openxmlformats.org/officeDocument/2006/relationships/hyperlink" Target="https://lannuaire.service-public.gouv.fr/bourgogne-franche-comte/nievre/8b336b0c-a53b-4157-b45c-47e404f35b1e" TargetMode="External" Id="rId808" /><Relationship Type="http://schemas.openxmlformats.org/officeDocument/2006/relationships/hyperlink" Target="mailto:tulleagglo@tulleagglo.fr" TargetMode="External" Id="rId809" /><Relationship Type="http://schemas.openxmlformats.org/officeDocument/2006/relationships/hyperlink" Target="https://www.tulleagglo.fr/" TargetMode="External" Id="rId810" /><Relationship Type="http://schemas.openxmlformats.org/officeDocument/2006/relationships/hyperlink" Target="https://www.tulleagglo.fr/nous-contacter/" TargetMode="External" Id="rId811" /><Relationship Type="http://schemas.openxmlformats.org/officeDocument/2006/relationships/hyperlink" Target="https://lannuaire.service-public.gouv.fr/nouvelle-aquitaine/correze/7ebd3fe4-fde4-472e-85d2-0478f2aaa09d" TargetMode="External" Id="rId812" /><Relationship Type="http://schemas.openxmlformats.org/officeDocument/2006/relationships/hyperlink" Target="mailto:contact@agglodebrive.fr" TargetMode="External" Id="rId813" /><Relationship Type="http://schemas.openxmlformats.org/officeDocument/2006/relationships/hyperlink" Target="http://www.agglodebrive.fr" TargetMode="External" Id="rId814" /><Relationship Type="http://schemas.openxmlformats.org/officeDocument/2006/relationships/hyperlink" Target="http://www.agglodebrive.fr/contactez-nous/" TargetMode="External" Id="rId815" /><Relationship Type="http://schemas.openxmlformats.org/officeDocument/2006/relationships/hyperlink" Target="https://lannuaire.service-public.gouv.fr/nouvelle-aquitaine/correze/58e78040-18d0-4384-a2ec-482634091e08" TargetMode="External" Id="rId816" /><Relationship Type="http://schemas.openxmlformats.org/officeDocument/2006/relationships/hyperlink" Target="mailto:contact@midicorrezien.com" TargetMode="External" Id="rId817" /><Relationship Type="http://schemas.openxmlformats.org/officeDocument/2006/relationships/hyperlink" Target="https://www.midicorrezien.com/" TargetMode="External" Id="rId818" /><Relationship Type="http://schemas.openxmlformats.org/officeDocument/2006/relationships/hyperlink" Target="https://www.midicorrezien.com/contact" TargetMode="External" Id="rId819" /><Relationship Type="http://schemas.openxmlformats.org/officeDocument/2006/relationships/hyperlink" Target="https://lannuaire.service-public.gouv.fr/nouvelle-aquitaine/correze/e6618186-0738-48e0-9ee2-184519ec5a6d" TargetMode="External" Id="rId820" /><Relationship Type="http://schemas.openxmlformats.org/officeDocument/2006/relationships/hyperlink" Target="mailto:contact@ccv2m.fr" TargetMode="External" Id="rId821" /><Relationship Type="http://schemas.openxmlformats.org/officeDocument/2006/relationships/hyperlink" Target="http://ccv2m.fr/" TargetMode="External" Id="rId822" /><Relationship Type="http://schemas.openxmlformats.org/officeDocument/2006/relationships/hyperlink" Target="http://ccv2m.fr/contact/" TargetMode="External" Id="rId823" /><Relationship Type="http://schemas.openxmlformats.org/officeDocument/2006/relationships/hyperlink" Target="https://lannuaire.service-public.gouv.fr/nouvelle-aquitaine/correze/6f9bc01a-452f-4f63-bf91-7aa4f7445d47" TargetMode="External" Id="rId824" /><Relationship Type="http://schemas.openxmlformats.org/officeDocument/2006/relationships/hyperlink" Target="mailto:accueil@xaintrie-val-dordogne.fr" TargetMode="External" Id="rId825" /><Relationship Type="http://schemas.openxmlformats.org/officeDocument/2006/relationships/hyperlink" Target="https://www.xaintrie-val-dordogne.fr/" TargetMode="External" Id="rId826" /><Relationship Type="http://schemas.openxmlformats.org/officeDocument/2006/relationships/hyperlink" Target="https://lannuaire.service-public.gouv.fr/nouvelle-aquitaine/correze/117669f4-baf0-47b4-8ea0-32ca912b3fcf" TargetMode="External" Id="rId827" /><Relationship Type="http://schemas.openxmlformats.org/officeDocument/2006/relationships/hyperlink" Target="mailto:accueil@cc-ventadour.fr" TargetMode="External" Id="rId828" /><Relationship Type="http://schemas.openxmlformats.org/officeDocument/2006/relationships/hyperlink" Target="http://www.cc-ventadour.fr" TargetMode="External" Id="rId829" /><Relationship Type="http://schemas.openxmlformats.org/officeDocument/2006/relationships/hyperlink" Target="https://lannuaire.service-public.gouv.fr/nouvelle-aquitaine/correze/d9a08b45-e751-492b-a60c-0d6973d3b0d9" TargetMode="External" Id="rId830" /><Relationship Type="http://schemas.openxmlformats.org/officeDocument/2006/relationships/hyperlink" Target="mailto:contact@paysduzerche.fr" TargetMode="External" Id="rId831" /><Relationship Type="http://schemas.openxmlformats.org/officeDocument/2006/relationships/hyperlink" Target="https://www.paysduzerche.fr/" TargetMode="External" Id="rId832" /><Relationship Type="http://schemas.openxmlformats.org/officeDocument/2006/relationships/hyperlink" Target="https://www.paysduzerche.fr/" TargetMode="External" Id="rId833" /><Relationship Type="http://schemas.openxmlformats.org/officeDocument/2006/relationships/hyperlink" Target="https://lannuaire.service-public.gouv.fr/nouvelle-aquitaine/correze/45c397ce-fbc9-45b9-b373-b9a27f9a9a02" TargetMode="External" Id="rId834" /><Relationship Type="http://schemas.openxmlformats.org/officeDocument/2006/relationships/hyperlink" Target="mailto:secretariat@lubersacpompadour.fr" TargetMode="External" Id="rId835" /><Relationship Type="http://schemas.openxmlformats.org/officeDocument/2006/relationships/hyperlink" Target="https://lubersacpompadour.fr/" TargetMode="External" Id="rId836" /><Relationship Type="http://schemas.openxmlformats.org/officeDocument/2006/relationships/hyperlink" Target="https://lubersacpompadour.fr/contact" TargetMode="External" Id="rId837" /><Relationship Type="http://schemas.openxmlformats.org/officeDocument/2006/relationships/hyperlink" Target="https://lannuaire.service-public.gouv.fr/nouvelle-aquitaine/correze/8ed42b46-edd0-419b-8283-d9b4bd370526" TargetMode="External" Id="rId838" /><Relationship Type="http://schemas.openxmlformats.org/officeDocument/2006/relationships/hyperlink" Target="mailto:contact@hautecorrezecommunaute.fr" TargetMode="External" Id="rId839" /><Relationship Type="http://schemas.openxmlformats.org/officeDocument/2006/relationships/hyperlink" Target="https://hautecorreze.fr/" TargetMode="External" Id="rId840" /><Relationship Type="http://schemas.openxmlformats.org/officeDocument/2006/relationships/hyperlink" Target="https://hautecorreze.fr/contactez-nous/" TargetMode="External" Id="rId841" /><Relationship Type="http://schemas.openxmlformats.org/officeDocument/2006/relationships/hyperlink" Target="https://lannuaire.service-public.gouv.fr/nouvelle-aquitaine/correze/672fa7df-c23d-41c7-8552-f30be823f513" TargetMode="External" Id="rId842" /><Relationship Type="http://schemas.openxmlformats.org/officeDocument/2006/relationships/hyperlink" Target="mailto:info@communaute-saint-yrieix.fr" TargetMode="External" Id="rId843" /><Relationship Type="http://schemas.openxmlformats.org/officeDocument/2006/relationships/hyperlink" Target="https://www.communaute-saint-yrieix.fr/" TargetMode="External" Id="rId844" /><Relationship Type="http://schemas.openxmlformats.org/officeDocument/2006/relationships/hyperlink" Target="https://www.communaute-saint-yrieix.fr/nous-contacter/" TargetMode="External" Id="rId845" /><Relationship Type="http://schemas.openxmlformats.org/officeDocument/2006/relationships/hyperlink" Target="https://lannuaire.service-public.gouv.fr/nouvelle-aquitaine/haute-vienne/415a9e87-843e-4ee1-ac13-e3fdb1b2b5b7" TargetMode="External" Id="rId846" /><Relationship Type="http://schemas.openxmlformats.org/officeDocument/2006/relationships/hyperlink" Target="mailto:contact@capvaldesaone.fr" TargetMode="External" Id="rId847" /><Relationship Type="http://schemas.openxmlformats.org/officeDocument/2006/relationships/hyperlink" Target="https://www.capvaldesaone.fr" TargetMode="External" Id="rId848" /><Relationship Type="http://schemas.openxmlformats.org/officeDocument/2006/relationships/hyperlink" Target="https://www.capvaldesaone.fr/contact" TargetMode="External" Id="rId849" /><Relationship Type="http://schemas.openxmlformats.org/officeDocument/2006/relationships/hyperlink" Target="https://lannuaire.service-public.gouv.fr/bourgogne-franche-comte/cote-d-or/839ea5de-7eb9-4319-8f1c-95d3cf469a67" TargetMode="External" Id="rId850" /><Relationship Type="http://schemas.openxmlformats.org/officeDocument/2006/relationships/hyperlink" Target="mailto:ccfss@ccfss.fr" TargetMode="External" Id="rId851" /><Relationship Type="http://schemas.openxmlformats.org/officeDocument/2006/relationships/hyperlink" Target="https://cc-forets-seine-suzon.fr/" TargetMode="External" Id="rId852" /><Relationship Type="http://schemas.openxmlformats.org/officeDocument/2006/relationships/hyperlink" Target="https://cc-forets-seine-suzon.fr/contact/" TargetMode="External" Id="rId853" /><Relationship Type="http://schemas.openxmlformats.org/officeDocument/2006/relationships/hyperlink" Target="https://lannuaire.service-public.gouv.fr/bourgogne-franche-comte/cote-d-or/412b03f1-7991-4da3-9fab-d7aa4f6ce927" TargetMode="External" Id="rId854" /><Relationship Type="http://schemas.openxmlformats.org/officeDocument/2006/relationships/hyperlink" Target="mailto:contact@mfcc.fr" TargetMode="External" Id="rId855" /><Relationship Type="http://schemas.openxmlformats.org/officeDocument/2006/relationships/hyperlink" Target="https://www.mfcc.fr/" TargetMode="External" Id="rId856" /><Relationship Type="http://schemas.openxmlformats.org/officeDocument/2006/relationships/hyperlink" Target="https://www.mfcc.fr/contact.htm" TargetMode="External" Id="rId857" /><Relationship Type="http://schemas.openxmlformats.org/officeDocument/2006/relationships/hyperlink" Target="https://lannuaire.service-public.gouv.fr/bourgogne-franche-comte/cote-d-or/dc823169-a7e5-47bb-813a-c41a18b5d50d" TargetMode="External" Id="rId858" /><Relationship Type="http://schemas.openxmlformats.org/officeDocument/2006/relationships/hyperlink" Target="mailto:contact@norgeettille.fr" TargetMode="External" Id="rId859" /><Relationship Type="http://schemas.openxmlformats.org/officeDocument/2006/relationships/hyperlink" Target="https://www.norgeettille.fr/" TargetMode="External" Id="rId860" /><Relationship Type="http://schemas.openxmlformats.org/officeDocument/2006/relationships/hyperlink" Target="https://www.norgeettille.fr/contact/" TargetMode="External" Id="rId861" /><Relationship Type="http://schemas.openxmlformats.org/officeDocument/2006/relationships/hyperlink" Target="https://lannuaire.service-public.gouv.fr/bourgogne-franche-comte/cote-d-or/b9c4fe2e-d80c-48b9-8cbd-5416133b925b" TargetMode="External" Id="rId862" /><Relationship Type="http://schemas.openxmlformats.org/officeDocument/2006/relationships/hyperlink" Target="mailto:accueil@ouche-montagne.fr" TargetMode="External" Id="rId863" /><Relationship Type="http://schemas.openxmlformats.org/officeDocument/2006/relationships/hyperlink" Target="https://ouche-montagne.fr/" TargetMode="External" Id="rId864" /><Relationship Type="http://schemas.openxmlformats.org/officeDocument/2006/relationships/hyperlink" Target="https://ouche-montagne.fr/nous-contacter/" TargetMode="External" Id="rId865" /><Relationship Type="http://schemas.openxmlformats.org/officeDocument/2006/relationships/hyperlink" Target="https://lannuaire.service-public.gouv.fr/bourgogne-franche-comte/cote-d-or/22135d97-cf72-4e4a-856b-c2f4392799c4" TargetMode="External" Id="rId866" /><Relationship Type="http://schemas.openxmlformats.org/officeDocument/2006/relationships/hyperlink" Target="mailto:secretariat@rivesdesaone.fr" TargetMode="External" Id="rId867" /><Relationship Type="http://schemas.openxmlformats.org/officeDocument/2006/relationships/hyperlink" Target="https://www.rivesdesaone.fr/" TargetMode="External" Id="rId868" /><Relationship Type="http://schemas.openxmlformats.org/officeDocument/2006/relationships/hyperlink" Target="https://lannuaire.service-public.gouv.fr/bourgogne-franche-comte/cote-d-or/bf6fcc3b-1b3a-4ec2-8810-c14a4c65ba55" TargetMode="External" Id="rId869" /><Relationship Type="http://schemas.openxmlformats.org/officeDocument/2006/relationships/hyperlink" Target="mailto:bonjour@tille-venelle.fr" TargetMode="External" Id="rId870" /><Relationship Type="http://schemas.openxmlformats.org/officeDocument/2006/relationships/hyperlink" Target="https://www.tille-venelle.fr" TargetMode="External" Id="rId871" /><Relationship Type="http://schemas.openxmlformats.org/officeDocument/2006/relationships/hyperlink" Target="https://lannuaire.service-public.gouv.fr/bourgogne-franche-comte/cote-d-or/0a1e53da-ee35-4e08-8448-81b79a49c68f" TargetMode="External" Id="rId872" /><Relationship Type="http://schemas.openxmlformats.org/officeDocument/2006/relationships/hyperlink" Target="mailto:contact@ccgevrey-nuits.com" TargetMode="External" Id="rId873" /><Relationship Type="http://schemas.openxmlformats.org/officeDocument/2006/relationships/hyperlink" Target="https://www.ccgevrey-chambertin-et-nuits-saint-georges.com/" TargetMode="External" Id="rId874" /><Relationship Type="http://schemas.openxmlformats.org/officeDocument/2006/relationships/hyperlink" Target="https://www.ccgevrey-chambertin-et-nuits-saint-georges.com/contact/" TargetMode="External" Id="rId875" /><Relationship Type="http://schemas.openxmlformats.org/officeDocument/2006/relationships/hyperlink" Target="https://lannuaire.service-public.gouv.fr/bourgogne-franche-comte/cote-d-or/c96458e1-76c9-42d6-8a64-bc89ef9909b4" TargetMode="External" Id="rId876" /><Relationship Type="http://schemas.openxmlformats.org/officeDocument/2006/relationships/hyperlink" Target="mailto:contact@ccpouillybligny.fr" TargetMode="External" Id="rId877" /><Relationship Type="http://schemas.openxmlformats.org/officeDocument/2006/relationships/hyperlink" Target="https://ccpouillybligny.fr/" TargetMode="External" Id="rId878" /><Relationship Type="http://schemas.openxmlformats.org/officeDocument/2006/relationships/hyperlink" Target="https://ccpouillybligny.fr/contact/" TargetMode="External" Id="rId879" /><Relationship Type="http://schemas.openxmlformats.org/officeDocument/2006/relationships/hyperlink" Target="https://lannuaire.service-public.gouv.fr/bourgogne-franche-comte/cote-d-or/3b7a2119-c361-4b2c-a217-6256e7d01772" TargetMode="External" Id="rId880" /><Relationship Type="http://schemas.openxmlformats.org/officeDocument/2006/relationships/hyperlink" Target="mailto:contact@saulieu-morvan.fr" TargetMode="External" Id="rId881" /><Relationship Type="http://schemas.openxmlformats.org/officeDocument/2006/relationships/hyperlink" Target="https://www.saulieu-morvan.fr" TargetMode="External" Id="rId882" /><Relationship Type="http://schemas.openxmlformats.org/officeDocument/2006/relationships/hyperlink" Target="https://lannuaire.service-public.gouv.fr/bourgogne-franche-comte/cote-d-or/9674baa7-3f42-43b9-92ad-4eea18168bb0" TargetMode="External" Id="rId883" /><Relationship Type="http://schemas.openxmlformats.org/officeDocument/2006/relationships/hyperlink" Target="mailto:accueil@plainedijonnaise.fr" TargetMode="External" Id="rId884" /><Relationship Type="http://schemas.openxmlformats.org/officeDocument/2006/relationships/hyperlink" Target="https://www.plainedijonnaise.fr" TargetMode="External" Id="rId885" /><Relationship Type="http://schemas.openxmlformats.org/officeDocument/2006/relationships/hyperlink" Target="https://lannuaire.service-public.gouv.fr/bourgogne-franche-comte/cote-d-or/30fb735e-e19f-40eb-9e19-012413ceb864" TargetMode="External" Id="rId886" /><Relationship Type="http://schemas.openxmlformats.org/officeDocument/2006/relationships/hyperlink" Target="mailto:contact@ccterres-auxois.fr" TargetMode="External" Id="rId887" /><Relationship Type="http://schemas.openxmlformats.org/officeDocument/2006/relationships/hyperlink" Target="https://ccterres-auxois.fr/" TargetMode="External" Id="rId888" /><Relationship Type="http://schemas.openxmlformats.org/officeDocument/2006/relationships/hyperlink" Target="https://lannuaire.service-public.gouv.fr/bourgogne-franche-comte/cote-d-or/e1ad3cd8-f32f-4a27-94ad-c133e473971d" TargetMode="External" Id="rId889" /><Relationship Type="http://schemas.openxmlformats.org/officeDocument/2006/relationships/hyperlink" Target="mailto:covati@covati.fr" TargetMode="External" Id="rId890" /><Relationship Type="http://schemas.openxmlformats.org/officeDocument/2006/relationships/hyperlink" Target="https://www.covati.fr/" TargetMode="External" Id="rId891" /><Relationship Type="http://schemas.openxmlformats.org/officeDocument/2006/relationships/hyperlink" Target="https://lannuaire.service-public.gouv.fr/bourgogne-franche-comte/cote-d-or/1014f99d-9607-40f3-9fdb-b2e85ed9b77e" TargetMode="External" Id="rId892" /><Relationship Type="http://schemas.openxmlformats.org/officeDocument/2006/relationships/hyperlink" Target="mailto:contact@cc-montbardois.fr" TargetMode="External" Id="rId893" /><Relationship Type="http://schemas.openxmlformats.org/officeDocument/2006/relationships/hyperlink" Target="https://www.cc-montbardois.fr/" TargetMode="External" Id="rId894" /><Relationship Type="http://schemas.openxmlformats.org/officeDocument/2006/relationships/hyperlink" Target="https://www.cc-montbardois.fr/contact/" TargetMode="External" Id="rId895" /><Relationship Type="http://schemas.openxmlformats.org/officeDocument/2006/relationships/hyperlink" Target="https://lannuaire.service-public.gouv.fr/bourgogne-franche-comte/cote-d-or/f3742968-1ee4-4a84-a6ee-a5c72cee9182" TargetMode="External" Id="rId896" /><Relationship Type="http://schemas.openxmlformats.org/officeDocument/2006/relationships/hyperlink" Target="mailto:cc.arnay-liernais@ccarnayliernais.fr" TargetMode="External" Id="rId897" /><Relationship Type="http://schemas.openxmlformats.org/officeDocument/2006/relationships/hyperlink" Target="https://cc-pays-arnay.fr/" TargetMode="External" Id="rId898" /><Relationship Type="http://schemas.openxmlformats.org/officeDocument/2006/relationships/hyperlink" Target="https://cc-pays-arnay.fr/contact/" TargetMode="External" Id="rId899" /><Relationship Type="http://schemas.openxmlformats.org/officeDocument/2006/relationships/hyperlink" Target="https://lannuaire.service-public.gouv.fr/bourgogne-franche-comte/cote-d-or/f1243926-74a5-4ae3-811f-9f1033bbf784" TargetMode="External" Id="rId900" /><Relationship Type="http://schemas.openxmlformats.org/officeDocument/2006/relationships/hyperlink" Target="mailto:contact@cc-chatillonnais.fr" TargetMode="External" Id="rId901" /><Relationship Type="http://schemas.openxmlformats.org/officeDocument/2006/relationships/hyperlink" Target="https://www.chatillonnais.fr/" TargetMode="External" Id="rId902" /><Relationship Type="http://schemas.openxmlformats.org/officeDocument/2006/relationships/hyperlink" Target="https://www.chatillonnais.fr/contact" TargetMode="External" Id="rId903" /><Relationship Type="http://schemas.openxmlformats.org/officeDocument/2006/relationships/hyperlink" Target="https://lannuaire.service-public.gouv.fr/bourgogne-franche-comte/cote-d-or/c11e35d9-a820-4d49-90da-b17efedd36a7" TargetMode="External" Id="rId904" /><Relationship Type="http://schemas.openxmlformats.org/officeDocument/2006/relationships/hyperlink" Target="mailto:contact@cc-alesia-seine.fr" TargetMode="External" Id="rId905" /><Relationship Type="http://schemas.openxmlformats.org/officeDocument/2006/relationships/hyperlink" Target="https://www.cc-alesia-seine.fr/" TargetMode="External" Id="rId906" /><Relationship Type="http://schemas.openxmlformats.org/officeDocument/2006/relationships/hyperlink" Target="https://lannuaire.service-public.gouv.fr/bourgogne-franche-comte/cote-d-or/bdd94f38-5772-466c-9cfc-baaaf1bd74a1" TargetMode="External" Id="rId907" /><Relationship Type="http://schemas.openxmlformats.org/officeDocument/2006/relationships/hyperlink" Target="mailto:contact@metropole-dijon.fr" TargetMode="External" Id="rId908" /><Relationship Type="http://schemas.openxmlformats.org/officeDocument/2006/relationships/hyperlink" Target="https://www.dijon-metropole.fr/" TargetMode="External" Id="rId909" /><Relationship Type="http://schemas.openxmlformats.org/officeDocument/2006/relationships/hyperlink" Target="https://www.dijon-metropole.fr/nous-ecrire/" TargetMode="External" Id="rId910" /><Relationship Type="http://schemas.openxmlformats.org/officeDocument/2006/relationships/hyperlink" Target="https://lannuaire.service-public.gouv.fr/bourgogne-franche-comte/cote-d-or/5e1cd4d6-055a-4c7f-a09c-4c18ff3b944a" TargetMode="External" Id="rId911" /><Relationship Type="http://schemas.openxmlformats.org/officeDocument/2006/relationships/hyperlink" Target="mailto:dgs@beaunecoteetsud.com" TargetMode="External" Id="rId912" /><Relationship Type="http://schemas.openxmlformats.org/officeDocument/2006/relationships/hyperlink" Target="https://www.beaunecoteetsud.com/" TargetMode="External" Id="rId913" /><Relationship Type="http://schemas.openxmlformats.org/officeDocument/2006/relationships/hyperlink" Target="https://lannuaire.service-public.gouv.fr/bourgogne-franche-comte/cote-d-or/2541a6a7-3b3e-461e-bb52-9edfc742f593" TargetMode="External" Id="rId914" /><Relationship Type="http://schemas.openxmlformats.org/officeDocument/2006/relationships/hyperlink" Target="mailto:contact@dinan-agglomeration.fr" TargetMode="External" Id="rId915" /><Relationship Type="http://schemas.openxmlformats.org/officeDocument/2006/relationships/hyperlink" Target="https://www.dinan-agglomeration.fr/" TargetMode="External" Id="rId916" /><Relationship Type="http://schemas.openxmlformats.org/officeDocument/2006/relationships/hyperlink" Target="https://www.dinan-agglomeration.fr/Nous-contacter" TargetMode="External" Id="rId917" /><Relationship Type="http://schemas.openxmlformats.org/officeDocument/2006/relationships/hyperlink" Target="https://lannuaire.service-public.gouv.fr/bretagne/cotes-d-armor/acf842eb-67f2-474c-8d9f-91a4fdb9122e" TargetMode="External" Id="rId918" /><Relationship Type="http://schemas.openxmlformats.org/officeDocument/2006/relationships/hyperlink" Target="mailto:contact@guingamp-paimpol.bzh" TargetMode="External" Id="rId919" /><Relationship Type="http://schemas.openxmlformats.org/officeDocument/2006/relationships/hyperlink" Target="https://www.guingamp-paimpol-agglo.bzh/" TargetMode="External" Id="rId920" /><Relationship Type="http://schemas.openxmlformats.org/officeDocument/2006/relationships/hyperlink" Target="https://www.guingamp-paimpol-agglo.bzh/nous-contacter/" TargetMode="External" Id="rId921" /><Relationship Type="http://schemas.openxmlformats.org/officeDocument/2006/relationships/hyperlink" Target="https://lannuaire.service-public.gouv.fr/bretagne/cotes-d-armor/98890f92-fe8f-479f-b7c8-fe9d2e9e8383" TargetMode="External" Id="rId922" /><Relationship Type="http://schemas.openxmlformats.org/officeDocument/2006/relationships/hyperlink" Target="mailto:contact@lamballe-terre-mer.bzh" TargetMode="External" Id="rId923" /><Relationship Type="http://schemas.openxmlformats.org/officeDocument/2006/relationships/hyperlink" Target="https://www.lamballe-terre-mer.bzh/accueil" TargetMode="External" Id="rId924" /><Relationship Type="http://schemas.openxmlformats.org/officeDocument/2006/relationships/hyperlink" Target="https://lannuaire.service-public.gouv.fr/bretagne/cotes-d-armor/1fafcb91-af73-4cea-b494-f9c75583ebfd" TargetMode="External" Id="rId925" /><Relationship Type="http://schemas.openxmlformats.org/officeDocument/2006/relationships/hyperlink" Target="mailto:contact@lannion-tregor.com" TargetMode="External" Id="rId926" /><Relationship Type="http://schemas.openxmlformats.org/officeDocument/2006/relationships/hyperlink" Target="https://www.lannion-tregor.com/" TargetMode="External" Id="rId927" /><Relationship Type="http://schemas.openxmlformats.org/officeDocument/2006/relationships/hyperlink" Target="https://www.lannion-tregor.com/fr/contact.html" TargetMode="External" Id="rId928" /><Relationship Type="http://schemas.openxmlformats.org/officeDocument/2006/relationships/hyperlink" Target="https://lannuaire.service-public.gouv.fr/bretagne/cotes-d-armor/bd1eb6f2-93fe-4868-88ac-6678d2b6efde" TargetMode="External" Id="rId929" /><Relationship Type="http://schemas.openxmlformats.org/officeDocument/2006/relationships/hyperlink" Target="mailto:accueil@sbaa.fr" TargetMode="External" Id="rId930" /><Relationship Type="http://schemas.openxmlformats.org/officeDocument/2006/relationships/hyperlink" Target="https://www.saintbrieuc-armor-agglo.bzh/" TargetMode="External" Id="rId931" /><Relationship Type="http://schemas.openxmlformats.org/officeDocument/2006/relationships/hyperlink" Target="https://www.saintbrieuc-armor-agglo.bzh/pages-pratiques/contact" TargetMode="External" Id="rId932" /><Relationship Type="http://schemas.openxmlformats.org/officeDocument/2006/relationships/hyperlink" Target="https://lannuaire.service-public.gouv.fr/bretagne/cotes-d-armor/72b96b1a-67d0-4700-8e6f-0e5f829d814d" TargetMode="External" Id="rId933" /><Relationship Type="http://schemas.openxmlformats.org/officeDocument/2006/relationships/hyperlink" Target="mailto:accueil@leffarmor.fr" TargetMode="External" Id="rId934" /><Relationship Type="http://schemas.openxmlformats.org/officeDocument/2006/relationships/hyperlink" Target="https://www.leffarmor.fr" TargetMode="External" Id="rId935" /><Relationship Type="http://schemas.openxmlformats.org/officeDocument/2006/relationships/hyperlink" Target="https://www.leffarmor.fr/systeme/contact/" TargetMode="External" Id="rId936" /><Relationship Type="http://schemas.openxmlformats.org/officeDocument/2006/relationships/hyperlink" Target="https://lannuaire.service-public.gouv.fr/bretagne/cotes-d-armor/fc665dac-214b-4c00-bb07-ee6554a40221" TargetMode="External" Id="rId937" /><Relationship Type="http://schemas.openxmlformats.org/officeDocument/2006/relationships/hyperlink" Target="mailto:standard@loudeac-communaute.bzh" TargetMode="External" Id="rId938" /><Relationship Type="http://schemas.openxmlformats.org/officeDocument/2006/relationships/hyperlink" Target="https://www.bretagnecentre.bzh/" TargetMode="External" Id="rId939" /><Relationship Type="http://schemas.openxmlformats.org/officeDocument/2006/relationships/hyperlink" Target="https://www.bretagnecentre.bzh/pages-pratiques/contact" TargetMode="External" Id="rId940" /><Relationship Type="http://schemas.openxmlformats.org/officeDocument/2006/relationships/hyperlink" Target="https://lannuaire.service-public.gouv.fr/bretagne/cotes-d-armor/b3471481-51de-407f-aacb-794abc6ae014" TargetMode="External" Id="rId941" /><Relationship Type="http://schemas.openxmlformats.org/officeDocument/2006/relationships/hyperlink" Target="https://www.kreiz-breizh.fr/" TargetMode="External" Id="rId942" /><Relationship Type="http://schemas.openxmlformats.org/officeDocument/2006/relationships/hyperlink" Target="https://www.kreiz-breizh.fr/systeme/nous-contacter/" TargetMode="External" Id="rId943" /><Relationship Type="http://schemas.openxmlformats.org/officeDocument/2006/relationships/hyperlink" Target="https://lannuaire.service-public.gouv.fr/bretagne/cotes-d-armor/fa35a782-071e-4cc4-b361-90ba7b87e677" TargetMode="External" Id="rId944" /><Relationship Type="http://schemas.openxmlformats.org/officeDocument/2006/relationships/hyperlink" Target="mailto:poher@poher.bzh" TargetMode="External" Id="rId945" /><Relationship Type="http://schemas.openxmlformats.org/officeDocument/2006/relationships/hyperlink" Target="https://www.poher.bzh/accueil_poher" TargetMode="External" Id="rId946" /><Relationship Type="http://schemas.openxmlformats.org/officeDocument/2006/relationships/hyperlink" Target="https://lannuaire.service-public.gouv.fr/bretagne/finistere/adc98035-5c0a-431b-b852-0e9593fae53b" TargetMode="External" Id="rId947" /><Relationship Type="http://schemas.openxmlformats.org/officeDocument/2006/relationships/hyperlink" Target="mailto:accueil@cote-emeraude.fr" TargetMode="External" Id="rId948" /><Relationship Type="http://schemas.openxmlformats.org/officeDocument/2006/relationships/hyperlink" Target="http://www.cote-emeraude.fr" TargetMode="External" Id="rId949" /><Relationship Type="http://schemas.openxmlformats.org/officeDocument/2006/relationships/hyperlink" Target="https://lannuaire.service-public.gouv.fr/bretagne/ille-et-vilaine/04a79dc2-838c-4a79-b3fa-b0bc8efab3a3" TargetMode="External" Id="rId950" /><Relationship Type="http://schemas.openxmlformats.org/officeDocument/2006/relationships/hyperlink" Target="mailto:info@pontivy-communaute.bzh" TargetMode="External" Id="rId951" /><Relationship Type="http://schemas.openxmlformats.org/officeDocument/2006/relationships/hyperlink" Target="https://www.pontivy-communaute.bzh/" TargetMode="External" Id="rId952" /><Relationship Type="http://schemas.openxmlformats.org/officeDocument/2006/relationships/hyperlink" Target="https://lannuaire.service-public.gouv.fr/bretagne/morbihan/7fe5982f-c685-4acc-baa0-4a789b1d7daf" TargetMode="External" Id="rId953" /><Relationship Type="http://schemas.openxmlformats.org/officeDocument/2006/relationships/hyperlink" Target="mailto:direction.generale@agglo-grandgueret.fr" TargetMode="External" Id="rId954" /><Relationship Type="http://schemas.openxmlformats.org/officeDocument/2006/relationships/hyperlink" Target="https://www.agglo-grandgueret.fr/" TargetMode="External" Id="rId955" /><Relationship Type="http://schemas.openxmlformats.org/officeDocument/2006/relationships/hyperlink" Target="https://lannuaire.service-public.gouv.fr/nouvelle-aquitaine/creuse/11b3f616-22c6-4e0d-b593-c83c9da31b31" TargetMode="External" Id="rId956" /><Relationship Type="http://schemas.openxmlformats.org/officeDocument/2006/relationships/hyperlink" Target="mailto:contact@creuseconfluence.com" TargetMode="External" Id="rId957" /><Relationship Type="http://schemas.openxmlformats.org/officeDocument/2006/relationships/hyperlink" Target="https://www.creuseconfluence.com/" TargetMode="External" Id="rId958" /><Relationship Type="http://schemas.openxmlformats.org/officeDocument/2006/relationships/hyperlink" Target="https://www.creuseconfluence.com/contact/" TargetMode="External" Id="rId959" /><Relationship Type="http://schemas.openxmlformats.org/officeDocument/2006/relationships/hyperlink" Target="https://lannuaire.service-public.gouv.fr/nouvelle-aquitaine/creuse/bdf4be8a-aa7a-49a4-ad2c-1f51001014c6" TargetMode="External" Id="rId960" /><Relationship Type="http://schemas.openxmlformats.org/officeDocument/2006/relationships/hyperlink" Target="mailto:contact@creuse-grand-sud.fr" TargetMode="External" Id="rId961" /><Relationship Type="http://schemas.openxmlformats.org/officeDocument/2006/relationships/hyperlink" Target="https://creuse-grand-sud.fr/" TargetMode="External" Id="rId962" /><Relationship Type="http://schemas.openxmlformats.org/officeDocument/2006/relationships/hyperlink" Target="https://lannuaire.service-public.gouv.fr/nouvelle-aquitaine/creuse/ffa560f6-26e1-40c8-8204-01ed05d7c060" TargetMode="External" Id="rId963" /><Relationship Type="http://schemas.openxmlformats.org/officeDocument/2006/relationships/hyperlink" Target="mailto:accueil@creusesudouest.fr" TargetMode="External" Id="rId964" /><Relationship Type="http://schemas.openxmlformats.org/officeDocument/2006/relationships/hyperlink" Target="https://www.creusesudouest.fr/" TargetMode="External" Id="rId965" /><Relationship Type="http://schemas.openxmlformats.org/officeDocument/2006/relationships/hyperlink" Target="https://www.creusesudouest.fr/communaute-communes/ecoute/contact/" TargetMode="External" Id="rId966" /><Relationship Type="http://schemas.openxmlformats.org/officeDocument/2006/relationships/hyperlink" Target="https://lannuaire.service-public.gouv.fr/nouvelle-aquitaine/creuse/23c8e72b-2e5a-48ff-9ada-bc3546fbcae6" TargetMode="External" Id="rId967" /><Relationship Type="http://schemas.openxmlformats.org/officeDocument/2006/relationships/hyperlink" Target="mailto:accueil@marcheetcombraille.fr" TargetMode="External" Id="rId968" /><Relationship Type="http://schemas.openxmlformats.org/officeDocument/2006/relationships/hyperlink" Target="https://marcheetcombraille.fr/" TargetMode="External" Id="rId969" /><Relationship Type="http://schemas.openxmlformats.org/officeDocument/2006/relationships/hyperlink" Target="https://marcheetcombraille.fr/contact/" TargetMode="External" Id="rId970" /><Relationship Type="http://schemas.openxmlformats.org/officeDocument/2006/relationships/hyperlink" Target="https://lannuaire.service-public.gouv.fr/nouvelle-aquitaine/creuse/429e91a1-9595-4493-b2b1-2703191d3e5c" TargetMode="External" Id="rId971" /><Relationship Type="http://schemas.openxmlformats.org/officeDocument/2006/relationships/hyperlink" Target="mailto:accueil@portesdelacreuseenmarche.fr" TargetMode="External" Id="rId972" /><Relationship Type="http://schemas.openxmlformats.org/officeDocument/2006/relationships/hyperlink" Target="https://www.portesdelacreuseenmarche.fr/" TargetMode="External" Id="rId973" /><Relationship Type="http://schemas.openxmlformats.org/officeDocument/2006/relationships/hyperlink" Target="https://lannuaire.service-public.gouv.fr/nouvelle-aquitaine/creuse/d9c52379-4406-41d4-a17b-473fca6ffed5" TargetMode="External" Id="rId974" /><Relationship Type="http://schemas.openxmlformats.org/officeDocument/2006/relationships/hyperlink" Target="mailto:accueil@ccbgb.fr" TargetMode="External" Id="rId975" /><Relationship Type="http://schemas.openxmlformats.org/officeDocument/2006/relationships/hyperlink" Target="https://benevent-legrandbourg.fr" TargetMode="External" Id="rId976" /><Relationship Type="http://schemas.openxmlformats.org/officeDocument/2006/relationships/hyperlink" Target="https://benevent-legrandbourg.fr/fr/rb/980241/contacts-24" TargetMode="External" Id="rId977" /><Relationship Type="http://schemas.openxmlformats.org/officeDocument/2006/relationships/hyperlink" Target="https://lannuaire.service-public.gouv.fr/nouvelle-aquitaine/creuse/8ace3ce4-6837-4831-bdf6-08f3e9e3e803" TargetMode="External" Id="rId978" /><Relationship Type="http://schemas.openxmlformats.org/officeDocument/2006/relationships/hyperlink" Target="mailto:accueil@ccpaysdunois.fr" TargetMode="External" Id="rId979" /><Relationship Type="http://schemas.openxmlformats.org/officeDocument/2006/relationships/hyperlink" Target="https://www.paysdunois.fr" TargetMode="External" Id="rId980" /><Relationship Type="http://schemas.openxmlformats.org/officeDocument/2006/relationships/hyperlink" Target="https://www.paysdunois.fr/spip.php?article162" TargetMode="External" Id="rId981" /><Relationship Type="http://schemas.openxmlformats.org/officeDocument/2006/relationships/hyperlink" Target="https://lannuaire.service-public.gouv.fr/nouvelle-aquitaine/creuse/485773dd-6a34-41c8-92ea-b37a5253099f" TargetMode="External" Id="rId982" /><Relationship Type="http://schemas.openxmlformats.org/officeDocument/2006/relationships/hyperlink" Target="mailto:infos@cco23.fr" TargetMode="External" Id="rId983" /><Relationship Type="http://schemas.openxmlformats.org/officeDocument/2006/relationships/hyperlink" Target="https://www.pays-sostranien.fr" TargetMode="External" Id="rId984" /><Relationship Type="http://schemas.openxmlformats.org/officeDocument/2006/relationships/hyperlink" Target="https://lannuaire.service-public.gouv.fr/nouvelle-aquitaine/creuse/1141f74f-0a09-406b-a982-ca24ceb0e687" TargetMode="External" Id="rId985" /><Relationship Type="http://schemas.openxmlformats.org/officeDocument/2006/relationships/hyperlink" Target="mailto:contact@la-cab.fr" TargetMode="External" Id="rId986" /><Relationship Type="http://schemas.openxmlformats.org/officeDocument/2006/relationships/hyperlink" Target="https://www.la-cab.fr/" TargetMode="External" Id="rId987" /><Relationship Type="http://schemas.openxmlformats.org/officeDocument/2006/relationships/hyperlink" Target="https://www.la-cab.fr/contact/" TargetMode="External" Id="rId988" /><Relationship Type="http://schemas.openxmlformats.org/officeDocument/2006/relationships/hyperlink" Target="https://lannuaire.service-public.gouv.fr/nouvelle-aquitaine/dordogne/36e84de1-06cd-44c9-a835-87515b97f146" TargetMode="External" Id="rId989" /><Relationship Type="http://schemas.openxmlformats.org/officeDocument/2006/relationships/hyperlink" Target="mailto:contact@grandperigueux.fr" TargetMode="External" Id="rId990" /><Relationship Type="http://schemas.openxmlformats.org/officeDocument/2006/relationships/hyperlink" Target="https://www.grandperigueux.fr/" TargetMode="External" Id="rId991" /><Relationship Type="http://schemas.openxmlformats.org/officeDocument/2006/relationships/hyperlink" Target="https://www.grandperigueux.fr/informations-pratiques/contact" TargetMode="External" Id="rId992" /><Relationship Type="http://schemas.openxmlformats.org/officeDocument/2006/relationships/hyperlink" Target="https://lannuaire.service-public.gouv.fr/nouvelle-aquitaine/dordogne/99794583-62bc-4ea8-861c-51ce457e918f" TargetMode="External" Id="rId993" /><Relationship Type="http://schemas.openxmlformats.org/officeDocument/2006/relationships/hyperlink" Target="mailto:accueil@dronneetbelle.fr" TargetMode="External" Id="rId994" /><Relationship Type="http://schemas.openxmlformats.org/officeDocument/2006/relationships/hyperlink" Target="https://dronneetbelle.fr/" TargetMode="External" Id="rId995" /><Relationship Type="http://schemas.openxmlformats.org/officeDocument/2006/relationships/hyperlink" Target="https://dronneetbelle.fr/contacts/" TargetMode="External" Id="rId996" /><Relationship Type="http://schemas.openxmlformats.org/officeDocument/2006/relationships/hyperlink" Target="https://lannuaire.service-public.gouv.fr/nouvelle-aquitaine/dordogne/6bc8d36a-6761-40ea-ba44-db904bdfb6e7" TargetMode="External" Id="rId997" /><Relationship Type="http://schemas.openxmlformats.org/officeDocument/2006/relationships/hyperlink" Target="mailto:accueil@ccidl.fr" TargetMode="External" Id="rId998" /><Relationship Type="http://schemas.openxmlformats.org/officeDocument/2006/relationships/hyperlink" Target="https://ccidl.fr/" TargetMode="External" Id="rId999" /><Relationship Type="http://schemas.openxmlformats.org/officeDocument/2006/relationships/hyperlink" Target="https://ccidl.fr/contactez-nous/" TargetMode="External" Id="rId1000" /><Relationship Type="http://schemas.openxmlformats.org/officeDocument/2006/relationships/hyperlink" Target="https://lannuaire.service-public.gouv.fr/nouvelle-aquitaine/dordogne/1dbfa22b-03f5-437e-b404-f62e60ebbd3e" TargetMode="External" Id="rId1001" /><Relationship Type="http://schemas.openxmlformats.org/officeDocument/2006/relationships/hyperlink" Target="mailto:contact@ccivs.fr" TargetMode="External" Id="rId1002" /><Relationship Type="http://schemas.openxmlformats.org/officeDocument/2006/relationships/hyperlink" Target="https://www.ccivs.fr/" TargetMode="External" Id="rId1003" /><Relationship Type="http://schemas.openxmlformats.org/officeDocument/2006/relationships/hyperlink" Target="https://www.ccivs.fr/contactez-nous" TargetMode="External" Id="rId1004" /><Relationship Type="http://schemas.openxmlformats.org/officeDocument/2006/relationships/hyperlink" Target="https://lannuaire.service-public.gouv.fr/nouvelle-aquitaine/dordogne/c8fdc588-fa83-4a31-84a9-020a33290c0e" TargetMode="External" Id="rId1005" /><Relationship Type="http://schemas.openxmlformats.org/officeDocument/2006/relationships/hyperlink" Target="mailto:ccicp@ccicp.fr" TargetMode="External" Id="rId1006" /><Relationship Type="http://schemas.openxmlformats.org/officeDocument/2006/relationships/hyperlink" Target="https://isle-et-crempse-en-perigord.fr/" TargetMode="External" Id="rId1007" /><Relationship Type="http://schemas.openxmlformats.org/officeDocument/2006/relationships/hyperlink" Target="https://isle-et-crempse-en-perigord.fr/contact/" TargetMode="External" Id="rId1008" /><Relationship Type="http://schemas.openxmlformats.org/officeDocument/2006/relationships/hyperlink" Target="https://lannuaire.service-public.gouv.fr/nouvelle-aquitaine/dordogne/9bd923fc-dc25-4b31-9ece-61eb80ddc778" TargetMode="External" Id="rId1009" /><Relationship Type="http://schemas.openxmlformats.org/officeDocument/2006/relationships/hyperlink" Target="mailto:contact@ccilap.fr" TargetMode="External" Id="rId1010" /><Relationship Type="http://schemas.openxmlformats.org/officeDocument/2006/relationships/hyperlink" Target="https://www.ccilap.fr/" TargetMode="External" Id="rId1011" /><Relationship Type="http://schemas.openxmlformats.org/officeDocument/2006/relationships/hyperlink" Target="https://lannuaire.service-public.gouv.fr/nouvelle-aquitaine/dordogne/57d9fc64-223b-44da-9f49-ffabb663372e" TargetMode="External" Id="rId1012" /><Relationship Type="http://schemas.openxmlformats.org/officeDocument/2006/relationships/hyperlink" Target="mailto:contact@perigord-limousin.fr" TargetMode="External" Id="rId1013" /><Relationship Type="http://schemas.openxmlformats.org/officeDocument/2006/relationships/hyperlink" Target="https://www.perigord-limousin.fr/" TargetMode="External" Id="rId1014" /><Relationship Type="http://schemas.openxmlformats.org/officeDocument/2006/relationships/hyperlink" Target="https://www.facebook.com/communautedecommunesperigordlimousin/" TargetMode="External" Id="rId1015" /><Relationship Type="http://schemas.openxmlformats.org/officeDocument/2006/relationships/hyperlink" Target="https://lannuaire.service-public.gouv.fr/nouvelle-aquitaine/dordogne/dc0d7a05-78bd-406e-b684-7842ce9b0c31" TargetMode="External" Id="rId1016" /><Relationship Type="http://schemas.openxmlformats.org/officeDocument/2006/relationships/hyperlink" Target="mailto:accueil.ccspn@sarlat.fr" TargetMode="External" Id="rId1017" /><Relationship Type="http://schemas.openxmlformats.org/officeDocument/2006/relationships/hyperlink" Target="https://www.cc-sarlatperigordnoir.fr/" TargetMode="External" Id="rId1018" /><Relationship Type="http://schemas.openxmlformats.org/officeDocument/2006/relationships/hyperlink" Target="https://www.cc-sarlatperigordnoir.fr/contact/" TargetMode="External" Id="rId1019" /><Relationship Type="http://schemas.openxmlformats.org/officeDocument/2006/relationships/hyperlink" Target="https://lannuaire.service-public.gouv.fr/nouvelle-aquitaine/dordogne/a8161d3e-c749-4dd4-b8d4-bbcf553bd5e6" TargetMode="External" Id="rId1020" /><Relationship Type="http://schemas.openxmlformats.org/officeDocument/2006/relationships/hyperlink" Target="mailto:contact@ccthpn.fr" TargetMode="External" Id="rId1021" /><Relationship Type="http://schemas.openxmlformats.org/officeDocument/2006/relationships/hyperlink" Target="https://ccthpn.fr/" TargetMode="External" Id="rId1022" /><Relationship Type="http://schemas.openxmlformats.org/officeDocument/2006/relationships/hyperlink" Target="https://ccthpn.fr/formulaire-de-contact/" TargetMode="External" Id="rId1023" /><Relationship Type="http://schemas.openxmlformats.org/officeDocument/2006/relationships/hyperlink" Target="https://lannuaire.service-public.gouv.fr/nouvelle-aquitaine/dordogne/3eadc106-7981-44a1-83ab-9961e03a1ddf" TargetMode="External" Id="rId1024" /><Relationship Type="http://schemas.openxmlformats.org/officeDocument/2006/relationships/hyperlink" Target="mailto:contact@ccvdfb.fr" TargetMode="External" Id="rId1025" /><Relationship Type="http://schemas.openxmlformats.org/officeDocument/2006/relationships/hyperlink" Target="https://www.ccdordogne-bessede.fr/" TargetMode="External" Id="rId1026" /><Relationship Type="http://schemas.openxmlformats.org/officeDocument/2006/relationships/hyperlink" Target="https://ccdordogne-bessede.fr/contact/" TargetMode="External" Id="rId1027" /><Relationship Type="http://schemas.openxmlformats.org/officeDocument/2006/relationships/hyperlink" Target="https://lannuaire.service-public.gouv.fr/nouvelle-aquitaine/dordogne/2248afa7-4f03-4f4a-ac50-bb42e1633c26" TargetMode="External" Id="rId1028" /><Relationship Type="http://schemas.openxmlformats.org/officeDocument/2006/relationships/hyperlink" Target="mailto:contact@comcomdv.fr" TargetMode="External" Id="rId1029" /><Relationship Type="http://schemas.openxmlformats.org/officeDocument/2006/relationships/hyperlink" Target="https://domme-villefranche-du-perigord.fr/" TargetMode="External" Id="rId1030" /><Relationship Type="http://schemas.openxmlformats.org/officeDocument/2006/relationships/hyperlink" Target="https://lannuaire.service-public.gouv.fr/nouvelle-aquitaine/dordogne/7fd40a17-6ef7-42a1-a528-9f32c7e49123" TargetMode="External" Id="rId1031" /><Relationship Type="http://schemas.openxmlformats.org/officeDocument/2006/relationships/hyperlink" Target="mailto:direction@cdcmmg.fr" TargetMode="External" Id="rId1032" /><Relationship Type="http://schemas.openxmlformats.org/officeDocument/2006/relationships/hyperlink" Target="https://www.cdcmontaignemontravelgurson.fr" TargetMode="External" Id="rId1033" /><Relationship Type="http://schemas.openxmlformats.org/officeDocument/2006/relationships/hyperlink" Target="https://www.cdcmontaignemontravelgurson.fr/contacts.html" TargetMode="External" Id="rId1034" /><Relationship Type="http://schemas.openxmlformats.org/officeDocument/2006/relationships/hyperlink" Target="https://lannuaire.service-public.gouv.fr/nouvelle-aquitaine/dordogne/b0f592c1-153d-46fa-acbf-e4518f1790ec" TargetMode="External" Id="rId1035" /><Relationship Type="http://schemas.openxmlformats.org/officeDocument/2006/relationships/hyperlink" Target="mailto:accueil@ccpsp24.fr" TargetMode="External" Id="rId1036" /><Relationship Type="http://schemas.openxmlformats.org/officeDocument/2006/relationships/hyperlink" Target="https://www.ccpsp24.fr" TargetMode="External" Id="rId1037" /><Relationship Type="http://schemas.openxmlformats.org/officeDocument/2006/relationships/hyperlink" Target="https://www.ccpsp24.fr/fr/nous-contacter" TargetMode="External" Id="rId1038" /><Relationship Type="http://schemas.openxmlformats.org/officeDocument/2006/relationships/hyperlink" Target="https://lannuaire.service-public.gouv.fr/nouvelle-aquitaine/dordogne/5b025aea-1a13-45b2-82f6-6dbef818020a" TargetMode="External" Id="rId1039" /><Relationship Type="http://schemas.openxmlformats.org/officeDocument/2006/relationships/hyperlink" Target="mailto:contact@cc-vh.fr" TargetMode="External" Id="rId1040" /><Relationship Type="http://schemas.openxmlformats.org/officeDocument/2006/relationships/hyperlink" Target="https://www.cc-valleedelhomme.fr" TargetMode="External" Id="rId1041" /><Relationship Type="http://schemas.openxmlformats.org/officeDocument/2006/relationships/hyperlink" Target="https://www.cc-valleedelhomme.fr/contacts/" TargetMode="External" Id="rId1042" /><Relationship Type="http://schemas.openxmlformats.org/officeDocument/2006/relationships/hyperlink" Target="https://lannuaire.service-public.gouv.fr/nouvelle-aquitaine/dordogne/e948bb90-935a-428d-8a46-f1bf083c3201" TargetMode="External" Id="rId1043" /><Relationship Type="http://schemas.openxmlformats.org/officeDocument/2006/relationships/hyperlink" Target="mailto:ccbdp@ccbdp.fr" TargetMode="External" Id="rId1044" /><Relationship Type="http://schemas.openxmlformats.org/officeDocument/2006/relationships/hyperlink" Target="https://ccbdp.fr/" TargetMode="External" Id="rId1045" /><Relationship Type="http://schemas.openxmlformats.org/officeDocument/2006/relationships/hyperlink" Target="https://lannuaire.service-public.gouv.fr/nouvelle-aquitaine/dordogne/13e33b66-605e-4952-a164-83fa14ac5b14" TargetMode="External" Id="rId1046" /><Relationship Type="http://schemas.openxmlformats.org/officeDocument/2006/relationships/hyperlink" Target="mailto:accueil@paysdefenelon.fr" TargetMode="External" Id="rId1047" /><Relationship Type="http://schemas.openxmlformats.org/officeDocument/2006/relationships/hyperlink" Target="https://www.paysdefenelon.fr/" TargetMode="External" Id="rId1048" /><Relationship Type="http://schemas.openxmlformats.org/officeDocument/2006/relationships/hyperlink" Target="https://www.paysdefenelon.fr/contact/" TargetMode="External" Id="rId1049" /><Relationship Type="http://schemas.openxmlformats.org/officeDocument/2006/relationships/hyperlink" Target="https://lannuaire.service-public.gouv.fr/nouvelle-aquitaine/dordogne/315da0f8-ace8-46da-8f7b-7a4965a99a53" TargetMode="External" Id="rId1050" /><Relationship Type="http://schemas.openxmlformats.org/officeDocument/2006/relationships/hyperlink" Target="mailto:cdc-staulaye@orange.fr" TargetMode="External" Id="rId1051" /><Relationship Type="http://schemas.openxmlformats.org/officeDocument/2006/relationships/hyperlink" Target="http://www.cc-paysdesaintaulaye.fr" TargetMode="External" Id="rId1052" /><Relationship Type="http://schemas.openxmlformats.org/officeDocument/2006/relationships/hyperlink" Target="https://lannuaire.service-public.gouv.fr/nouvelle-aquitaine/dordogne/0db38f84-ee88-48b9-84b3-fb3c193497d9" TargetMode="External" Id="rId1053" /><Relationship Type="http://schemas.openxmlformats.org/officeDocument/2006/relationships/hyperlink" Target="mailto:accueil@ccpn.fr" TargetMode="External" Id="rId1054" /><Relationship Type="http://schemas.openxmlformats.org/officeDocument/2006/relationships/hyperlink" Target="https://www.perigord-nontronnais.fr/" TargetMode="External" Id="rId1055" /><Relationship Type="http://schemas.openxmlformats.org/officeDocument/2006/relationships/hyperlink" Target="https://www.perigord-nontronnais.fr/contact/" TargetMode="External" Id="rId1056" /><Relationship Type="http://schemas.openxmlformats.org/officeDocument/2006/relationships/hyperlink" Target="https://lannuaire.service-public.gouv.fr/nouvelle-aquitaine/dordogne/ffd7c770-41f3-4e0b-b73a-0fd731748f72" TargetMode="External" Id="rId1057" /><Relationship Type="http://schemas.openxmlformats.org/officeDocument/2006/relationships/hyperlink" Target="mailto:contact@ccpr24.fr" TargetMode="External" Id="rId1058" /><Relationship Type="http://schemas.openxmlformats.org/officeDocument/2006/relationships/hyperlink" Target="https://ccpr24.fr/" TargetMode="External" Id="rId1059" /><Relationship Type="http://schemas.openxmlformats.org/officeDocument/2006/relationships/hyperlink" Target="https://ccpr24.fr/contactez-nous/" TargetMode="External" Id="rId1060" /><Relationship Type="http://schemas.openxmlformats.org/officeDocument/2006/relationships/hyperlink" Target="https://lannuaire.service-public.gouv.fr/nouvelle-aquitaine/dordogne/1f2b8e0d-8d61-49a9-bf42-b073f9c62aa9" TargetMode="External" Id="rId1061" /><Relationship Type="http://schemas.openxmlformats.org/officeDocument/2006/relationships/hyperlink" Target="mailto:secretariat@castillonpujols.fr" TargetMode="External" Id="rId1062" /><Relationship Type="http://schemas.openxmlformats.org/officeDocument/2006/relationships/hyperlink" Target="https://www.castillonpujols.fr/" TargetMode="External" Id="rId1063" /><Relationship Type="http://schemas.openxmlformats.org/officeDocument/2006/relationships/hyperlink" Target="https://www.castillonpujols.fr/contactez-nous/" TargetMode="External" Id="rId1064" /><Relationship Type="http://schemas.openxmlformats.org/officeDocument/2006/relationships/hyperlink" Target="https://lannuaire.service-public.gouv.fr/nouvelle-aquitaine/gironde/938d7116-e8ed-4bfb-b47f-663d55aea58e" TargetMode="External" Id="rId1065" /><Relationship Type="http://schemas.openxmlformats.org/officeDocument/2006/relationships/hyperlink" Target="mailto:contact@paysfoyen.fr" TargetMode="External" Id="rId1066" /><Relationship Type="http://schemas.openxmlformats.org/officeDocument/2006/relationships/hyperlink" Target="https://www.paysfoyen.fr/" TargetMode="External" Id="rId1067" /><Relationship Type="http://schemas.openxmlformats.org/officeDocument/2006/relationships/hyperlink" Target="https://www.paysfoyen.fr/contact-pays-foyen-nouvelle-aquitaine_fr.html" TargetMode="External" Id="rId1068" /><Relationship Type="http://schemas.openxmlformats.org/officeDocument/2006/relationships/hyperlink" Target="https://lannuaire.service-public.gouv.fr/nouvelle-aquitaine/gironde/a107cb3e-964b-4fea-8077-fb4d1790228d" TargetMode="External" Id="rId1069" /><Relationship Type="http://schemas.openxmlformats.org/officeDocument/2006/relationships/hyperlink" Target="https://www.agglo-montbeliard.fr/" TargetMode="External" Id="rId1070" /><Relationship Type="http://schemas.openxmlformats.org/officeDocument/2006/relationships/hyperlink" Target="https://www.agglo-montbeliard.fr/contact" TargetMode="External" Id="rId1071" /><Relationship Type="http://schemas.openxmlformats.org/officeDocument/2006/relationships/hyperlink" Target="https://lannuaire.service-public.gouv.fr/bourgogne-franche-comte/doubs/391918a0-18bb-467f-8c91-d94088efcde8" TargetMode="External" Id="rId1072" /><Relationship Type="http://schemas.openxmlformats.org/officeDocument/2006/relationships/hyperlink" Target="mailto:cca@cca800.fr" TargetMode="External" Id="rId1073" /><Relationship Type="http://schemas.openxmlformats.org/officeDocument/2006/relationships/hyperlink" Target="https://cca800.fr/fr/" TargetMode="External" Id="rId1074" /><Relationship Type="http://schemas.openxmlformats.org/officeDocument/2006/relationships/hyperlink" Target="https://cca800.fr/fr/" TargetMode="External" Id="rId1075" /><Relationship Type="http://schemas.openxmlformats.org/officeDocument/2006/relationships/hyperlink" Target="https://lannuaire.service-public.gouv.fr/bourgogne-franche-comte/doubs/5bffaaa9-0d3a-4452-bdcb-78ba38d7a5a0" TargetMode="External" Id="rId1076" /><Relationship Type="http://schemas.openxmlformats.org/officeDocument/2006/relationships/hyperlink" Target="mailto:contact@doubs-loue.fr" TargetMode="External" Id="rId1077" /><Relationship Type="http://schemas.openxmlformats.org/officeDocument/2006/relationships/hyperlink" Target="https://www.cc-montbenoit.fr/" TargetMode="External" Id="rId1078" /><Relationship Type="http://schemas.openxmlformats.org/officeDocument/2006/relationships/hyperlink" Target="https://www.cc-montbenoit.fr/contact" TargetMode="External" Id="rId1079" /><Relationship Type="http://schemas.openxmlformats.org/officeDocument/2006/relationships/hyperlink" Target="https://lannuaire.service-public.gouv.fr/bourgogne-franche-comte/doubs/362a5337-b2f8-43a4-98bc-b02d973bc152" TargetMode="External" Id="rId1080" /><Relationship Type="http://schemas.openxmlformats.org/officeDocument/2006/relationships/hyperlink" Target="mailto:contact@cclouelison.fr" TargetMode="External" Id="rId1081" /><Relationship Type="http://schemas.openxmlformats.org/officeDocument/2006/relationships/hyperlink" Target="https://cclouelison.fr/fr/" TargetMode="External" Id="rId1082" /><Relationship Type="http://schemas.openxmlformats.org/officeDocument/2006/relationships/hyperlink" Target="https://cclouelison.fr/fr/rb/384373/le-territoire-4" TargetMode="External" Id="rId1083" /><Relationship Type="http://schemas.openxmlformats.org/officeDocument/2006/relationships/hyperlink" Target="https://lannuaire.service-public.gouv.fr/bourgogne-franche-comte/doubs/2d1e88bf-eabe-4dce-a43e-2d2639037784" TargetMode="External" Id="rId1084" /><Relationship Type="http://schemas.openxmlformats.org/officeDocument/2006/relationships/hyperlink" Target="mailto:contact@cc2vv.fr" TargetMode="External" Id="rId1085" /><Relationship Type="http://schemas.openxmlformats.org/officeDocument/2006/relationships/hyperlink" Target="https://www.cc2vv.fr/" TargetMode="External" Id="rId1086" /><Relationship Type="http://schemas.openxmlformats.org/officeDocument/2006/relationships/hyperlink" Target="https://lannuaire.service-public.gouv.fr/bourgogne-franche-comte/doubs/10ba482e-6f1a-45dc-9fc1-ea2acb236d70" TargetMode="External" Id="rId1087" /><Relationship Type="http://schemas.openxmlformats.org/officeDocument/2006/relationships/hyperlink" Target="mailto:accueil@cclmhd.fr" TargetMode="External" Id="rId1088" /><Relationship Type="http://schemas.openxmlformats.org/officeDocument/2006/relationships/hyperlink" Target="https://www.cclmhd.fr/" TargetMode="External" Id="rId1089" /><Relationship Type="http://schemas.openxmlformats.org/officeDocument/2006/relationships/hyperlink" Target="https://cclmhd.fr/contact/" TargetMode="External" Id="rId1090" /><Relationship Type="http://schemas.openxmlformats.org/officeDocument/2006/relationships/hyperlink" Target="https://lannuaire.service-public.gouv.fr/bourgogne-franche-comte/doubs/d77da0b8-ec15-4493-bb14-8af1c2e53e6e" TargetMode="External" Id="rId1091" /><Relationship Type="http://schemas.openxmlformats.org/officeDocument/2006/relationships/hyperlink" Target="mailto:contact@portes-haut-doubs.fr" TargetMode="External" Id="rId1092" /><Relationship Type="http://schemas.openxmlformats.org/officeDocument/2006/relationships/hyperlink" Target="https://www.portes-haut-doubs.com/" TargetMode="External" Id="rId1093" /><Relationship Type="http://schemas.openxmlformats.org/officeDocument/2006/relationships/hyperlink" Target="https://www.portes-haut-doubs.com/contact" TargetMode="External" Id="rId1094" /><Relationship Type="http://schemas.openxmlformats.org/officeDocument/2006/relationships/hyperlink" Target="https://lannuaire.service-public.gouv.fr/bourgogne-franche-comte/doubs/91d35ecd-d694-4758-a28c-1496caff22d6" TargetMode="External" Id="rId1095" /><Relationship Type="http://schemas.openxmlformats.org/officeDocument/2006/relationships/hyperlink" Target="mailto:contact@doubsbaumois.org" TargetMode="External" Id="rId1096" /><Relationship Type="http://schemas.openxmlformats.org/officeDocument/2006/relationships/hyperlink" Target="https://doubsbaumois.org/" TargetMode="External" Id="rId1097" /><Relationship Type="http://schemas.openxmlformats.org/officeDocument/2006/relationships/hyperlink" Target="https://doubsbaumois.org/nous-contacter/" TargetMode="External" Id="rId1098" /><Relationship Type="http://schemas.openxmlformats.org/officeDocument/2006/relationships/hyperlink" Target="https://lannuaire.service-public.gouv.fr/bourgogne-franche-comte/doubs/52eb697d-7755-415b-af00-205b8b98f8af" TargetMode="External" Id="rId1099" /><Relationship Type="http://schemas.openxmlformats.org/officeDocument/2006/relationships/hyperlink" Target="mailto:contact@grandpontarlier.fr" TargetMode="External" Id="rId1100" /><Relationship Type="http://schemas.openxmlformats.org/officeDocument/2006/relationships/hyperlink" Target="https://www.grandpontarlier.fr/" TargetMode="External" Id="rId1101" /><Relationship Type="http://schemas.openxmlformats.org/officeDocument/2006/relationships/hyperlink" Target="https://lannuaire.service-public.gouv.fr/bourgogne-franche-comte/doubs/8a77d268-8902-4b1a-9ac2-12e93a0e5e6e" TargetMode="External" Id="rId1102" /><Relationship Type="http://schemas.openxmlformats.org/officeDocument/2006/relationships/hyperlink" Target="mailto:contact@ccpm-maiche.com" TargetMode="External" Id="rId1103" /><Relationship Type="http://schemas.openxmlformats.org/officeDocument/2006/relationships/hyperlink" Target="http://www.ccpaysmaiche.fr" TargetMode="External" Id="rId1104" /><Relationship Type="http://schemas.openxmlformats.org/officeDocument/2006/relationships/hyperlink" Target="http://www.ccpaysmaiche.fr/fr/contact" TargetMode="External" Id="rId1105" /><Relationship Type="http://schemas.openxmlformats.org/officeDocument/2006/relationships/hyperlink" Target="https://lannuaire.service-public.gouv.fr/bourgogne-franche-comte/doubs/b7785555-3f4e-44ee-8f41-ea944ddeedd8" TargetMode="External" Id="rId1106" /><Relationship Type="http://schemas.openxmlformats.org/officeDocument/2006/relationships/hyperlink" Target="mailto:secretariat@frasnedrugeon-cfd.fr" TargetMode="External" Id="rId1107" /><Relationship Type="http://schemas.openxmlformats.org/officeDocument/2006/relationships/hyperlink" Target="https://www.frasnedrugeon-cfd.fr/" TargetMode="External" Id="rId1108" /><Relationship Type="http://schemas.openxmlformats.org/officeDocument/2006/relationships/hyperlink" Target="https://www.frasnedrugeon-cfd.fr/contact/" TargetMode="External" Id="rId1109" /><Relationship Type="http://schemas.openxmlformats.org/officeDocument/2006/relationships/hyperlink" Target="https://lannuaire.service-public.gouv.fr/bourgogne-franche-comte/doubs/69b3ebf7-b06d-466f-b028-d6bd38b0c6a1" TargetMode="External" Id="rId1110" /><Relationship Type="http://schemas.openxmlformats.org/officeDocument/2006/relationships/hyperlink" Target="mailto:contact@cc-russey.fr" TargetMode="External" Id="rId1111" /><Relationship Type="http://schemas.openxmlformats.org/officeDocument/2006/relationships/hyperlink" Target="https://cc-russey.fr/fr/" TargetMode="External" Id="rId1112" /><Relationship Type="http://schemas.openxmlformats.org/officeDocument/2006/relationships/hyperlink" Target="https://lannuaire.service-public.gouv.fr/bourgogne-franche-comte/doubs/9c948202-41df-475c-ac8b-36e0f583e4ef" TargetMode="External" Id="rId1113" /><Relationship Type="http://schemas.openxmlformats.org/officeDocument/2006/relationships/hyperlink" Target="mailto:morteau@morteau.org" TargetMode="External" Id="rId1114" /><Relationship Type="http://schemas.openxmlformats.org/officeDocument/2006/relationships/hyperlink" Target="https://www.cc-valdemorteau.fr/" TargetMode="External" Id="rId1115" /><Relationship Type="http://schemas.openxmlformats.org/officeDocument/2006/relationships/hyperlink" Target="https://www.cc-valdemorteau.fr/votre-communaute-de-communes/infos-pratiques/contact/" TargetMode="External" Id="rId1116" /><Relationship Type="http://schemas.openxmlformats.org/officeDocument/2006/relationships/hyperlink" Target="https://lannuaire.service-public.gouv.fr/bourgogne-franche-comte/doubs/dc5467e4-8e34-407b-b254-35dc3f0c7228" TargetMode="External" Id="rId1117" /><Relationship Type="http://schemas.openxmlformats.org/officeDocument/2006/relationships/hyperlink" Target="mailto:contact.gbm@grandbesancon.fr" TargetMode="External" Id="rId1118" /><Relationship Type="http://schemas.openxmlformats.org/officeDocument/2006/relationships/hyperlink" Target="https://www.grandbesancon.fr/" TargetMode="External" Id="rId1119" /><Relationship Type="http://schemas.openxmlformats.org/officeDocument/2006/relationships/hyperlink" Target="https://www.grandbesancon.fr/grand-besancon-metropole-nous-contacter/" TargetMode="External" Id="rId1120" /><Relationship Type="http://schemas.openxmlformats.org/officeDocument/2006/relationships/hyperlink" Target="https://lannuaire.service-public.gouv.fr/bourgogne-franche-comte/doubs/4a954010-1afe-472b-9d3f-f471cf546500" TargetMode="External" Id="rId1121" /><Relationship Type="http://schemas.openxmlformats.org/officeDocument/2006/relationships/hyperlink" Target="mailto:contact@payshericourt.fr" TargetMode="External" Id="rId1122" /><Relationship Type="http://schemas.openxmlformats.org/officeDocument/2006/relationships/hyperlink" Target="https://www.payshericourt.fr/" TargetMode="External" Id="rId1123" /><Relationship Type="http://schemas.openxmlformats.org/officeDocument/2006/relationships/hyperlink" Target="https://www.payshericourt.fr/rubrique.php?id=249#RubEnCours" TargetMode="External" Id="rId1124" /><Relationship Type="http://schemas.openxmlformats.org/officeDocument/2006/relationships/hyperlink" Target="https://lannuaire.service-public.gouv.fr/bourgogne-franche-comte/haute-saone/c6b3c529-d97b-43e7-a8f6-db70d290ce34" TargetMode="External" Id="rId1125" /><Relationship Type="http://schemas.openxmlformats.org/officeDocument/2006/relationships/hyperlink" Target="mailto:accueil@cc-villersexel.fr" TargetMode="External" Id="rId1126" /><Relationship Type="http://schemas.openxmlformats.org/officeDocument/2006/relationships/hyperlink" Target="https://cc-villersexel.fr/" TargetMode="External" Id="rId1127" /><Relationship Type="http://schemas.openxmlformats.org/officeDocument/2006/relationships/hyperlink" Target="https://lannuaire.service-public.gouv.fr/bourgogne-franche-comte/haute-saone/fff137ad-a7e5-4c3c-8c8a-934c41293b5b" TargetMode="External" Id="rId1128" /><Relationship Type="http://schemas.openxmlformats.org/officeDocument/2006/relationships/hyperlink" Target="mailto:cc@valmarnaysien.com" TargetMode="External" Id="rId1129" /><Relationship Type="http://schemas.openxmlformats.org/officeDocument/2006/relationships/hyperlink" Target="https://valmarnaysien.com/" TargetMode="External" Id="rId1130" /><Relationship Type="http://schemas.openxmlformats.org/officeDocument/2006/relationships/hyperlink" Target="https://valmarnaysien.com/contact--1632138199.html" TargetMode="External" Id="rId1131" /><Relationship Type="http://schemas.openxmlformats.org/officeDocument/2006/relationships/hyperlink" Target="https://lannuaire.service-public.gouv.fr/bourgogne-franche-comte/haute-saone/2aa73826-fc01-43f2-9498-b4d69019ce55" TargetMode="External" Id="rId1132" /><Relationship Type="http://schemas.openxmlformats.org/officeDocument/2006/relationships/hyperlink" Target="mailto:contact@montelimar-agglo.fr" TargetMode="External" Id="rId1133" /><Relationship Type="http://schemas.openxmlformats.org/officeDocument/2006/relationships/hyperlink" Target="https://www.montelimar-agglo.fr/" TargetMode="External" Id="rId1134" /><Relationship Type="http://schemas.openxmlformats.org/officeDocument/2006/relationships/hyperlink" Target="https://www.montelimar-agglo.fr/vie-quotidienne/contact" TargetMode="External" Id="rId1135" /><Relationship Type="http://schemas.openxmlformats.org/officeDocument/2006/relationships/hyperlink" Target="https://lannuaire.service-public.gouv.fr/auvergne-rhone-alpes/drome/e3dfe242-624f-4114-b34b-45bca540ccf1" TargetMode="External" Id="rId1136" /><Relationship Type="http://schemas.openxmlformats.org/officeDocument/2006/relationships/hyperlink" Target="mailto:accueil@valenceromansagglo.fr" TargetMode="External" Id="rId1137" /><Relationship Type="http://schemas.openxmlformats.org/officeDocument/2006/relationships/hyperlink" Target="https://www.valenceromansagglo.fr/fr/index.html" TargetMode="External" Id="rId1138" /><Relationship Type="http://schemas.openxmlformats.org/officeDocument/2006/relationships/hyperlink" Target="https://lannuaire.service-public.gouv.fr/auvergne-rhone-alpes/drome/7f0de546-5ef7-4c28-9831-842f6b78ab78" TargetMode="External" Id="rId1139" /><Relationship Type="http://schemas.openxmlformats.org/officeDocument/2006/relationships/hyperlink" Target="mailto:ccpd.courrier@orange.fr" TargetMode="External" Id="rId1140" /><Relationship Type="http://schemas.openxmlformats.org/officeDocument/2006/relationships/hyperlink" Target="https://www.ccdb26.fr/" TargetMode="External" Id="rId1141" /><Relationship Type="http://schemas.openxmlformats.org/officeDocument/2006/relationships/hyperlink" Target="https://www.ccdb26.fr/contacts/" TargetMode="External" Id="rId1142" /><Relationship Type="http://schemas.openxmlformats.org/officeDocument/2006/relationships/hyperlink" Target="https://lannuaire.service-public.gouv.fr/auvergne-rhone-alpes/drome/4cf23729-29ea-4838-8e81-32c28fda680f" TargetMode="External" Id="rId1143" /><Relationship Type="http://schemas.openxmlformats.org/officeDocument/2006/relationships/hyperlink" Target="mailto:secretariat@ccdsp.fr" TargetMode="External" Id="rId1144" /><Relationship Type="http://schemas.openxmlformats.org/officeDocument/2006/relationships/hyperlink" Target="https://www.ccdsp.fr/" TargetMode="External" Id="rId1145" /><Relationship Type="http://schemas.openxmlformats.org/officeDocument/2006/relationships/hyperlink" Target="https://www.ccdsp.fr/contact" TargetMode="External" Id="rId1146" /><Relationship Type="http://schemas.openxmlformats.org/officeDocument/2006/relationships/hyperlink" Target="https://lannuaire.service-public.gouv.fr/auvergne-rhone-alpes/drome/4ed2aa08-9486-4143-8ef4-8f765305cf15" TargetMode="External" Id="rId1147" /><Relationship Type="http://schemas.openxmlformats.org/officeDocument/2006/relationships/hyperlink" Target="mailto:ccbdp@cc-bdp.fr" TargetMode="External" Id="rId1148" /><Relationship Type="http://schemas.openxmlformats.org/officeDocument/2006/relationships/hyperlink" Target="https://www.cc-bdp.fr/" TargetMode="External" Id="rId1149" /><Relationship Type="http://schemas.openxmlformats.org/officeDocument/2006/relationships/hyperlink" Target="https://lannuaire.service-public.gouv.fr/auvergne-rhone-alpes/drome/bfe37c02-431b-4a4d-9165-6f951b7fe4f9" TargetMode="External" Id="rId1150" /><Relationship Type="http://schemas.openxmlformats.org/officeDocument/2006/relationships/hyperlink" Target="mailto:accueil@cccps.fr" TargetMode="External" Id="rId1151" /><Relationship Type="http://schemas.openxmlformats.org/officeDocument/2006/relationships/hyperlink" Target="https://www.cccps.fr" TargetMode="External" Id="rId1152" /><Relationship Type="http://schemas.openxmlformats.org/officeDocument/2006/relationships/hyperlink" Target="https://www.cccps.fr/contact/" TargetMode="External" Id="rId1153" /><Relationship Type="http://schemas.openxmlformats.org/officeDocument/2006/relationships/hyperlink" Target="https://lannuaire.service-public.gouv.fr/auvergne-rhone-alpes/drome/822292b2-e5e2-4a4a-8be3-a605d02fc95d" TargetMode="External" Id="rId1154" /><Relationship Type="http://schemas.openxmlformats.org/officeDocument/2006/relationships/hyperlink" Target="mailto:contact@paysdiois.fr" TargetMode="External" Id="rId1155" /><Relationship Type="http://schemas.openxmlformats.org/officeDocument/2006/relationships/hyperlink" Target="https://www.paysdiois.fr/" TargetMode="External" Id="rId1156" /><Relationship Type="http://schemas.openxmlformats.org/officeDocument/2006/relationships/hyperlink" Target="https://www.paysdiois.fr/contact/" TargetMode="External" Id="rId1157" /><Relationship Type="http://schemas.openxmlformats.org/officeDocument/2006/relationships/hyperlink" Target="https://lannuaire.service-public.gouv.fr/auvergne-rhone-alpes/drome/1c9c9c76-088d-4fa9-b94d-4f80d3910e05" TargetMode="External" Id="rId1158" /><Relationship Type="http://schemas.openxmlformats.org/officeDocument/2006/relationships/hyperlink" Target="mailto:contact@cc-royans-vercors.org" TargetMode="External" Id="rId1159" /><Relationship Type="http://schemas.openxmlformats.org/officeDocument/2006/relationships/hyperlink" Target="http://www.cc-royans-vercors.org/fr_FR/index.php" TargetMode="External" Id="rId1160" /><Relationship Type="http://schemas.openxmlformats.org/officeDocument/2006/relationships/hyperlink" Target="https://lannuaire.service-public.gouv.fr/auvergne-rhone-alpes/drome/22e97e83-777f-41a4-8283-8d46d57be547" TargetMode="External" Id="rId1161" /><Relationship Type="http://schemas.openxmlformats.org/officeDocument/2006/relationships/hyperlink" Target="mailto:ccvd@val-de-drome.com" TargetMode="External" Id="rId1162" /><Relationship Type="http://schemas.openxmlformats.org/officeDocument/2006/relationships/hyperlink" Target="https://www.valdedrome.com/" TargetMode="External" Id="rId1163" /><Relationship Type="http://schemas.openxmlformats.org/officeDocument/2006/relationships/hyperlink" Target="https://www.valdedrome.com/5404-contact.htm" TargetMode="External" Id="rId1164" /><Relationship Type="http://schemas.openxmlformats.org/officeDocument/2006/relationships/hyperlink" Target="https://lannuaire.service-public.gouv.fr/auvergne-rhone-alpes/drome/ca756fd0-fe35-4b0c-a2a7-c29fe95b6bb8" TargetMode="External" Id="rId1165" /><Relationship Type="http://schemas.openxmlformats.org/officeDocument/2006/relationships/hyperlink" Target="mailto:infos@cceppg.fr" TargetMode="External" Id="rId1166" /><Relationship Type="http://schemas.openxmlformats.org/officeDocument/2006/relationships/hyperlink" Target="http://www.cceppg.fr" TargetMode="External" Id="rId1167" /><Relationship Type="http://schemas.openxmlformats.org/officeDocument/2006/relationships/hyperlink" Target="http://www.cceppg.fr/nous-contacter" TargetMode="External" Id="rId1168" /><Relationship Type="http://schemas.openxmlformats.org/officeDocument/2006/relationships/hyperlink" Target="https://lannuaire.service-public.gouv.fr/provence-alpes-cote-d-azur/vaucluse/f044792b-b622-4cf0-9ebe-2b73dcd29c6d" TargetMode="External" Id="rId1169" /><Relationship Type="http://schemas.openxmlformats.org/officeDocument/2006/relationships/hyperlink" Target="mailto:direction-generale@vaison-ventoux.fr" TargetMode="External" Id="rId1170" /><Relationship Type="http://schemas.openxmlformats.org/officeDocument/2006/relationships/hyperlink" Target="https://www.vaison-ventoux.fr/" TargetMode="External" Id="rId1171" /><Relationship Type="http://schemas.openxmlformats.org/officeDocument/2006/relationships/hyperlink" Target="https://rdv.vaison-ventoux.fr/contact/" TargetMode="External" Id="rId1172" /><Relationship Type="http://schemas.openxmlformats.org/officeDocument/2006/relationships/hyperlink" Target="https://lannuaire.service-public.gouv.fr/provence-alpes-cote-d-azur/vaucluse/70246917-8ca2-4e24-9d28-64e24e27415d" TargetMode="External" Id="rId1173" /><Relationship Type="http://schemas.openxmlformats.org/officeDocument/2006/relationships/hyperlink" Target="mailto:accueilsault@ccvs84.fr" TargetMode="External" Id="rId1174" /><Relationship Type="http://schemas.openxmlformats.org/officeDocument/2006/relationships/hyperlink" Target="https://ccvs84.fr/accueil.html" TargetMode="External" Id="rId1175" /><Relationship Type="http://schemas.openxmlformats.org/officeDocument/2006/relationships/hyperlink" Target="https://ccvs84.fr/nous-contacter.html" TargetMode="External" Id="rId1176" /><Relationship Type="http://schemas.openxmlformats.org/officeDocument/2006/relationships/hyperlink" Target="https://lannuaire.service-public.gouv.fr/provence-alpes-cote-d-azur/vaucluse/cddf522a-fdbe-451c-98bf-b7002db17928" TargetMode="External" Id="rId1177" /><Relationship Type="http://schemas.openxmlformats.org/officeDocument/2006/relationships/hyperlink" Target="mailto:dgs@epn-agglo.fr" TargetMode="External" Id="rId1178" /><Relationship Type="http://schemas.openxmlformats.org/officeDocument/2006/relationships/hyperlink" Target="https://evreuxportesdenormandie.fr/" TargetMode="External" Id="rId1179" /><Relationship Type="http://schemas.openxmlformats.org/officeDocument/2006/relationships/hyperlink" Target="https://lannuaire.service-public.gouv.fr/normandie/eure/cff36589-4122-4ced-906f-cae5af481abe" TargetMode="External" Id="rId1180" /><Relationship Type="http://schemas.openxmlformats.org/officeDocument/2006/relationships/hyperlink" Target="mailto:accueil@sna27.fr" TargetMode="External" Id="rId1181" /><Relationship Type="http://schemas.openxmlformats.org/officeDocument/2006/relationships/hyperlink" Target="https://www.sna27.fr/" TargetMode="External" Id="rId1182" /><Relationship Type="http://schemas.openxmlformats.org/officeDocument/2006/relationships/hyperlink" Target="https://www.sna27.fr/nous-contacter/" TargetMode="External" Id="rId1183" /><Relationship Type="http://schemas.openxmlformats.org/officeDocument/2006/relationships/hyperlink" Target="https://lannuaire.service-public.gouv.fr/normandie/eure/b073eb56-dc96-426b-bfda-389f0bf4950c" TargetMode="External" Id="rId1184" /><Relationship Type="http://schemas.openxmlformats.org/officeDocument/2006/relationships/hyperlink" Target="mailto:agglo@seine-eure.com" TargetMode="External" Id="rId1185" /><Relationship Type="http://schemas.openxmlformats.org/officeDocument/2006/relationships/hyperlink" Target="https://www.agglo-seine-eure.fr" TargetMode="External" Id="rId1186" /><Relationship Type="http://schemas.openxmlformats.org/officeDocument/2006/relationships/hyperlink" Target="https://formulaires.demarches.seine-eure.fr/contact/contacter-agglomeration-seine-eure/" TargetMode="External" Id="rId1187" /><Relationship Type="http://schemas.openxmlformats.org/officeDocument/2006/relationships/hyperlink" Target="https://lannuaire.service-public.gouv.fr/normandie/eure/6bff501d-4cd5-49a7-9151-746c6196eda5" TargetMode="External" Id="rId1188" /><Relationship Type="http://schemas.openxmlformats.org/officeDocument/2006/relationships/hyperlink" Target="mailto:accueil@bernaynormandie.fr" TargetMode="External" Id="rId1189" /><Relationship Type="http://schemas.openxmlformats.org/officeDocument/2006/relationships/hyperlink" Target="https://bernaynormandie.fr/" TargetMode="External" Id="rId1190" /><Relationship Type="http://schemas.openxmlformats.org/officeDocument/2006/relationships/hyperlink" Target="https://lannuaire.service-public.gouv.fr/normandie/eure/103df6a6-cc46-466a-92e8-d957b10b39ce" TargetMode="External" Id="rId1191" /><Relationship Type="http://schemas.openxmlformats.org/officeDocument/2006/relationships/hyperlink" Target="mailto:accueil@lieuvinpaysdauge.fr" TargetMode="External" Id="rId1192" /><Relationship Type="http://schemas.openxmlformats.org/officeDocument/2006/relationships/hyperlink" Target="https://www.lieuvinpaysdauge.fr/" TargetMode="External" Id="rId1193" /><Relationship Type="http://schemas.openxmlformats.org/officeDocument/2006/relationships/hyperlink" Target="https://www.lieuvinpaysdauge.fr/contact/" TargetMode="External" Id="rId1194" /><Relationship Type="http://schemas.openxmlformats.org/officeDocument/2006/relationships/hyperlink" Target="https://lannuaire.service-public.gouv.fr/normandie/eure/31b3d4b7-02c7-4344-a092-921bbcbbca4c" TargetMode="External" Id="rId1195" /><Relationship Type="http://schemas.openxmlformats.org/officeDocument/2006/relationships/hyperlink" Target="mailto:contact@cdcla.fr" TargetMode="External" Id="rId1196" /><Relationship Type="http://schemas.openxmlformats.org/officeDocument/2006/relationships/hyperlink" Target="https://www.cdcla.fr/" TargetMode="External" Id="rId1197" /><Relationship Type="http://schemas.openxmlformats.org/officeDocument/2006/relationships/hyperlink" Target="https://www.cdcla.fr/contact/" TargetMode="External" Id="rId1198" /><Relationship Type="http://schemas.openxmlformats.org/officeDocument/2006/relationships/hyperlink" Target="https://lannuaire.service-public.gouv.fr/normandie/eure/a5d41f46-eabd-40a3-a739-0e0652fd6144" TargetMode="External" Id="rId1199" /><Relationship Type="http://schemas.openxmlformats.org/officeDocument/2006/relationships/hyperlink" Target="mailto:info@cc-pont-audemer.fr" TargetMode="External" Id="rId1200" /><Relationship Type="http://schemas.openxmlformats.org/officeDocument/2006/relationships/hyperlink" Target="https://www.ville-pont-audemer.fr/votre-territoire/communaute-de-communes/" TargetMode="External" Id="rId1201" /><Relationship Type="http://schemas.openxmlformats.org/officeDocument/2006/relationships/hyperlink" Target="https://lannuaire.service-public.gouv.fr/normandie/eure/4d583b2c-e57b-4944-a471-583cb88648cc" TargetMode="External" Id="rId1202" /><Relationship Type="http://schemas.openxmlformats.org/officeDocument/2006/relationships/hyperlink" Target="mailto:angelique.fontaine@conchesenouche.com" TargetMode="External" Id="rId1203" /><Relationship Type="http://schemas.openxmlformats.org/officeDocument/2006/relationships/hyperlink" Target="https://www.conches-en-ouche.fr/" TargetMode="External" Id="rId1204" /><Relationship Type="http://schemas.openxmlformats.org/officeDocument/2006/relationships/hyperlink" Target="https://www.conches-en-ouche.fr/contact" TargetMode="External" Id="rId1205" /><Relationship Type="http://schemas.openxmlformats.org/officeDocument/2006/relationships/hyperlink" Target="https://lannuaire.service-public.gouv.fr/normandie/eure/dcb48c18-0bdf-431f-8273-cf3d555e4abe" TargetMode="External" Id="rId1206" /><Relationship Type="http://schemas.openxmlformats.org/officeDocument/2006/relationships/hyperlink" Target="mailto:contact@paysduneubourg.fr" TargetMode="External" Id="rId1207" /><Relationship Type="http://schemas.openxmlformats.org/officeDocument/2006/relationships/hyperlink" Target="https://www.paysduneubourg.fr/" TargetMode="External" Id="rId1208" /><Relationship Type="http://schemas.openxmlformats.org/officeDocument/2006/relationships/hyperlink" Target="https://www.paysduneubourg.fr/contact/" TargetMode="External" Id="rId1209" /><Relationship Type="http://schemas.openxmlformats.org/officeDocument/2006/relationships/hyperlink" Target="https://lannuaire.service-public.gouv.fr/normandie/eure/9ec0042c-4567-44c9-a1b2-3445c99f82d5" TargetMode="External" Id="rId1210" /><Relationship Type="http://schemas.openxmlformats.org/officeDocument/2006/relationships/hyperlink" Target="mailto:contact@ccvexin-normand.fr" TargetMode="External" Id="rId1211" /><Relationship Type="http://schemas.openxmlformats.org/officeDocument/2006/relationships/hyperlink" Target="https://www.cdc-vexin-normand.fr/" TargetMode="External" Id="rId1212" /><Relationship Type="http://schemas.openxmlformats.org/officeDocument/2006/relationships/hyperlink" Target="https://www.cdc-vexin-normand.fr/contactez-nous.html" TargetMode="External" Id="rId1213" /><Relationship Type="http://schemas.openxmlformats.org/officeDocument/2006/relationships/hyperlink" Target="https://lannuaire.service-public.gouv.fr/normandie/eure/283770cd-91b0-43a4-8ed3-190b0de82e12" TargetMode="External" Id="rId1214" /><Relationship Type="http://schemas.openxmlformats.org/officeDocument/2006/relationships/hyperlink" Target="mailto:contact@dreux-agglomeration.fr" TargetMode="External" Id="rId1215" /><Relationship Type="http://schemas.openxmlformats.org/officeDocument/2006/relationships/hyperlink" Target="https://www.dreux-agglomeration.fr/" TargetMode="External" Id="rId1216" /><Relationship Type="http://schemas.openxmlformats.org/officeDocument/2006/relationships/hyperlink" Target="https://www.dreux-agglomeration.fr/nous-contacter/" TargetMode="External" Id="rId1217" /><Relationship Type="http://schemas.openxmlformats.org/officeDocument/2006/relationships/hyperlink" Target="https://lannuaire.service-public.gouv.fr/centre-val-de-loire/eure-et-loir/cd135617-cbf4-49e4-9221-a83f5942243f" TargetMode="External" Id="rId1218" /><Relationship Type="http://schemas.openxmlformats.org/officeDocument/2006/relationships/hyperlink" Target="mailto:communication@inse27.fr" TargetMode="External" Id="rId1219" /><Relationship Type="http://schemas.openxmlformats.org/officeDocument/2006/relationships/hyperlink" Target="https://www.inse27.fr/" TargetMode="External" Id="rId1220" /><Relationship Type="http://schemas.openxmlformats.org/officeDocument/2006/relationships/hyperlink" Target="https://www.inse27.fr/systeme/contact/" TargetMode="External" Id="rId1221" /><Relationship Type="http://schemas.openxmlformats.org/officeDocument/2006/relationships/hyperlink" Target="https://lannuaire.service-public.gouv.fr/normandie/eure/d28bbe90-f972-46a7-b329-3c97d168fa8a" TargetMode="External" Id="rId1222" /><Relationship Type="http://schemas.openxmlformats.org/officeDocument/2006/relationships/hyperlink" Target="mailto:contact@roumoiseine.fr" TargetMode="External" Id="rId1223" /><Relationship Type="http://schemas.openxmlformats.org/officeDocument/2006/relationships/hyperlink" Target="https://www.roumoiseine.fr/" TargetMode="External" Id="rId1224" /><Relationship Type="http://schemas.openxmlformats.org/officeDocument/2006/relationships/hyperlink" Target="https://www.roumoiseine.fr/contact/" TargetMode="External" Id="rId1225" /><Relationship Type="http://schemas.openxmlformats.org/officeDocument/2006/relationships/hyperlink" Target="https://lannuaire.service-public.gouv.fr/normandie/eure/e6a0bbae-eb2a-40f1-a539-c9ad04a08039" TargetMode="External" Id="rId1226" /><Relationship Type="http://schemas.openxmlformats.org/officeDocument/2006/relationships/hyperlink" Target="mailto:contact@cc4rivieres.com" TargetMode="External" Id="rId1227" /><Relationship Type="http://schemas.openxmlformats.org/officeDocument/2006/relationships/hyperlink" Target="https://cc4rivieres.com/" TargetMode="External" Id="rId1228" /><Relationship Type="http://schemas.openxmlformats.org/officeDocument/2006/relationships/hyperlink" Target="https://cc4rivieres.com/" TargetMode="External" Id="rId1229" /><Relationship Type="http://schemas.openxmlformats.org/officeDocument/2006/relationships/hyperlink" Target="https://lannuaire.service-public.gouv.fr/normandie/seine-maritime/0b461098-0a5b-45b2-b830-6e58c763d88e" TargetMode="External" Id="rId1230" /><Relationship Type="http://schemas.openxmlformats.org/officeDocument/2006/relationships/hyperlink" Target="mailto:contact@agglo-ville.chartres.fr" TargetMode="External" Id="rId1231" /><Relationship Type="http://schemas.openxmlformats.org/officeDocument/2006/relationships/hyperlink" Target="https://www.chartres-metropole.fr/" TargetMode="External" Id="rId1232" /><Relationship Type="http://schemas.openxmlformats.org/officeDocument/2006/relationships/hyperlink" Target="https://www.chartres-metropole.fr/contacts" TargetMode="External" Id="rId1233" /><Relationship Type="http://schemas.openxmlformats.org/officeDocument/2006/relationships/hyperlink" Target="https://lannuaire.service-public.gouv.fr/centre-val-de-loire/eure-et-loir/eb9313cf-a218-4554-aed0-17171be25368" TargetMode="External" Id="rId1234" /><Relationship Type="http://schemas.openxmlformats.org/officeDocument/2006/relationships/hyperlink" Target="mailto:contact@coeurdebeauce.fr" TargetMode="External" Id="rId1235" /><Relationship Type="http://schemas.openxmlformats.org/officeDocument/2006/relationships/hyperlink" Target="https://www.coeurdebeauce.fr/" TargetMode="External" Id="rId1236" /><Relationship Type="http://schemas.openxmlformats.org/officeDocument/2006/relationships/hyperlink" Target="https://www.coeurdebeauce.fr/coeur-de-beauce/nous-ecrire/" TargetMode="External" Id="rId1237" /><Relationship Type="http://schemas.openxmlformats.org/officeDocument/2006/relationships/hyperlink" Target="https://lannuaire.service-public.gouv.fr/centre-val-de-loire/eure-et-loir/2f603f8d-0d05-4352-be94-7c2dc3863cd0" TargetMode="External" Id="rId1238" /><Relationship Type="http://schemas.openxmlformats.org/officeDocument/2006/relationships/hyperlink" Target="mailto:contact@entrebeauceetperche.fr" TargetMode="External" Id="rId1239" /><Relationship Type="http://schemas.openxmlformats.org/officeDocument/2006/relationships/hyperlink" Target="https://entrebeauceetperche.fr/" TargetMode="External" Id="rId1240" /><Relationship Type="http://schemas.openxmlformats.org/officeDocument/2006/relationships/hyperlink" Target="https://entrebeauceetperche.fr/contact/" TargetMode="External" Id="rId1241" /><Relationship Type="http://schemas.openxmlformats.org/officeDocument/2006/relationships/hyperlink" Target="https://lannuaire.service-public.gouv.fr/centre-val-de-loire/eure-et-loir/3b7bd96f-42a6-4e80-bd12-690db6c49991" TargetMode="External" Id="rId1242" /><Relationship Type="http://schemas.openxmlformats.org/officeDocument/2006/relationships/hyperlink" Target="mailto:cdc@terresdeperche.fr" TargetMode="External" Id="rId1243" /><Relationship Type="http://schemas.openxmlformats.org/officeDocument/2006/relationships/hyperlink" Target="https://www.terresdeperche.fr/" TargetMode="External" Id="rId1244" /><Relationship Type="http://schemas.openxmlformats.org/officeDocument/2006/relationships/hyperlink" Target="https://www.terresdeperche.fr/" TargetMode="External" Id="rId1245" /><Relationship Type="http://schemas.openxmlformats.org/officeDocument/2006/relationships/hyperlink" Target="https://lannuaire.service-public.gouv.fr/centre-val-de-loire/eure-et-loir/9d0b7414-fca0-4419-a998-22df8e738bd0" TargetMode="External" Id="rId1246" /><Relationship Type="http://schemas.openxmlformats.org/officeDocument/2006/relationships/hyperlink" Target="mailto:contact@foretsduperche.fr" TargetMode="External" Id="rId1247" /><Relationship Type="http://schemas.openxmlformats.org/officeDocument/2006/relationships/hyperlink" Target="https://mairielafertevidame.fr/la-communaute-de-communes-des-forets-du-perche/" TargetMode="External" Id="rId1248" /><Relationship Type="http://schemas.openxmlformats.org/officeDocument/2006/relationships/hyperlink" Target="https://lannuaire.service-public.gouv.fr/centre-val-de-loire/eure-et-loir/8ba81e2e-2e5c-4133-b1f3-5fd6153acb7a" TargetMode="External" Id="rId1249" /><Relationship Type="http://schemas.openxmlformats.org/officeDocument/2006/relationships/hyperlink" Target="mailto:contact@porteseureliennesidf.fr" TargetMode="External" Id="rId1250" /><Relationship Type="http://schemas.openxmlformats.org/officeDocument/2006/relationships/hyperlink" Target="https://www.porteseureliennesidf.fr/" TargetMode="External" Id="rId1251" /><Relationship Type="http://schemas.openxmlformats.org/officeDocument/2006/relationships/hyperlink" Target="https://www.porteseureliennesidf.fr/pages/contact-123.html" TargetMode="External" Id="rId1252" /><Relationship Type="http://schemas.openxmlformats.org/officeDocument/2006/relationships/hyperlink" Target="https://lannuaire.service-public.gouv.fr/centre-val-de-loire/eure-et-loir/de59be2a-5052-4f01-acb5-cc302ec7a33a" TargetMode="External" Id="rId1253" /><Relationship Type="http://schemas.openxmlformats.org/officeDocument/2006/relationships/hyperlink" Target="mailto:accueil@cdcdubonnevalais.fr" TargetMode="External" Id="rId1254" /><Relationship Type="http://schemas.openxmlformats.org/officeDocument/2006/relationships/hyperlink" Target="https://www.comcomdubonnevalais.com/" TargetMode="External" Id="rId1255" /><Relationship Type="http://schemas.openxmlformats.org/officeDocument/2006/relationships/hyperlink" Target="https://lannuaire.service-public.gouv.fr/centre-val-de-loire/eure-et-loir/2647a571-faf0-49ee-a84f-d018ce45499f" TargetMode="External" Id="rId1256" /><Relationship Type="http://schemas.openxmlformats.org/officeDocument/2006/relationships/hyperlink" Target="mailto:contact@grandchateaudun.fr" TargetMode="External" Id="rId1257" /><Relationship Type="http://schemas.openxmlformats.org/officeDocument/2006/relationships/hyperlink" Target="https://www.grandchateaudun.fr/" TargetMode="External" Id="rId1258" /><Relationship Type="http://schemas.openxmlformats.org/officeDocument/2006/relationships/hyperlink" Target="https://www.grandchateaudun.fr/" TargetMode="External" Id="rId1259" /><Relationship Type="http://schemas.openxmlformats.org/officeDocument/2006/relationships/hyperlink" Target="https://lannuaire.service-public.gouv.fr/centre-val-de-loire/eure-et-loir/3d22665f-7143-4f2e-8bc4-7e13064efc13" TargetMode="External" Id="rId1260" /><Relationship Type="http://schemas.openxmlformats.org/officeDocument/2006/relationships/hyperlink" Target="mailto:contact@cc-perche.fr" TargetMode="External" Id="rId1261" /><Relationship Type="http://schemas.openxmlformats.org/officeDocument/2006/relationships/hyperlink" Target="https://www.cc-perche.fr/" TargetMode="External" Id="rId1262" /><Relationship Type="http://schemas.openxmlformats.org/officeDocument/2006/relationships/hyperlink" Target="https://lannuaire.service-public.gouv.fr/centre-val-de-loire/eure-et-loir/ff4cca9c-0bed-466d-90a3-b2e166e2f897" TargetMode="External" Id="rId1263" /><Relationship Type="http://schemas.openxmlformats.org/officeDocument/2006/relationships/hyperlink" Target="mailto:ccph@cc-payshoudanais.fr" TargetMode="External" Id="rId1264" /><Relationship Type="http://schemas.openxmlformats.org/officeDocument/2006/relationships/hyperlink" Target="https://www.cc-payshoudanais.fr/" TargetMode="External" Id="rId1265" /><Relationship Type="http://schemas.openxmlformats.org/officeDocument/2006/relationships/hyperlink" Target="https://lannuaire.service-public.gouv.fr/ile-de-france/yvelines/e46b86f5-aa86-477d-9839-0965492089c4" TargetMode="External" Id="rId1266" /><Relationship Type="http://schemas.openxmlformats.org/officeDocument/2006/relationships/hyperlink" Target="mailto:contact@brest-metropole.fr" TargetMode="External" Id="rId1267" /><Relationship Type="http://schemas.openxmlformats.org/officeDocument/2006/relationships/hyperlink" Target="https://brest.fr/" TargetMode="External" Id="rId1268" /><Relationship Type="http://schemas.openxmlformats.org/officeDocument/2006/relationships/hyperlink" Target="https://brest.fr/contacter-nos-services" TargetMode="External" Id="rId1269" /><Relationship Type="http://schemas.openxmlformats.org/officeDocument/2006/relationships/hyperlink" Target="https://lannuaire.service-public.gouv.fr/bretagne/finistere/118a2e23-7918-43f9-a77a-09cf61e56bdf" TargetMode="External" Id="rId1270" /><Relationship Type="http://schemas.openxmlformats.org/officeDocument/2006/relationships/hyperlink" Target="mailto:contact@cca.bzh" TargetMode="External" Id="rId1271" /><Relationship Type="http://schemas.openxmlformats.org/officeDocument/2006/relationships/hyperlink" Target="https://www.cca.bzh/" TargetMode="External" Id="rId1272" /><Relationship Type="http://schemas.openxmlformats.org/officeDocument/2006/relationships/hyperlink" Target="https://www.cca.bzh/contactez-nous/" TargetMode="External" Id="rId1273" /><Relationship Type="http://schemas.openxmlformats.org/officeDocument/2006/relationships/hyperlink" Target="https://lannuaire.service-public.gouv.fr/bretagne/finistere/388f6841-9593-4d2b-96d2-6c42bdc4bb30" TargetMode="External" Id="rId1274" /><Relationship Type="http://schemas.openxmlformats.org/officeDocument/2006/relationships/hyperlink" Target="mailto:contact@agglo.morlaix.fr" TargetMode="External" Id="rId1275" /><Relationship Type="http://schemas.openxmlformats.org/officeDocument/2006/relationships/hyperlink" Target="https://www.morlaix-communaute.bzh/" TargetMode="External" Id="rId1276" /><Relationship Type="http://schemas.openxmlformats.org/officeDocument/2006/relationships/hyperlink" Target="https://www.morlaix-communaute.bzh/contact" TargetMode="External" Id="rId1277" /><Relationship Type="http://schemas.openxmlformats.org/officeDocument/2006/relationships/hyperlink" Target="https://lannuaire.service-public.gouv.fr/bretagne/finistere/ff97fd39-e15d-4d43-8d8c-0a805d859a72" TargetMode="External" Id="rId1278" /><Relationship Type="http://schemas.openxmlformats.org/officeDocument/2006/relationships/hyperlink" Target="mailto:contact@quimper.bzh" TargetMode="External" Id="rId1279" /><Relationship Type="http://schemas.openxmlformats.org/officeDocument/2006/relationships/hyperlink" Target="https://www.quimper-bretagne-occidentale.bzh/" TargetMode="External" Id="rId1280" /><Relationship Type="http://schemas.openxmlformats.org/officeDocument/2006/relationships/hyperlink" Target="https://www.quimper-bretagne-occidentale.bzh/324-contact.htm" TargetMode="External" Id="rId1281" /><Relationship Type="http://schemas.openxmlformats.org/officeDocument/2006/relationships/hyperlink" Target="https://lannuaire.service-public.gouv.fr/bretagne/finistere/78d0cdcc-418e-4d60-90cc-df1422330578" TargetMode="External" Id="rId1282" /><Relationship Type="http://schemas.openxmlformats.org/officeDocument/2006/relationships/hyperlink" Target="mailto:contact@quimperle-co.bzh" TargetMode="External" Id="rId1283" /><Relationship Type="http://schemas.openxmlformats.org/officeDocument/2006/relationships/hyperlink" Target="https://www.quimperle-communaute.bzh/" TargetMode="External" Id="rId1284" /><Relationship Type="http://schemas.openxmlformats.org/officeDocument/2006/relationships/hyperlink" Target="https://www.quimperle-communaute.bzh/nous-contacter" TargetMode="External" Id="rId1285" /><Relationship Type="http://schemas.openxmlformats.org/officeDocument/2006/relationships/hyperlink" Target="https://lannuaire.service-public.gouv.fr/bretagne/finistere/4a1e25da-8442-4cdf-a6d8-0250aceb67db" TargetMode="External" Id="rId1286" /><Relationship Type="http://schemas.openxmlformats.org/officeDocument/2006/relationships/hyperlink" Target="mailto:assemblees@capld.bzh" TargetMode="External" Id="rId1287" /><Relationship Type="http://schemas.openxmlformats.org/officeDocument/2006/relationships/hyperlink" Target="https://www.pays-landerneau-daoulas.fr/" TargetMode="External" Id="rId1288" /><Relationship Type="http://schemas.openxmlformats.org/officeDocument/2006/relationships/hyperlink" Target="https://www.pays-landerneau-daoulas.fr/systeme/nous-contacter/" TargetMode="External" Id="rId1289" /><Relationship Type="http://schemas.openxmlformats.org/officeDocument/2006/relationships/hyperlink" Target="https://lannuaire.service-public.gouv.fr/bretagne/finistere/a2dde166-94fa-4bd3-a957-36c884e81b10" TargetMode="External" Id="rId1290" /><Relationship Type="http://schemas.openxmlformats.org/officeDocument/2006/relationships/hyperlink" Target="mailto:contactcc@cap-sizun.fr" TargetMode="External" Id="rId1291" /><Relationship Type="http://schemas.openxmlformats.org/officeDocument/2006/relationships/hyperlink" Target="http://www.cap-sizun.fr" TargetMode="External" Id="rId1292" /><Relationship Type="http://schemas.openxmlformats.org/officeDocument/2006/relationships/hyperlink" Target="https://lannuaire.service-public.gouv.fr/bretagne/finistere/475aec14-8f6b-4acb-9122-f9f9494fef00" TargetMode="External" Id="rId1293" /><Relationship Type="http://schemas.openxmlformats.org/officeDocument/2006/relationships/hyperlink" Target="mailto:contact@clcl.bzh" TargetMode="External" Id="rId1294" /><Relationship Type="http://schemas.openxmlformats.org/officeDocument/2006/relationships/hyperlink" Target="https://www.clcl.bzh/" TargetMode="External" Id="rId1295" /><Relationship Type="http://schemas.openxmlformats.org/officeDocument/2006/relationships/hyperlink" Target="https://www.clcl.bzh/pratique/formulaire-de-contact" TargetMode="External" Id="rId1296" /><Relationship Type="http://schemas.openxmlformats.org/officeDocument/2006/relationships/hyperlink" Target="https://lannuaire.service-public.gouv.fr/bretagne/finistere/3d0bafeb-c328-4370-83a3-c755751bbbb4" TargetMode="External" Id="rId1297" /><Relationship Type="http://schemas.openxmlformats.org/officeDocument/2006/relationships/hyperlink" Target="mailto:accueil@douarnenez-communaute.fr" TargetMode="External" Id="rId1298" /><Relationship Type="http://schemas.openxmlformats.org/officeDocument/2006/relationships/hyperlink" Target="https://www.douarnenez-communaute.fr/" TargetMode="External" Id="rId1299" /><Relationship Type="http://schemas.openxmlformats.org/officeDocument/2006/relationships/hyperlink" Target="https://www.douarnenez-communaute.fr/contact/" TargetMode="External" Id="rId1300" /><Relationship Type="http://schemas.openxmlformats.org/officeDocument/2006/relationships/hyperlink" Target="https://lannuaire.service-public.gouv.fr/bretagne/finistere/b68e511c-1ab0-4c88-aaa6-4f6ff638e07b" TargetMode="External" Id="rId1301" /><Relationship Type="http://schemas.openxmlformats.org/officeDocument/2006/relationships/hyperlink" Target="mailto:contact@hlc.bzh" TargetMode="External" Id="rId1302" /><Relationship Type="http://schemas.openxmlformats.org/officeDocument/2006/relationships/hyperlink" Target="https://www.hautleoncommunaute.bzh/" TargetMode="External" Id="rId1303" /><Relationship Type="http://schemas.openxmlformats.org/officeDocument/2006/relationships/hyperlink" Target="https://www.hautleoncommunaute.bzh/contact/" TargetMode="External" Id="rId1304" /><Relationship Type="http://schemas.openxmlformats.org/officeDocument/2006/relationships/hyperlink" Target="https://lannuaire.service-public.gouv.fr/bretagne/finistere/e3ba5e5d-ccf1-43c6-b4cb-71f75301b007" TargetMode="External" Id="rId1305" /><Relationship Type="http://schemas.openxmlformats.org/officeDocument/2006/relationships/hyperlink" Target="mailto:contact@lesmontsdarre.bzh" TargetMode="External" Id="rId1306" /><Relationship Type="http://schemas.openxmlformats.org/officeDocument/2006/relationships/hyperlink" Target="https://www.lesmontsdarree.fr/" TargetMode="External" Id="rId1307" /><Relationship Type="http://schemas.openxmlformats.org/officeDocument/2006/relationships/hyperlink" Target="https://www.lesmontsdarree.fr/contact/" TargetMode="External" Id="rId1308" /><Relationship Type="http://schemas.openxmlformats.org/officeDocument/2006/relationships/hyperlink" Target="https://lannuaire.service-public.gouv.fr/bretagne/finistere/a3823fde-810b-4600-b939-b6050c8df83a" TargetMode="External" Id="rId1309" /><Relationship Type="http://schemas.openxmlformats.org/officeDocument/2006/relationships/hyperlink" Target="mailto:accueil@ccpcp.bzh" TargetMode="External" Id="rId1310" /><Relationship Type="http://schemas.openxmlformats.org/officeDocument/2006/relationships/hyperlink" Target="https://www.ccpcp.bzh/" TargetMode="External" Id="rId1311" /><Relationship Type="http://schemas.openxmlformats.org/officeDocument/2006/relationships/hyperlink" Target="https://www.ccpcp.bzh/nous-contacter/" TargetMode="External" Id="rId1312" /><Relationship Type="http://schemas.openxmlformats.org/officeDocument/2006/relationships/hyperlink" Target="https://lannuaire.service-public.gouv.fr/bretagne/finistere/3ddb8b8d-998e-42cd-9fcf-ec89844d312d" TargetMode="External" Id="rId1313" /><Relationship Type="http://schemas.openxmlformats.org/officeDocument/2006/relationships/hyperlink" Target="mailto:contact@comcom-crozon.bzh" TargetMode="External" Id="rId1314" /><Relationship Type="http://schemas.openxmlformats.org/officeDocument/2006/relationships/hyperlink" Target="https://www.comcom-crozon.com/" TargetMode="External" Id="rId1315" /><Relationship Type="http://schemas.openxmlformats.org/officeDocument/2006/relationships/hyperlink" Target="https://www.comcom-crozon.com/contact/" TargetMode="External" Id="rId1316" /><Relationship Type="http://schemas.openxmlformats.org/officeDocument/2006/relationships/hyperlink" Target="https://lannuaire.service-public.gouv.fr/bretagne/finistere/42576b57-5900-48fc-a903-9a05f981eb78" TargetMode="External" Id="rId1317" /><Relationship Type="http://schemas.openxmlformats.org/officeDocument/2006/relationships/hyperlink" Target="mailto:contact@haute-cornouaille.bzh" TargetMode="External" Id="rId1318" /><Relationship Type="http://schemas.openxmlformats.org/officeDocument/2006/relationships/hyperlink" Target="https://haute-cornouaille.bzh/" TargetMode="External" Id="rId1319" /><Relationship Type="http://schemas.openxmlformats.org/officeDocument/2006/relationships/hyperlink" Target="https://haute-cornouaille.bzh/contactez-nous/" TargetMode="External" Id="rId1320" /><Relationship Type="http://schemas.openxmlformats.org/officeDocument/2006/relationships/hyperlink" Target="https://lannuaire.service-public.gouv.fr/bretagne/finistere/61fd5fe4-8b25-4e58-b850-cf13a9e1c68e" TargetMode="External" Id="rId1321" /><Relationship Type="http://schemas.openxmlformats.org/officeDocument/2006/relationships/hyperlink" Target="mailto:info@cchpb.com" TargetMode="External" Id="rId1322" /><Relationship Type="http://schemas.openxmlformats.org/officeDocument/2006/relationships/hyperlink" Target="https://www.cchpb.bzh/" TargetMode="External" Id="rId1323" /><Relationship Type="http://schemas.openxmlformats.org/officeDocument/2006/relationships/hyperlink" Target="https://lannuaire.service-public.gouv.fr/bretagne/finistere/cd3d6ae5-b973-404f-83bb-126822020b3d" TargetMode="External" Id="rId1324" /><Relationship Type="http://schemas.openxmlformats.org/officeDocument/2006/relationships/hyperlink" Target="mailto:contact@ccpbs.fr" TargetMode="External" Id="rId1325" /><Relationship Type="http://schemas.openxmlformats.org/officeDocument/2006/relationships/hyperlink" Target="https://www.ccpbs.fr/" TargetMode="External" Id="rId1326" /><Relationship Type="http://schemas.openxmlformats.org/officeDocument/2006/relationships/hyperlink" Target="https://www.ccpbs.fr/contact/" TargetMode="External" Id="rId1327" /><Relationship Type="http://schemas.openxmlformats.org/officeDocument/2006/relationships/hyperlink" Target="https://lannuaire.service-public.gouv.fr/bretagne/finistere/e92faed0-6868-441a-90e6-b4bc91e6e5e2" TargetMode="External" Id="rId1328" /><Relationship Type="http://schemas.openxmlformats.org/officeDocument/2006/relationships/hyperlink" Target="mailto:contact@cc-paysfouesnantais.fr" TargetMode="External" Id="rId1329" /><Relationship Type="http://schemas.openxmlformats.org/officeDocument/2006/relationships/hyperlink" Target="https://www.cc-paysfouesnantais.fr/" TargetMode="External" Id="rId1330" /><Relationship Type="http://schemas.openxmlformats.org/officeDocument/2006/relationships/hyperlink" Target="https://www.cc-paysfouesnantais.fr/systeme/contact/" TargetMode="External" Id="rId1331" /><Relationship Type="http://schemas.openxmlformats.org/officeDocument/2006/relationships/hyperlink" Target="https://lannuaire.service-public.gouv.fr/bretagne/finistere/3ad0e9c5-1ecd-4fae-85d4-ab66c38857c1" TargetMode="External" Id="rId1332" /><Relationship Type="http://schemas.openxmlformats.org/officeDocument/2006/relationships/hyperlink" Target="mailto:accueil@ccpi.bzh" TargetMode="External" Id="rId1333" /><Relationship Type="http://schemas.openxmlformats.org/officeDocument/2006/relationships/hyperlink" Target="https://www.pays-iroise.bzh/" TargetMode="External" Id="rId1334" /><Relationship Type="http://schemas.openxmlformats.org/officeDocument/2006/relationships/hyperlink" Target="https://www.pays-iroise.bzh/contact/" TargetMode="External" Id="rId1335" /><Relationship Type="http://schemas.openxmlformats.org/officeDocument/2006/relationships/hyperlink" Target="https://lannuaire.service-public.gouv.fr/bretagne/finistere/c65b4648-b116-407c-9bca-559bd4d021f0" TargetMode="External" Id="rId1336" /><Relationship Type="http://schemas.openxmlformats.org/officeDocument/2006/relationships/hyperlink" Target="mailto:contact@paysdelandi.com" TargetMode="External" Id="rId1337" /><Relationship Type="http://schemas.openxmlformats.org/officeDocument/2006/relationships/hyperlink" Target="https://www.paysdelandi.com/" TargetMode="External" Id="rId1338" /><Relationship Type="http://schemas.openxmlformats.org/officeDocument/2006/relationships/hyperlink" Target="https://www.paysdelandi.com/contact/" TargetMode="External" Id="rId1339" /><Relationship Type="http://schemas.openxmlformats.org/officeDocument/2006/relationships/hyperlink" Target="https://lannuaire.service-public.gouv.fr/bretagne/finistere/04041aa2-4bc8-4955-ac5b-e58a74a8c2ef" TargetMode="External" Id="rId1340" /><Relationship Type="http://schemas.openxmlformats.org/officeDocument/2006/relationships/hyperlink" Target="mailto:accueil@pays-des-abers.fr" TargetMode="External" Id="rId1341" /><Relationship Type="http://schemas.openxmlformats.org/officeDocument/2006/relationships/hyperlink" Target="https://www.paysdesabers.bzh/" TargetMode="External" Id="rId1342" /><Relationship Type="http://schemas.openxmlformats.org/officeDocument/2006/relationships/hyperlink" Target="https://www.paysdesabers.bzh/nous-contacter/" TargetMode="External" Id="rId1343" /><Relationship Type="http://schemas.openxmlformats.org/officeDocument/2006/relationships/hyperlink" Target="https://lannuaire.service-public.gouv.fr/bretagne/finistere/208fa09e-2745-4d85-9c4a-92d799f0982f" TargetMode="External" Id="rId1344" /><Relationship Type="http://schemas.openxmlformats.org/officeDocument/2006/relationships/hyperlink" Target="mailto:contact@ca-ajaccien.fr" TargetMode="External" Id="rId1345" /><Relationship Type="http://schemas.openxmlformats.org/officeDocument/2006/relationships/hyperlink" Target="https://www.ca-ajaccien.corsica/" TargetMode="External" Id="rId1346" /><Relationship Type="http://schemas.openxmlformats.org/officeDocument/2006/relationships/hyperlink" Target="https://lannuaire.service-public.gouv.fr/corse/corse-du-sud/6aed69f9-1ea4-4b35-8190-fa6bc29f0899" TargetMode="External" Id="rId1347" /><Relationship Type="http://schemas.openxmlformats.org/officeDocument/2006/relationships/hyperlink" Target="mailto:contact@celavu-prunelli.fr" TargetMode="External" Id="rId1348" /><Relationship Type="http://schemas.openxmlformats.org/officeDocument/2006/relationships/hyperlink" Target="https://celavu-prunelli.fr/" TargetMode="External" Id="rId1349" /><Relationship Type="http://schemas.openxmlformats.org/officeDocument/2006/relationships/hyperlink" Target="https://lannuaire.service-public.gouv.fr/corse/corse-du-sud/b764278d-67b6-4e7e-8061-efb9f8670b51" TargetMode="External" Id="rId1350" /><Relationship Type="http://schemas.openxmlformats.org/officeDocument/2006/relationships/hyperlink" Target="mailto:contact@spelunca-liamone.corsica" TargetMode="External" Id="rId1351" /><Relationship Type="http://schemas.openxmlformats.org/officeDocument/2006/relationships/hyperlink" Target="https://spelunca-liamone.corsica/" TargetMode="External" Id="rId1352" /><Relationship Type="http://schemas.openxmlformats.org/officeDocument/2006/relationships/hyperlink" Target="https://spelunca-liamone.corsica/contact/" TargetMode="External" Id="rId1353" /><Relationship Type="http://schemas.openxmlformats.org/officeDocument/2006/relationships/hyperlink" Target="https://lannuaire.service-public.gouv.fr/corse/corse-du-sud/b720ee0f-73aa-49ac-b317-c8a4a5f75fdc" TargetMode="External" Id="rId1354" /><Relationship Type="http://schemas.openxmlformats.org/officeDocument/2006/relationships/hyperlink" Target="mailto:secretariat@alta-rocca.com" TargetMode="External" Id="rId1355" /><Relationship Type="http://schemas.openxmlformats.org/officeDocument/2006/relationships/hyperlink" Target="https://www.alta-rocca.com/" TargetMode="External" Id="rId1356" /><Relationship Type="http://schemas.openxmlformats.org/officeDocument/2006/relationships/hyperlink" Target="https://www.alta-rocca.com/alta-rocca-corse/102-alta-rocca-contact.html" TargetMode="External" Id="rId1357" /><Relationship Type="http://schemas.openxmlformats.org/officeDocument/2006/relationships/hyperlink" Target="https://lannuaire.service-public.gouv.fr/corse/corse-du-sud/00b4106d-21c4-4544-a4e8-2cd16e80491e" TargetMode="External" Id="rId1358" /><Relationship Type="http://schemas.openxmlformats.org/officeDocument/2006/relationships/hyperlink" Target="mailto:contact@pieveornano.com" TargetMode="External" Id="rId1359" /><Relationship Type="http://schemas.openxmlformats.org/officeDocument/2006/relationships/hyperlink" Target="http://www.pieveornano.fr" TargetMode="External" Id="rId1360" /><Relationship Type="http://schemas.openxmlformats.org/officeDocument/2006/relationships/hyperlink" Target="https://lannuaire.service-public.gouv.fr/corse/corse-du-sud/18dd9f65-b530-4234-ad37-d05777b788e0" TargetMode="External" Id="rId1361" /><Relationship Type="http://schemas.openxmlformats.org/officeDocument/2006/relationships/hyperlink" Target="mailto:contact@sartenaisvalinco.fr" TargetMode="External" Id="rId1362" /><Relationship Type="http://schemas.openxmlformats.org/officeDocument/2006/relationships/hyperlink" Target="https://ccsvt.fr/" TargetMode="External" Id="rId1363" /><Relationship Type="http://schemas.openxmlformats.org/officeDocument/2006/relationships/hyperlink" Target="https://ccsvt.fr/contact/" TargetMode="External" Id="rId1364" /><Relationship Type="http://schemas.openxmlformats.org/officeDocument/2006/relationships/hyperlink" Target="https://lannuaire.service-public.gouv.fr/corse/corse-du-sud/e81b8541-ddc0-4427-bf10-c6e28460368f" TargetMode="External" Id="rId1365" /><Relationship Type="http://schemas.openxmlformats.org/officeDocument/2006/relationships/hyperlink" Target="mailto:secretariat.general@cc-sudcorse.fr" TargetMode="External" Id="rId1366" /><Relationship Type="http://schemas.openxmlformats.org/officeDocument/2006/relationships/hyperlink" Target="https://www.cc-sudcorse.fr" TargetMode="External" Id="rId1367" /><Relationship Type="http://schemas.openxmlformats.org/officeDocument/2006/relationships/hyperlink" Target="https://cc-sudcorse.fr/contactez-nous/" TargetMode="External" Id="rId1368" /><Relationship Type="http://schemas.openxmlformats.org/officeDocument/2006/relationships/hyperlink" Target="https://lannuaire.service-public.gouv.fr/corse/corse-du-sud/e18ba497-a79c-4387-b84d-cb47dfec32b3" TargetMode="External" Id="rId1369" /><Relationship Type="http://schemas.openxmlformats.org/officeDocument/2006/relationships/hyperlink" Target="mailto:contact@agglo-bastia.corsica" TargetMode="External" Id="rId1370" /><Relationship Type="http://schemas.openxmlformats.org/officeDocument/2006/relationships/hyperlink" Target="https://www.bastia-agglomeration.corsica/" TargetMode="External" Id="rId1371" /><Relationship Type="http://schemas.openxmlformats.org/officeDocument/2006/relationships/hyperlink" Target="https://www.bastia-agglomeration.corsica/contact/" TargetMode="External" Id="rId1372" /><Relationship Type="http://schemas.openxmlformats.org/officeDocument/2006/relationships/hyperlink" Target="https://lannuaire.service-public.gouv.fr/corse/haute-corse/4d2fa6f9-0111-4544-b42d-45fdd7e8e56b" TargetMode="External" Id="rId1373" /><Relationship Type="http://schemas.openxmlformats.org/officeDocument/2006/relationships/hyperlink" Target="mailto:ccnebbiuconcadoru@orange.fr" TargetMode="External" Id="rId1374" /><Relationship Type="http://schemas.openxmlformats.org/officeDocument/2006/relationships/hyperlink" Target="https://www.ccnebbiuconcadoru.com/" TargetMode="External" Id="rId1375" /><Relationship Type="http://schemas.openxmlformats.org/officeDocument/2006/relationships/hyperlink" Target="https://www.ccnebbiuconcadoru.com/fr/contact" TargetMode="External" Id="rId1376" /><Relationship Type="http://schemas.openxmlformats.org/officeDocument/2006/relationships/hyperlink" Target="https://lannuaire.service-public.gouv.fr/corse/haute-corse/32c1cb96-ff43-4796-9165-0e2826247bf0" TargetMode="External" Id="rId1377" /><Relationship Type="http://schemas.openxmlformats.org/officeDocument/2006/relationships/hyperlink" Target="mailto:secretariat@cc-pasquale-paoli.corsica" TargetMode="External" Id="rId1378" /><Relationship Type="http://schemas.openxmlformats.org/officeDocument/2006/relationships/hyperlink" Target="https://cc-pasquale-paoli.com/" TargetMode="External" Id="rId1379" /><Relationship Type="http://schemas.openxmlformats.org/officeDocument/2006/relationships/hyperlink" Target="https://lannuaire.service-public.gouv.fr/corse/haute-corse/cf033f3c-ffbb-49bc-a1c3-ac85f0d15059" TargetMode="External" Id="rId1380" /><Relationship Type="http://schemas.openxmlformats.org/officeDocument/2006/relationships/hyperlink" Target="mailto:accueil@cc-calvi-balagne.fr" TargetMode="External" Id="rId1381" /><Relationship Type="http://schemas.openxmlformats.org/officeDocument/2006/relationships/hyperlink" Target="http://www.cc-calvi-balagne.fr" TargetMode="External" Id="rId1382" /><Relationship Type="http://schemas.openxmlformats.org/officeDocument/2006/relationships/hyperlink" Target="https://lannuaire.service-public.gouv.fr/corse/haute-corse/32a788ac-44bc-4eeb-b724-0e271ff220d0" TargetMode="External" Id="rId1383" /><Relationship Type="http://schemas.openxmlformats.org/officeDocument/2006/relationships/hyperlink" Target="mailto:accueil@ccfc.corsica" TargetMode="External" Id="rId1384" /><Relationship Type="http://schemas.openxmlformats.org/officeDocument/2006/relationships/hyperlink" Target="https://www.ccfiumorbucastellu.corsica/" TargetMode="External" Id="rId1385" /><Relationship Type="http://schemas.openxmlformats.org/officeDocument/2006/relationships/hyperlink" Target="https://lannuaire.service-public.gouv.fr/corse/haute-corse/a114e5df-17fa-4e20-acc2-7554cac94d8d" TargetMode="External" Id="rId1386" /><Relationship Type="http://schemas.openxmlformats.org/officeDocument/2006/relationships/hyperlink" Target="mailto:contact@maranagolo.org" TargetMode="External" Id="rId1387" /><Relationship Type="http://schemas.openxmlformats.org/officeDocument/2006/relationships/hyperlink" Target="https://maranagolo.org" TargetMode="External" Id="rId1388" /><Relationship Type="http://schemas.openxmlformats.org/officeDocument/2006/relationships/hyperlink" Target="https://lannuaire.service-public.gouv.fr/corse/haute-corse/32a84c9a-b6c6-4406-bbb8-cfed4b0d2526" TargetMode="External" Id="rId1389" /><Relationship Type="http://schemas.openxmlformats.org/officeDocument/2006/relationships/hyperlink" Target="mailto:contact@ccirb.fr" TargetMode="External" Id="rId1390" /><Relationship Type="http://schemas.openxmlformats.org/officeDocument/2006/relationships/hyperlink" Target="https://www.lisula-balagna.fr/" TargetMode="External" Id="rId1391" /><Relationship Type="http://schemas.openxmlformats.org/officeDocument/2006/relationships/hyperlink" Target="https://www.lisula-balagna.fr/contact/" TargetMode="External" Id="rId1392" /><Relationship Type="http://schemas.openxmlformats.org/officeDocument/2006/relationships/hyperlink" Target="https://lannuaire.service-public.gouv.fr/corse/haute-corse/6fa48813-8b77-40fe-856a-0e577a814cc0" TargetMode="External" Id="rId1393" /><Relationship Type="http://schemas.openxmlformats.org/officeDocument/2006/relationships/hyperlink" Target="mailto:comcomoriente@orange.fr" TargetMode="External" Id="rId1394" /><Relationship Type="http://schemas.openxmlformats.org/officeDocument/2006/relationships/hyperlink" Target="https://oriente.fr/contact-us.html" TargetMode="External" Id="rId1395" /><Relationship Type="http://schemas.openxmlformats.org/officeDocument/2006/relationships/hyperlink" Target="https://lannuaire.service-public.gouv.fr/corse/haute-corse/386a0331-ef71-42a2-a361-3dd3e6c1498e" TargetMode="External" Id="rId1396" /><Relationship Type="http://schemas.openxmlformats.org/officeDocument/2006/relationships/hyperlink" Target="mailto:contact@castagnicciacasinca.fr" TargetMode="External" Id="rId1397" /><Relationship Type="http://schemas.openxmlformats.org/officeDocument/2006/relationships/hyperlink" Target="https://www.castagnicciacasinca.fr/" TargetMode="External" Id="rId1398" /><Relationship Type="http://schemas.openxmlformats.org/officeDocument/2006/relationships/hyperlink" Target="https://www.castagnicciacasinca.fr/fr/contact" TargetMode="External" Id="rId1399" /><Relationship Type="http://schemas.openxmlformats.org/officeDocument/2006/relationships/hyperlink" Target="https://lannuaire.service-public.gouv.fr/corse/haute-corse/9c532bbb-6022-49b7-9b78-0ef18c4ca944" TargetMode="External" Id="rId1400" /><Relationship Type="http://schemas.openxmlformats.org/officeDocument/2006/relationships/hyperlink" Target="mailto:contact@costa-verde.fr" TargetMode="External" Id="rId1401" /><Relationship Type="http://schemas.openxmlformats.org/officeDocument/2006/relationships/hyperlink" Target="https://www.costa-verde.fr/" TargetMode="External" Id="rId1402" /><Relationship Type="http://schemas.openxmlformats.org/officeDocument/2006/relationships/hyperlink" Target="https://www.costa-verde.fr/contact/" TargetMode="External" Id="rId1403" /><Relationship Type="http://schemas.openxmlformats.org/officeDocument/2006/relationships/hyperlink" Target="https://lannuaire.service-public.gouv.fr/corse/haute-corse/bb923067-a595-4667-8806-92071602554b" TargetMode="External" Id="rId1404" /><Relationship Type="http://schemas.openxmlformats.org/officeDocument/2006/relationships/hyperlink" Target="mailto:contact@cc-capcorse.corsica" TargetMode="External" Id="rId1405" /><Relationship Type="http://schemas.openxmlformats.org/officeDocument/2006/relationships/hyperlink" Target="https://destination-cap-corse.corsica/" TargetMode="External" Id="rId1406" /><Relationship Type="http://schemas.openxmlformats.org/officeDocument/2006/relationships/hyperlink" Target="https://destination-cap-corse.corsica/contact/" TargetMode="External" Id="rId1407" /><Relationship Type="http://schemas.openxmlformats.org/officeDocument/2006/relationships/hyperlink" Target="https://lannuaire.service-public.gouv.fr/corse/haute-corse/48580546-1e0c-43df-b7ac-1d2c13b2175e" TargetMode="External" Id="rId1408" /><Relationship Type="http://schemas.openxmlformats.org/officeDocument/2006/relationships/hyperlink" Target="mailto:accueil@cccentre-corse.fr" TargetMode="External" Id="rId1409" /><Relationship Type="http://schemas.openxmlformats.org/officeDocument/2006/relationships/hyperlink" Target="https://www.centre-corse.com/" TargetMode="External" Id="rId1410" /><Relationship Type="http://schemas.openxmlformats.org/officeDocument/2006/relationships/hyperlink" Target="https://lannuaire.service-public.gouv.fr/corse/haute-corse/3b92c86f-db67-49c1-bf92-7ac679c7482e" TargetMode="External" Id="rId1411" /><Relationship Type="http://schemas.openxmlformats.org/officeDocument/2006/relationships/hyperlink" Target="mailto:accueil.atome@alesagglo.fr" TargetMode="External" Id="rId1412" /><Relationship Type="http://schemas.openxmlformats.org/officeDocument/2006/relationships/hyperlink" Target="https://www.ales.fr" TargetMode="External" Id="rId1413" /><Relationship Type="http://schemas.openxmlformats.org/officeDocument/2006/relationships/hyperlink" Target="https://www.ales.fr/contact/" TargetMode="External" Id="rId1414" /><Relationship Type="http://schemas.openxmlformats.org/officeDocument/2006/relationships/hyperlink" Target="https://lannuaire.service-public.gouv.fr/occitanie/gard/8efdd582-964f-4f45-aae2-43f4c29e0503" TargetMode="External" Id="rId1415" /><Relationship Type="http://schemas.openxmlformats.org/officeDocument/2006/relationships/hyperlink" Target="https://www.nimes-metropole.fr/accueil.html" TargetMode="External" Id="rId1416" /><Relationship Type="http://schemas.openxmlformats.org/officeDocument/2006/relationships/hyperlink" Target="https://www.nimes-metropole.fr/contact-presse.html" TargetMode="External" Id="rId1417" /><Relationship Type="http://schemas.openxmlformats.org/officeDocument/2006/relationships/hyperlink" Target="https://lannuaire.service-public.gouv.fr/occitanie/gard/55f805c7-f216-4d91-854c-3924871f20bf" TargetMode="External" Id="rId1418" /><Relationship Type="http://schemas.openxmlformats.org/officeDocument/2006/relationships/hyperlink" Target="mailto:agglo@gardrhodanien.fr" TargetMode="External" Id="rId1419" /><Relationship Type="http://schemas.openxmlformats.org/officeDocument/2006/relationships/hyperlink" Target="https://www.gardrhodanien.fr/" TargetMode="External" Id="rId1420" /><Relationship Type="http://schemas.openxmlformats.org/officeDocument/2006/relationships/hyperlink" Target="https://www.gardrhodanien.fr/nous-contacter/" TargetMode="External" Id="rId1421" /><Relationship Type="http://schemas.openxmlformats.org/officeDocument/2006/relationships/hyperlink" Target="https://lannuaire.service-public.gouv.fr/occitanie/gard/a235555b-17f3-4de5-811b-344dbc127401" TargetMode="External" Id="rId1422" /><Relationship Type="http://schemas.openxmlformats.org/officeDocument/2006/relationships/hyperlink" Target="mailto:contact@laterredargence.fr" TargetMode="External" Id="rId1423" /><Relationship Type="http://schemas.openxmlformats.org/officeDocument/2006/relationships/hyperlink" Target="http://www.laterredargence.fr" TargetMode="External" Id="rId1424" /><Relationship Type="http://schemas.openxmlformats.org/officeDocument/2006/relationships/hyperlink" Target="https://lannuaire.service-public.gouv.fr/occitanie/gard/5c55bac6-ee9d-4bbd-9eff-86a1c2ef4670" TargetMode="External" Id="rId1425" /><Relationship Type="http://schemas.openxmlformats.org/officeDocument/2006/relationships/hyperlink" Target="mailto:c.c@cac-ts.com" TargetMode="External" Id="rId1426" /><Relationship Type="http://schemas.openxmlformats.org/officeDocument/2006/relationships/hyperlink" Target="https://caussesaigoualcevennes.fr/" TargetMode="External" Id="rId1427" /><Relationship Type="http://schemas.openxmlformats.org/officeDocument/2006/relationships/hyperlink" Target="https://caussesaigoualcevennes.fr/contact/" TargetMode="External" Id="rId1428" /><Relationship Type="http://schemas.openxmlformats.org/officeDocument/2006/relationships/hyperlink" Target="https://lannuaire.service-public.gouv.fr/occitanie/gard/9392a24e-eebc-4b6e-baf2-96825e537609" TargetMode="External" Id="rId1429" /><Relationship Type="http://schemas.openxmlformats.org/officeDocument/2006/relationships/hyperlink" Target="mailto:contact@ccpaysduzes.fr" TargetMode="External" Id="rId1430" /><Relationship Type="http://schemas.openxmlformats.org/officeDocument/2006/relationships/hyperlink" Target="https://www.ccpaysduzes.fr/" TargetMode="External" Id="rId1431" /><Relationship Type="http://schemas.openxmlformats.org/officeDocument/2006/relationships/hyperlink" Target="https://www.ccpaysduzes.fr/contact.html" TargetMode="External" Id="rId1432" /><Relationship Type="http://schemas.openxmlformats.org/officeDocument/2006/relationships/hyperlink" Target="https://lannuaire.service-public.gouv.fr/occitanie/gard/32caa9c3-622e-4b2c-bbf9-c8d0772b872d" TargetMode="External" Id="rId1433" /><Relationship Type="http://schemas.openxmlformats.org/officeDocument/2006/relationships/hyperlink" Target="mailto:accueil@ccrvv.fr" TargetMode="External" Id="rId1434" /><Relationship Type="http://schemas.openxmlformats.org/officeDocument/2006/relationships/hyperlink" Target="https://www.ccrvv.fr/" TargetMode="External" Id="rId1435" /><Relationship Type="http://schemas.openxmlformats.org/officeDocument/2006/relationships/hyperlink" Target="https://www.ccrvv.fr/communaute-de-communes/restons-connectes/contact-horaires?view=form&amp;id=1" TargetMode="External" Id="rId1436" /><Relationship Type="http://schemas.openxmlformats.org/officeDocument/2006/relationships/hyperlink" Target="https://lannuaire.service-public.gouv.fr/occitanie/gard/724f08cd-8fbf-4a00-ae4b-f1f47c0e5693" TargetMode="External" Id="rId1437" /><Relationship Type="http://schemas.openxmlformats.org/officeDocument/2006/relationships/hyperlink" Target="mailto:cc@terredecamargue.fr" TargetMode="External" Id="rId1438" /><Relationship Type="http://schemas.openxmlformats.org/officeDocument/2006/relationships/hyperlink" Target="https://www.terredecamargue.fr/" TargetMode="External" Id="rId1439" /><Relationship Type="http://schemas.openxmlformats.org/officeDocument/2006/relationships/hyperlink" Target="https://lannuaire.service-public.gouv.fr/occitanie/gard/d2bfa47d-3329-4587-a232-93226240b517" TargetMode="External" Id="rId1440" /><Relationship Type="http://schemas.openxmlformats.org/officeDocument/2006/relationships/hyperlink" Target="mailto:contact@petitecamargue.fr" TargetMode="External" Id="rId1441" /><Relationship Type="http://schemas.openxmlformats.org/officeDocument/2006/relationships/hyperlink" Target="https://www.petitecamargue.fr/" TargetMode="External" Id="rId1442" /><Relationship Type="http://schemas.openxmlformats.org/officeDocument/2006/relationships/hyperlink" Target="https://www.petitecamargue.fr/contact-communaute-communes-camargue/" TargetMode="External" Id="rId1443" /><Relationship Type="http://schemas.openxmlformats.org/officeDocument/2006/relationships/hyperlink" Target="https://lannuaire.service-public.gouv.fr/occitanie/gard/c73843a4-cadb-4255-b368-5b2df92128ca" TargetMode="External" Id="rId1444" /><Relationship Type="http://schemas.openxmlformats.org/officeDocument/2006/relationships/hyperlink" Target="mailto:infos@cc-paysviganais.fr" TargetMode="External" Id="rId1445" /><Relationship Type="http://schemas.openxmlformats.org/officeDocument/2006/relationships/hyperlink" Target="https://www.cc-paysviganais.fr/" TargetMode="External" Id="rId1446" /><Relationship Type="http://schemas.openxmlformats.org/officeDocument/2006/relationships/hyperlink" Target="https://www.cc-paysviganais.fr/systeme/nous-contacter/" TargetMode="External" Id="rId1447" /><Relationship Type="http://schemas.openxmlformats.org/officeDocument/2006/relationships/hyperlink" Target="https://lannuaire.service-public.gouv.fr/occitanie/gard/56d9ca2f-e68d-4ffb-b7a8-26460657dead" TargetMode="External" Id="rId1448" /><Relationship Type="http://schemas.openxmlformats.org/officeDocument/2006/relationships/hyperlink" Target="mailto:contact@ccpaysdesommieres.fr" TargetMode="External" Id="rId1449" /><Relationship Type="http://schemas.openxmlformats.org/officeDocument/2006/relationships/hyperlink" Target="https://www.ccpaysdesommieres.fr/" TargetMode="External" Id="rId1450" /><Relationship Type="http://schemas.openxmlformats.org/officeDocument/2006/relationships/hyperlink" Target="https://www.ccpaysdesommieres.fr/nous-contacter/" TargetMode="External" Id="rId1451" /><Relationship Type="http://schemas.openxmlformats.org/officeDocument/2006/relationships/hyperlink" Target="https://lannuaire.service-public.gouv.fr/occitanie/gard/8c6f29cf-8310-4b06-a149-aa6497210883" TargetMode="External" Id="rId1452" /><Relationship Type="http://schemas.openxmlformats.org/officeDocument/2006/relationships/hyperlink" Target="mailto:contact@piemont-cevenol.fr" TargetMode="External" Id="rId1453" /><Relationship Type="http://schemas.openxmlformats.org/officeDocument/2006/relationships/hyperlink" Target="https://www.piemont-cevenol.fr/" TargetMode="External" Id="rId1454" /><Relationship Type="http://schemas.openxmlformats.org/officeDocument/2006/relationships/hyperlink" Target="https://www.piemont-cevenol.fr/nous-contacter/" TargetMode="External" Id="rId1455" /><Relationship Type="http://schemas.openxmlformats.org/officeDocument/2006/relationships/hyperlink" Target="https://lannuaire.service-public.gouv.fr/occitanie/gard/c66e3edd-50ad-4a6a-9929-f8b983fe6a4f" TargetMode="External" Id="rId1456" /><Relationship Type="http://schemas.openxmlformats.org/officeDocument/2006/relationships/hyperlink" Target="mailto:contact@cc-pontdugard.fr" TargetMode="External" Id="rId1457" /><Relationship Type="http://schemas.openxmlformats.org/officeDocument/2006/relationships/hyperlink" Target="https://www.cc-pontdugard.fr/" TargetMode="External" Id="rId1458" /><Relationship Type="http://schemas.openxmlformats.org/officeDocument/2006/relationships/hyperlink" Target="https://www.cc-pontdugard.fr/90-contacts.htm" TargetMode="External" Id="rId1459" /><Relationship Type="http://schemas.openxmlformats.org/officeDocument/2006/relationships/hyperlink" Target="https://lannuaire.service-public.gouv.fr/occitanie/gard/a0ccf4d8-2230-487e-beee-54b64c6da782" TargetMode="External" Id="rId1460" /><Relationship Type="http://schemas.openxmlformats.org/officeDocument/2006/relationships/hyperlink" Target="mailto:contact@cdcgangesumene.fr" TargetMode="External" Id="rId1461" /><Relationship Type="http://schemas.openxmlformats.org/officeDocument/2006/relationships/hyperlink" Target="https://cdcgangesumene.fr/" TargetMode="External" Id="rId1462" /><Relationship Type="http://schemas.openxmlformats.org/officeDocument/2006/relationships/hyperlink" Target="https://cdcgangesumene.fr/contact/" TargetMode="External" Id="rId1463" /><Relationship Type="http://schemas.openxmlformats.org/officeDocument/2006/relationships/hyperlink" Target="https://lannuaire.service-public.gouv.fr/occitanie/herault/28c61c1e-960c-43c5-bd17-bc2381c887a8" TargetMode="External" Id="rId1464" /><Relationship Type="http://schemas.openxmlformats.org/officeDocument/2006/relationships/hyperlink" Target="mailto:accueil@ccmontlozere.fr" TargetMode="External" Id="rId1465" /><Relationship Type="http://schemas.openxmlformats.org/officeDocument/2006/relationships/hyperlink" Target="https://www.ccmontlozere.fr/" TargetMode="External" Id="rId1466" /><Relationship Type="http://schemas.openxmlformats.org/officeDocument/2006/relationships/hyperlink" Target="https://www.ccmontlozere.fr/contact/" TargetMode="External" Id="rId1467" /><Relationship Type="http://schemas.openxmlformats.org/officeDocument/2006/relationships/hyperlink" Target="https://lannuaire.service-public.gouv.fr/occitanie/lozere/881ce777-a883-4b9c-b56d-517dc7df4eaf" TargetMode="External" Id="rId1468" /><Relationship Type="http://schemas.openxmlformats.org/officeDocument/2006/relationships/hyperlink" Target="mailto:contact@grandavignon.fr" TargetMode="External" Id="rId1469" /><Relationship Type="http://schemas.openxmlformats.org/officeDocument/2006/relationships/hyperlink" Target="https://www.grandavignon.fr/fr" TargetMode="External" Id="rId1470" /><Relationship Type="http://schemas.openxmlformats.org/officeDocument/2006/relationships/hyperlink" Target="https://www.grandavignon.fr/fr/nous-contacter" TargetMode="External" Id="rId1471" /><Relationship Type="http://schemas.openxmlformats.org/officeDocument/2006/relationships/hyperlink" Target="https://lannuaire.service-public.gouv.fr/provence-alpes-cote-d-azur/vaucluse/56b52a62-107f-4d3e-bf21-3b7a899676ef" TargetMode="External" Id="rId1472" /><Relationship Type="http://schemas.openxmlformats.org/officeDocument/2006/relationships/hyperlink" Target="mailto:accueil@agglo-muretain.fr" TargetMode="External" Id="rId1473" /><Relationship Type="http://schemas.openxmlformats.org/officeDocument/2006/relationships/hyperlink" Target="http://www.agglo-muretain.fr" TargetMode="External" Id="rId1474" /><Relationship Type="http://schemas.openxmlformats.org/officeDocument/2006/relationships/hyperlink" Target="https://lannuaire.service-public.gouv.fr/occitanie/haute-garonne/0949e812-0105-46f8-9bee-4e180a8e5098" TargetMode="External" Id="rId1475" /><Relationship Type="http://schemas.openxmlformats.org/officeDocument/2006/relationships/hyperlink" Target="mailto:info@sicoval.fr" TargetMode="External" Id="rId1476" /><Relationship Type="http://schemas.openxmlformats.org/officeDocument/2006/relationships/hyperlink" Target="https://www.sicoval.fr/" TargetMode="External" Id="rId1477" /><Relationship Type="http://schemas.openxmlformats.org/officeDocument/2006/relationships/hyperlink" Target="https://www.sicoval.fr/mon-agglo/infos-pratiques/contactez-nous/" TargetMode="External" Id="rId1478" /><Relationship Type="http://schemas.openxmlformats.org/officeDocument/2006/relationships/hyperlink" Target="https://lannuaire.service-public.gouv.fr/occitanie/haute-garonne/1b2c5dea-d387-4c1c-b1b2-3edbef4defed" TargetMode="External" Id="rId1479" /><Relationship Type="http://schemas.openxmlformats.org/officeDocument/2006/relationships/hyperlink" Target="mailto:secretariat@cagiregaronnesalat.fr" TargetMode="External" Id="rId1480" /><Relationship Type="http://schemas.openxmlformats.org/officeDocument/2006/relationships/hyperlink" Target="https://www.cagiregaronnesalat.fr" TargetMode="External" Id="rId1481" /><Relationship Type="http://schemas.openxmlformats.org/officeDocument/2006/relationships/hyperlink" Target="https://lannuaire.service-public.gouv.fr/occitanie/haute-garonne/c8782446-abc9-4fe1-a2e7-23f4de1030a0" TargetMode="External" Id="rId1482" /><Relationship Type="http://schemas.openxmlformats.org/officeDocument/2006/relationships/hyperlink" Target="mailto:accueil@cc-coeurdegaronne.fr" TargetMode="External" Id="rId1483" /><Relationship Type="http://schemas.openxmlformats.org/officeDocument/2006/relationships/hyperlink" Target="https://www.cc-coeurdegaronne.fr/" TargetMode="External" Id="rId1484" /><Relationship Type="http://schemas.openxmlformats.org/officeDocument/2006/relationships/hyperlink" Target="https://www.cc-coeurdegaronne.fr/contact" TargetMode="External" Id="rId1485" /><Relationship Type="http://schemas.openxmlformats.org/officeDocument/2006/relationships/hyperlink" Target="https://lannuaire.service-public.gouv.fr/occitanie/haute-garonne/87007078-0dc2-463f-bec9-5dd831265ff3" TargetMode="External" Id="rId1486" /><Relationship Type="http://schemas.openxmlformats.org/officeDocument/2006/relationships/hyperlink" Target="mailto:contact@la5c.fr" TargetMode="External" Id="rId1487" /><Relationship Type="http://schemas.openxmlformats.org/officeDocument/2006/relationships/hyperlink" Target="https://www.coeurcoteaux-comminges.fr/" TargetMode="External" Id="rId1488" /><Relationship Type="http://schemas.openxmlformats.org/officeDocument/2006/relationships/hyperlink" Target="https://www.coeurcoteaux-comminges.fr/contact-9" TargetMode="External" Id="rId1489" /><Relationship Type="http://schemas.openxmlformats.org/officeDocument/2006/relationships/hyperlink" Target="https://lannuaire.service-public.gouv.fr/occitanie/haute-garonne/add6a920-f99d-447f-a4dc-1aa2f838e522" TargetMode="External" Id="rId1490" /><Relationship Type="http://schemas.openxmlformats.org/officeDocument/2006/relationships/hyperlink" Target="mailto:contact@grandouesttoulousain.fr" TargetMode="External" Id="rId1491" /><Relationship Type="http://schemas.openxmlformats.org/officeDocument/2006/relationships/hyperlink" Target="https://www.grandouesttoulousain.fr/" TargetMode="External" Id="rId1492" /><Relationship Type="http://schemas.openxmlformats.org/officeDocument/2006/relationships/hyperlink" Target="https://www.grandouesttoulousain.fr/contact/contactez-nous" TargetMode="External" Id="rId1493" /><Relationship Type="http://schemas.openxmlformats.org/officeDocument/2006/relationships/hyperlink" Target="https://lannuaire.service-public.gouv.fr/occitanie/haute-garonne/c4ecc858-a65f-4304-8145-a1b07755a970" TargetMode="External" Id="rId1494" /><Relationship Type="http://schemas.openxmlformats.org/officeDocument/2006/relationships/hyperlink" Target="mailto:secretariat@ccphg.fr" TargetMode="External" Id="rId1495" /><Relationship Type="http://schemas.openxmlformats.org/officeDocument/2006/relationships/hyperlink" Target="https://cc-pyreneeshautgaronnaises.fr/" TargetMode="External" Id="rId1496" /><Relationship Type="http://schemas.openxmlformats.org/officeDocument/2006/relationships/hyperlink" Target="https://lannuaire.service-public.gouv.fr/occitanie/haute-garonne/8afd9139-3d65-4fe4-ba40-f8b5879da947" TargetMode="External" Id="rId1497" /><Relationship Type="http://schemas.openxmlformats.org/officeDocument/2006/relationships/hyperlink" Target="mailto:contact@valaigo.fr" TargetMode="External" Id="rId1498" /><Relationship Type="http://schemas.openxmlformats.org/officeDocument/2006/relationships/hyperlink" Target="https://valaigo.com/" TargetMode="External" Id="rId1499" /><Relationship Type="http://schemas.openxmlformats.org/officeDocument/2006/relationships/hyperlink" Target="https://lannuaire.service-public.gouv.fr/occitanie/haute-garonne/5b469453-f428-4a6f-b290-cde189fcc0e5" TargetMode="External" Id="rId1500" /><Relationship Type="http://schemas.openxmlformats.org/officeDocument/2006/relationships/hyperlink" Target="mailto:coteauxbellevue@cc-coteauxbellevue.fr" TargetMode="External" Id="rId1501" /><Relationship Type="http://schemas.openxmlformats.org/officeDocument/2006/relationships/hyperlink" Target="https://cc-coteauxbellevue.fr/" TargetMode="External" Id="rId1502" /><Relationship Type="http://schemas.openxmlformats.org/officeDocument/2006/relationships/hyperlink" Target="https://cc-coteauxbellevue.fr/contact/" TargetMode="External" Id="rId1503" /><Relationship Type="http://schemas.openxmlformats.org/officeDocument/2006/relationships/hyperlink" Target="https://lannuaire.service-public.gouv.fr/occitanie/haute-garonne/27eb554a-578f-4f77-a4cb-91683bfb9275" TargetMode="External" Id="rId1504" /><Relationship Type="http://schemas.openxmlformats.org/officeDocument/2006/relationships/hyperlink" Target="mailto:contact@coteauxdugirou.fr" TargetMode="External" Id="rId1505" /><Relationship Type="http://schemas.openxmlformats.org/officeDocument/2006/relationships/hyperlink" Target="https://www.cc-coteaux-du-girou.fr/" TargetMode="External" Id="rId1506" /><Relationship Type="http://schemas.openxmlformats.org/officeDocument/2006/relationships/hyperlink" Target="https://www.cc-coteaux-du-girou.fr/contact" TargetMode="External" Id="rId1507" /><Relationship Type="http://schemas.openxmlformats.org/officeDocument/2006/relationships/hyperlink" Target="https://lannuaire.service-public.gouv.fr/occitanie/haute-garonne/50262b8c-86cb-4e19-b3ac-a32bfc15601f" TargetMode="External" Id="rId1508" /><Relationship Type="http://schemas.openxmlformats.org/officeDocument/2006/relationships/hyperlink" Target="mailto:contact@hautstolosans.fr" TargetMode="External" Id="rId1509" /><Relationship Type="http://schemas.openxmlformats.org/officeDocument/2006/relationships/hyperlink" Target="https://www.hautstolosans.fr/" TargetMode="External" Id="rId1510" /><Relationship Type="http://schemas.openxmlformats.org/officeDocument/2006/relationships/hyperlink" Target="https://www.hautstolosans.fr/demarche-administrative/nous-contacter/" TargetMode="External" Id="rId1511" /><Relationship Type="http://schemas.openxmlformats.org/officeDocument/2006/relationships/hyperlink" Target="https://lannuaire.service-public.gouv.fr/occitanie/haute-garonne/14a72b61-2422-4d9e-99ef-fa0dd9ec6129" TargetMode="External" Id="rId1512" /><Relationship Type="http://schemas.openxmlformats.org/officeDocument/2006/relationships/hyperlink" Target="mailto:accueil@terres-du-lauragais.fr" TargetMode="External" Id="rId1513" /><Relationship Type="http://schemas.openxmlformats.org/officeDocument/2006/relationships/hyperlink" Target="https://www.terres-du-lauragais.fr/fr/index.html" TargetMode="External" Id="rId1514" /><Relationship Type="http://schemas.openxmlformats.org/officeDocument/2006/relationships/hyperlink" Target="https://lannuaire.service-public.gouv.fr/occitanie/haute-garonne/107a6b55-17e7-4160-bac9-f9747b74c154" TargetMode="External" Id="rId1515" /><Relationship Type="http://schemas.openxmlformats.org/officeDocument/2006/relationships/hyperlink" Target="mailto:accueil@ccba31.fr" TargetMode="External" Id="rId1516" /><Relationship Type="http://schemas.openxmlformats.org/officeDocument/2006/relationships/hyperlink" Target="https://www.ccba31.fr/" TargetMode="External" Id="rId1517" /><Relationship Type="http://schemas.openxmlformats.org/officeDocument/2006/relationships/hyperlink" Target="https://lannuaire.service-public.gouv.fr/occitanie/haute-garonne/4eef5706-bce9-4cb4-9105-33b0923dfb80" TargetMode="External" Id="rId1518" /><Relationship Type="http://schemas.openxmlformats.org/officeDocument/2006/relationships/hyperlink" Target="mailto:contact@cc-dufrontonnais.fr" TargetMode="External" Id="rId1519" /><Relationship Type="http://schemas.openxmlformats.org/officeDocument/2006/relationships/hyperlink" Target="https://www.cc-dufrontonnais.fr/" TargetMode="External" Id="rId1520" /><Relationship Type="http://schemas.openxmlformats.org/officeDocument/2006/relationships/hyperlink" Target="https://lannuaire.service-public.gouv.fr/occitanie/haute-garonne/9ba033fc-5feb-4830-ad35-5a373fbe032a" TargetMode="External" Id="rId1521" /><Relationship Type="http://schemas.openxmlformats.org/officeDocument/2006/relationships/hyperlink" Target="mailto:contact@cc-volvestre.fr" TargetMode="External" Id="rId1522" /><Relationship Type="http://schemas.openxmlformats.org/officeDocument/2006/relationships/hyperlink" Target="https://volvestre.fr/" TargetMode="External" Id="rId1523" /><Relationship Type="http://schemas.openxmlformats.org/officeDocument/2006/relationships/hyperlink" Target="https://volvestre.fr/contactez-nous/" TargetMode="External" Id="rId1524" /><Relationship Type="http://schemas.openxmlformats.org/officeDocument/2006/relationships/hyperlink" Target="https://lannuaire.service-public.gouv.fr/occitanie/haute-garonne/46f6ee70-306e-4e28-9383-304714e0bc16" TargetMode="External" Id="rId1525" /><Relationship Type="http://schemas.openxmlformats.org/officeDocument/2006/relationships/hyperlink" Target="mailto:accueil@toulouse-metropole.fr" TargetMode="External" Id="rId1526" /><Relationship Type="http://schemas.openxmlformats.org/officeDocument/2006/relationships/hyperlink" Target="https://metropole.toulouse.fr/" TargetMode="External" Id="rId1527" /><Relationship Type="http://schemas.openxmlformats.org/officeDocument/2006/relationships/hyperlink" Target="https://metropole.toulouse.fr/nous-contacter" TargetMode="External" Id="rId1528" /><Relationship Type="http://schemas.openxmlformats.org/officeDocument/2006/relationships/hyperlink" Target="https://lannuaire.service-public.gouv.fr/occitanie/haute-garonne/2ed537d3-c022-4864-9dda-090ebea0202a" TargetMode="External" Id="rId1529" /><Relationship Type="http://schemas.openxmlformats.org/officeDocument/2006/relationships/hyperlink" Target="mailto:accueil@cc-tarnagout.fr" TargetMode="External" Id="rId1530" /><Relationship Type="http://schemas.openxmlformats.org/officeDocument/2006/relationships/hyperlink" Target="https://www.cc-tarnagout.fr/" TargetMode="External" Id="rId1531" /><Relationship Type="http://schemas.openxmlformats.org/officeDocument/2006/relationships/hyperlink" Target="https://lannuaire.service-public.gouv.fr/occitanie/tarn/8a507949-c336-46fc-b344-589110d12e54" TargetMode="External" Id="rId1532" /><Relationship Type="http://schemas.openxmlformats.org/officeDocument/2006/relationships/hyperlink" Target="mailto:accueil@grand-auch.fr" TargetMode="External" Id="rId1533" /><Relationship Type="http://schemas.openxmlformats.org/officeDocument/2006/relationships/hyperlink" Target="https://www.grandauch.com/" TargetMode="External" Id="rId1534" /><Relationship Type="http://schemas.openxmlformats.org/officeDocument/2006/relationships/hyperlink" Target="https://www.grandauch.com/contact" TargetMode="External" Id="rId1535" /><Relationship Type="http://schemas.openxmlformats.org/officeDocument/2006/relationships/hyperlink" Target="https://lannuaire.service-public.gouv.fr/occitanie/gers/9368c218-812d-4474-9228-506694d16166" TargetMode="External" Id="rId1536" /><Relationship Type="http://schemas.openxmlformats.org/officeDocument/2006/relationships/hyperlink" Target="mailto:ccaa@armagnacadour.fr" TargetMode="External" Id="rId1537" /><Relationship Type="http://schemas.openxmlformats.org/officeDocument/2006/relationships/hyperlink" Target="http://www.armagnacadour.fr" TargetMode="External" Id="rId1538" /><Relationship Type="http://schemas.openxmlformats.org/officeDocument/2006/relationships/hyperlink" Target="https://lannuaire.service-public.gouv.fr/occitanie/gers/e0e62423-119a-4c94-8c47-0ccdf5d43ba3" TargetMode="External" Id="rId1539" /><Relationship Type="http://schemas.openxmlformats.org/officeDocument/2006/relationships/hyperlink" Target="mailto:accueil@dartagnanenfezensac.com" TargetMode="External" Id="rId1540" /><Relationship Type="http://schemas.openxmlformats.org/officeDocument/2006/relationships/hyperlink" Target="https://www.dartagnanenfezensac.com/" TargetMode="External" Id="rId1541" /><Relationship Type="http://schemas.openxmlformats.org/officeDocument/2006/relationships/hyperlink" Target="https://lannuaire.service-public.gouv.fr/occitanie/gers/730ce44f-d282-4569-9da4-0d69ce78f68f" TargetMode="External" Id="rId1542" /><Relationship Type="http://schemas.openxmlformats.org/officeDocument/2006/relationships/hyperlink" Target="mailto:contact@cdcaag.fr" TargetMode="External" Id="rId1543" /><Relationship Type="http://schemas.openxmlformats.org/officeDocument/2006/relationships/hyperlink" Target="https://www.cdcaag.fr/" TargetMode="External" Id="rId1544" /><Relationship Type="http://schemas.openxmlformats.org/officeDocument/2006/relationships/hyperlink" Target="https://www.cdcaag.fr/nous-contacter/" TargetMode="External" Id="rId1545" /><Relationship Type="http://schemas.openxmlformats.org/officeDocument/2006/relationships/hyperlink" Target="https://lannuaire.service-public.gouv.fr/occitanie/gers/2c1fbf3a-780b-40ef-a45a-a70705ee2006" TargetMode="External" Id="rId1546" /><Relationship Type="http://schemas.openxmlformats.org/officeDocument/2006/relationships/hyperlink" Target="mailto:contact@ccbl32.fr" TargetMode="External" Id="rId1547" /><Relationship Type="http://schemas.openxmlformats.org/officeDocument/2006/relationships/hyperlink" Target="https://www.ccbl32.fr/ccbl/index.php" TargetMode="External" Id="rId1548" /><Relationship Type="http://schemas.openxmlformats.org/officeDocument/2006/relationships/hyperlink" Target="https://lannuaire.service-public.gouv.fr/occitanie/gers/a9b33bed-72fc-4be3-8432-bce2d52a51c4" TargetMode="External" Id="rId1549" /><Relationship Type="http://schemas.openxmlformats.org/officeDocument/2006/relationships/hyperlink" Target="mailto:accueil@ccbvg.fr" TargetMode="External" Id="rId1550" /><Relationship Type="http://schemas.openxmlformats.org/officeDocument/2006/relationships/hyperlink" Target="https://www.ccbvg.fr/" TargetMode="External" Id="rId1551" /><Relationship Type="http://schemas.openxmlformats.org/officeDocument/2006/relationships/hyperlink" Target="https://www.ccbvg.fr/contact/" TargetMode="External" Id="rId1552" /><Relationship Type="http://schemas.openxmlformats.org/officeDocument/2006/relationships/hyperlink" Target="https://lannuaire.service-public.gouv.fr/occitanie/gers/c294f1e4-0874-4933-9f7a-c54bf885c0e0" TargetMode="External" Id="rId1553" /><Relationship Type="http://schemas.openxmlformats.org/officeDocument/2006/relationships/hyperlink" Target="mailto:contact@coeur-dastarac.fr" TargetMode="External" Id="rId1554" /><Relationship Type="http://schemas.openxmlformats.org/officeDocument/2006/relationships/hyperlink" Target="https://coeur-dastarac.fr/fr/" TargetMode="External" Id="rId1555" /><Relationship Type="http://schemas.openxmlformats.org/officeDocument/2006/relationships/hyperlink" Target="https://coeur-dastarac.fr/fr/" TargetMode="External" Id="rId1556" /><Relationship Type="http://schemas.openxmlformats.org/officeDocument/2006/relationships/hyperlink" Target="https://lannuaire.service-public.gouv.fr/occitanie/gers/b01fa094-c53a-4397-8225-fcc7870629fe" TargetMode="External" Id="rId1557" /><Relationship Type="http://schemas.openxmlformats.org/officeDocument/2006/relationships/hyperlink" Target="mailto:accueil@cc-valdegers.fr" TargetMode="External" Id="rId1558" /><Relationship Type="http://schemas.openxmlformats.org/officeDocument/2006/relationships/hyperlink" Target="https://www.cc-valdegers.fr/" TargetMode="External" Id="rId1559" /><Relationship Type="http://schemas.openxmlformats.org/officeDocument/2006/relationships/hyperlink" Target="https://lannuaire.service-public.gouv.fr/occitanie/gers/ac3e3bab-2126-4483-bcf9-5d23bc81829b" TargetMode="External" Id="rId1560" /><Relationship Type="http://schemas.openxmlformats.org/officeDocument/2006/relationships/hyperlink" Target="mailto:accueil@ccgascognetoulousaine.com" TargetMode="External" Id="rId1561" /><Relationship Type="http://schemas.openxmlformats.org/officeDocument/2006/relationships/hyperlink" Target="https://www.ccgascognetoulousaine.com/" TargetMode="External" Id="rId1562" /><Relationship Type="http://schemas.openxmlformats.org/officeDocument/2006/relationships/hyperlink" Target="https://www.ccgascognetoulousaine.com/contactez-nous/" TargetMode="External" Id="rId1563" /><Relationship Type="http://schemas.openxmlformats.org/officeDocument/2006/relationships/hyperlink" Target="https://lannuaire.service-public.gouv.fr/occitanie/gers/a46e7c9e-2ca4-493f-a5cb-a08607e07bc8" TargetMode="External" Id="rId1564" /><Relationship Type="http://schemas.openxmlformats.org/officeDocument/2006/relationships/hyperlink" Target="mailto:communaute-de-communes@lomagne-gersoise.com" TargetMode="External" Id="rId1565" /><Relationship Type="http://schemas.openxmlformats.org/officeDocument/2006/relationships/hyperlink" Target="https://www.lomagne-gersoise.com" TargetMode="External" Id="rId1566" /><Relationship Type="http://schemas.openxmlformats.org/officeDocument/2006/relationships/hyperlink" Target="https://lannuaire.service-public.gouv.fr/occitanie/gers/ea8ac1f7-0304-4b46-8f3b-729de79ceb6a" TargetMode="External" Id="rId1567" /><Relationship Type="http://schemas.openxmlformats.org/officeDocument/2006/relationships/hyperlink" Target="mailto:contact@cc-tenareze.fr" TargetMode="External" Id="rId1568" /><Relationship Type="http://schemas.openxmlformats.org/officeDocument/2006/relationships/hyperlink" Target="http://www.cc-tenareze.fr" TargetMode="External" Id="rId1569" /><Relationship Type="http://schemas.openxmlformats.org/officeDocument/2006/relationships/hyperlink" Target="http://cc-tenareze.fr/contact" TargetMode="External" Id="rId1570" /><Relationship Type="http://schemas.openxmlformats.org/officeDocument/2006/relationships/hyperlink" Target="https://lannuaire.service-public.gouv.fr/occitanie/gers/37e34749-e073-4ef7-a930-67a887e0065a" TargetMode="External" Id="rId1571" /><Relationship Type="http://schemas.openxmlformats.org/officeDocument/2006/relationships/hyperlink" Target="mailto:secretariat@3cag.fr" TargetMode="External" Id="rId1572" /><Relationship Type="http://schemas.openxmlformats.org/officeDocument/2006/relationships/hyperlink" Target="https://3cag.fr/" TargetMode="External" Id="rId1573" /><Relationship Type="http://schemas.openxmlformats.org/officeDocument/2006/relationships/hyperlink" Target="https://lannuaire.service-public.gouv.fr/occitanie/gers/b45a8efe-42ce-4088-ad47-47a46666a460" TargetMode="External" Id="rId1574" /><Relationship Type="http://schemas.openxmlformats.org/officeDocument/2006/relationships/hyperlink" Target="mailto:info@cc-basarmagnac.fr" TargetMode="External" Id="rId1575" /><Relationship Type="http://schemas.openxmlformats.org/officeDocument/2006/relationships/hyperlink" Target="https://cc-basarmagnac.fr/" TargetMode="External" Id="rId1576" /><Relationship Type="http://schemas.openxmlformats.org/officeDocument/2006/relationships/hyperlink" Target="https://cc-basarmagnac.fr/contact/" TargetMode="External" Id="rId1577" /><Relationship Type="http://schemas.openxmlformats.org/officeDocument/2006/relationships/hyperlink" Target="https://lannuaire.service-public.gouv.fr/occitanie/gers/876fcb46-6243-4c8f-8211-d3dd4dcfb30b" TargetMode="External" Id="rId1578" /><Relationship Type="http://schemas.openxmlformats.org/officeDocument/2006/relationships/hyperlink" Target="mailto:dgs@grand-armagnac.fr" TargetMode="External" Id="rId1579" /><Relationship Type="http://schemas.openxmlformats.org/officeDocument/2006/relationships/hyperlink" Target="https://grand-armagnac.fr/accueil" TargetMode="External" Id="rId1580" /><Relationship Type="http://schemas.openxmlformats.org/officeDocument/2006/relationships/hyperlink" Target="https://lannuaire.service-public.gouv.fr/occitanie/gers/4e7ba475-f0a5-4a8c-9e95-79a5d3c7e247" TargetMode="External" Id="rId1581" /><Relationship Type="http://schemas.openxmlformats.org/officeDocument/2006/relationships/hyperlink" Target="mailto:contact@ccsaves32.fr" TargetMode="External" Id="rId1582" /><Relationship Type="http://schemas.openxmlformats.org/officeDocument/2006/relationships/hyperlink" Target="https://www.ccsaves32.fr/" TargetMode="External" Id="rId1583" /><Relationship Type="http://schemas.openxmlformats.org/officeDocument/2006/relationships/hyperlink" Target="https://www.ccsaves32.fr/contact/" TargetMode="External" Id="rId1584" /><Relationship Type="http://schemas.openxmlformats.org/officeDocument/2006/relationships/hyperlink" Target="https://lannuaire.service-public.gouv.fr/occitanie/gers/2d85dc3c-6719-4e99-9a2e-15904cccf1b8" TargetMode="External" Id="rId1585" /><Relationship Type="http://schemas.openxmlformats.org/officeDocument/2006/relationships/hyperlink" Target="mailto:cdc@cdcaire.org" TargetMode="External" Id="rId1586" /><Relationship Type="http://schemas.openxmlformats.org/officeDocument/2006/relationships/hyperlink" Target="https://www.cdcaire.org/" TargetMode="External" Id="rId1587" /><Relationship Type="http://schemas.openxmlformats.org/officeDocument/2006/relationships/hyperlink" Target="https://lannuaire.service-public.gouv.fr/nouvelle-aquitaine/landes/5777a985-8940-418f-8498-73dd1a51ae6e" TargetMode="External" Id="rId1588" /><Relationship Type="http://schemas.openxmlformats.org/officeDocument/2006/relationships/hyperlink" Target="mailto:info@cc-deuxrives.fr" TargetMode="External" Id="rId1589" /><Relationship Type="http://schemas.openxmlformats.org/officeDocument/2006/relationships/hyperlink" Target="https://www.cc-deuxrives.fr" TargetMode="External" Id="rId1590" /><Relationship Type="http://schemas.openxmlformats.org/officeDocument/2006/relationships/hyperlink" Target="https://lannuaire.service-public.gouv.fr/occitanie/tarn-et-garonne/6ca6ff4d-8306-448c-a87a-8fff38c74dee" TargetMode="External" Id="rId1591" /><Relationship Type="http://schemas.openxmlformats.org/officeDocument/2006/relationships/hyperlink" Target="https://www.bordeaux-metropole.fr/" TargetMode="External" Id="rId1592" /><Relationship Type="http://schemas.openxmlformats.org/officeDocument/2006/relationships/hyperlink" Target="https://mesdemarches.bordeaux-metropole.fr/" TargetMode="External" Id="rId1593" /><Relationship Type="http://schemas.openxmlformats.org/officeDocument/2006/relationships/hyperlink" Target="https://lannuaire.service-public.gouv.fr/nouvelle-aquitaine/gironde/9e2406f5-c496-4b3b-9b9c-faa3ca7b6aba" TargetMode="External" Id="rId1594" /><Relationship Type="http://schemas.openxmlformats.org/officeDocument/2006/relationships/hyperlink" Target="mailto:cobas@agglo-cobas.fr" TargetMode="External" Id="rId1595" /><Relationship Type="http://schemas.openxmlformats.org/officeDocument/2006/relationships/hyperlink" Target="https://www.agglo-cobas.fr/" TargetMode="External" Id="rId1596" /><Relationship Type="http://schemas.openxmlformats.org/officeDocument/2006/relationships/hyperlink" Target="https://www.agglo-cobas.fr/contact/" TargetMode="External" Id="rId1597" /><Relationship Type="http://schemas.openxmlformats.org/officeDocument/2006/relationships/hyperlink" Target="https://lannuaire.service-public.gouv.fr/nouvelle-aquitaine/gironde/df8d3915-fa4f-42c4-8c6a-954235f99d86" TargetMode="External" Id="rId1598" /><Relationship Type="http://schemas.openxmlformats.org/officeDocument/2006/relationships/hyperlink" Target="mailto:contact@coban-atlantique.fr" TargetMode="External" Id="rId1599" /><Relationship Type="http://schemas.openxmlformats.org/officeDocument/2006/relationships/hyperlink" Target="https://coban-atlantique.fr/" TargetMode="External" Id="rId1600" /><Relationship Type="http://schemas.openxmlformats.org/officeDocument/2006/relationships/hyperlink" Target="https://coban-atlantique.fr/contact/" TargetMode="External" Id="rId1601" /><Relationship Type="http://schemas.openxmlformats.org/officeDocument/2006/relationships/hyperlink" Target="https://lannuaire.service-public.gouv.fr/nouvelle-aquitaine/gironde/fa9d8bc3-560c-4536-a6b3-71b4e5aa41d3" TargetMode="External" Id="rId1602" /><Relationship Type="http://schemas.openxmlformats.org/officeDocument/2006/relationships/hyperlink" Target="mailto:contact@lacali.fr" TargetMode="External" Id="rId1603" /><Relationship Type="http://schemas.openxmlformats.org/officeDocument/2006/relationships/hyperlink" Target="https://www.lacali.fr/" TargetMode="External" Id="rId1604" /><Relationship Type="http://schemas.openxmlformats.org/officeDocument/2006/relationships/hyperlink" Target="https://www.lacali.fr/contact" TargetMode="External" Id="rId1605" /><Relationship Type="http://schemas.openxmlformats.org/officeDocument/2006/relationships/hyperlink" Target="https://lannuaire.service-public.gouv.fr/nouvelle-aquitaine/gironde/51f5fa3c-f0ba-4a62-a7df-0f45fc00f2bc" TargetMode="External" Id="rId1606" /><Relationship Type="http://schemas.openxmlformats.org/officeDocument/2006/relationships/hyperlink" Target="mailto:contact@convergence-garonne.fr" TargetMode="External" Id="rId1607" /><Relationship Type="http://schemas.openxmlformats.org/officeDocument/2006/relationships/hyperlink" Target="https://convergence-garonne.fr/" TargetMode="External" Id="rId1608" /><Relationship Type="http://schemas.openxmlformats.org/officeDocument/2006/relationships/hyperlink" Target="https://lannuaire.service-public.gouv.fr/nouvelle-aquitaine/gironde/5e51b301-4f57-4723-b1e8-9ab7d54b962a" TargetMode="External" Id="rId1609" /><Relationship Type="http://schemas.openxmlformats.org/officeDocument/2006/relationships/hyperlink" Target="mailto:cdc@jalleeaubourde.fr" TargetMode="External" Id="rId1610" /><Relationship Type="http://schemas.openxmlformats.org/officeDocument/2006/relationships/hyperlink" Target="https://jalleeaubourde.fr/" TargetMode="External" Id="rId1611" /><Relationship Type="http://schemas.openxmlformats.org/officeDocument/2006/relationships/hyperlink" Target="https://jalleeaubourde.fr/contacter/" TargetMode="External" Id="rId1612" /><Relationship Type="http://schemas.openxmlformats.org/officeDocument/2006/relationships/hyperlink" Target="https://lannuaire.service-public.gouv.fr/nouvelle-aquitaine/gironde/289175a4-20e7-42a3-8b2b-8a2dfbdbb0f1" TargetMode="External" Id="rId1613" /><Relationship Type="http://schemas.openxmlformats.org/officeDocument/2006/relationships/hyperlink" Target="mailto:contact@latitude-nord-gironde.fr" TargetMode="External" Id="rId1614" /><Relationship Type="http://schemas.openxmlformats.org/officeDocument/2006/relationships/hyperlink" Target="https://www.latitude-nord-gironde.fr/" TargetMode="External" Id="rId1615" /><Relationship Type="http://schemas.openxmlformats.org/officeDocument/2006/relationships/hyperlink" Target="https://lannuaire.service-public.gouv.fr/nouvelle-aquitaine/gironde/3781c4f7-13f1-4a71-82fc-c3423b208cc0" TargetMode="External" Id="rId1616" /><Relationship Type="http://schemas.openxmlformats.org/officeDocument/2006/relationships/hyperlink" Target="mailto:cdc.saintloubes@free.fr" TargetMode="External" Id="rId1617" /><Relationship Type="http://schemas.openxmlformats.org/officeDocument/2006/relationships/hyperlink" Target="https://www.rivesdelalaurence.fr/" TargetMode="External" Id="rId1618" /><Relationship Type="http://schemas.openxmlformats.org/officeDocument/2006/relationships/hyperlink" Target="https://www.rivesdelalaurence.fr/nous-contacter/" TargetMode="External" Id="rId1619" /><Relationship Type="http://schemas.openxmlformats.org/officeDocument/2006/relationships/hyperlink" Target="https://lannuaire.service-public.gouv.fr/nouvelle-aquitaine/gironde/4bfe7ae6-b0f2-4fbc-84fb-bdd340525708" TargetMode="External" Id="rId1620" /><Relationship Type="http://schemas.openxmlformats.org/officeDocument/2006/relationships/hyperlink" Target="mailto:sg@ccmedocatlantique.fr" TargetMode="External" Id="rId1621" /><Relationship Type="http://schemas.openxmlformats.org/officeDocument/2006/relationships/hyperlink" Target="https://www.ccmedocatlantique.fr/" TargetMode="External" Id="rId1622" /><Relationship Type="http://schemas.openxmlformats.org/officeDocument/2006/relationships/hyperlink" Target="https://www.ccmedocatlantique.fr/nouscontacter/" TargetMode="External" Id="rId1623" /><Relationship Type="http://schemas.openxmlformats.org/officeDocument/2006/relationships/hyperlink" Target="https://lannuaire.service-public.gouv.fr/nouvelle-aquitaine/gironde/2a175a13-ef96-4c84-a1a3-386c0a12cad3" TargetMode="External" Id="rId1624" /><Relationship Type="http://schemas.openxmlformats.org/officeDocument/2006/relationships/hyperlink" Target="mailto:cdc@medoc-cpi.fr" TargetMode="External" Id="rId1625" /><Relationship Type="http://schemas.openxmlformats.org/officeDocument/2006/relationships/hyperlink" Target="http://www.medoc-cpi.fr" TargetMode="External" Id="rId1626" /><Relationship Type="http://schemas.openxmlformats.org/officeDocument/2006/relationships/hyperlink" Target="http://www.medoc-cpi.fr/Contact" TargetMode="External" Id="rId1627" /><Relationship Type="http://schemas.openxmlformats.org/officeDocument/2006/relationships/hyperlink" Target="https://lannuaire.service-public.gouv.fr/nouvelle-aquitaine/gironde/d5ac44e0-5046-4625-8e68-84ea784e9196" TargetMode="External" Id="rId1628" /><Relationship Type="http://schemas.openxmlformats.org/officeDocument/2006/relationships/hyperlink" Target="mailto:contact@medoc-estuaire.fr" TargetMode="External" Id="rId1629" /><Relationship Type="http://schemas.openxmlformats.org/officeDocument/2006/relationships/hyperlink" Target="http://www.cc-medoc-estuaire.fr" TargetMode="External" Id="rId1630" /><Relationship Type="http://schemas.openxmlformats.org/officeDocument/2006/relationships/hyperlink" Target="https://lannuaire.service-public.gouv.fr/nouvelle-aquitaine/gironde/a609c4b7-87dd-47ac-bca8-35acbfaaae28" TargetMode="External" Id="rId1631" /><Relationship Type="http://schemas.openxmlformats.org/officeDocument/2006/relationships/hyperlink" Target="mailto:medullienne@cdcmedullienne.fr" TargetMode="External" Id="rId1632" /><Relationship Type="http://schemas.openxmlformats.org/officeDocument/2006/relationships/hyperlink" Target="https://www.cdcmedullienne.com/" TargetMode="External" Id="rId1633" /><Relationship Type="http://schemas.openxmlformats.org/officeDocument/2006/relationships/hyperlink" Target="https://www.cdcmedullienne.com/contact/contacter-la-cdc.html" TargetMode="External" Id="rId1634" /><Relationship Type="http://schemas.openxmlformats.org/officeDocument/2006/relationships/hyperlink" Target="https://lannuaire.service-public.gouv.fr/nouvelle-aquitaine/gironde/ffc81e6a-117b-4eb2-b952-e6e79723381e" TargetMode="External" Id="rId1635" /><Relationship Type="http://schemas.openxmlformats.org/officeDocument/2006/relationships/hyperlink" Target="mailto:accueil@ruralesentredeuxmers.fr" TargetMode="External" Id="rId1636" /><Relationship Type="http://schemas.openxmlformats.org/officeDocument/2006/relationships/hyperlink" Target="https://www.ruralesentredeuxmers.fr/" TargetMode="External" Id="rId1637" /><Relationship Type="http://schemas.openxmlformats.org/officeDocument/2006/relationships/hyperlink" Target="https://www.ruralesentredeuxmers.fr/contact/" TargetMode="External" Id="rId1638" /><Relationship Type="http://schemas.openxmlformats.org/officeDocument/2006/relationships/hyperlink" Target="https://lannuaire.service-public.gouv.fr/nouvelle-aquitaine/gironde/9fe9623c-b24a-45de-878b-254abf045a1a" TargetMode="External" Id="rId1639" /><Relationship Type="http://schemas.openxmlformats.org/officeDocument/2006/relationships/hyperlink" Target="mailto:ccb@ccb-blaye.com" TargetMode="External" Id="rId1640" /><Relationship Type="http://schemas.openxmlformats.org/officeDocument/2006/relationships/hyperlink" Target="https://ccb-blaye.com/" TargetMode="External" Id="rId1641" /><Relationship Type="http://schemas.openxmlformats.org/officeDocument/2006/relationships/hyperlink" Target="https://ccb-blaye.com/pages-pratiques/contact/" TargetMode="External" Id="rId1642" /><Relationship Type="http://schemas.openxmlformats.org/officeDocument/2006/relationships/hyperlink" Target="https://lannuaire.service-public.gouv.fr/nouvelle-aquitaine/gironde/beb43613-3747-4f37-a927-ab02b2c9957c" TargetMode="External" Id="rId1643" /><Relationship Type="http://schemas.openxmlformats.org/officeDocument/2006/relationships/hyperlink" Target="mailto:contact@cc-montesquieu.fr" TargetMode="External" Id="rId1644" /><Relationship Type="http://schemas.openxmlformats.org/officeDocument/2006/relationships/hyperlink" Target="https://www.cc-montesquieu.fr/accueil" TargetMode="External" Id="rId1645" /><Relationship Type="http://schemas.openxmlformats.org/officeDocument/2006/relationships/hyperlink" Target="https://www.cc-montesquieu.fr/contactez-nous" TargetMode="External" Id="rId1646" /><Relationship Type="http://schemas.openxmlformats.org/officeDocument/2006/relationships/hyperlink" Target="https://lannuaire.service-public.gouv.fr/nouvelle-aquitaine/gironde/959b3e5e-05b6-49a1-893c-40e84b87fdbd" TargetMode="External" Id="rId1647" /><Relationship Type="http://schemas.openxmlformats.org/officeDocument/2006/relationships/hyperlink" Target="mailto:contact@cc-estuaire.fr" TargetMode="External" Id="rId1648" /><Relationship Type="http://schemas.openxmlformats.org/officeDocument/2006/relationships/hyperlink" Target="https://www.cc-estuaire.fr/" TargetMode="External" Id="rId1649" /><Relationship Type="http://schemas.openxmlformats.org/officeDocument/2006/relationships/hyperlink" Target="https://www.cc-estuaire.fr/nous-ecrire/" TargetMode="External" Id="rId1650" /><Relationship Type="http://schemas.openxmlformats.org/officeDocument/2006/relationships/hyperlink" Target="https://lannuaire.service-public.gouv.fr/nouvelle-aquitaine/gironde/b6910302-2502-4a63-a686-a57d6580f7ad" TargetMode="External" Id="rId1651" /><Relationship Type="http://schemas.openxmlformats.org/officeDocument/2006/relationships/hyperlink" Target="mailto:accueil@cdc-portesentredeuxmers.fr" TargetMode="External" Id="rId1652" /><Relationship Type="http://schemas.openxmlformats.org/officeDocument/2006/relationships/hyperlink" Target="http://www.cdc-portesentredeuxmers.fr" TargetMode="External" Id="rId1653" /><Relationship Type="http://schemas.openxmlformats.org/officeDocument/2006/relationships/hyperlink" Target="https://lannuaire.service-public.gouv.fr/nouvelle-aquitaine/gironde/a923a07a-5be4-4211-9deb-5f0904fddd51" TargetMode="External" Id="rId1654" /><Relationship Type="http://schemas.openxmlformats.org/officeDocument/2006/relationships/hyperlink" Target="mailto:contactbazas@cdcdubazadais.fr" TargetMode="External" Id="rId1655" /><Relationship Type="http://schemas.openxmlformats.org/officeDocument/2006/relationships/hyperlink" Target="https://cdcdubazadais.fr/" TargetMode="External" Id="rId1656" /><Relationship Type="http://schemas.openxmlformats.org/officeDocument/2006/relationships/hyperlink" Target="https://cdcdubazadais.fr/contacts/" TargetMode="External" Id="rId1657" /><Relationship Type="http://schemas.openxmlformats.org/officeDocument/2006/relationships/hyperlink" Target="https://lannuaire.service-public.gouv.fr/nouvelle-aquitaine/gironde/45b5b3f2-bd09-405e-a575-29ad94fc1403" TargetMode="External" Id="rId1658" /><Relationship Type="http://schemas.openxmlformats.org/officeDocument/2006/relationships/hyperlink" Target="mailto:contact.cdc@cc-creonnais.fr" TargetMode="External" Id="rId1659" /><Relationship Type="http://schemas.openxmlformats.org/officeDocument/2006/relationships/hyperlink" Target="http://www.cc-creonnais.fr" TargetMode="External" Id="rId1660" /><Relationship Type="http://schemas.openxmlformats.org/officeDocument/2006/relationships/hyperlink" Target="https://lannuaire.service-public.gouv.fr/nouvelle-aquitaine/gironde/d4e3da63-be44-4c59-94bd-8d7afdbab54b" TargetMode="External" Id="rId1661" /><Relationship Type="http://schemas.openxmlformats.org/officeDocument/2006/relationships/hyperlink" Target="mailto:dgs@cdc-fronsadais.com" TargetMode="External" Id="rId1662" /><Relationship Type="http://schemas.openxmlformats.org/officeDocument/2006/relationships/hyperlink" Target="https://www.cdc-fronsadais.com/" TargetMode="External" Id="rId1663" /><Relationship Type="http://schemas.openxmlformats.org/officeDocument/2006/relationships/hyperlink" Target="https://lannuaire.service-public.gouv.fr/nouvelle-aquitaine/gironde/a076c504-64f4-4605-b0a4-82c0eaa8abd9" TargetMode="External" Id="rId1664" /><Relationship Type="http://schemas.openxmlformats.org/officeDocument/2006/relationships/hyperlink" Target="mailto:accueil@grand-cubzaguais.fr" TargetMode="External" Id="rId1665" /><Relationship Type="http://schemas.openxmlformats.org/officeDocument/2006/relationships/hyperlink" Target="https://www.grand-cubzaguais.fr/" TargetMode="External" Id="rId1666" /><Relationship Type="http://schemas.openxmlformats.org/officeDocument/2006/relationships/hyperlink" Target="https://www.grand-cubzaguais.fr/contact/" TargetMode="External" Id="rId1667" /><Relationship Type="http://schemas.openxmlformats.org/officeDocument/2006/relationships/hyperlink" Target="https://lannuaire.service-public.gouv.fr/nouvelle-aquitaine/gironde/f8e36faa-7c90-4caf-b963-96df882cb1ac" TargetMode="External" Id="rId1668" /><Relationship Type="http://schemas.openxmlformats.org/officeDocument/2006/relationships/hyperlink" Target="mailto:contact@grand-st-emilionnais.org" TargetMode="External" Id="rId1669" /><Relationship Type="http://schemas.openxmlformats.org/officeDocument/2006/relationships/hyperlink" Target="https://www.grand-saint-emilionnais.fr" TargetMode="External" Id="rId1670" /><Relationship Type="http://schemas.openxmlformats.org/officeDocument/2006/relationships/hyperlink" Target="https://lannuaire.service-public.gouv.fr/nouvelle-aquitaine/gironde/0a9a9400-439f-4e5b-a615-c2d0ce13116f" TargetMode="External" Id="rId1671" /><Relationship Type="http://schemas.openxmlformats.org/officeDocument/2006/relationships/hyperlink" Target="mailto:contact@reolaisensudgironde.fr" TargetMode="External" Id="rId1672" /><Relationship Type="http://schemas.openxmlformats.org/officeDocument/2006/relationships/hyperlink" Target="https://www.reolaisensudgironde.fr/" TargetMode="External" Id="rId1673" /><Relationship Type="http://schemas.openxmlformats.org/officeDocument/2006/relationships/hyperlink" Target="https://www.reolaisensudgironde.fr/nous-contacter/" TargetMode="External" Id="rId1674" /><Relationship Type="http://schemas.openxmlformats.org/officeDocument/2006/relationships/hyperlink" Target="https://lannuaire.service-public.gouv.fr/nouvelle-aquitaine/gironde/8869c034-4b2c-458b-a6db-92a786d9a60b" TargetMode="External" Id="rId1675" /><Relationship Type="http://schemas.openxmlformats.org/officeDocument/2006/relationships/hyperlink" Target="mailto:contact@cdcsudgironde.fr" TargetMode="External" Id="rId1676" /><Relationship Type="http://schemas.openxmlformats.org/officeDocument/2006/relationships/hyperlink" Target="http://www.cdcsudgironde.fr" TargetMode="External" Id="rId1677" /><Relationship Type="http://schemas.openxmlformats.org/officeDocument/2006/relationships/hyperlink" Target="https://lannuaire.service-public.gouv.fr/nouvelle-aquitaine/gironde/138fbb08-3aa5-4bc3-b0bf-27b49b4c6e90" TargetMode="External" Id="rId1678" /><Relationship Type="http://schemas.openxmlformats.org/officeDocument/2006/relationships/hyperlink" Target="mailto:cdc@valdeleyre.fr" TargetMode="External" Id="rId1679" /><Relationship Type="http://schemas.openxmlformats.org/officeDocument/2006/relationships/hyperlink" Target="https://www.valdeleyre.fr/" TargetMode="External" Id="rId1680" /><Relationship Type="http://schemas.openxmlformats.org/officeDocument/2006/relationships/hyperlink" Target="https://www.valdeleyre.fr/contactez-nous/" TargetMode="External" Id="rId1681" /><Relationship Type="http://schemas.openxmlformats.org/officeDocument/2006/relationships/hyperlink" Target="https://lannuaire.service-public.gouv.fr/nouvelle-aquitaine/gironde/c684d1be-87fd-4fb0-96a2-6526dba38c23" TargetMode="External" Id="rId1682" /><Relationship Type="http://schemas.openxmlformats.org/officeDocument/2006/relationships/hyperlink" Target="mailto:contact@cdc-coteaux-bordelais.fr" TargetMode="External" Id="rId1683" /><Relationship Type="http://schemas.openxmlformats.org/officeDocument/2006/relationships/hyperlink" Target="https://www.coteaux-bordelais.fr/" TargetMode="External" Id="rId1684" /><Relationship Type="http://schemas.openxmlformats.org/officeDocument/2006/relationships/hyperlink" Target="https://www.coteaux-bordelais.fr/nous-contacter/" TargetMode="External" Id="rId1685" /><Relationship Type="http://schemas.openxmlformats.org/officeDocument/2006/relationships/hyperlink" Target="https://lannuaire.service-public.gouv.fr/nouvelle-aquitaine/gironde/1c36e910-c27a-4bf4-a462-3923dc86e22a" TargetMode="External" Id="rId1686" /><Relationship Type="http://schemas.openxmlformats.org/officeDocument/2006/relationships/hyperlink" Target="mailto:accueil@agglohm.net" TargetMode="External" Id="rId1687" /><Relationship Type="http://schemas.openxmlformats.org/officeDocument/2006/relationships/hyperlink" Target="https://www.agglo-heraultmediterranee.net/" TargetMode="External" Id="rId1688" /><Relationship Type="http://schemas.openxmlformats.org/officeDocument/2006/relationships/hyperlink" Target="https://www.agglo-heraultmediterranee.net/contact/" TargetMode="External" Id="rId1689" /><Relationship Type="http://schemas.openxmlformats.org/officeDocument/2006/relationships/hyperlink" Target="https://lannuaire.service-public.gouv.fr/occitanie/herault/ac55b92e-0eae-4955-be97-38a6a4de65fd" TargetMode="External" Id="rId1690" /><Relationship Type="http://schemas.openxmlformats.org/officeDocument/2006/relationships/hyperlink" Target="mailto:secretariat.general@lunelagglo.fr" TargetMode="External" Id="rId1691" /><Relationship Type="http://schemas.openxmlformats.org/officeDocument/2006/relationships/hyperlink" Target="https://www.lunelagglo.fr/" TargetMode="External" Id="rId1692" /><Relationship Type="http://schemas.openxmlformats.org/officeDocument/2006/relationships/hyperlink" Target="https://www.lunelagglo.fr/nous-contacter/" TargetMode="External" Id="rId1693" /><Relationship Type="http://schemas.openxmlformats.org/officeDocument/2006/relationships/hyperlink" Target="https://lannuaire.service-public.gouv.fr/occitanie/herault/4372dbbf-1f75-40ec-bc99-12f76045e9cf" TargetMode="External" Id="rId1694" /><Relationship Type="http://schemas.openxmlformats.org/officeDocument/2006/relationships/hyperlink" Target="mailto:mg@agglopole.fr" TargetMode="External" Id="rId1695" /><Relationship Type="http://schemas.openxmlformats.org/officeDocument/2006/relationships/hyperlink" Target="https://www.agglopole.fr/" TargetMode="External" Id="rId1696" /><Relationship Type="http://schemas.openxmlformats.org/officeDocument/2006/relationships/hyperlink" Target="https://lannuaire.service-public.gouv.fr/occitanie/herault/88f7eab4-ff50-44c7-9ef2-fdcad42a82a5" TargetMode="External" Id="rId1697" /><Relationship Type="http://schemas.openxmlformats.org/officeDocument/2006/relationships/hyperlink" Target="mailto:lagglo@beziers-mediterranee.fr" TargetMode="External" Id="rId1698" /><Relationship Type="http://schemas.openxmlformats.org/officeDocument/2006/relationships/hyperlink" Target="https://agglobeziers.fr/" TargetMode="External" Id="rId1699" /><Relationship Type="http://schemas.openxmlformats.org/officeDocument/2006/relationships/hyperlink" Target="https://lannuaire.service-public.gouv.fr/occitanie/herault/e770f5f7-3609-465f-b0d8-e61d913cffe8" TargetMode="External" Id="rId1700" /><Relationship Type="http://schemas.openxmlformats.org/officeDocument/2006/relationships/hyperlink" Target="mailto:secretariat@paysdelor.fr" TargetMode="External" Id="rId1701" /><Relationship Type="http://schemas.openxmlformats.org/officeDocument/2006/relationships/hyperlink" Target="https://paysdelor.fr/" TargetMode="External" Id="rId1702" /><Relationship Type="http://schemas.openxmlformats.org/officeDocument/2006/relationships/hyperlink" Target="https://paysdelor.fr/le-pays-de-lor/nous-contacter/" TargetMode="External" Id="rId1703" /><Relationship Type="http://schemas.openxmlformats.org/officeDocument/2006/relationships/hyperlink" Target="https://lannuaire.service-public.gouv.fr/occitanie/herault/2af2db79-858d-4be5-b0a5-5595c1ec5d83" TargetMode="External" Id="rId1704" /><Relationship Type="http://schemas.openxmlformats.org/officeDocument/2006/relationships/hyperlink" Target="mailto:contact@grandorb.fr" TargetMode="External" Id="rId1705" /><Relationship Type="http://schemas.openxmlformats.org/officeDocument/2006/relationships/hyperlink" Target="https://www.grandorb.fr/" TargetMode="External" Id="rId1706" /><Relationship Type="http://schemas.openxmlformats.org/officeDocument/2006/relationships/hyperlink" Target="https://www.grandorb.fr/contact.php" TargetMode="External" Id="rId1707" /><Relationship Type="http://schemas.openxmlformats.org/officeDocument/2006/relationships/hyperlink" Target="https://lannuaire.service-public.gouv.fr/occitanie/herault/7a19f1c5-cdc3-4573-a285-5dbdd6d190fe" TargetMode="External" Id="rId1708" /><Relationship Type="http://schemas.openxmlformats.org/officeDocument/2006/relationships/hyperlink" Target="mailto:contact@avant-monts.fr" TargetMode="External" Id="rId1709" /><Relationship Type="http://schemas.openxmlformats.org/officeDocument/2006/relationships/hyperlink" Target="https://www.avant-monts.fr/" TargetMode="External" Id="rId1710" /><Relationship Type="http://schemas.openxmlformats.org/officeDocument/2006/relationships/hyperlink" Target="https://www.avant-monts.fr/contact/" TargetMode="External" Id="rId1711" /><Relationship Type="http://schemas.openxmlformats.org/officeDocument/2006/relationships/hyperlink" Target="https://lannuaire.service-public.gouv.fr/occitanie/herault/cb842c86-0841-46aa-b214-825326010b35" TargetMode="External" Id="rId1712" /><Relationship Type="http://schemas.openxmlformats.org/officeDocument/2006/relationships/hyperlink" Target="mailto:contact@lodevoisetlarzac.fr" TargetMode="External" Id="rId1713" /><Relationship Type="http://schemas.openxmlformats.org/officeDocument/2006/relationships/hyperlink" Target="https://lodevoisetlarzac.fr/" TargetMode="External" Id="rId1714" /><Relationship Type="http://schemas.openxmlformats.org/officeDocument/2006/relationships/hyperlink" Target="https://lodevoisetlarzac.fr/contact/" TargetMode="External" Id="rId1715" /><Relationship Type="http://schemas.openxmlformats.org/officeDocument/2006/relationships/hyperlink" Target="https://lannuaire.service-public.gouv.fr/occitanie/herault/4abc9373-a7d0-4d29-92a7-5447c3a1489a" TargetMode="External" Id="rId1716" /><Relationship Type="http://schemas.openxmlformats.org/officeDocument/2006/relationships/hyperlink" Target="mailto:accueil@cc-sud-herault.fr" TargetMode="External" Id="rId1717" /><Relationship Type="http://schemas.openxmlformats.org/officeDocument/2006/relationships/hyperlink" Target="https://www.cc-sud-herault.fr/" TargetMode="External" Id="rId1718" /><Relationship Type="http://schemas.openxmlformats.org/officeDocument/2006/relationships/hyperlink" Target="https://www.cc-sud-herault.fr/nous-contacter/" TargetMode="External" Id="rId1719" /><Relationship Type="http://schemas.openxmlformats.org/officeDocument/2006/relationships/hyperlink" Target="https://lannuaire.service-public.gouv.fr/occitanie/herault/ea8c3529-629e-460c-b31a-5266830cdcc6" TargetMode="External" Id="rId1720" /><Relationship Type="http://schemas.openxmlformats.org/officeDocument/2006/relationships/hyperlink" Target="mailto:contact@cc-vallee-herault.fr" TargetMode="External" Id="rId1721" /><Relationship Type="http://schemas.openxmlformats.org/officeDocument/2006/relationships/hyperlink" Target="https://www.cc-vallee-herault.fr/accueil-3.html" TargetMode="External" Id="rId1722" /><Relationship Type="http://schemas.openxmlformats.org/officeDocument/2006/relationships/hyperlink" Target="https://lannuaire.service-public.gouv.fr/occitanie/herault/129280fd-f6f3-403b-8375-348d751d4c01" TargetMode="External" Id="rId1723" /><Relationship Type="http://schemas.openxmlformats.org/officeDocument/2006/relationships/hyperlink" Target="mailto:accueil@cc-clermontais.fr" TargetMode="External" Id="rId1724" /><Relationship Type="http://schemas.openxmlformats.org/officeDocument/2006/relationships/hyperlink" Target="https://www.cc-clermontais.fr/" TargetMode="External" Id="rId1725" /><Relationship Type="http://schemas.openxmlformats.org/officeDocument/2006/relationships/hyperlink" Target="https://lannuaire.service-public.gouv.fr/occitanie/herault/29a0c231-04eb-408a-bdf0-20ffe858b1b8" TargetMode="External" Id="rId1726" /><Relationship Type="http://schemas.openxmlformats.org/officeDocument/2006/relationships/hyperlink" Target="mailto:grandpicsaintloup@ccgpsl.fr" TargetMode="External" Id="rId1727" /><Relationship Type="http://schemas.openxmlformats.org/officeDocument/2006/relationships/hyperlink" Target="https://grandpicsaintloup.fr/" TargetMode="External" Id="rId1728" /><Relationship Type="http://schemas.openxmlformats.org/officeDocument/2006/relationships/hyperlink" Target="https://grandpicsaintloup.fr/contactez-nous/" TargetMode="External" Id="rId1729" /><Relationship Type="http://schemas.openxmlformats.org/officeDocument/2006/relationships/hyperlink" Target="https://lannuaire.service-public.gouv.fr/occitanie/herault/ee2fa83d-9b36-44c0-9da9-9bd0f1a571d9" TargetMode="External" Id="rId1730" /><Relationship Type="http://schemas.openxmlformats.org/officeDocument/2006/relationships/hyperlink" Target="mailto:cdcmc@cdcmc.fr" TargetMode="External" Id="rId1731" /><Relationship Type="http://schemas.openxmlformats.org/officeDocument/2006/relationships/hyperlink" Target="https://www.cc-minervois-caroux.fr/" TargetMode="External" Id="rId1732" /><Relationship Type="http://schemas.openxmlformats.org/officeDocument/2006/relationships/hyperlink" Target="https://lannuaire.service-public.gouv.fr/occitanie/herault/7dfc40b1-901f-4c20-8a4c-317ad972a5b2" TargetMode="External" Id="rId1733" /><Relationship Type="http://schemas.openxmlformats.org/officeDocument/2006/relationships/hyperlink" Target="mailto:courrier@ladomitienne.com" TargetMode="External" Id="rId1734" /><Relationship Type="http://schemas.openxmlformats.org/officeDocument/2006/relationships/hyperlink" Target="https://www.ladomitienne.com/" TargetMode="External" Id="rId1735" /><Relationship Type="http://schemas.openxmlformats.org/officeDocument/2006/relationships/hyperlink" Target="https://www.ladomitienne.com/nous-contacter/" TargetMode="External" Id="rId1736" /><Relationship Type="http://schemas.openxmlformats.org/officeDocument/2006/relationships/hyperlink" Target="https://lannuaire.service-public.gouv.fr/occitanie/herault/cf89ffe0-6d73-484c-b138-a25d11140991" TargetMode="External" Id="rId1737" /><Relationship Type="http://schemas.openxmlformats.org/officeDocument/2006/relationships/hyperlink" Target="mailto:contact@montpellier3m.fr" TargetMode="External" Id="rId1738" /><Relationship Type="http://schemas.openxmlformats.org/officeDocument/2006/relationships/hyperlink" Target="https://www.montpellier3m.fr/" TargetMode="External" Id="rId1739" /><Relationship Type="http://schemas.openxmlformats.org/officeDocument/2006/relationships/hyperlink" Target="https://lannuaire.service-public.gouv.fr/occitanie/herault/372c0430-860c-4faf-8d7b-9c4fc51471de" TargetMode="External" Id="rId1740" /><Relationship Type="http://schemas.openxmlformats.org/officeDocument/2006/relationships/hyperlink" Target="mailto:contact@ccmlhl.fr" TargetMode="External" Id="rId1741" /><Relationship Type="http://schemas.openxmlformats.org/officeDocument/2006/relationships/hyperlink" Target="https://www.montsdelacauneetmontagneduhautlanguedoc.fr/" TargetMode="External" Id="rId1742" /><Relationship Type="http://schemas.openxmlformats.org/officeDocument/2006/relationships/hyperlink" Target="https://www.montsdelacauneetmontagneduhautlanguedoc.fr/contact/" TargetMode="External" Id="rId1743" /><Relationship Type="http://schemas.openxmlformats.org/officeDocument/2006/relationships/hyperlink" Target="https://lannuaire.service-public.gouv.fr/occitanie/tarn/bfafffb1-3fee-4917-b243-8260e20faeb4" TargetMode="External" Id="rId1744" /><Relationship Type="http://schemas.openxmlformats.org/officeDocument/2006/relationships/hyperlink" Target="mailto:accueil@fougeres-agglo.bzh" TargetMode="External" Id="rId1745" /><Relationship Type="http://schemas.openxmlformats.org/officeDocument/2006/relationships/hyperlink" Target="https://fougeres-agglo.bzh/" TargetMode="External" Id="rId1746" /><Relationship Type="http://schemas.openxmlformats.org/officeDocument/2006/relationships/hyperlink" Target="https://fougeres-agglo.bzh/contact/" TargetMode="External" Id="rId1747" /><Relationship Type="http://schemas.openxmlformats.org/officeDocument/2006/relationships/hyperlink" Target="https://lannuaire.service-public.gouv.fr/bretagne/ille-et-vilaine/f1b939e4-2fcf-435f-af19-d2768fd98ddd" TargetMode="External" Id="rId1748" /><Relationship Type="http://schemas.openxmlformats.org/officeDocument/2006/relationships/hyperlink" Target="mailto:c.agglo@vitrecommunaute.org" TargetMode="External" Id="rId1749" /><Relationship Type="http://schemas.openxmlformats.org/officeDocument/2006/relationships/hyperlink" Target="https://www.vitrecommunaute.org/" TargetMode="External" Id="rId1750" /><Relationship Type="http://schemas.openxmlformats.org/officeDocument/2006/relationships/hyperlink" Target="https://www.vitrecommunaute.org/systeme/nous-contacter/" TargetMode="External" Id="rId1751" /><Relationship Type="http://schemas.openxmlformats.org/officeDocument/2006/relationships/hyperlink" Target="https://lannuaire.service-public.gouv.fr/bretagne/ille-et-vilaine/4c96717a-3ec6-4364-8620-4c3f81846517" TargetMode="External" Id="rId1752" /><Relationship Type="http://schemas.openxmlformats.org/officeDocument/2006/relationships/hyperlink" Target="mailto:accueil@stmalo-agglomeration.fr" TargetMode="External" Id="rId1753" /><Relationship Type="http://schemas.openxmlformats.org/officeDocument/2006/relationships/hyperlink" Target="https://www.stmalo-agglomeration.fr/" TargetMode="External" Id="rId1754" /><Relationship Type="http://schemas.openxmlformats.org/officeDocument/2006/relationships/hyperlink" Target="https://www.stmalo-agglomeration.fr/contactez-nous/" TargetMode="External" Id="rId1755" /><Relationship Type="http://schemas.openxmlformats.org/officeDocument/2006/relationships/hyperlink" Target="https://lannuaire.service-public.gouv.fr/bretagne/ille-et-vilaine/fb885b51-bcb0-4064-97fb-c621fe80dbfa" TargetMode="External" Id="rId1756" /><Relationship Type="http://schemas.openxmlformats.org/officeDocument/2006/relationships/hyperlink" Target="mailto:accueil@bretagneportedeloire.fr" TargetMode="External" Id="rId1757" /><Relationship Type="http://schemas.openxmlformats.org/officeDocument/2006/relationships/hyperlink" Target="https://www.bretagneportedeloire.fr/" TargetMode="External" Id="rId1758" /><Relationship Type="http://schemas.openxmlformats.org/officeDocument/2006/relationships/hyperlink" Target="https://www.bretagneportedeloire.fr/systeme/contact/" TargetMode="External" Id="rId1759" /><Relationship Type="http://schemas.openxmlformats.org/officeDocument/2006/relationships/hyperlink" Target="https://lannuaire.service-public.gouv.fr/bretagne/ille-et-vilaine/5fecb856-9da6-4488-b1df-8a3a0dca977b" TargetMode="External" Id="rId1760" /><Relationship Type="http://schemas.openxmlformats.org/officeDocument/2006/relationships/hyperlink" Target="mailto:accueil@bretagneromantique.fr" TargetMode="External" Id="rId1761" /><Relationship Type="http://schemas.openxmlformats.org/officeDocument/2006/relationships/hyperlink" Target="https://bretagneromantique.fr/" TargetMode="External" Id="rId1762" /><Relationship Type="http://schemas.openxmlformats.org/officeDocument/2006/relationships/hyperlink" Target="https://bretagneromantique.fr/formulaire-de-contact/" TargetMode="External" Id="rId1763" /><Relationship Type="http://schemas.openxmlformats.org/officeDocument/2006/relationships/hyperlink" Target="https://lannuaire.service-public.gouv.fr/bretagne/ille-et-vilaine/ba1debb3-158a-4a1f-b4d5-8c76a9fbdfc6" TargetMode="External" Id="rId1764" /><Relationship Type="http://schemas.openxmlformats.org/officeDocument/2006/relationships/hyperlink" Target="mailto:accueil@cc-broceliande.bzh" TargetMode="External" Id="rId1765" /><Relationship Type="http://schemas.openxmlformats.org/officeDocument/2006/relationships/hyperlink" Target="https://www.cc-broceliande.bzh/" TargetMode="External" Id="rId1766" /><Relationship Type="http://schemas.openxmlformats.org/officeDocument/2006/relationships/hyperlink" Target="https://www.cc-broceliande.bzh/nous-contacter/" TargetMode="External" Id="rId1767" /><Relationship Type="http://schemas.openxmlformats.org/officeDocument/2006/relationships/hyperlink" Target="https://lannuaire.service-public.gouv.fr/bretagne/ille-et-vilaine/5db04e0b-1d49-47e1-b243-1825a834572d" TargetMode="External" Id="rId1768" /><Relationship Type="http://schemas.openxmlformats.org/officeDocument/2006/relationships/hyperlink" Target="mailto:contact@couesnon-marchesdebretagne.fr" TargetMode="External" Id="rId1769" /><Relationship Type="http://schemas.openxmlformats.org/officeDocument/2006/relationships/hyperlink" Target="https://www.couesnon-marchesdebretagne.fr/" TargetMode="External" Id="rId1770" /><Relationship Type="http://schemas.openxmlformats.org/officeDocument/2006/relationships/hyperlink" Target="https://www.couesnon-marchesdebretagne.fr/nous-contacter/" TargetMode="External" Id="rId1771" /><Relationship Type="http://schemas.openxmlformats.org/officeDocument/2006/relationships/hyperlink" Target="https://lannuaire.service-public.gouv.fr/bretagne/ille-et-vilaine/836dca8e-4bb9-4207-8f7d-6ce3bf4e5926" TargetMode="External" Id="rId1772" /><Relationship Type="http://schemas.openxmlformats.org/officeDocument/2006/relationships/hyperlink" Target="mailto:contact@liffre-cormier.fr" TargetMode="External" Id="rId1773" /><Relationship Type="http://schemas.openxmlformats.org/officeDocument/2006/relationships/hyperlink" Target="https://www.liffre-cormier.fr/" TargetMode="External" Id="rId1774" /><Relationship Type="http://schemas.openxmlformats.org/officeDocument/2006/relationships/hyperlink" Target="https://www.liffre-cormier.fr/nous-contacter" TargetMode="External" Id="rId1775" /><Relationship Type="http://schemas.openxmlformats.org/officeDocument/2006/relationships/hyperlink" Target="https://lannuaire.service-public.gouv.fr/bretagne/ille-et-vilaine/2749543a-a46a-4da1-a981-dabf1d7c31ff" TargetMode="External" Id="rId1776" /><Relationship Type="http://schemas.openxmlformats.org/officeDocument/2006/relationships/hyperlink" Target="mailto:contact@montfortcommunaute.bzh" TargetMode="External" Id="rId1777" /><Relationship Type="http://schemas.openxmlformats.org/officeDocument/2006/relationships/hyperlink" Target="https://www.montfortcommunaute.bzh/" TargetMode="External" Id="rId1778" /><Relationship Type="http://schemas.openxmlformats.org/officeDocument/2006/relationships/hyperlink" Target="https://www.montfortcommunaute.bzh/mes-demarches/contacter-un-service/contacter-un-service/" TargetMode="External" Id="rId1779" /><Relationship Type="http://schemas.openxmlformats.org/officeDocument/2006/relationships/hyperlink" Target="https://lannuaire.service-public.gouv.fr/bretagne/ille-et-vilaine/a247a9c1-b89e-4e57-81a1-27255ca8b0e6" TargetMode="External" Id="rId1780" /><Relationship Type="http://schemas.openxmlformats.org/officeDocument/2006/relationships/hyperlink" Target="mailto:contact@pcc.bzh" TargetMode="External" Id="rId1781" /><Relationship Type="http://schemas.openxmlformats.org/officeDocument/2006/relationships/hyperlink" Target="https://www.communaute.paysdechateaugiron.bzh/" TargetMode="External" Id="rId1782" /><Relationship Type="http://schemas.openxmlformats.org/officeDocument/2006/relationships/hyperlink" Target="https://www.communaute.paysdechateaugiron.bzh/systeme/nous-contacter/" TargetMode="External" Id="rId1783" /><Relationship Type="http://schemas.openxmlformats.org/officeDocument/2006/relationships/hyperlink" Target="https://lannuaire.service-public.gouv.fr/bretagne/ille-et-vilaine/dee69927-f78d-482b-a80e-0860a72c2b2c" TargetMode="External" Id="rId1784" /><Relationship Type="http://schemas.openxmlformats.org/officeDocument/2006/relationships/hyperlink" Target="mailto:accueil@rafcom.bzh" TargetMode="External" Id="rId1785" /><Relationship Type="http://schemas.openxmlformats.org/officeDocument/2006/relationships/hyperlink" Target="https://www.rafcom.bzh/" TargetMode="External" Id="rId1786" /><Relationship Type="http://schemas.openxmlformats.org/officeDocument/2006/relationships/hyperlink" Target="https://www.rafcom.bzh/contact" TargetMode="External" Id="rId1787" /><Relationship Type="http://schemas.openxmlformats.org/officeDocument/2006/relationships/hyperlink" Target="https://lannuaire.service-public.gouv.fr/bretagne/ille-et-vilaine/4fb521dd-3cb0-48b1-9b7e-d45ecfa80c21" TargetMode="External" Id="rId1788" /><Relationship Type="http://schemas.openxmlformats.org/officeDocument/2006/relationships/hyperlink" Target="mailto:contact@valdille-aubigne.fr" TargetMode="External" Id="rId1789" /><Relationship Type="http://schemas.openxmlformats.org/officeDocument/2006/relationships/hyperlink" Target="https://www.valdille-aubigne.fr" TargetMode="External" Id="rId1790" /><Relationship Type="http://schemas.openxmlformats.org/officeDocument/2006/relationships/hyperlink" Target="https://lannuaire.service-public.gouv.fr/bretagne/ille-et-vilaine/da8f346b-34a1-45e8-8172-34596ba16f5c" TargetMode="External" Id="rId1791" /><Relationship Type="http://schemas.openxmlformats.org/officeDocument/2006/relationships/hyperlink" Target="mailto:accueil@vallonsdehautebretagne.fr" TargetMode="External" Id="rId1792" /><Relationship Type="http://schemas.openxmlformats.org/officeDocument/2006/relationships/hyperlink" Target="https://www.vallons-de-haute-bretagne-communaute.fr/" TargetMode="External" Id="rId1793" /><Relationship Type="http://schemas.openxmlformats.org/officeDocument/2006/relationships/hyperlink" Target="https://www.vallons-de-haute-bretagne-communaute.fr/systeme/contact/" TargetMode="External" Id="rId1794" /><Relationship Type="http://schemas.openxmlformats.org/officeDocument/2006/relationships/hyperlink" Target="https://lannuaire.service-public.gouv.fr/bretagne/ille-et-vilaine/f7614f4b-abf8-4bd6-9520-4effc9da6e68" TargetMode="External" Id="rId1795" /><Relationship Type="http://schemas.openxmlformats.org/officeDocument/2006/relationships/hyperlink" Target="mailto:accueil@stmeen-montauban.fr" TargetMode="External" Id="rId1796" /><Relationship Type="http://schemas.openxmlformats.org/officeDocument/2006/relationships/hyperlink" Target="https://www.stmeen-montauban.fr/" TargetMode="External" Id="rId1797" /><Relationship Type="http://schemas.openxmlformats.org/officeDocument/2006/relationships/hyperlink" Target="https://stmeen-montauban.fr/contact/" TargetMode="External" Id="rId1798" /><Relationship Type="http://schemas.openxmlformats.org/officeDocument/2006/relationships/hyperlink" Target="https://lannuaire.service-public.gouv.fr/bretagne/ille-et-vilaine/f412ba09-36fc-4f9d-8566-f1271abde6e0" TargetMode="External" Id="rId1799" /><Relationship Type="http://schemas.openxmlformats.org/officeDocument/2006/relationships/hyperlink" Target="mailto:info@ccdol-baiemsm.bzh" TargetMode="External" Id="rId1800" /><Relationship Type="http://schemas.openxmlformats.org/officeDocument/2006/relationships/hyperlink" Target="https://www.ccdol-baiemsm.bzh/" TargetMode="External" Id="rId1801" /><Relationship Type="http://schemas.openxmlformats.org/officeDocument/2006/relationships/hyperlink" Target="https://lannuaire.service-public.gouv.fr/bretagne/ille-et-vilaine/7c5ba5ba-9873-4991-bd0b-1e78e24a8e08" TargetMode="External" Id="rId1802" /><Relationship Type="http://schemas.openxmlformats.org/officeDocument/2006/relationships/hyperlink" Target="mailto:accueil@rennesmetropole.fr" TargetMode="External" Id="rId1803" /><Relationship Type="http://schemas.openxmlformats.org/officeDocument/2006/relationships/hyperlink" Target="https://metropole.rennes.fr" TargetMode="External" Id="rId1804" /><Relationship Type="http://schemas.openxmlformats.org/officeDocument/2006/relationships/hyperlink" Target="https://lannuaire.service-public.gouv.fr/bretagne/ille-et-vilaine/9c843b17-826c-4b99-be0c-ffa090632c21" TargetMode="External" Id="rId1805" /><Relationship Type="http://schemas.openxmlformats.org/officeDocument/2006/relationships/hyperlink" Target="mailto:contact@redon-agglomeration.bzh" TargetMode="External" Id="rId1806" /><Relationship Type="http://schemas.openxmlformats.org/officeDocument/2006/relationships/hyperlink" Target="https://www.redon-agglomeration.bzh/" TargetMode="External" Id="rId1807" /><Relationship Type="http://schemas.openxmlformats.org/officeDocument/2006/relationships/hyperlink" Target="https://www.redon-agglomeration.bzh/contact" TargetMode="External" Id="rId1808" /><Relationship Type="http://schemas.openxmlformats.org/officeDocument/2006/relationships/hyperlink" Target="https://lannuaire.service-public.gouv.fr/bretagne/ille-et-vilaine/c4aafb49-0f9f-4eed-b5be-c74f41bbe9d8" TargetMode="External" Id="rId1809" /><Relationship Type="http://schemas.openxmlformats.org/officeDocument/2006/relationships/hyperlink" Target="mailto:communication@chateauroux-metropole.fr" TargetMode="External" Id="rId1810" /><Relationship Type="http://schemas.openxmlformats.org/officeDocument/2006/relationships/hyperlink" Target="https://www.chateauroux-metropole.fr/" TargetMode="External" Id="rId1811" /><Relationship Type="http://schemas.openxmlformats.org/officeDocument/2006/relationships/hyperlink" Target="https://www.chateauroux-metropole.fr/pages-pratiques/contact" TargetMode="External" Id="rId1812" /><Relationship Type="http://schemas.openxmlformats.org/officeDocument/2006/relationships/hyperlink" Target="https://lannuaire.service-public.gouv.fr/centre-val-de-loire/indre/faa707af-c1e9-473b-ab40-d1f521b8b10e" TargetMode="External" Id="rId1813" /><Relationship Type="http://schemas.openxmlformats.org/officeDocument/2006/relationships/hyperlink" Target="mailto:contact@cc-brennevaldecreuse.fr" TargetMode="External" Id="rId1814" /><Relationship Type="http://schemas.openxmlformats.org/officeDocument/2006/relationships/hyperlink" Target="https://www.cc-brennevaldecreuse.fr/" TargetMode="External" Id="rId1815" /><Relationship Type="http://schemas.openxmlformats.org/officeDocument/2006/relationships/hyperlink" Target="https://www.cc-brennevaldecreuse.fr/la-communaute-de-communes/territoire/contacts-comcom" TargetMode="External" Id="rId1816" /><Relationship Type="http://schemas.openxmlformats.org/officeDocument/2006/relationships/hyperlink" Target="https://lannuaire.service-public.gouv.fr/centre-val-de-loire/indre/1857b010-b436-4d1d-8d1f-1d4098d47aa6" TargetMode="External" Id="rId1817" /><Relationship Type="http://schemas.openxmlformats.org/officeDocument/2006/relationships/hyperlink" Target="mailto:contact@chabris-bazelle.fr" TargetMode="External" Id="rId1818" /><Relationship Type="http://schemas.openxmlformats.org/officeDocument/2006/relationships/hyperlink" Target="https://www.chabris-bazelle.fr/" TargetMode="External" Id="rId1819" /><Relationship Type="http://schemas.openxmlformats.org/officeDocument/2006/relationships/hyperlink" Target="https://lannuaire.service-public.gouv.fr/centre-val-de-loire/indre/86fded55-d7c1-4c37-9afa-ecf5a2a3ac78" TargetMode="External" Id="rId1820" /><Relationship Type="http://schemas.openxmlformats.org/officeDocument/2006/relationships/hyperlink" Target="mailto:accueil@cc-champagne-boischauts.fr" TargetMode="External" Id="rId1821" /><Relationship Type="http://schemas.openxmlformats.org/officeDocument/2006/relationships/hyperlink" Target="https://www.cc-champagne-boischauts.fr/" TargetMode="External" Id="rId1822" /><Relationship Type="http://schemas.openxmlformats.org/officeDocument/2006/relationships/hyperlink" Target="https://www.cc-champagne-boischauts.fr/contact" TargetMode="External" Id="rId1823" /><Relationship Type="http://schemas.openxmlformats.org/officeDocument/2006/relationships/hyperlink" Target="https://lannuaire.service-public.gouv.fr/centre-val-de-loire/indre/9c535081-7522-4c6d-997a-b1add2809bab" TargetMode="External" Id="rId1824" /><Relationship Type="http://schemas.openxmlformats.org/officeDocument/2006/relationships/hyperlink" Target="mailto:cdc@coeurdebrenne.fr" TargetMode="External" Id="rId1825" /><Relationship Type="http://schemas.openxmlformats.org/officeDocument/2006/relationships/hyperlink" Target="https://www.coeurdebrenne.fr/" TargetMode="External" Id="rId1826" /><Relationship Type="http://schemas.openxmlformats.org/officeDocument/2006/relationships/hyperlink" Target="https://www.coeurdebrenne.fr/fr/contacter" TargetMode="External" Id="rId1827" /><Relationship Type="http://schemas.openxmlformats.org/officeDocument/2006/relationships/hyperlink" Target="https://lannuaire.service-public.gouv.fr/centre-val-de-loire/indre/dbe4cfad-ec31-4026-9a50-5019c889c426" TargetMode="External" Id="rId1828" /><Relationship Type="http://schemas.openxmlformats.org/officeDocument/2006/relationships/hyperlink" Target="mailto:accueil@levroux.fr" TargetMode="External" Id="rId1829" /><Relationship Type="http://schemas.openxmlformats.org/officeDocument/2006/relationships/hyperlink" Target="https://www.ville-levroux.fr/interco.html" TargetMode="External" Id="rId1830" /><Relationship Type="http://schemas.openxmlformats.org/officeDocument/2006/relationships/hyperlink" Target="https://lannuaire.service-public.gouv.fr/centre-val-de-loire/indre/81a1a97c-ca46-4ce4-a380-48bc29327eb6" TargetMode="External" Id="rId1831" /><Relationship Type="http://schemas.openxmlformats.org/officeDocument/2006/relationships/hyperlink" Target="mailto:contact@cdcmova.fr" TargetMode="External" Id="rId1832" /><Relationship Type="http://schemas.openxmlformats.org/officeDocument/2006/relationships/hyperlink" Target="https://cdc-mova.fr/" TargetMode="External" Id="rId1833" /><Relationship Type="http://schemas.openxmlformats.org/officeDocument/2006/relationships/hyperlink" Target="https://cdc-mova.fr/accueil/autres/contactez-nous" TargetMode="External" Id="rId1834" /><Relationship Type="http://schemas.openxmlformats.org/officeDocument/2006/relationships/hyperlink" Target="https://lannuaire.service-public.gouv.fr/centre-val-de-loire/indre/3ec0cc7e-0cb4-4013-98fd-f4023b16cf93" TargetMode="External" Id="rId1835" /><Relationship Type="http://schemas.openxmlformats.org/officeDocument/2006/relationships/hyperlink" Target="mailto:cdc.valdelindre-brenne@wanadoo.fr" TargetMode="External" Id="rId1836" /><Relationship Type="http://schemas.openxmlformats.org/officeDocument/2006/relationships/hyperlink" Target="https://www.valdelindrebrenne.com" TargetMode="External" Id="rId1837" /><Relationship Type="http://schemas.openxmlformats.org/officeDocument/2006/relationships/hyperlink" Target="https://lannuaire.service-public.gouv.fr/centre-val-de-loire/indre/44a81c2d-0a39-4922-919b-eb96985cc907" TargetMode="External" Id="rId1838" /><Relationship Type="http://schemas.openxmlformats.org/officeDocument/2006/relationships/hyperlink" Target="mailto:s.administratif@cdc-lcss.fr" TargetMode="External" Id="rId1839" /><Relationship Type="http://schemas.openxmlformats.org/officeDocument/2006/relationships/hyperlink" Target="https://cdc-lcss.fr/" TargetMode="External" Id="rId1840" /><Relationship Type="http://schemas.openxmlformats.org/officeDocument/2006/relationships/hyperlink" Target="https://lannuaire.service-public.gouv.fr/centre-val-de-loire/indre/4b465cad-5642-4673-9e43-fb91cb0344ff" TargetMode="External" Id="rId1841" /><Relationship Type="http://schemas.openxmlformats.org/officeDocument/2006/relationships/hyperlink" Target="mailto:contact@ccmarcheberrichonne.fr" TargetMode="External" Id="rId1842" /><Relationship Type="http://schemas.openxmlformats.org/officeDocument/2006/relationships/hyperlink" Target="https://www.ccmarcheberrichonne.fr/site/" TargetMode="External" Id="rId1843" /><Relationship Type="http://schemas.openxmlformats.org/officeDocument/2006/relationships/hyperlink" Target="https://www.ccmarcheberrichonne.fr/site/contact/" TargetMode="External" Id="rId1844" /><Relationship Type="http://schemas.openxmlformats.org/officeDocument/2006/relationships/hyperlink" Target="https://lannuaire.service-public.gouv.fr/centre-val-de-loire/indre/4ecbd536-488d-466a-901f-c751f51161ad" TargetMode="External" Id="rId1845" /><Relationship Type="http://schemas.openxmlformats.org/officeDocument/2006/relationships/hyperlink" Target="mailto:accueil@chatillonnais-en-berry.fr" TargetMode="External" Id="rId1846" /><Relationship Type="http://schemas.openxmlformats.org/officeDocument/2006/relationships/hyperlink" Target="https://chatillonnais-en-berry.fr/" TargetMode="External" Id="rId1847" /><Relationship Type="http://schemas.openxmlformats.org/officeDocument/2006/relationships/hyperlink" Target="https://lannuaire.service-public.gouv.fr/centre-val-de-loire/indre/48a68787-1b62-46a2-a3cd-2590a6ede86a" TargetMode="External" Id="rId1848" /><Relationship Type="http://schemas.openxmlformats.org/officeDocument/2006/relationships/hyperlink" Target="mailto:cdsbouzanne@orange.fr" TargetMode="External" Id="rId1849" /><Relationship Type="http://schemas.openxmlformats.org/officeDocument/2006/relationships/hyperlink" Target="https://www.valdebouzanne.fr/" TargetMode="External" Id="rId1850" /><Relationship Type="http://schemas.openxmlformats.org/officeDocument/2006/relationships/hyperlink" Target="https://www.valdebouzanne.fr/contact" TargetMode="External" Id="rId1851" /><Relationship Type="http://schemas.openxmlformats.org/officeDocument/2006/relationships/hyperlink" Target="https://lannuaire.service-public.gouv.fr/centre-val-de-loire/indre/dd15c5ab-032d-4c7f-8cae-75cdd2ab1639" TargetMode="External" Id="rId1852" /><Relationship Type="http://schemas.openxmlformats.org/officeDocument/2006/relationships/hyperlink" Target="mailto:accueil@ccev.fr" TargetMode="External" Id="rId1853" /><Relationship Type="http://schemas.openxmlformats.org/officeDocument/2006/relationships/hyperlink" Target="https://cc-ecueille-valencay.fr/" TargetMode="External" Id="rId1854" /><Relationship Type="http://schemas.openxmlformats.org/officeDocument/2006/relationships/hyperlink" Target="https://lannuaire.service-public.gouv.fr/centre-val-de-loire/indre/b8f37db2-16e3-460d-ab0e-7d438ff15784" TargetMode="External" Id="rId1855" /><Relationship Type="http://schemas.openxmlformats.org/officeDocument/2006/relationships/hyperlink" Target="mailto:info@cc-valleedelacreuse.fr" TargetMode="External" Id="rId1856" /><Relationship Type="http://schemas.openxmlformats.org/officeDocument/2006/relationships/hyperlink" Target="https://lavalleedelacreuse.fr/" TargetMode="External" Id="rId1857" /><Relationship Type="http://schemas.openxmlformats.org/officeDocument/2006/relationships/hyperlink" Target="https://lavalleedelacreuse.fr/vivre/contact/" TargetMode="External" Id="rId1858" /><Relationship Type="http://schemas.openxmlformats.org/officeDocument/2006/relationships/hyperlink" Target="https://lannuaire.service-public.gouv.fr/centre-val-de-loire/indre/1c6e3600-c126-41c5-b417-bdc62a0f3de5" TargetMode="External" Id="rId1859" /><Relationship Type="http://schemas.openxmlformats.org/officeDocument/2006/relationships/hyperlink" Target="mailto:info@cc-autourdechenonceaux.fr" TargetMode="External" Id="rId1860" /><Relationship Type="http://schemas.openxmlformats.org/officeDocument/2006/relationships/hyperlink" Target="https://www.cc-autourdechenonceaux.fr/" TargetMode="External" Id="rId1861" /><Relationship Type="http://schemas.openxmlformats.org/officeDocument/2006/relationships/hyperlink" Target="https://www.cc-autourdechenonceaux.fr/non-classe/formulaire-de-contact/" TargetMode="External" Id="rId1862" /><Relationship Type="http://schemas.openxmlformats.org/officeDocument/2006/relationships/hyperlink" Target="https://lannuaire.service-public.gouv.fr/centre-val-de-loire/indre-et-loire/eb1a1b5a-6a23-47d1-a8fe-de23b56ed687" TargetMode="External" Id="rId1863" /><Relationship Type="http://schemas.openxmlformats.org/officeDocument/2006/relationships/hyperlink" Target="mailto:communication@cc-cvl.fr" TargetMode="External" Id="rId1864" /><Relationship Type="http://schemas.openxmlformats.org/officeDocument/2006/relationships/hyperlink" Target="https://www.chinon-vienne-loire.fr/" TargetMode="External" Id="rId1865" /><Relationship Type="http://schemas.openxmlformats.org/officeDocument/2006/relationships/hyperlink" Target="https://lannuaire.service-public.gouv.fr/centre-val-de-loire/indre-et-loire/a36af3ad-32b3-4010-80a7-0ce69675aef9" TargetMode="External" Id="rId1866" /><Relationship Type="http://schemas.openxmlformats.org/officeDocument/2006/relationships/hyperlink" Target="mailto:accueil@lochessudtouraine.com" TargetMode="External" Id="rId1867" /><Relationship Type="http://schemas.openxmlformats.org/officeDocument/2006/relationships/hyperlink" Target="https://www.lochessudtouraine.com/" TargetMode="External" Id="rId1868" /><Relationship Type="http://schemas.openxmlformats.org/officeDocument/2006/relationships/hyperlink" Target="https://lannuaire.service-public.gouv.fr/centre-val-de-loire/indre-et-loire/1a0a6d88-b4f2-4f16-b2b5-2c69934e06d5" TargetMode="External" Id="rId1869" /><Relationship Type="http://schemas.openxmlformats.org/officeDocument/2006/relationships/hyperlink" Target="mailto:contact@cctoval.fr" TargetMode="External" Id="rId1870" /><Relationship Type="http://schemas.openxmlformats.org/officeDocument/2006/relationships/hyperlink" Target="https://cctoval.fr/" TargetMode="External" Id="rId1871" /><Relationship Type="http://schemas.openxmlformats.org/officeDocument/2006/relationships/hyperlink" Target="https://cctoval.fr/nous-ecrire/" TargetMode="External" Id="rId1872" /><Relationship Type="http://schemas.openxmlformats.org/officeDocument/2006/relationships/hyperlink" Target="https://lannuaire.service-public.gouv.fr/centre-val-de-loire/indre-et-loire/8ee26224-c2bd-4c0a-ad3d-2586841e2fa1" TargetMode="External" Id="rId1873" /><Relationship Type="http://schemas.openxmlformats.org/officeDocument/2006/relationships/hyperlink" Target="mailto:contact@cc-tvv.fr" TargetMode="External" Id="rId1874" /><Relationship Type="http://schemas.openxmlformats.org/officeDocument/2006/relationships/hyperlink" Target="https://www.cc-tvv.fr/" TargetMode="External" Id="rId1875" /><Relationship Type="http://schemas.openxmlformats.org/officeDocument/2006/relationships/hyperlink" Target="https://lannuaire.service-public.gouv.fr/centre-val-de-loire/indre-et-loire/788ff095-f031-4dde-84bb-aec870f45f34" TargetMode="External" Id="rId1876" /><Relationship Type="http://schemas.openxmlformats.org/officeDocument/2006/relationships/hyperlink" Target="mailto:contact@tourainevalleedelindre.fr" TargetMode="External" Id="rId1877" /><Relationship Type="http://schemas.openxmlformats.org/officeDocument/2006/relationships/hyperlink" Target="https://www.tourainevalleedelindre.fr" TargetMode="External" Id="rId1878" /><Relationship Type="http://schemas.openxmlformats.org/officeDocument/2006/relationships/hyperlink" Target="https://tourainevalleedelindre.fr/entre-vous-et-nous/contact/" TargetMode="External" Id="rId1879" /><Relationship Type="http://schemas.openxmlformats.org/officeDocument/2006/relationships/hyperlink" Target="https://lannuaire.service-public.gouv.fr/centre-val-de-loire/indre-et-loire/f5a5f10f-f4f1-47ee-8150-98f5460db5a3" TargetMode="External" Id="rId1880" /><Relationship Type="http://schemas.openxmlformats.org/officeDocument/2006/relationships/hyperlink" Target="mailto:contact@touraineestvallees.fr" TargetMode="External" Id="rId1881" /><Relationship Type="http://schemas.openxmlformats.org/officeDocument/2006/relationships/hyperlink" Target="https://www.touraineestvallees.fr/" TargetMode="External" Id="rId1882" /><Relationship Type="http://schemas.openxmlformats.org/officeDocument/2006/relationships/hyperlink" Target="https://lannuaire.service-public.gouv.fr/centre-val-de-loire/indre-et-loire/130842cd-8f92-44ba-b451-f6fbcfe7037d" TargetMode="External" Id="rId1883" /><Relationship Type="http://schemas.openxmlformats.org/officeDocument/2006/relationships/hyperlink" Target="mailto:accueil@gatine-racan.fr" TargetMode="External" Id="rId1884" /><Relationship Type="http://schemas.openxmlformats.org/officeDocument/2006/relationships/hyperlink" Target="https://www.gatine-racan.fr/" TargetMode="External" Id="rId1885" /><Relationship Type="http://schemas.openxmlformats.org/officeDocument/2006/relationships/hyperlink" Target="https://www.gatine-racan.fr/contact/" TargetMode="External" Id="rId1886" /><Relationship Type="http://schemas.openxmlformats.org/officeDocument/2006/relationships/hyperlink" Target="https://lannuaire.service-public.gouv.fr/centre-val-de-loire/indre-et-loire/71f09065-1991-4510-ae71-2da9c9a4d665" TargetMode="External" Id="rId1887" /><Relationship Type="http://schemas.openxmlformats.org/officeDocument/2006/relationships/hyperlink" Target="mailto:contact@cc-castelrenaudais.fr" TargetMode="External" Id="rId1888" /><Relationship Type="http://schemas.openxmlformats.org/officeDocument/2006/relationships/hyperlink" Target="https://www.cc-castelrenaudais.fr/" TargetMode="External" Id="rId1889" /><Relationship Type="http://schemas.openxmlformats.org/officeDocument/2006/relationships/hyperlink" Target="https://www.cc-castelrenaudais.fr/nous-contacter/" TargetMode="External" Id="rId1890" /><Relationship Type="http://schemas.openxmlformats.org/officeDocument/2006/relationships/hyperlink" Target="https://lannuaire.service-public.gouv.fr/centre-val-de-loire/indre-et-loire/b581007e-68f1-4caa-b3da-40d112762f85" TargetMode="External" Id="rId1891" /><Relationship Type="http://schemas.openxmlformats.org/officeDocument/2006/relationships/hyperlink" Target="mailto:accueil@cc-valdamboise.fr" TargetMode="External" Id="rId1892" /><Relationship Type="http://schemas.openxmlformats.org/officeDocument/2006/relationships/hyperlink" Target="http://www.cc-valdamboise.fr" TargetMode="External" Id="rId1893" /><Relationship Type="http://schemas.openxmlformats.org/officeDocument/2006/relationships/hyperlink" Target="https://lannuaire.service-public.gouv.fr/centre-val-de-loire/indre-et-loire/06eced13-422f-4cd5-b815-3565870eefec" TargetMode="External" Id="rId1894" /><Relationship Type="http://schemas.openxmlformats.org/officeDocument/2006/relationships/hyperlink" Target="mailto:communication@tours-metropole.fr" TargetMode="External" Id="rId1895" /><Relationship Type="http://schemas.openxmlformats.org/officeDocument/2006/relationships/hyperlink" Target="https://www.tours-metropole.fr/" TargetMode="External" Id="rId1896" /><Relationship Type="http://schemas.openxmlformats.org/officeDocument/2006/relationships/hyperlink" Target="https://www.tours-metropole.fr/formulaire-de-contact" TargetMode="External" Id="rId1897" /><Relationship Type="http://schemas.openxmlformats.org/officeDocument/2006/relationships/hyperlink" Target="https://lannuaire.service-public.gouv.fr/centre-val-de-loire/indre-et-loire/b6a8d424-7c48-4e0e-aa0e-ce5e8e3c9c35" TargetMode="External" Id="rId1898" /><Relationship Type="http://schemas.openxmlformats.org/officeDocument/2006/relationships/hyperlink" Target="mailto:capi@capi38.fr" TargetMode="External" Id="rId1899" /><Relationship Type="http://schemas.openxmlformats.org/officeDocument/2006/relationships/hyperlink" Target="https://capi-agglo.fr/" TargetMode="External" Id="rId1900" /><Relationship Type="http://schemas.openxmlformats.org/officeDocument/2006/relationships/hyperlink" Target="https://capi-agglo.fr/nous-contacter/" TargetMode="External" Id="rId1901" /><Relationship Type="http://schemas.openxmlformats.org/officeDocument/2006/relationships/hyperlink" Target="https://lannuaire.service-public.gouv.fr/auvergne-rhone-alpes/isere/bb1045cd-6eb2-4af1-ad91-d564e0ed2450" TargetMode="External" Id="rId1902" /><Relationship Type="http://schemas.openxmlformats.org/officeDocument/2006/relationships/hyperlink" Target="mailto:info@paysvoironnais.com" TargetMode="External" Id="rId1903" /><Relationship Type="http://schemas.openxmlformats.org/officeDocument/2006/relationships/hyperlink" Target="https://www.paysvoironnais.com/" TargetMode="External" Id="rId1904" /><Relationship Type="http://schemas.openxmlformats.org/officeDocument/2006/relationships/hyperlink" Target="https://www.paysvoironnais.com/contact-9.html" TargetMode="External" Id="rId1905" /><Relationship Type="http://schemas.openxmlformats.org/officeDocument/2006/relationships/hyperlink" Target="https://lannuaire.service-public.gouv.fr/auvergne-rhone-alpes/isere/226eb39d-4b47-48c8-83e2-5921c2e2f162" TargetMode="External" Id="rId1906" /><Relationship Type="http://schemas.openxmlformats.org/officeDocument/2006/relationships/hyperlink" Target="mailto:contact@bievre-isere.com" TargetMode="External" Id="rId1907" /><Relationship Type="http://schemas.openxmlformats.org/officeDocument/2006/relationships/hyperlink" Target="https://bievre-isere.com/" TargetMode="External" Id="rId1908" /><Relationship Type="http://schemas.openxmlformats.org/officeDocument/2006/relationships/hyperlink" Target="https://bievre-isere.com/institution/organisation/adresse-et-coordonnees/" TargetMode="External" Id="rId1909" /><Relationship Type="http://schemas.openxmlformats.org/officeDocument/2006/relationships/hyperlink" Target="https://lannuaire.service-public.gouv.fr/auvergne-rhone-alpes/isere/8d191f1a-6a6c-460a-9f7b-c25daa2bd115" TargetMode="External" Id="rId1910" /><Relationship Type="http://schemas.openxmlformats.org/officeDocument/2006/relationships/hyperlink" Target="mailto:communaute@collines.org" TargetMode="External" Id="rId1911" /><Relationship Type="http://schemas.openxmlformats.org/officeDocument/2006/relationships/hyperlink" Target="https://www.collines.org/" TargetMode="External" Id="rId1912" /><Relationship Type="http://schemas.openxmlformats.org/officeDocument/2006/relationships/hyperlink" Target="https://lannuaire.service-public.gouv.fr/auvergne-rhone-alpes/isere/9178dd69-1a83-4232-9400-d3fe812bea02" TargetMode="External" Id="rId1913" /><Relationship Type="http://schemas.openxmlformats.org/officeDocument/2006/relationships/hyperlink" Target="mailto:accueil@entre-bievreetrhone.fr" TargetMode="External" Id="rId1914" /><Relationship Type="http://schemas.openxmlformats.org/officeDocument/2006/relationships/hyperlink" Target="https://www.entre-bievreetrhone.fr/" TargetMode="External" Id="rId1915" /><Relationship Type="http://schemas.openxmlformats.org/officeDocument/2006/relationships/hyperlink" Target="https://www.entre-bievreetrhone.fr/contact" TargetMode="External" Id="rId1916" /><Relationship Type="http://schemas.openxmlformats.org/officeDocument/2006/relationships/hyperlink" Target="https://lannuaire.service-public.gouv.fr/auvergne-rhone-alpes/isere/7d889506-69c8-4a9e-b8d8-1fab21b8fa01" TargetMode="External" Id="rId1917" /><Relationship Type="http://schemas.openxmlformats.org/officeDocument/2006/relationships/hyperlink" Target="mailto:accueil@le-gresivaudan.fr" TargetMode="External" Id="rId1918" /><Relationship Type="http://schemas.openxmlformats.org/officeDocument/2006/relationships/hyperlink" Target="https://www.le-gresivaudan.fr/" TargetMode="External" Id="rId1919" /><Relationship Type="http://schemas.openxmlformats.org/officeDocument/2006/relationships/hyperlink" Target="https://www.le-gresivaudan.fr/151-contact.htm" TargetMode="External" Id="rId1920" /><Relationship Type="http://schemas.openxmlformats.org/officeDocument/2006/relationships/hyperlink" Target="https://lannuaire.service-public.gouv.fr/auvergne-rhone-alpes/isere/dbe09bdc-9ee1-49f6-a1d8-33e05b917ea7" TargetMode="External" Id="rId1921" /><Relationship Type="http://schemas.openxmlformats.org/officeDocument/2006/relationships/hyperlink" Target="mailto:contact@balconsdudauphine.fr" TargetMode="External" Id="rId1922" /><Relationship Type="http://schemas.openxmlformats.org/officeDocument/2006/relationships/hyperlink" Target="https://www.balconsdudauphine.fr/" TargetMode="External" Id="rId1923" /><Relationship Type="http://schemas.openxmlformats.org/officeDocument/2006/relationships/hyperlink" Target="https://lannuaire.service-public.gouv.fr/auvergne-rhone-alpes/isere/6903bf3e-ad98-4448-a430-26ed6ee33f84" TargetMode="External" Id="rId1924" /><Relationship Type="http://schemas.openxmlformats.org/officeDocument/2006/relationships/hyperlink" Target="mailto:contact@valsdudauphine.fr" TargetMode="External" Id="rId1925" /><Relationship Type="http://schemas.openxmlformats.org/officeDocument/2006/relationships/hyperlink" Target="https://www.valsdudauphine.fr/" TargetMode="External" Id="rId1926" /><Relationship Type="http://schemas.openxmlformats.org/officeDocument/2006/relationships/hyperlink" Target="https://www.valsdudauphine.fr/pratique/contactez-nous/vous-etes-un-particulier/" TargetMode="External" Id="rId1927" /><Relationship Type="http://schemas.openxmlformats.org/officeDocument/2006/relationships/hyperlink" Target="https://lannuaire.service-public.gouv.fr/auvergne-rhone-alpes/isere/32d6414c-1667-41c7-882f-4ab257679a58" TargetMode="External" Id="rId1928" /><Relationship Type="http://schemas.openxmlformats.org/officeDocument/2006/relationships/hyperlink" Target="mailto:accueil@lysed.fr" TargetMode="External" Id="rId1929" /><Relationship Type="http://schemas.openxmlformats.org/officeDocument/2006/relationships/hyperlink" Target="https://www.lysed.fr/" TargetMode="External" Id="rId1930" /><Relationship Type="http://schemas.openxmlformats.org/officeDocument/2006/relationships/hyperlink" Target="https://www.lysed.fr/contact/" TargetMode="External" Id="rId1931" /><Relationship Type="http://schemas.openxmlformats.org/officeDocument/2006/relationships/hyperlink" Target="https://lannuaire.service-public.gouv.fr/auvergne-rhone-alpes/isere/8fc2a400-0e3c-447b-bb33-02a7ab4b15b2" TargetMode="External" Id="rId1932" /><Relationship Type="http://schemas.openxmlformats.org/officeDocument/2006/relationships/hyperlink" Target="mailto:secretariat@smvic.fr" TargetMode="External" Id="rId1933" /><Relationship Type="http://schemas.openxmlformats.org/officeDocument/2006/relationships/hyperlink" Target="http://www.saintmarcellin-vercors-isere.fr/" TargetMode="External" Id="rId1934" /><Relationship Type="http://schemas.openxmlformats.org/officeDocument/2006/relationships/hyperlink" Target="https://saintmarcellin-vercors-isere.fr/index.php?alias=contact" TargetMode="External" Id="rId1935" /><Relationship Type="http://schemas.openxmlformats.org/officeDocument/2006/relationships/hyperlink" Target="https://lannuaire.service-public.gouv.fr/auvergne-rhone-alpes/isere/0fd7da40-9088-4adc-9c51-1b1b53519f5e" TargetMode="External" Id="rId1936" /><Relationship Type="http://schemas.openxmlformats.org/officeDocument/2006/relationships/hyperlink" Target="mailto:correspondances@cc-bievre-est.fr" TargetMode="External" Id="rId1937" /><Relationship Type="http://schemas.openxmlformats.org/officeDocument/2006/relationships/hyperlink" Target="https://www.bievre-est.fr/" TargetMode="External" Id="rId1938" /><Relationship Type="http://schemas.openxmlformats.org/officeDocument/2006/relationships/hyperlink" Target="https://lannuaire.service-public.gouv.fr/auvergne-rhone-alpes/isere/63efa973-7536-4599-92c2-dcc59341f98c" TargetMode="External" Id="rId1939" /><Relationship Type="http://schemas.openxmlformats.org/officeDocument/2006/relationships/hyperlink" Target="mailto:accueil@ccoisans.fr" TargetMode="External" Id="rId1940" /><Relationship Type="http://schemas.openxmlformats.org/officeDocument/2006/relationships/hyperlink" Target="https://www.ccoisans.fr/" TargetMode="External" Id="rId1941" /><Relationship Type="http://schemas.openxmlformats.org/officeDocument/2006/relationships/hyperlink" Target="https://www.ccoisans.fr/contactez-nous/" TargetMode="External" Id="rId1942" /><Relationship Type="http://schemas.openxmlformats.org/officeDocument/2006/relationships/hyperlink" Target="https://lannuaire.service-public.gouv.fr/auvergne-rhone-alpes/isere/5a41dab3-1ffe-479b-94a7-17e5b0747d13" TargetMode="External" Id="rId1943" /><Relationship Type="http://schemas.openxmlformats.org/officeDocument/2006/relationships/hyperlink" Target="mailto:contact@ccmatheysine.fr" TargetMode="External" Id="rId1944" /><Relationship Type="http://schemas.openxmlformats.org/officeDocument/2006/relationships/hyperlink" Target="https://www.ccmatheysine.fr/web/" TargetMode="External" Id="rId1945" /><Relationship Type="http://schemas.openxmlformats.org/officeDocument/2006/relationships/hyperlink" Target="https://www.ccmatheysine.fr/web/acces-rapides/contact/" TargetMode="External" Id="rId1946" /><Relationship Type="http://schemas.openxmlformats.org/officeDocument/2006/relationships/hyperlink" Target="https://lannuaire.service-public.gouv.fr/auvergne-rhone-alpes/isere/7c3c3cbb-1640-45bf-8a34-837554a851ec" TargetMode="External" Id="rId1947" /><Relationship Type="http://schemas.openxmlformats.org/officeDocument/2006/relationships/hyperlink" Target="mailto:cc-massifduvercors@vercors.org" TargetMode="External" Id="rId1948" /><Relationship Type="http://schemas.openxmlformats.org/officeDocument/2006/relationships/hyperlink" Target="https://www.vercors.org/fr/" TargetMode="External" Id="rId1949" /><Relationship Type="http://schemas.openxmlformats.org/officeDocument/2006/relationships/hyperlink" Target="https://www.vercors.org/fr/contact/" TargetMode="External" Id="rId1950" /><Relationship Type="http://schemas.openxmlformats.org/officeDocument/2006/relationships/hyperlink" Target="https://lannuaire.service-public.gouv.fr/auvergne-rhone-alpes/isere/a7e9fd0e-c66a-4a43-b16b-d28d4bc311eb" TargetMode="External" Id="rId1951" /><Relationship Type="http://schemas.openxmlformats.org/officeDocument/2006/relationships/hyperlink" Target="mailto:accueil@cdctrieves.fr" TargetMode="External" Id="rId1952" /><Relationship Type="http://schemas.openxmlformats.org/officeDocument/2006/relationships/hyperlink" Target="https://www.cdctrieves.fr/" TargetMode="External" Id="rId1953" /><Relationship Type="http://schemas.openxmlformats.org/officeDocument/2006/relationships/hyperlink" Target="https://lannuaire.service-public.gouv.fr/auvergne-rhone-alpes/isere/68fdef02-b5c4-471a-802e-1c3fe5e89509" TargetMode="External" Id="rId1954" /><Relationship Type="http://schemas.openxmlformats.org/officeDocument/2006/relationships/hyperlink" Target="https://www.grenoblealpesmetropole.fr/" TargetMode="External" Id="rId1955" /><Relationship Type="http://schemas.openxmlformats.org/officeDocument/2006/relationships/hyperlink" Target="https://www.grenoblealpesmetropole.fr/263-via-nos-formulaires-de-contact.htm" TargetMode="External" Id="rId1956" /><Relationship Type="http://schemas.openxmlformats.org/officeDocument/2006/relationships/hyperlink" Target="https://lannuaire.service-public.gouv.fr/auvergne-rhone-alpes/isere/f6bb5305-3ef0-41da-8850-d0a44de6cb35" TargetMode="External" Id="rId1957" /><Relationship Type="http://schemas.openxmlformats.org/officeDocument/2006/relationships/hyperlink" Target="mailto:info@vienne-condrieu-agglomeration.fr" TargetMode="External" Id="rId1958" /><Relationship Type="http://schemas.openxmlformats.org/officeDocument/2006/relationships/hyperlink" Target="https://www.vienne-condrieu-agglomeration.fr/" TargetMode="External" Id="rId1959" /><Relationship Type="http://schemas.openxmlformats.org/officeDocument/2006/relationships/hyperlink" Target="https://www.vienne-condrieu-agglomeration.fr/contact" TargetMode="External" Id="rId1960" /><Relationship Type="http://schemas.openxmlformats.org/officeDocument/2006/relationships/hyperlink" Target="https://lannuaire.service-public.gouv.fr/auvergne-rhone-alpes/isere/878d7684-c95d-430e-a726-7b1634ecf6c1" TargetMode="External" Id="rId1961" /><Relationship Type="http://schemas.openxmlformats.org/officeDocument/2006/relationships/hyperlink" Target="mailto:accueil@cc-coeurdechartreuse.fr" TargetMode="External" Id="rId1962" /><Relationship Type="http://schemas.openxmlformats.org/officeDocument/2006/relationships/hyperlink" Target="https://coeurdechartreuse.fr/" TargetMode="External" Id="rId1963" /><Relationship Type="http://schemas.openxmlformats.org/officeDocument/2006/relationships/hyperlink" Target="https://lannuaire.service-public.gouv.fr/auvergne-rhone-alpes/isere/6306a198-e90d-49a5-8ee3-a174c4e9e216" TargetMode="External" Id="rId1964" /><Relationship Type="http://schemas.openxmlformats.org/officeDocument/2006/relationships/hyperlink" Target="mailto:contact@ecla-jura.fr" TargetMode="External" Id="rId1965" /><Relationship Type="http://schemas.openxmlformats.org/officeDocument/2006/relationships/hyperlink" Target="https://www.ecla-jura.fr/" TargetMode="External" Id="rId1966" /><Relationship Type="http://schemas.openxmlformats.org/officeDocument/2006/relationships/hyperlink" Target="https://lannuaire.service-public.gouv.fr/bourgogne-franche-comte/jura/b1989671-90c3-483a-a536-fa0a33d70dab" TargetMode="External" Id="rId1967" /><Relationship Type="http://schemas.openxmlformats.org/officeDocument/2006/relationships/hyperlink" Target="mailto:info@grand-dole.fr" TargetMode="External" Id="rId1968" /><Relationship Type="http://schemas.openxmlformats.org/officeDocument/2006/relationships/hyperlink" Target="https://www.grand-dole.fr/" TargetMode="External" Id="rId1969" /><Relationship Type="http://schemas.openxmlformats.org/officeDocument/2006/relationships/hyperlink" Target="https://www.grand-dole.fr/contactez-nous" TargetMode="External" Id="rId1970" /><Relationship Type="http://schemas.openxmlformats.org/officeDocument/2006/relationships/hyperlink" Target="https://lannuaire.service-public.gouv.fr/bourgogne-franche-comte/jura/b93534f5-828e-4838-b8d5-789934968e04" TargetMode="External" Id="rId1971" /><Relationship Type="http://schemas.openxmlformats.org/officeDocument/2006/relationships/hyperlink" Target="mailto:contact@ville-poligny.fr" TargetMode="External" Id="rId1972" /><Relationship Type="http://schemas.openxmlformats.org/officeDocument/2006/relationships/hyperlink" Target="https://www.cc-coeurdujura.fr/" TargetMode="External" Id="rId1973" /><Relationship Type="http://schemas.openxmlformats.org/officeDocument/2006/relationships/hyperlink" Target="https://www.cc-coeurdujura.fr/contact" TargetMode="External" Id="rId1974" /><Relationship Type="http://schemas.openxmlformats.org/officeDocument/2006/relationships/hyperlink" Target="https://lannuaire.service-public.gouv.fr/bourgogne-franche-comte/jura/39350034-45aa-4227-8bf6-28b2a481fba8" TargetMode="External" Id="rId1975" /><Relationship Type="http://schemas.openxmlformats.org/officeDocument/2006/relationships/hyperlink" Target="mailto:accueil@bressehauteseille.fr" TargetMode="External" Id="rId1976" /><Relationship Type="http://schemas.openxmlformats.org/officeDocument/2006/relationships/hyperlink" Target="https://www.bressehauteseille.fr/" TargetMode="External" Id="rId1977" /><Relationship Type="http://schemas.openxmlformats.org/officeDocument/2006/relationships/hyperlink" Target="https://lannuaire.service-public.gouv.fr/bourgogne-franche-comte/jura/2009d45f-40ad-42ce-a70e-f62aeb66d950" TargetMode="External" Id="rId1978" /><Relationship Type="http://schemas.openxmlformats.org/officeDocument/2006/relationships/hyperlink" Target="mailto:contact@champagnolenozeroyjura.fr" TargetMode="External" Id="rId1979" /><Relationship Type="http://schemas.openxmlformats.org/officeDocument/2006/relationships/hyperlink" Target="https://www.champagnolenozeroyjura.fr/" TargetMode="External" Id="rId1980" /><Relationship Type="http://schemas.openxmlformats.org/officeDocument/2006/relationships/hyperlink" Target="https://www.champagnolenozeroyjura.fr/contact/" TargetMode="External" Id="rId1981" /><Relationship Type="http://schemas.openxmlformats.org/officeDocument/2006/relationships/hyperlink" Target="https://lannuaire.service-public.gouv.fr/bourgogne-franche-comte/jura/df7f979f-d349-4ca6-b54a-98a5dcac9a7e" TargetMode="External" Id="rId1982" /><Relationship Type="http://schemas.openxmlformats.org/officeDocument/2006/relationships/hyperlink" Target="mailto:secretariat@arcade-cchj.fr" TargetMode="External" Id="rId1983" /><Relationship Type="http://schemas.openxmlformats.org/officeDocument/2006/relationships/hyperlink" Target="https://www.hautjura-arcade.com/" TargetMode="External" Id="rId1984" /><Relationship Type="http://schemas.openxmlformats.org/officeDocument/2006/relationships/hyperlink" Target="https://www.hautjura-arcade.com/contact" TargetMode="External" Id="rId1985" /><Relationship Type="http://schemas.openxmlformats.org/officeDocument/2006/relationships/hyperlink" Target="https://lannuaire.service-public.gouv.fr/bourgogne-franche-comte/jura/dc6c092d-05eb-437a-b078-e7e48874b523" TargetMode="External" Id="rId1986" /><Relationship Type="http://schemas.openxmlformats.org/officeDocument/2006/relationships/hyperlink" Target="mailto:contact@hautjurasaintclaude.fr" TargetMode="External" Id="rId1987" /><Relationship Type="http://schemas.openxmlformats.org/officeDocument/2006/relationships/hyperlink" Target="https://www.hautjurasaintclaude.fr/" TargetMode="External" Id="rId1988" /><Relationship Type="http://schemas.openxmlformats.org/officeDocument/2006/relationships/hyperlink" Target="https://lannuaire.service-public.gouv.fr/bourgogne-franche-comte/jura/e8c0a63e-106b-4f39-8d82-213179176b6f" TargetMode="External" Id="rId1989" /><Relationship Type="http://schemas.openxmlformats.org/officeDocument/2006/relationships/hyperlink" Target="mailto:contact@jura-nord.com" TargetMode="External" Id="rId1990" /><Relationship Type="http://schemas.openxmlformats.org/officeDocument/2006/relationships/hyperlink" Target="https://www.jura-nord.com/" TargetMode="External" Id="rId1991" /><Relationship Type="http://schemas.openxmlformats.org/officeDocument/2006/relationships/hyperlink" Target="https://lannuaire.service-public.gouv.fr/bourgogne-franche-comte/jura/05e2ff87-9b59-44ba-b7a5-6d5439dbcd5b" TargetMode="External" Id="rId1992" /><Relationship Type="http://schemas.openxmlformats.org/officeDocument/2006/relationships/hyperlink" Target="mailto:accueil@ccportedujura.fr" TargetMode="External" Id="rId1993" /><Relationship Type="http://schemas.openxmlformats.org/officeDocument/2006/relationships/hyperlink" Target="https://www.ccportedujura.fr/" TargetMode="External" Id="rId1994" /><Relationship Type="http://schemas.openxmlformats.org/officeDocument/2006/relationships/hyperlink" Target="https://www.ccportedujura.fr/contact/" TargetMode="External" Id="rId1995" /><Relationship Type="http://schemas.openxmlformats.org/officeDocument/2006/relationships/hyperlink" Target="https://lannuaire.service-public.gouv.fr/bourgogne-franche-comte/jura/38b74bec-9779-433b-82d5-ed15d44a7e8c" TargetMode="External" Id="rId1996" /><Relationship Type="http://schemas.openxmlformats.org/officeDocument/2006/relationships/hyperlink" Target="mailto:contact@terredemeraude.fr" TargetMode="External" Id="rId1997" /><Relationship Type="http://schemas.openxmlformats.org/officeDocument/2006/relationships/hyperlink" Target="https://www.terredemeraude.fr" TargetMode="External" Id="rId1998" /><Relationship Type="http://schemas.openxmlformats.org/officeDocument/2006/relationships/hyperlink" Target="https://www.terredemeraude.fr/nous-contacter/" TargetMode="External" Id="rId1999" /><Relationship Type="http://schemas.openxmlformats.org/officeDocument/2006/relationships/hyperlink" Target="https://lannuaire.service-public.gouv.fr/bourgogne-franche-comte/jura/9a91597d-92a6-4e94-99ad-5a5ba2c7a089" TargetMode="External" Id="rId2000" /><Relationship Type="http://schemas.openxmlformats.org/officeDocument/2006/relationships/hyperlink" Target="mailto:administration@cc-laplaine-jurassienne.com" TargetMode="External" Id="rId2001" /><Relationship Type="http://schemas.openxmlformats.org/officeDocument/2006/relationships/hyperlink" Target="https://www.cc-laplaine-jurassienne.fr/" TargetMode="External" Id="rId2002" /><Relationship Type="http://schemas.openxmlformats.org/officeDocument/2006/relationships/hyperlink" Target="https://www.cc-laplaine-jurassienne.fr/index.php/contact/" TargetMode="External" Id="rId2003" /><Relationship Type="http://schemas.openxmlformats.org/officeDocument/2006/relationships/hyperlink" Target="https://lannuaire.service-public.gouv.fr/bourgogne-franche-comte/jura/210060a0-4c1f-4fd8-9663-0821c7c20f47" TargetMode="External" Id="rId2004" /><Relationship Type="http://schemas.openxmlformats.org/officeDocument/2006/relationships/hyperlink" Target="mailto:contact@cc-stationdesrousses.fr" TargetMode="External" Id="rId2005" /><Relationship Type="http://schemas.openxmlformats.org/officeDocument/2006/relationships/hyperlink" Target="https://www.cc-stationdesrousses.fr/" TargetMode="External" Id="rId2006" /><Relationship Type="http://schemas.openxmlformats.org/officeDocument/2006/relationships/hyperlink" Target="https://www.cc-stationdesrousses.fr/contact/" TargetMode="External" Id="rId2007" /><Relationship Type="http://schemas.openxmlformats.org/officeDocument/2006/relationships/hyperlink" Target="https://lannuaire.service-public.gouv.fr/bourgogne-franche-comte/jura/0f10504b-5482-4e73-83d0-e1aede2b228f" TargetMode="External" Id="rId2008" /><Relationship Type="http://schemas.openxmlformats.org/officeDocument/2006/relationships/hyperlink" Target="mailto:contact@valdamour.com" TargetMode="External" Id="rId2009" /><Relationship Type="http://schemas.openxmlformats.org/officeDocument/2006/relationships/hyperlink" Target="https://www.valdamour.com/" TargetMode="External" Id="rId2010" /><Relationship Type="http://schemas.openxmlformats.org/officeDocument/2006/relationships/hyperlink" Target="https://www.valdamour.com/nous-contacter.htm" TargetMode="External" Id="rId2011" /><Relationship Type="http://schemas.openxmlformats.org/officeDocument/2006/relationships/hyperlink" Target="https://lannuaire.service-public.gouv.fr/bourgogne-franche-comte/jura/1b3563e3-a2cd-46cd-bf75-09fadaa41d29" TargetMode="External" Id="rId2012" /><Relationship Type="http://schemas.openxmlformats.org/officeDocument/2006/relationships/hyperlink" Target="mailto:secretariat@lagrandvalliere.fr" TargetMode="External" Id="rId2013" /><Relationship Type="http://schemas.openxmlformats.org/officeDocument/2006/relationships/hyperlink" Target="http://www.lagrandvalliere.fr" TargetMode="External" Id="rId2014" /><Relationship Type="http://schemas.openxmlformats.org/officeDocument/2006/relationships/hyperlink" Target="https://lannuaire.service-public.gouv.fr/bourgogne-franche-comte/jura/1f3d682e-6ffb-4855-be70-34752026b549" TargetMode="External" Id="rId2015" /><Relationship Type="http://schemas.openxmlformats.org/officeDocument/2006/relationships/hyperlink" Target="mailto:accueil.agglo@montdemarsan-agglo.fr" TargetMode="External" Id="rId2016" /><Relationship Type="http://schemas.openxmlformats.org/officeDocument/2006/relationships/hyperlink" Target="http://www.montdemarsan-agglo.fr" TargetMode="External" Id="rId2017" /><Relationship Type="http://schemas.openxmlformats.org/officeDocument/2006/relationships/hyperlink" Target="https://lannuaire.service-public.gouv.fr/nouvelle-aquitaine/landes/ea9830f0-27bd-483e-ae0e-3fa4f01267b2" TargetMode="External" Id="rId2018" /><Relationship Type="http://schemas.openxmlformats.org/officeDocument/2006/relationships/hyperlink" Target="mailto:contact@grand-dax.fr" TargetMode="External" Id="rId2019" /><Relationship Type="http://schemas.openxmlformats.org/officeDocument/2006/relationships/hyperlink" Target="https://www.grand-dax.fr/" TargetMode="External" Id="rId2020" /><Relationship Type="http://schemas.openxmlformats.org/officeDocument/2006/relationships/hyperlink" Target="https://www.grand-dax.fr/nous-contacter" TargetMode="External" Id="rId2021" /><Relationship Type="http://schemas.openxmlformats.org/officeDocument/2006/relationships/hyperlink" Target="https://lannuaire.service-public.gouv.fr/nouvelle-aquitaine/landes/c65ede47-56a1-47d1-be9b-41c7e2d9e425" TargetMode="External" Id="rId2022" /><Relationship Type="http://schemas.openxmlformats.org/officeDocument/2006/relationships/hyperlink" Target="mailto:cias@chalossetursan.fr" TargetMode="External" Id="rId2023" /><Relationship Type="http://schemas.openxmlformats.org/officeDocument/2006/relationships/hyperlink" Target="https://www.chalossetursan.fr/" TargetMode="External" Id="rId2024" /><Relationship Type="http://schemas.openxmlformats.org/officeDocument/2006/relationships/hyperlink" Target="https://lannuaire.service-public.gouv.fr/nouvelle-aquitaine/landes/5ced6950-d266-4e9e-9d64-ae2c85cf1db4" TargetMode="External" Id="rId2025" /><Relationship Type="http://schemas.openxmlformats.org/officeDocument/2006/relationships/hyperlink" Target="mailto:accueil.chl@coeurhautelande.fr" TargetMode="External" Id="rId2026" /><Relationship Type="http://schemas.openxmlformats.org/officeDocument/2006/relationships/hyperlink" Target="https://www.coeurhautelande.fr/" TargetMode="External" Id="rId2027" /><Relationship Type="http://schemas.openxmlformats.org/officeDocument/2006/relationships/hyperlink" Target="https://www.coeurhautelande.fr/Communaute-de-communes/Coeur-Haute-Lande/Contacter-la-Communaute-de-Communes" TargetMode="External" Id="rId2028" /><Relationship Type="http://schemas.openxmlformats.org/officeDocument/2006/relationships/hyperlink" Target="https://lannuaire.service-public.gouv.fr/nouvelle-aquitaine/landes/03f19b56-01e1-4d56-9fd1-4e76039783b1" TargetMode="External" Id="rId2029" /><Relationship Type="http://schemas.openxmlformats.org/officeDocument/2006/relationships/hyperlink" Target="mailto:contact@cc-luys.fr" TargetMode="External" Id="rId2030" /><Relationship Type="http://schemas.openxmlformats.org/officeDocument/2006/relationships/hyperlink" Target="https://www.cc-luys.fr/" TargetMode="External" Id="rId2031" /><Relationship Type="http://schemas.openxmlformats.org/officeDocument/2006/relationships/hyperlink" Target="https://lannuaire.service-public.gouv.fr/nouvelle-aquitaine/landes/23d8004f-e45b-4a3d-be96-4afff5d82f52" TargetMode="External" Id="rId2032" /><Relationship Type="http://schemas.openxmlformats.org/officeDocument/2006/relationships/hyperlink" Target="mailto:secretariat@cc-cln.fr" TargetMode="External" Id="rId2033" /><Relationship Type="http://schemas.openxmlformats.org/officeDocument/2006/relationships/hyperlink" Target="https://www.cc-cln.fr/" TargetMode="External" Id="rId2034" /><Relationship Type="http://schemas.openxmlformats.org/officeDocument/2006/relationships/hyperlink" Target="https://www.cc-cln.fr/communaute-de-communes/contact" TargetMode="External" Id="rId2035" /><Relationship Type="http://schemas.openxmlformats.org/officeDocument/2006/relationships/hyperlink" Target="https://lannuaire.service-public.gouv.fr/nouvelle-aquitaine/landes/d45a48a5-111b-45c9-9d4e-73ce623f4cb4" TargetMode="External" Id="rId2036" /><Relationship Type="http://schemas.openxmlformats.org/officeDocument/2006/relationships/hyperlink" Target="mailto:contact@cc-macs.org" TargetMode="External" Id="rId2037" /><Relationship Type="http://schemas.openxmlformats.org/officeDocument/2006/relationships/hyperlink" Target="https://www.cc-macs.org/" TargetMode="External" Id="rId2038" /><Relationship Type="http://schemas.openxmlformats.org/officeDocument/2006/relationships/hyperlink" Target="https://lannuaire.service-public.gouv.fr/nouvelle-aquitaine/landes/04d10a79-1573-4e01-9279-22ba46ff80ef" TargetMode="External" Id="rId2039" /><Relationship Type="http://schemas.openxmlformats.org/officeDocument/2006/relationships/hyperlink" Target="mailto:contact@orthe-arrigans.fr" TargetMode="External" Id="rId2040" /><Relationship Type="http://schemas.openxmlformats.org/officeDocument/2006/relationships/hyperlink" Target="https://www.pays-orthe-arrigans.fr/" TargetMode="External" Id="rId2041" /><Relationship Type="http://schemas.openxmlformats.org/officeDocument/2006/relationships/hyperlink" Target="https://www.pays-orthe-arrigans.fr/contact.html" TargetMode="External" Id="rId2042" /><Relationship Type="http://schemas.openxmlformats.org/officeDocument/2006/relationships/hyperlink" Target="https://lannuaire.service-public.gouv.fr/nouvelle-aquitaine/landes/23ce6b07-68a0-40e7-bf15-54dc32d8f07c" TargetMode="External" Id="rId2043" /><Relationship Type="http://schemas.openxmlformats.org/officeDocument/2006/relationships/hyperlink" Target="mailto:contact@terresdechalosse.fr" TargetMode="External" Id="rId2044" /><Relationship Type="http://schemas.openxmlformats.org/officeDocument/2006/relationships/hyperlink" Target="https://www.terresdechalosse.fr/" TargetMode="External" Id="rId2045" /><Relationship Type="http://schemas.openxmlformats.org/officeDocument/2006/relationships/hyperlink" Target="https://www.terresdechalosse.fr/Communaute-de-communes/Terres-de-Chalosse/Contactez-nous" TargetMode="External" Id="rId2046" /><Relationship Type="http://schemas.openxmlformats.org/officeDocument/2006/relationships/hyperlink" Target="https://lannuaire.service-public.gouv.fr/nouvelle-aquitaine/landes/c56a0986-6bfe-49f1-b795-9e0ca967cea2" TargetMode="External" Id="rId2047" /><Relationship Type="http://schemas.openxmlformats.org/officeDocument/2006/relationships/hyperlink" Target="mailto:contact@mimizan.net" TargetMode="External" Id="rId2048" /><Relationship Type="http://schemas.openxmlformats.org/officeDocument/2006/relationships/hyperlink" Target="https://www.cc-mimizan.fr/" TargetMode="External" Id="rId2049" /><Relationship Type="http://schemas.openxmlformats.org/officeDocument/2006/relationships/hyperlink" Target="https://lannuaire.service-public.gouv.fr/nouvelle-aquitaine/landes/ceef7e34-3c83-4dfa-ba66-b61d58412db7" TargetMode="External" Id="rId2050" /><Relationship Type="http://schemas.openxmlformats.org/officeDocument/2006/relationships/hyperlink" Target="mailto:secretariat.general@ccgrandslacs.fr" TargetMode="External" Id="rId2051" /><Relationship Type="http://schemas.openxmlformats.org/officeDocument/2006/relationships/hyperlink" Target="https://www.ccgrandslacs.fr/" TargetMode="External" Id="rId2052" /><Relationship Type="http://schemas.openxmlformats.org/officeDocument/2006/relationships/hyperlink" Target="https://lannuaire.service-public.gouv.fr/nouvelle-aquitaine/landes/4c3cce19-076f-49df-b890-af92a3fd7f34" TargetMode="External" Id="rId2053" /><Relationship Type="http://schemas.openxmlformats.org/officeDocument/2006/relationships/hyperlink" Target="mailto:contact@ccla40.fr" TargetMode="External" Id="rId2054" /><Relationship Type="http://schemas.openxmlformats.org/officeDocument/2006/relationships/hyperlink" Target="https://www.landesdarmagnac.fr/" TargetMode="External" Id="rId2055" /><Relationship Type="http://schemas.openxmlformats.org/officeDocument/2006/relationships/hyperlink" Target="https://lannuaire.service-public.gouv.fr/nouvelle-aquitaine/landes/c3476eaa-4cee-4812-a45b-3da879670f71" TargetMode="External" Id="rId2056" /><Relationship Type="http://schemas.openxmlformats.org/officeDocument/2006/relationships/hyperlink" Target="mailto:secretariat@cc-paysgrenadois.fr" TargetMode="External" Id="rId2057" /><Relationship Type="http://schemas.openxmlformats.org/officeDocument/2006/relationships/hyperlink" Target="https://www.cc-paysgrenadois.fr" TargetMode="External" Id="rId2058" /><Relationship Type="http://schemas.openxmlformats.org/officeDocument/2006/relationships/hyperlink" Target="https://lannuaire.service-public.gouv.fr/nouvelle-aquitaine/landes/be3612dc-6b96-4d92-a00a-b95f22f1ce8e" TargetMode="External" Id="rId2059" /><Relationship Type="http://schemas.openxmlformats.org/officeDocument/2006/relationships/hyperlink" Target="mailto:contact@paysmorcenais.fr" TargetMode="External" Id="rId2060" /><Relationship Type="http://schemas.openxmlformats.org/officeDocument/2006/relationships/hyperlink" Target="https://www.paysmorcenais.fr/" TargetMode="External" Id="rId2061" /><Relationship Type="http://schemas.openxmlformats.org/officeDocument/2006/relationships/hyperlink" Target="https://www.paysmorcenais.fr/communaute-de-communes/contact" TargetMode="External" Id="rId2062" /><Relationship Type="http://schemas.openxmlformats.org/officeDocument/2006/relationships/hyperlink" Target="https://lannuaire.service-public.gouv.fr/nouvelle-aquitaine/landes/22ee9784-f723-4d87-9d5f-619d71aefe90" TargetMode="External" Id="rId2063" /><Relationship Type="http://schemas.openxmlformats.org/officeDocument/2006/relationships/hyperlink" Target="mailto:accueil@pays-tarusate.fr" TargetMode="External" Id="rId2064" /><Relationship Type="http://schemas.openxmlformats.org/officeDocument/2006/relationships/hyperlink" Target="https://www.pays-tarusate.fr/" TargetMode="External" Id="rId2065" /><Relationship Type="http://schemas.openxmlformats.org/officeDocument/2006/relationships/hyperlink" Target="https://www.facebook.com/paystarusate/" TargetMode="External" Id="rId2066" /><Relationship Type="http://schemas.openxmlformats.org/officeDocument/2006/relationships/hyperlink" Target="https://lannuaire.service-public.gouv.fr/nouvelle-aquitaine/landes/c69718a1-0a9c-4094-bfe0-9922eb508d99" TargetMode="External" Id="rId2067" /><Relationship Type="http://schemas.openxmlformats.org/officeDocument/2006/relationships/hyperlink" Target="mailto:accueil@cc-vdm.com" TargetMode="External" Id="rId2068" /><Relationship Type="http://schemas.openxmlformats.org/officeDocument/2006/relationships/hyperlink" Target="https://www.cc-vdm.com/" TargetMode="External" Id="rId2069" /><Relationship Type="http://schemas.openxmlformats.org/officeDocument/2006/relationships/hyperlink" Target="https://www.cc-vdm.com/CDC-Pays-de-Villeneuve/La-Communaute-de-Communes/Nous-contacter" TargetMode="External" Id="rId2070" /><Relationship Type="http://schemas.openxmlformats.org/officeDocument/2006/relationships/hyperlink" Target="https://lannuaire.service-public.gouv.fr/nouvelle-aquitaine/landes/ed61e58d-b3d6-44aa-8875-c651b808526e" TargetMode="External" Id="rId2071" /><Relationship Type="http://schemas.openxmlformats.org/officeDocument/2006/relationships/hyperlink" Target="mailto:accueil@cc-seignanx.fr" TargetMode="External" Id="rId2072" /><Relationship Type="http://schemas.openxmlformats.org/officeDocument/2006/relationships/hyperlink" Target="https://www.cc-seignanx.fr/" TargetMode="External" Id="rId2073" /><Relationship Type="http://schemas.openxmlformats.org/officeDocument/2006/relationships/hyperlink" Target="https://www.cc-seignanx.fr/Communaute-de-Communes/Votre-Communaute/Nous-contacter" TargetMode="External" Id="rId2074" /><Relationship Type="http://schemas.openxmlformats.org/officeDocument/2006/relationships/hyperlink" Target="https://lannuaire.service-public.gouv.fr/nouvelle-aquitaine/landes/d3a5d630-81bb-466c-9e52-0af25638c816" TargetMode="External" Id="rId2075" /><Relationship Type="http://schemas.openxmlformats.org/officeDocument/2006/relationships/hyperlink" Target="mailto:courrier@catv41.fr" TargetMode="External" Id="rId2076" /><Relationship Type="http://schemas.openxmlformats.org/officeDocument/2006/relationships/hyperlink" Target="https://www.territoiresvendomois.fr/" TargetMode="External" Id="rId2077" /><Relationship Type="http://schemas.openxmlformats.org/officeDocument/2006/relationships/hyperlink" Target="https://www.territoiresvendomois.fr/contactez-nous/" TargetMode="External" Id="rId2078" /><Relationship Type="http://schemas.openxmlformats.org/officeDocument/2006/relationships/hyperlink" Target="https://lannuaire.service-public.gouv.fr/centre-val-de-loire/loir-et-cher/6ec56d5c-8925-4eb5-8b68-ba5ba265a6cc" TargetMode="External" Id="rId2079" /><Relationship Type="http://schemas.openxmlformats.org/officeDocument/2006/relationships/hyperlink" Target="mailto:contact@agglopolys.fr" TargetMode="External" Id="rId2080" /><Relationship Type="http://schemas.openxmlformats.org/officeDocument/2006/relationships/hyperlink" Target="http://www.agglopolys.fr" TargetMode="External" Id="rId2081" /><Relationship Type="http://schemas.openxmlformats.org/officeDocument/2006/relationships/hyperlink" Target="https://m.agglopolys.fr/" TargetMode="External" Id="rId2082" /><Relationship Type="http://schemas.openxmlformats.org/officeDocument/2006/relationships/hyperlink" Target="https://lannuaire.service-public.gouv.fr/centre-val-de-loire/loir-et-cher/f2045ea3-baa1-414c-b50b-4ce49de959f5" TargetMode="External" Id="rId2083" /><Relationship Type="http://schemas.openxmlformats.org/officeDocument/2006/relationships/hyperlink" Target="mailto:contact@beaucevaldeloire.fr" TargetMode="External" Id="rId2084" /><Relationship Type="http://schemas.openxmlformats.org/officeDocument/2006/relationships/hyperlink" Target="https://www.beaucevaldeloire.fr/" TargetMode="External" Id="rId2085" /><Relationship Type="http://schemas.openxmlformats.org/officeDocument/2006/relationships/hyperlink" Target="https://www.beaucevaldeloire.fr/contact/" TargetMode="External" Id="rId2086" /><Relationship Type="http://schemas.openxmlformats.org/officeDocument/2006/relationships/hyperlink" Target="https://lannuaire.service-public.gouv.fr/centre-val-de-loire/loir-et-cher/f5646667-ab43-497e-b222-2dc572278cea" TargetMode="External" Id="rId2087" /><Relationship Type="http://schemas.openxmlformats.org/officeDocument/2006/relationships/hyperlink" Target="mailto:contact@coeurdesologne.com" TargetMode="External" Id="rId2088" /><Relationship Type="http://schemas.openxmlformats.org/officeDocument/2006/relationships/hyperlink" Target="https://lannuaire.service-public.gouv.fr/centre-val-de-loire/loir-et-cher/47f5514b-2401-49dc-94d3-cd14c4eece86" TargetMode="External" Id="rId2089" /><Relationship Type="http://schemas.openxmlformats.org/officeDocument/2006/relationships/hyperlink" Target="mailto:contact@val2c.fr" TargetMode="External" Id="rId2090" /><Relationship Type="http://schemas.openxmlformats.org/officeDocument/2006/relationships/hyperlink" Target="https://www.val2c.fr/" TargetMode="External" Id="rId2091" /><Relationship Type="http://schemas.openxmlformats.org/officeDocument/2006/relationships/hyperlink" Target="https://www.val2c.fr/contact/" TargetMode="External" Id="rId2092" /><Relationship Type="http://schemas.openxmlformats.org/officeDocument/2006/relationships/hyperlink" Target="https://lannuaire.service-public.gouv.fr/centre-val-de-loire/loir-et-cher/8ee96140-871c-4db8-8edf-e5223bd24bf6" TargetMode="External" Id="rId2093" /><Relationship Type="http://schemas.openxmlformats.org/officeDocument/2006/relationships/hyperlink" Target="mailto:contact@sologne-des-etangs.fr" TargetMode="External" Id="rId2094" /><Relationship Type="http://schemas.openxmlformats.org/officeDocument/2006/relationships/hyperlink" Target="https://www.sologne-des-etangs.fr" TargetMode="External" Id="rId2095" /><Relationship Type="http://schemas.openxmlformats.org/officeDocument/2006/relationships/hyperlink" Target="https://lannuaire.service-public.gouv.fr/centre-val-de-loire/loir-et-cher/0f8bded0-705c-44ba-9290-032087f1504c" TargetMode="External" Id="rId2096" /><Relationship Type="http://schemas.openxmlformats.org/officeDocument/2006/relationships/hyperlink" Target="mailto:solognedesrivieres@ccsr.fr" TargetMode="External" Id="rId2097" /><Relationship Type="http://schemas.openxmlformats.org/officeDocument/2006/relationships/hyperlink" Target="https://sologne-des-rivieres.fr/" TargetMode="External" Id="rId2098" /><Relationship Type="http://schemas.openxmlformats.org/officeDocument/2006/relationships/hyperlink" Target="https://lannuaire.service-public.gouv.fr/centre-val-de-loire/loir-et-cher/86399de6-2317-47e7-80fc-dc72d64a8f7c" TargetMode="External" Id="rId2099" /><Relationship Type="http://schemas.openxmlformats.org/officeDocument/2006/relationships/hyperlink" Target="mailto:dgs@cc-collinesperche.fr" TargetMode="External" Id="rId2100" /><Relationship Type="http://schemas.openxmlformats.org/officeDocument/2006/relationships/hyperlink" Target="https://www.cc-collinesperche.fr/" TargetMode="External" Id="rId2101" /><Relationship Type="http://schemas.openxmlformats.org/officeDocument/2006/relationships/hyperlink" Target="https://www.cc-collinesperche.fr/contact" TargetMode="External" Id="rId2102" /><Relationship Type="http://schemas.openxmlformats.org/officeDocument/2006/relationships/hyperlink" Target="https://lannuaire.service-public.gouv.fr/centre-val-de-loire/loir-et-cher/2b2f19e4-aa7a-44c8-95b8-64d3613d77cc" TargetMode="External" Id="rId2103" /><Relationship Type="http://schemas.openxmlformats.org/officeDocument/2006/relationships/hyperlink" Target="mailto:contact@grandchambord.fr" TargetMode="External" Id="rId2104" /><Relationship Type="http://schemas.openxmlformats.org/officeDocument/2006/relationships/hyperlink" Target="https://www.grandchambord.fr/" TargetMode="External" Id="rId2105" /><Relationship Type="http://schemas.openxmlformats.org/officeDocument/2006/relationships/hyperlink" Target="https://www.grandchambord.fr/nous-contacter/" TargetMode="External" Id="rId2106" /><Relationship Type="http://schemas.openxmlformats.org/officeDocument/2006/relationships/hyperlink" Target="https://lannuaire.service-public.gouv.fr/centre-val-de-loire/loir-et-cher/0746a14a-affb-43f7-a6db-92cd10ff06bb" TargetMode="External" Id="rId2107" /><Relationship Type="http://schemas.openxmlformats.org/officeDocument/2006/relationships/hyperlink" Target="mailto:cchv@cchv41.fr" TargetMode="External" Id="rId2108" /><Relationship Type="http://schemas.openxmlformats.org/officeDocument/2006/relationships/hyperlink" Target="https://cphv41.fr/" TargetMode="External" Id="rId2109" /><Relationship Type="http://schemas.openxmlformats.org/officeDocument/2006/relationships/hyperlink" Target="https://cphv41.fr/fr/" TargetMode="External" Id="rId2110" /><Relationship Type="http://schemas.openxmlformats.org/officeDocument/2006/relationships/hyperlink" Target="https://lannuaire.service-public.gouv.fr/centre-val-de-loire/loir-et-cher/48f284d1-650a-41ab-b5ef-287623247236" TargetMode="External" Id="rId2111" /><Relationship Type="http://schemas.openxmlformats.org/officeDocument/2006/relationships/hyperlink" Target="mailto:direction.generale@ccrm41.fr" TargetMode="External" Id="rId2112" /><Relationship Type="http://schemas.openxmlformats.org/officeDocument/2006/relationships/hyperlink" Target="https://ccrm41.fr/" TargetMode="External" Id="rId2113" /><Relationship Type="http://schemas.openxmlformats.org/officeDocument/2006/relationships/hyperlink" Target="https://ccrm41.fr/contact/" TargetMode="External" Id="rId2114" /><Relationship Type="http://schemas.openxmlformats.org/officeDocument/2006/relationships/hyperlink" Target="https://lannuaire.service-public.gouv.fr/centre-val-de-loire/loir-et-cher/dc6b0502-a130-430f-8e68-b89ec96cb0dc" TargetMode="External" Id="rId2115" /><Relationship Type="http://schemas.openxmlformats.org/officeDocument/2006/relationships/hyperlink" Target="mailto:accueil@ccterresduvaldeloire.fr" TargetMode="External" Id="rId2116" /><Relationship Type="http://schemas.openxmlformats.org/officeDocument/2006/relationships/hyperlink" Target="https://www.ccterresduvaldeloire.fr/" TargetMode="External" Id="rId2117" /><Relationship Type="http://schemas.openxmlformats.org/officeDocument/2006/relationships/hyperlink" Target="https://www.ccterresduvaldeloire.fr/systeme/contact/" TargetMode="External" Id="rId2118" /><Relationship Type="http://schemas.openxmlformats.org/officeDocument/2006/relationships/hyperlink" Target="https://lannuaire.service-public.gouv.fr/centre-val-de-loire/loiret/aca18a15-0241-4886-81f7-c048e4b5846f" TargetMode="External" Id="rId2119" /><Relationship Type="http://schemas.openxmlformats.org/officeDocument/2006/relationships/hyperlink" Target="mailto:agglomeration@loireforez.fr" TargetMode="External" Id="rId2120" /><Relationship Type="http://schemas.openxmlformats.org/officeDocument/2006/relationships/hyperlink" Target="https://www.loireforez.fr" TargetMode="External" Id="rId2121" /><Relationship Type="http://schemas.openxmlformats.org/officeDocument/2006/relationships/hyperlink" Target="https://lannuaire.service-public.gouv.fr/auvergne-rhone-alpes/loire/084d41a6-93e1-404a-a54a-a339822f810f" TargetMode="External" Id="rId2122" /><Relationship Type="http://schemas.openxmlformats.org/officeDocument/2006/relationships/hyperlink" Target="mailto:info@roannais-agglomeration.fr" TargetMode="External" Id="rId2123" /><Relationship Type="http://schemas.openxmlformats.org/officeDocument/2006/relationships/hyperlink" Target="https://www.aggloroanne.fr/" TargetMode="External" Id="rId2124" /><Relationship Type="http://schemas.openxmlformats.org/officeDocument/2006/relationships/hyperlink" Target="https://www.aggloroanne.fr/prendre-contact-avec-la-ville-de-roanne-468.html" TargetMode="External" Id="rId2125" /><Relationship Type="http://schemas.openxmlformats.org/officeDocument/2006/relationships/hyperlink" Target="https://lannuaire.service-public.gouv.fr/auvergne-rhone-alpes/loire/3c35a518-bdfc-42da-959c-7d7657e81104" TargetMode="External" Id="rId2126" /><Relationship Type="http://schemas.openxmlformats.org/officeDocument/2006/relationships/hyperlink" Target="mailto:contact@charlieubelmont.com" TargetMode="External" Id="rId2127" /><Relationship Type="http://schemas.openxmlformats.org/officeDocument/2006/relationships/hyperlink" Target="https://www.charlieubelmont.com/" TargetMode="External" Id="rId2128" /><Relationship Type="http://schemas.openxmlformats.org/officeDocument/2006/relationships/hyperlink" Target="https://www.charlieubelmont.com/nous-contacter/" TargetMode="External" Id="rId2129" /><Relationship Type="http://schemas.openxmlformats.org/officeDocument/2006/relationships/hyperlink" Target="https://lannuaire.service-public.gouv.fr/auvergne-rhone-alpes/loire/1c40356e-a86e-4680-806e-80d8b250f679" TargetMode="External" Id="rId2130" /><Relationship Type="http://schemas.openxmlformats.org/officeDocument/2006/relationships/hyperlink" Target="mailto:direction-generale@forez-est.fr" TargetMode="External" Id="rId2131" /><Relationship Type="http://schemas.openxmlformats.org/officeDocument/2006/relationships/hyperlink" Target="https://www.forez-est.fr/" TargetMode="External" Id="rId2132" /><Relationship Type="http://schemas.openxmlformats.org/officeDocument/2006/relationships/hyperlink" Target="https://www.forez-est.fr/" TargetMode="External" Id="rId2133" /><Relationship Type="http://schemas.openxmlformats.org/officeDocument/2006/relationships/hyperlink" Target="https://lannuaire.service-public.gouv.fr/auvergne-rhone-alpes/loire/c4523d51-7d32-4b54-94a4-64700d643aaf" TargetMode="External" Id="rId2134" /><Relationship Type="http://schemas.openxmlformats.org/officeDocument/2006/relationships/hyperlink" Target="mailto:info@cc-montsdupilat.fr" TargetMode="External" Id="rId2135" /><Relationship Type="http://schemas.openxmlformats.org/officeDocument/2006/relationships/hyperlink" Target="https://www.cc-montsdupilat.fr/" TargetMode="External" Id="rId2136" /><Relationship Type="http://schemas.openxmlformats.org/officeDocument/2006/relationships/hyperlink" Target="https://www.cc-montsdupilat.fr/contact/" TargetMode="External" Id="rId2137" /><Relationship Type="http://schemas.openxmlformats.org/officeDocument/2006/relationships/hyperlink" Target="https://lannuaire.service-public.gouv.fr/auvergne-rhone-alpes/loire/9294d86e-69d3-4c04-8e5f-053336627726" TargetMode="External" Id="rId2138" /><Relationship Type="http://schemas.openxmlformats.org/officeDocument/2006/relationships/hyperlink" Target="mailto:accueil@ccvai.fr" TargetMode="External" Id="rId2139" /><Relationship Type="http://schemas.openxmlformats.org/officeDocument/2006/relationships/hyperlink" Target="https://www.ccvai.fr/" TargetMode="External" Id="rId2140" /><Relationship Type="http://schemas.openxmlformats.org/officeDocument/2006/relationships/hyperlink" Target="https://www.ccvai.fr/contact-ccvai-art-13.html" TargetMode="External" Id="rId2141" /><Relationship Type="http://schemas.openxmlformats.org/officeDocument/2006/relationships/hyperlink" Target="https://lannuaire.service-public.gouv.fr/auvergne-rhone-alpes/loire/1fcb4106-9517-4614-be7b-c342bd751544" TargetMode="External" Id="rId2142" /><Relationship Type="http://schemas.openxmlformats.org/officeDocument/2006/relationships/hyperlink" Target="mailto:copler@copler.fr" TargetMode="External" Id="rId2143" /><Relationship Type="http://schemas.openxmlformats.org/officeDocument/2006/relationships/hyperlink" Target="https://www.copler.fr/" TargetMode="External" Id="rId2144" /><Relationship Type="http://schemas.openxmlformats.org/officeDocument/2006/relationships/hyperlink" Target="https://www.copler.fr/" TargetMode="External" Id="rId2145" /><Relationship Type="http://schemas.openxmlformats.org/officeDocument/2006/relationships/hyperlink" Target="https://lannuaire.service-public.gouv.fr/auvergne-rhone-alpes/loire/3f94349e-a952-4ec4-9629-117db099b3fa" TargetMode="External" Id="rId2146" /><Relationship Type="http://schemas.openxmlformats.org/officeDocument/2006/relationships/hyperlink" Target="mailto:contact@ccpu.fr" TargetMode="External" Id="rId2147" /><Relationship Type="http://schemas.openxmlformats.org/officeDocument/2006/relationships/hyperlink" Target="https://www.ccpu.fr/" TargetMode="External" Id="rId2148" /><Relationship Type="http://schemas.openxmlformats.org/officeDocument/2006/relationships/hyperlink" Target="https://www.ccpu.fr/contact-comcom-pays-durfe-loire-42_fr.html" TargetMode="External" Id="rId2149" /><Relationship Type="http://schemas.openxmlformats.org/officeDocument/2006/relationships/hyperlink" Target="https://lannuaire.service-public.gouv.fr/auvergne-rhone-alpes/loire/664da76a-141e-4238-ae51-420e7fc05f75" TargetMode="External" Id="rId2150" /><Relationship Type="http://schemas.openxmlformats.org/officeDocument/2006/relationships/hyperlink" Target="mailto:ccpr@pilatrhodanien.fr" TargetMode="External" Id="rId2151" /><Relationship Type="http://schemas.openxmlformats.org/officeDocument/2006/relationships/hyperlink" Target="https://www.pilatrhodanien.fr/" TargetMode="External" Id="rId2152" /><Relationship Type="http://schemas.openxmlformats.org/officeDocument/2006/relationships/hyperlink" Target="https://www.pilatrhodanien.fr/contact/" TargetMode="External" Id="rId2153" /><Relationship Type="http://schemas.openxmlformats.org/officeDocument/2006/relationships/hyperlink" Target="https://lannuaire.service-public.gouv.fr/auvergne-rhone-alpes/loire/d4d94e5e-ac87-42c7-969c-bbd27aa4748f" TargetMode="External" Id="rId2154" /><Relationship Type="http://schemas.openxmlformats.org/officeDocument/2006/relationships/hyperlink" Target="mailto:accueil@saint-etienne-metropole.fr" TargetMode="External" Id="rId2155" /><Relationship Type="http://schemas.openxmlformats.org/officeDocument/2006/relationships/hyperlink" Target="https://www.saint-etienne-metropole.fr/" TargetMode="External" Id="rId2156" /><Relationship Type="http://schemas.openxmlformats.org/officeDocument/2006/relationships/hyperlink" Target="https://www.saint-etienne-metropole.fr/contacter-saint-etienne-metropole" TargetMode="External" Id="rId2157" /><Relationship Type="http://schemas.openxmlformats.org/officeDocument/2006/relationships/hyperlink" Target="https://lannuaire.service-public.gouv.fr/auvergne-rhone-alpes/loire/c05ed861-1909-4042-b168-1f8fbe23bf91" TargetMode="External" Id="rId2158" /><Relationship Type="http://schemas.openxmlformats.org/officeDocument/2006/relationships/hyperlink" Target="mailto:contact@cc-mdl.fr" TargetMode="External" Id="rId2159" /><Relationship Type="http://schemas.openxmlformats.org/officeDocument/2006/relationships/hyperlink" Target="https://www.cc-montsdulyonnais.fr/" TargetMode="External" Id="rId2160" /><Relationship Type="http://schemas.openxmlformats.org/officeDocument/2006/relationships/hyperlink" Target="https://www.cc-montsdulyonnais.fr/contact/" TargetMode="External" Id="rId2161" /><Relationship Type="http://schemas.openxmlformats.org/officeDocument/2006/relationships/hyperlink" Target="https://lannuaire.service-public.gouv.fr/auvergne-rhone-alpes/rhone/3dce566a-862f-4e81-b65c-f11b3d1ce3ab" TargetMode="External" Id="rId2162" /><Relationship Type="http://schemas.openxmlformats.org/officeDocument/2006/relationships/hyperlink" Target="mailto:contact.agglo@lepuyenvelay.fr" TargetMode="External" Id="rId2163" /><Relationship Type="http://schemas.openxmlformats.org/officeDocument/2006/relationships/hyperlink" Target="https://www.agglo-lepuyenvelay.fr/" TargetMode="External" Id="rId2164" /><Relationship Type="http://schemas.openxmlformats.org/officeDocument/2006/relationships/hyperlink" Target="https://www.citoyens.agglo-lepuyenvelay.fr/nous-contacter" TargetMode="External" Id="rId2165" /><Relationship Type="http://schemas.openxmlformats.org/officeDocument/2006/relationships/hyperlink" Target="https://lannuaire.service-public.gouv.fr/auvergne-rhone-alpes/haute-loire/01c91802-fe88-4a64-aa64-163271b93f0e" TargetMode="External" Id="rId2166" /><Relationship Type="http://schemas.openxmlformats.org/officeDocument/2006/relationships/hyperlink" Target="mailto:contact@cc-auzon.fr" TargetMode="External" Id="rId2167" /><Relationship Type="http://schemas.openxmlformats.org/officeDocument/2006/relationships/hyperlink" Target="https://www.cc-auzon.fr/" TargetMode="External" Id="rId2168" /><Relationship Type="http://schemas.openxmlformats.org/officeDocument/2006/relationships/hyperlink" Target="https://www.cc-auzon.fr/contact_fr.html" TargetMode="External" Id="rId2169" /><Relationship Type="http://schemas.openxmlformats.org/officeDocument/2006/relationships/hyperlink" Target="https://lannuaire.service-public.gouv.fr/auvergne-rhone-alpes/haute-loire/0599b0d5-64b1-4742-a00d-7795cc5118da" TargetMode="External" Id="rId2170" /><Relationship Type="http://schemas.openxmlformats.org/officeDocument/2006/relationships/hyperlink" Target="mailto:accueil@brioudesudauvergne.fr" TargetMode="External" Id="rId2171" /><Relationship Type="http://schemas.openxmlformats.org/officeDocument/2006/relationships/hyperlink" Target="https://www.cc-brivadois.fr/" TargetMode="External" Id="rId2172" /><Relationship Type="http://schemas.openxmlformats.org/officeDocument/2006/relationships/hyperlink" Target="https://lannuaire.service-public.gouv.fr/auvergne-rhone-alpes/haute-loire/de712671-35bb-4119-ba82-17e4180e0a2c" TargetMode="External" Id="rId2173" /><Relationship Type="http://schemas.openxmlformats.org/officeDocument/2006/relationships/hyperlink" Target="mailto:accueil@hautpaysduvelay.fr" TargetMode="External" Id="rId2174" /><Relationship Type="http://schemas.openxmlformats.org/officeDocument/2006/relationships/hyperlink" Target="https://hautpaysduvelay-communaute.fr/" TargetMode="External" Id="rId2175" /><Relationship Type="http://schemas.openxmlformats.org/officeDocument/2006/relationships/hyperlink" Target="https://hautpaysduvelay-communaute.fr/contact/" TargetMode="External" Id="rId2176" /><Relationship Type="http://schemas.openxmlformats.org/officeDocument/2006/relationships/hyperlink" Target="https://lannuaire.service-public.gouv.fr/auvergne-rhone-alpes/haute-loire/fd7b9ee7-d62a-49cc-9520-b8a2e13bc530" TargetMode="External" Id="rId2177" /><Relationship Type="http://schemas.openxmlformats.org/officeDocument/2006/relationships/hyperlink" Target="mailto:accueil@loire-semene.fr" TargetMode="External" Id="rId2178" /><Relationship Type="http://schemas.openxmlformats.org/officeDocument/2006/relationships/hyperlink" Target="https://loire-semene.fr/" TargetMode="External" Id="rId2179" /><Relationship Type="http://schemas.openxmlformats.org/officeDocument/2006/relationships/hyperlink" Target="https://loire-semene.fr/contact/" TargetMode="External" Id="rId2180" /><Relationship Type="http://schemas.openxmlformats.org/officeDocument/2006/relationships/hyperlink" Target="https://lannuaire.service-public.gouv.fr/auvergne-rhone-alpes/haute-loire/2efa5cc7-f0d5-4ad0-ba9d-de02d29a52eb" TargetMode="External" Id="rId2181" /><Relationship Type="http://schemas.openxmlformats.org/officeDocument/2006/relationships/hyperlink" Target="mailto:contact@marchesduvelayrochebaron.fr" TargetMode="External" Id="rId2182" /><Relationship Type="http://schemas.openxmlformats.org/officeDocument/2006/relationships/hyperlink" Target="https://www.marchesduvelayrochebaron.fr/" TargetMode="External" Id="rId2183" /><Relationship Type="http://schemas.openxmlformats.org/officeDocument/2006/relationships/hyperlink" Target="https://www.marchesduvelayrochebaron.fr/contact/" TargetMode="External" Id="rId2184" /><Relationship Type="http://schemas.openxmlformats.org/officeDocument/2006/relationships/hyperlink" Target="https://lannuaire.service-public.gouv.fr/auvergne-rhone-alpes/haute-loire/29e3b0d7-373b-4007-a42d-3cffff32a256" TargetMode="External" Id="rId2185" /><Relationship Type="http://schemas.openxmlformats.org/officeDocument/2006/relationships/hyperlink" Target="mailto:contact@mezencloiremeygal.fr" TargetMode="External" Id="rId2186" /><Relationship Type="http://schemas.openxmlformats.org/officeDocument/2006/relationships/hyperlink" Target="https://www.mezencloiremeygal.fr" TargetMode="External" Id="rId2187" /><Relationship Type="http://schemas.openxmlformats.org/officeDocument/2006/relationships/hyperlink" Target="https://lannuaire.service-public.gouv.fr/auvergne-rhone-alpes/haute-loire/de7acbc9-b1dd-44e1-9aeb-25954f431e80" TargetMode="External" Id="rId2188" /><Relationship Type="http://schemas.openxmlformats.org/officeDocument/2006/relationships/hyperlink" Target="mailto:contact@ccpcp.fr" TargetMode="External" Id="rId2189" /><Relationship Type="http://schemas.openxmlformats.org/officeDocument/2006/relationships/hyperlink" Target="https://www.ccpcp.fr/" TargetMode="External" Id="rId2190" /><Relationship Type="http://schemas.openxmlformats.org/officeDocument/2006/relationships/hyperlink" Target="https://www.ccpcp.fr/nous-contacter/" TargetMode="External" Id="rId2191" /><Relationship Type="http://schemas.openxmlformats.org/officeDocument/2006/relationships/hyperlink" Target="https://lannuaire.service-public.gouv.fr/auvergne-rhone-alpes/haute-loire/2f5c0f05-1bfd-46d5-b2fd-f1343cb83a4b" TargetMode="External" Id="rId2192" /><Relationship Type="http://schemas.openxmlformats.org/officeDocument/2006/relationships/hyperlink" Target="mailto:cc@rivesduhautallier.fr" TargetMode="External" Id="rId2193" /><Relationship Type="http://schemas.openxmlformats.org/officeDocument/2006/relationships/hyperlink" Target="https://www.rivesduhautallier.fr/" TargetMode="External" Id="rId2194" /><Relationship Type="http://schemas.openxmlformats.org/officeDocument/2006/relationships/hyperlink" Target="https://www.rivesduhautallier.fr/" TargetMode="External" Id="rId2195" /><Relationship Type="http://schemas.openxmlformats.org/officeDocument/2006/relationships/hyperlink" Target="https://lannuaire.service-public.gouv.fr/auvergne-rhone-alpes/haute-loire/2b4dd47f-cd8e-4ed8-89dd-af7c76cef38a" TargetMode="External" Id="rId2196" /><Relationship Type="http://schemas.openxmlformats.org/officeDocument/2006/relationships/hyperlink" Target="mailto:contact@cc-des-sucs.fr" TargetMode="External" Id="rId2197" /><Relationship Type="http://schemas.openxmlformats.org/officeDocument/2006/relationships/hyperlink" Target="https://www.cc-des-sucs.fr/" TargetMode="External" Id="rId2198" /><Relationship Type="http://schemas.openxmlformats.org/officeDocument/2006/relationships/hyperlink" Target="https://www.cc-des-sucs.fr/contact/" TargetMode="External" Id="rId2199" /><Relationship Type="http://schemas.openxmlformats.org/officeDocument/2006/relationships/hyperlink" Target="https://lannuaire.service-public.gouv.fr/auvergne-rhone-alpes/haute-loire/71cead4b-b2c2-4bd1-9938-7fa6daf0cd1c" TargetMode="External" Id="rId2200" /><Relationship Type="http://schemas.openxmlformats.org/officeDocument/2006/relationships/hyperlink" Target="mailto:cc.hautlignon@wanadoo.fr" TargetMode="External" Id="rId2201" /><Relationship Type="http://schemas.openxmlformats.org/officeDocument/2006/relationships/hyperlink" Target="https://www.cc-hautlignon.fr/" TargetMode="External" Id="rId2202" /><Relationship Type="http://schemas.openxmlformats.org/officeDocument/2006/relationships/hyperlink" Target="https://www.cc-hautlignon.fr/pages/site/contact/" TargetMode="External" Id="rId2203" /><Relationship Type="http://schemas.openxmlformats.org/officeDocument/2006/relationships/hyperlink" Target="https://lannuaire.service-public.gouv.fr/auvergne-rhone-alpes/haute-loire/50f9ed2f-39ff-4959-8954-482beaf753a9" TargetMode="External" Id="rId2204" /><Relationship Type="http://schemas.openxmlformats.org/officeDocument/2006/relationships/hyperlink" Target="mailto:accueil@clissonsevremaine.fr" TargetMode="External" Id="rId2205" /><Relationship Type="http://schemas.openxmlformats.org/officeDocument/2006/relationships/hyperlink" Target="https://www.clissonsevremaine.fr/" TargetMode="External" Id="rId2206" /><Relationship Type="http://schemas.openxmlformats.org/officeDocument/2006/relationships/hyperlink" Target="https://mesdemarches.clissonsevremaine.fr/contacter-l-agglo/contacter-clisson-sevre-et-maine-agglo/" TargetMode="External" Id="rId2207" /><Relationship Type="http://schemas.openxmlformats.org/officeDocument/2006/relationships/hyperlink" Target="https://lannuaire.service-public.gouv.fr/pays-de-la-loire/loire-atlantique/6c315f8c-c3a7-4370-aba6-e919252dad10" TargetMode="External" Id="rId2208" /><Relationship Type="http://schemas.openxmlformats.org/officeDocument/2006/relationships/hyperlink" Target="mailto:contact@pornicagglo.fr" TargetMode="External" Id="rId2209" /><Relationship Type="http://schemas.openxmlformats.org/officeDocument/2006/relationships/hyperlink" Target="https://www.pornicagglo.fr/" TargetMode="External" Id="rId2210" /><Relationship Type="http://schemas.openxmlformats.org/officeDocument/2006/relationships/hyperlink" Target="https://www.pornicagglo.fr/contact/" TargetMode="External" Id="rId2211" /><Relationship Type="http://schemas.openxmlformats.org/officeDocument/2006/relationships/hyperlink" Target="https://lannuaire.service-public.gouv.fr/pays-de-la-loire/loire-atlantique/631ce663-3dbf-4eda-84d4-2621a81348e9" TargetMode="External" Id="rId2212" /><Relationship Type="http://schemas.openxmlformats.org/officeDocument/2006/relationships/hyperlink" Target="mailto:carene@saintnazaireagglo.fr" TargetMode="External" Id="rId2213" /><Relationship Type="http://schemas.openxmlformats.org/officeDocument/2006/relationships/hyperlink" Target="https://www.saintnazaireagglo.fr/" TargetMode="External" Id="rId2214" /><Relationship Type="http://schemas.openxmlformats.org/officeDocument/2006/relationships/hyperlink" Target="https://www.saintnazaireagglo.fr/liens-utiles/contact" TargetMode="External" Id="rId2215" /><Relationship Type="http://schemas.openxmlformats.org/officeDocument/2006/relationships/hyperlink" Target="https://lannuaire.service-public.gouv.fr/pays-de-la-loire/loire-atlantique/e8062953-63b3-4e4d-af59-c72c0fee0c7b" TargetMode="External" Id="rId2216" /><Relationship Type="http://schemas.openxmlformats.org/officeDocument/2006/relationships/hyperlink" Target="mailto:accueil@cc-chateaubriant-derval.fr" TargetMode="External" Id="rId2217" /><Relationship Type="http://schemas.openxmlformats.org/officeDocument/2006/relationships/hyperlink" Target="https://www.cc-chateaubriant-derval.fr/" TargetMode="External" Id="rId2218" /><Relationship Type="http://schemas.openxmlformats.org/officeDocument/2006/relationships/hyperlink" Target="https://www.cc-chateaubriant-derval.fr/nous-contacter/" TargetMode="External" Id="rId2219" /><Relationship Type="http://schemas.openxmlformats.org/officeDocument/2006/relationships/hyperlink" Target="https://lannuaire.service-public.gouv.fr/pays-de-la-loire/loire-atlantique/ba69ec86-a06d-442b-bfdd-bd9bf934a98a" TargetMode="External" Id="rId2220" /><Relationship Type="http://schemas.openxmlformats.org/officeDocument/2006/relationships/hyperlink" Target="mailto:communaute@estuaire-sillon.fr" TargetMode="External" Id="rId2221" /><Relationship Type="http://schemas.openxmlformats.org/officeDocument/2006/relationships/hyperlink" Target="https://www.estuaire-sillon.fr/" TargetMode="External" Id="rId2222" /><Relationship Type="http://schemas.openxmlformats.org/officeDocument/2006/relationships/hyperlink" Target="https://www.estuaire-sillon.fr/nous-contacter-9.html" TargetMode="External" Id="rId2223" /><Relationship Type="http://schemas.openxmlformats.org/officeDocument/2006/relationships/hyperlink" Target="https://lannuaire.service-public.gouv.fr/pays-de-la-loire/loire-atlantique/6c019e24-4f59-4cbc-9280-b94998c3a2bc" TargetMode="External" Id="rId2224" /><Relationship Type="http://schemas.openxmlformats.org/officeDocument/2006/relationships/hyperlink" Target="mailto:grandlieu@grandlieu.fr" TargetMode="External" Id="rId2225" /><Relationship Type="http://schemas.openxmlformats.org/officeDocument/2006/relationships/hyperlink" Target="https://www.grandlieu.fr/" TargetMode="External" Id="rId2226" /><Relationship Type="http://schemas.openxmlformats.org/officeDocument/2006/relationships/hyperlink" Target="https://lannuaire.service-public.gouv.fr/pays-de-la-loire/loire-atlantique/020578c8-e284-44af-bb35-44054bd624cc" TargetMode="External" Id="rId2227" /><Relationship Type="http://schemas.openxmlformats.org/officeDocument/2006/relationships/hyperlink" Target="mailto:contact@ccsudretzatlantique.fr" TargetMode="External" Id="rId2228" /><Relationship Type="http://schemas.openxmlformats.org/officeDocument/2006/relationships/hyperlink" Target="https://www.sud-retz-atlantique.fr/" TargetMode="External" Id="rId2229" /><Relationship Type="http://schemas.openxmlformats.org/officeDocument/2006/relationships/hyperlink" Target="https://www.sud-retz-atlantique.fr/sud-retz-atlantique-communaute-de-communes-sra-contact/" TargetMode="External" Id="rId2230" /><Relationship Type="http://schemas.openxmlformats.org/officeDocument/2006/relationships/hyperlink" Target="https://lannuaire.service-public.gouv.fr/pays-de-la-loire/loire-atlantique/2baeef5a-eb65-4f3b-b057-a4c7dca03ee9" TargetMode="External" Id="rId2231" /><Relationship Type="http://schemas.openxmlformats.org/officeDocument/2006/relationships/hyperlink" Target="mailto:contact@cc-sevreloire.fr" TargetMode="External" Id="rId2232" /><Relationship Type="http://schemas.openxmlformats.org/officeDocument/2006/relationships/hyperlink" Target="https://www.cc-sevreloire.fr/" TargetMode="External" Id="rId2233" /><Relationship Type="http://schemas.openxmlformats.org/officeDocument/2006/relationships/hyperlink" Target="https://interco.cc-sevreloire.fr/contact/" TargetMode="External" Id="rId2234" /><Relationship Type="http://schemas.openxmlformats.org/officeDocument/2006/relationships/hyperlink" Target="https://lannuaire.service-public.gouv.fr/pays-de-la-loire/loire-atlantique/c167afc5-780e-496c-a2a2-5383c3dc34c5" TargetMode="External" Id="rId2235" /><Relationship Type="http://schemas.openxmlformats.org/officeDocument/2006/relationships/hyperlink" Target="mailto:contact@cceg.fr" TargetMode="External" Id="rId2236" /><Relationship Type="http://schemas.openxmlformats.org/officeDocument/2006/relationships/hyperlink" Target="https://www.cceg.fr/" TargetMode="External" Id="rId2237" /><Relationship Type="http://schemas.openxmlformats.org/officeDocument/2006/relationships/hyperlink" Target="https://www.cceg.fr/informations-pratiques/contact" TargetMode="External" Id="rId2238" /><Relationship Type="http://schemas.openxmlformats.org/officeDocument/2006/relationships/hyperlink" Target="https://lannuaire.service-public.gouv.fr/pays-de-la-loire/loire-atlantique/5f782c25-fb66-4605-83ea-7bcc10a4b394" TargetMode="External" Id="rId2239" /><Relationship Type="http://schemas.openxmlformats.org/officeDocument/2006/relationships/hyperlink" Target="mailto:accueil@cc-nozay.fr" TargetMode="External" Id="rId2240" /><Relationship Type="http://schemas.openxmlformats.org/officeDocument/2006/relationships/hyperlink" Target="https://www.cc-nozay.fr/" TargetMode="External" Id="rId2241" /><Relationship Type="http://schemas.openxmlformats.org/officeDocument/2006/relationships/hyperlink" Target="https://www.cc-nozay.fr/systeme/contact/" TargetMode="External" Id="rId2242" /><Relationship Type="http://schemas.openxmlformats.org/officeDocument/2006/relationships/hyperlink" Target="https://lannuaire.service-public.gouv.fr/pays-de-la-loire/loire-atlantique/21af4b1b-3ed3-4194-834b-62962dc1591b" TargetMode="External" Id="rId2243" /><Relationship Type="http://schemas.openxmlformats.org/officeDocument/2006/relationships/hyperlink" Target="mailto:accueil@paysdeblain.fr" TargetMode="External" Id="rId2244" /><Relationship Type="http://schemas.openxmlformats.org/officeDocument/2006/relationships/hyperlink" Target="https://www.pays-de-blain.com/" TargetMode="External" Id="rId2245" /><Relationship Type="http://schemas.openxmlformats.org/officeDocument/2006/relationships/hyperlink" Target="https://www.pays-de-blain.com/contact/" TargetMode="External" Id="rId2246" /><Relationship Type="http://schemas.openxmlformats.org/officeDocument/2006/relationships/hyperlink" Target="https://lannuaire.service-public.gouv.fr/pays-de-la-loire/loire-atlantique/231e2c6a-ce58-492c-8c0f-672f0c954d9e" TargetMode="External" Id="rId2247" /><Relationship Type="http://schemas.openxmlformats.org/officeDocument/2006/relationships/hyperlink" Target="mailto:accueil@cc-paysdepontchateau.fr" TargetMode="External" Id="rId2248" /><Relationship Type="http://schemas.openxmlformats.org/officeDocument/2006/relationships/hyperlink" Target="https://www.cc-paysdepontchateau.fr/" TargetMode="External" Id="rId2249" /><Relationship Type="http://schemas.openxmlformats.org/officeDocument/2006/relationships/hyperlink" Target="https://www.cc-paysdepontchateau.fr/systeme/contact/" TargetMode="External" Id="rId2250" /><Relationship Type="http://schemas.openxmlformats.org/officeDocument/2006/relationships/hyperlink" Target="https://lannuaire.service-public.gouv.fr/pays-de-la-loire/loire-atlantique/ef45cd0d-d5e6-480c-bf24-277f9b6d350c" TargetMode="External" Id="rId2251" /><Relationship Type="http://schemas.openxmlformats.org/officeDocument/2006/relationships/hyperlink" Target="mailto:info@cc-sudestuaire.fr" TargetMode="External" Id="rId2252" /><Relationship Type="http://schemas.openxmlformats.org/officeDocument/2006/relationships/hyperlink" Target="http://www.cc-sudestuaire.fr" TargetMode="External" Id="rId2253" /><Relationship Type="http://schemas.openxmlformats.org/officeDocument/2006/relationships/hyperlink" Target="http://www.cc-sudestuaire.fr/contact/" TargetMode="External" Id="rId2254" /><Relationship Type="http://schemas.openxmlformats.org/officeDocument/2006/relationships/hyperlink" Target="https://lannuaire.service-public.gouv.fr/pays-de-la-loire/loire-atlantique/b67892c3-e85e-4bbc-9f71-1219248ac078" TargetMode="External" Id="rId2255" /><Relationship Type="http://schemas.openxmlformats.org/officeDocument/2006/relationships/hyperlink" Target="mailto:contact@nantesmetropole.fr" TargetMode="External" Id="rId2256" /><Relationship Type="http://schemas.openxmlformats.org/officeDocument/2006/relationships/hyperlink" Target="https://metropole.nantes.fr/" TargetMode="External" Id="rId2257" /><Relationship Type="http://schemas.openxmlformats.org/officeDocument/2006/relationships/hyperlink" Target="https://lannuaire.service-public.gouv.fr/pays-de-la-loire/loire-atlantique/56df4149-fe3e-4d1a-aaca-1598242d175c" TargetMode="External" Id="rId2258" /><Relationship Type="http://schemas.openxmlformats.org/officeDocument/2006/relationships/hyperlink" Target="mailto:compa@pays-ancenis.com" TargetMode="External" Id="rId2259" /><Relationship Type="http://schemas.openxmlformats.org/officeDocument/2006/relationships/hyperlink" Target="https://www.pays-ancenis.com/" TargetMode="External" Id="rId2260" /><Relationship Type="http://schemas.openxmlformats.org/officeDocument/2006/relationships/hyperlink" Target="https://www.pays-ancenis.com/formulaires/formulaire-de-contact-compa" TargetMode="External" Id="rId2261" /><Relationship Type="http://schemas.openxmlformats.org/officeDocument/2006/relationships/hyperlink" Target="https://lannuaire.service-public.gouv.fr/pays-de-la-loire/loire-atlantique/ee1d6428-34c7-469f-9b68-afccfaa503ba" TargetMode="External" Id="rId2262" /><Relationship Type="http://schemas.openxmlformats.org/officeDocument/2006/relationships/hyperlink" Target="mailto:accueil@cap-atlantique.fr" TargetMode="External" Id="rId2263" /><Relationship Type="http://schemas.openxmlformats.org/officeDocument/2006/relationships/hyperlink" Target="https://www.cap-atlantique.fr/" TargetMode="External" Id="rId2264" /><Relationship Type="http://schemas.openxmlformats.org/officeDocument/2006/relationships/hyperlink" Target="https://formulaires.mesdemarches.cap-atlantique.fr/une-infos-une-remarque-une-idee/contact/" TargetMode="External" Id="rId2265" /><Relationship Type="http://schemas.openxmlformats.org/officeDocument/2006/relationships/hyperlink" Target="https://lannuaire.service-public.gouv.fr/pays-de-la-loire/loire-atlantique/5aa1713e-38e7-489d-bcd3-7e8c9e547225" TargetMode="External" Id="rId2266" /><Relationship Type="http://schemas.openxmlformats.org/officeDocument/2006/relationships/hyperlink" Target="mailto:contact@agglo-montargoise.fr" TargetMode="External" Id="rId2267" /><Relationship Type="http://schemas.openxmlformats.org/officeDocument/2006/relationships/hyperlink" Target="https://www.agglo-montargoise.fr" TargetMode="External" Id="rId2268" /><Relationship Type="http://schemas.openxmlformats.org/officeDocument/2006/relationships/hyperlink" Target="https://lannuaire.service-public.gouv.fr/centre-val-de-loire/loiret/37f4e54c-54a9-4b47-a056-5f7edb3712b4" TargetMode="External" Id="rId2269" /><Relationship Type="http://schemas.openxmlformats.org/officeDocument/2006/relationships/hyperlink" Target="mailto:contact@cc-berryloirepuisaye.fr" TargetMode="External" Id="rId2270" /><Relationship Type="http://schemas.openxmlformats.org/officeDocument/2006/relationships/hyperlink" Target="https://cc-berryloirepuisaye.fr/fr/" TargetMode="External" Id="rId2271" /><Relationship Type="http://schemas.openxmlformats.org/officeDocument/2006/relationships/hyperlink" Target="https://cc-berryloirepuisaye.fr/fr/" TargetMode="External" Id="rId2272" /><Relationship Type="http://schemas.openxmlformats.org/officeDocument/2006/relationships/hyperlink" Target="https://lannuaire.service-public.gouv.fr/centre-val-de-loire/loiret/50a3d8c1-3477-48b3-9af2-9c55b5902194" TargetMode="External" Id="rId2273" /><Relationship Type="http://schemas.openxmlformats.org/officeDocument/2006/relationships/hyperlink" Target="mailto:accueil@comcomcfg.fr" TargetMode="External" Id="rId2274" /><Relationship Type="http://schemas.openxmlformats.org/officeDocument/2006/relationships/hyperlink" Target="https://www.comcomcfg.fr/" TargetMode="External" Id="rId2275" /><Relationship Type="http://schemas.openxmlformats.org/officeDocument/2006/relationships/hyperlink" Target="https://www.comcomcfg.fr/communaute-communes-cfg-contact-acces_fr.html" TargetMode="External" Id="rId2276" /><Relationship Type="http://schemas.openxmlformats.org/officeDocument/2006/relationships/hyperlink" Target="https://lannuaire.service-public.gouv.fr/centre-val-de-loire/loiret/2fd36bdf-ac79-4781-8189-0f4ab0aaa1b1" TargetMode="External" Id="rId2277" /><Relationship Type="http://schemas.openxmlformats.org/officeDocument/2006/relationships/hyperlink" Target="mailto:direction@cc-giennoises.fr" TargetMode="External" Id="rId2278" /><Relationship Type="http://schemas.openxmlformats.org/officeDocument/2006/relationships/hyperlink" Target="https://www.legiennois.fr/" TargetMode="External" Id="rId2279" /><Relationship Type="http://schemas.openxmlformats.org/officeDocument/2006/relationships/hyperlink" Target="https://www.cc-giennoises.fr/contact/" TargetMode="External" Id="rId2280" /><Relationship Type="http://schemas.openxmlformats.org/officeDocument/2006/relationships/hyperlink" Target="https://lannuaire.service-public.gouv.fr/centre-val-de-loire/loiret/715aa30c-67fd-4348-9016-46d19cd1e5d9" TargetMode="External" Id="rId2281" /><Relationship Type="http://schemas.openxmlformats.org/officeDocument/2006/relationships/hyperlink" Target="mailto:contact@cc-beauceloiretaine.fr" TargetMode="External" Id="rId2282" /><Relationship Type="http://schemas.openxmlformats.org/officeDocument/2006/relationships/hyperlink" Target="https://www.cc-beauceloiretaine.fr/" TargetMode="External" Id="rId2283" /><Relationship Type="http://schemas.openxmlformats.org/officeDocument/2006/relationships/hyperlink" Target="https://www.cc-beauceloiretaine.fr/systeme/nous-contacter/" TargetMode="External" Id="rId2284" /><Relationship Type="http://schemas.openxmlformats.org/officeDocument/2006/relationships/hyperlink" Target="https://lannuaire.service-public.gouv.fr/centre-val-de-loire/loiret/1e0f58ad-6231-49a5-b7e0-e4202dcbcee7" TargetMode="External" Id="rId2285" /><Relationship Type="http://schemas.openxmlformats.org/officeDocument/2006/relationships/hyperlink" Target="mailto:contact@cc-foret.fr" TargetMode="External" Id="rId2286" /><Relationship Type="http://schemas.openxmlformats.org/officeDocument/2006/relationships/hyperlink" Target="https://www.cc-foret.fr/" TargetMode="External" Id="rId2287" /><Relationship Type="http://schemas.openxmlformats.org/officeDocument/2006/relationships/hyperlink" Target="https://lannuaire.service-public.gouv.fr/centre-val-de-loire/loiret/fab2e052-a94f-4590-b98c-06ff6d37cf01" TargetMode="External" Id="rId2288" /><Relationship Type="http://schemas.openxmlformats.org/officeDocument/2006/relationships/hyperlink" Target="mailto:accueil@cc-plaine-nord-loiret.fr" TargetMode="External" Id="rId2289" /><Relationship Type="http://schemas.openxmlformats.org/officeDocument/2006/relationships/hyperlink" Target="https://cc-plaine-nord-loiret.fr/" TargetMode="External" Id="rId2290" /><Relationship Type="http://schemas.openxmlformats.org/officeDocument/2006/relationships/hyperlink" Target="https://lannuaire.service-public.gouv.fr/centre-val-de-loire/loiret/93e3d19d-4255-441d-bf45-1348d23f6216" TargetMode="External" Id="rId2291" /><Relationship Type="http://schemas.openxmlformats.org/officeDocument/2006/relationships/hyperlink" Target="mailto:secretariat@cc-loges.fr" TargetMode="External" Id="rId2292" /><Relationship Type="http://schemas.openxmlformats.org/officeDocument/2006/relationships/hyperlink" Target="https://www.cc-loges.fr/" TargetMode="External" Id="rId2293" /><Relationship Type="http://schemas.openxmlformats.org/officeDocument/2006/relationships/hyperlink" Target="https://www.cc-loges.fr/systeme/nous-contacter/" TargetMode="External" Id="rId2294" /><Relationship Type="http://schemas.openxmlformats.org/officeDocument/2006/relationships/hyperlink" Target="https://lannuaire.service-public.gouv.fr/centre-val-de-loire/loiret/a3767d4d-7666-4c6a-bbd8-4728297ef8d8" TargetMode="External" Id="rId2295" /><Relationship Type="http://schemas.openxmlformats.org/officeDocument/2006/relationships/hyperlink" Target="mailto:ccps@ccportesdesologne.fr" TargetMode="External" Id="rId2296" /><Relationship Type="http://schemas.openxmlformats.org/officeDocument/2006/relationships/hyperlink" Target="https://www.ccportesdesologne.fr" TargetMode="External" Id="rId2297" /><Relationship Type="http://schemas.openxmlformats.org/officeDocument/2006/relationships/hyperlink" Target="https://www.ccportesdesologne.fr/nous-contacter/" TargetMode="External" Id="rId2298" /><Relationship Type="http://schemas.openxmlformats.org/officeDocument/2006/relationships/hyperlink" Target="https://lannuaire.service-public.gouv.fr/centre-val-de-loire/loiret/33558b18-417f-41af-978a-81911a2c8a11" TargetMode="External" Id="rId2299" /><Relationship Type="http://schemas.openxmlformats.org/officeDocument/2006/relationships/hyperlink" Target="mailto:secretariatcc4v@cc4v.fr" TargetMode="External" Id="rId2300" /><Relationship Type="http://schemas.openxmlformats.org/officeDocument/2006/relationships/hyperlink" Target="https://www.cc4v.fr/" TargetMode="External" Id="rId2301" /><Relationship Type="http://schemas.openxmlformats.org/officeDocument/2006/relationships/hyperlink" Target="https://www.cc4v.fr/contactez-nous" TargetMode="External" Id="rId2302" /><Relationship Type="http://schemas.openxmlformats.org/officeDocument/2006/relationships/hyperlink" Target="https://lannuaire.service-public.gouv.fr/centre-val-de-loire/loiret/842534ea-55e1-4d40-9d67-b8beeb6944e6" TargetMode="External" Id="rId2303" /><Relationship Type="http://schemas.openxmlformats.org/officeDocument/2006/relationships/hyperlink" Target="mailto:accueil@ccdp.fr" TargetMode="External" Id="rId2304" /><Relationship Type="http://schemas.openxmlformats.org/officeDocument/2006/relationships/hyperlink" Target="https://www.ccdp.fr/" TargetMode="External" Id="rId2305" /><Relationship Type="http://schemas.openxmlformats.org/officeDocument/2006/relationships/hyperlink" Target="https://www.ccdp.fr/systeme/nous-contacter/" TargetMode="External" Id="rId2306" /><Relationship Type="http://schemas.openxmlformats.org/officeDocument/2006/relationships/hyperlink" Target="https://lannuaire.service-public.gouv.fr/centre-val-de-loire/loiret/9da445e5-9bf3-4785-a0c2-872039854cce" TargetMode="External" Id="rId2307" /><Relationship Type="http://schemas.openxmlformats.org/officeDocument/2006/relationships/hyperlink" Target="mailto:accueil.beaunois@pithiveraisgatinais.fr" TargetMode="External" Id="rId2308" /><Relationship Type="http://schemas.openxmlformats.org/officeDocument/2006/relationships/hyperlink" Target="https://www.pithiveraisgatinais.fr/" TargetMode="External" Id="rId2309" /><Relationship Type="http://schemas.openxmlformats.org/officeDocument/2006/relationships/hyperlink" Target="https://www.pithiveraisgatinais.fr/nous-contacter/" TargetMode="External" Id="rId2310" /><Relationship Type="http://schemas.openxmlformats.org/officeDocument/2006/relationships/hyperlink" Target="https://lannuaire.service-public.gouv.fr/centre-val-de-loire/loiret/97726be2-fe54-4048-8ac2-90d34977d916" TargetMode="External" Id="rId2311" /><Relationship Type="http://schemas.openxmlformats.org/officeDocument/2006/relationships/hyperlink" Target="mailto:accueil@valdesully.fr" TargetMode="External" Id="rId2312" /><Relationship Type="http://schemas.openxmlformats.org/officeDocument/2006/relationships/hyperlink" Target="https://valdesully.fr/" TargetMode="External" Id="rId2313" /><Relationship Type="http://schemas.openxmlformats.org/officeDocument/2006/relationships/hyperlink" Target="https://valdesully.fr/contact" TargetMode="External" Id="rId2314" /><Relationship Type="http://schemas.openxmlformats.org/officeDocument/2006/relationships/hyperlink" Target="https://lannuaire.service-public.gouv.fr/centre-val-de-loire/loiret/268be038-b2bf-4d16-ba64-fe0fb41bba11" TargetMode="External" Id="rId2315" /><Relationship Type="http://schemas.openxmlformats.org/officeDocument/2006/relationships/hyperlink" Target="mailto:info@orleans-metropole.fr" TargetMode="External" Id="rId2316" /><Relationship Type="http://schemas.openxmlformats.org/officeDocument/2006/relationships/hyperlink" Target="https://www.orleans-metropole.fr/" TargetMode="External" Id="rId2317" /><Relationship Type="http://schemas.openxmlformats.org/officeDocument/2006/relationships/hyperlink" Target="https://www.orleans-metropole.fr/contact" TargetMode="External" Id="rId2318" /><Relationship Type="http://schemas.openxmlformats.org/officeDocument/2006/relationships/hyperlink" Target="https://lannuaire.service-public.gouv.fr/centre-val-de-loire/loiret/f3ad88f1-9969-49dd-993b-1881d0defb50" TargetMode="External" Id="rId2319" /><Relationship Type="http://schemas.openxmlformats.org/officeDocument/2006/relationships/hyperlink" Target="mailto:accueil@3cbo.fr" TargetMode="External" Id="rId2320" /><Relationship Type="http://schemas.openxmlformats.org/officeDocument/2006/relationships/hyperlink" Target="https://www.3cbo.fr/" TargetMode="External" Id="rId2321" /><Relationship Type="http://schemas.openxmlformats.org/officeDocument/2006/relationships/hyperlink" Target="https://www.3cbo.fr/contact/" TargetMode="External" Id="rId2322" /><Relationship Type="http://schemas.openxmlformats.org/officeDocument/2006/relationships/hyperlink" Target="https://lannuaire.service-public.gouv.fr/centre-val-de-loire/loiret/d7afa4b9-2de1-452a-9730-55a77b34c139" TargetMode="External" Id="rId2323" /><Relationship Type="http://schemas.openxmlformats.org/officeDocument/2006/relationships/hyperlink" Target="mailto:communication@mairie-cahors.fr" TargetMode="External" Id="rId2324" /><Relationship Type="http://schemas.openxmlformats.org/officeDocument/2006/relationships/hyperlink" Target="https://cahorsagglo.fr/" TargetMode="External" Id="rId2325" /><Relationship Type="http://schemas.openxmlformats.org/officeDocument/2006/relationships/hyperlink" Target="https://cahorsagglo.fr/contact-0" TargetMode="External" Id="rId2326" /><Relationship Type="http://schemas.openxmlformats.org/officeDocument/2006/relationships/hyperlink" Target="https://lannuaire.service-public.gouv.fr/occitanie/lot/d9599850-0b16-4ff2-a765-5676cbecdc9d" TargetMode="External" Id="rId2327" /><Relationship Type="http://schemas.openxmlformats.org/officeDocument/2006/relationships/hyperlink" Target="mailto:contact@cauvaldor.fr" TargetMode="External" Id="rId2328" /><Relationship Type="http://schemas.openxmlformats.org/officeDocument/2006/relationships/hyperlink" Target="https://www.cauvaldor.fr/" TargetMode="External" Id="rId2329" /><Relationship Type="http://schemas.openxmlformats.org/officeDocument/2006/relationships/hyperlink" Target="https://lannuaire.service-public.gouv.fr/occitanie/lot/4934c59d-9a8f-44de-8b13-ec71033348c9" TargetMode="External" Id="rId2330" /><Relationship Type="http://schemas.openxmlformats.org/officeDocument/2006/relationships/hyperlink" Target="mailto:accueil@cc-cazalssalviac.fr" TargetMode="External" Id="rId2331" /><Relationship Type="http://schemas.openxmlformats.org/officeDocument/2006/relationships/hyperlink" Target="https://www.cc-cazalssalviac.fr/" TargetMode="External" Id="rId2332" /><Relationship Type="http://schemas.openxmlformats.org/officeDocument/2006/relationships/hyperlink" Target="https://www.cc-cazalssalviac.fr/pied-de-page/contact" TargetMode="External" Id="rId2333" /><Relationship Type="http://schemas.openxmlformats.org/officeDocument/2006/relationships/hyperlink" Target="https://lannuaire.service-public.gouv.fr/occitanie/lot/4fb3e530-d953-455c-ad5d-67468bb53d09" TargetMode="External" Id="rId2334" /><Relationship Type="http://schemas.openxmlformats.org/officeDocument/2006/relationships/hyperlink" Target="mailto:contact@ccqb.fr" TargetMode="External" Id="rId2335" /><Relationship Type="http://schemas.openxmlformats.org/officeDocument/2006/relationships/hyperlink" Target="https://ccqb.fr/" TargetMode="External" Id="rId2336" /><Relationship Type="http://schemas.openxmlformats.org/officeDocument/2006/relationships/hyperlink" Target="https://ccqb.fr/" TargetMode="External" Id="rId2337" /><Relationship Type="http://schemas.openxmlformats.org/officeDocument/2006/relationships/hyperlink" Target="https://lannuaire.service-public.gouv.fr/occitanie/lot/69c93204-2451-41a4-abc2-5b93606b6973" TargetMode="External" Id="rId2338" /><Relationship Type="http://schemas.openxmlformats.org/officeDocument/2006/relationships/hyperlink" Target="mailto:lot.vignoble@ccvlv.fr" TargetMode="External" Id="rId2339" /><Relationship Type="http://schemas.openxmlformats.org/officeDocument/2006/relationships/hyperlink" Target="http://www.cc-lot-vignoble.fr" TargetMode="External" Id="rId2340" /><Relationship Type="http://schemas.openxmlformats.org/officeDocument/2006/relationships/hyperlink" Target="https://ccvlv.fr/contact/" TargetMode="External" Id="rId2341" /><Relationship Type="http://schemas.openxmlformats.org/officeDocument/2006/relationships/hyperlink" Target="https://lannuaire.service-public.gouv.fr/occitanie/lot/69e0e4c0-0b1e-4917-9dc9-3204ef448676" TargetMode="External" Id="rId2342" /><Relationship Type="http://schemas.openxmlformats.org/officeDocument/2006/relationships/hyperlink" Target="mailto:contact@cc-labastide-murat.fr" TargetMode="External" Id="rId2343" /><Relationship Type="http://schemas.openxmlformats.org/officeDocument/2006/relationships/hyperlink" Target="https://www.cc-labastide-murat.fr/" TargetMode="External" Id="rId2344" /><Relationship Type="http://schemas.openxmlformats.org/officeDocument/2006/relationships/hyperlink" Target="https://lannuaire.service-public.gouv.fr/occitanie/lot/3fbe5157-ee53-4b22-bb46-f7e26ae4c445" TargetMode="External" Id="rId2345" /><Relationship Type="http://schemas.openxmlformats.org/officeDocument/2006/relationships/hyperlink" Target="mailto:contact@ccpll.fr" TargetMode="External" Id="rId2346" /><Relationship Type="http://schemas.openxmlformats.org/officeDocument/2006/relationships/hyperlink" Target="https://www.cc-lalbenque-limogne.fr/" TargetMode="External" Id="rId2347" /><Relationship Type="http://schemas.openxmlformats.org/officeDocument/2006/relationships/hyperlink" Target="https://www.cc-lalbenque-limogne.fr/systeme/nous-contacter/" TargetMode="External" Id="rId2348" /><Relationship Type="http://schemas.openxmlformats.org/officeDocument/2006/relationships/hyperlink" Target="https://lannuaire.service-public.gouv.fr/occitanie/lot/17816680-2186-458b-a0d7-31f1592a6fa3" TargetMode="External" Id="rId2349" /><Relationship Type="http://schemas.openxmlformats.org/officeDocument/2006/relationships/hyperlink" Target="mailto:contact@ccquercyblanc.fr" TargetMode="External" Id="rId2350" /><Relationship Type="http://schemas.openxmlformats.org/officeDocument/2006/relationships/hyperlink" Target="https://www.ccquercyblanc.fr/" TargetMode="External" Id="rId2351" /><Relationship Type="http://schemas.openxmlformats.org/officeDocument/2006/relationships/hyperlink" Target="https://www.ccquercyblanc.fr/contact/" TargetMode="External" Id="rId2352" /><Relationship Type="http://schemas.openxmlformats.org/officeDocument/2006/relationships/hyperlink" Target="https://lannuaire.service-public.gouv.fr/occitanie/lot/c17aac7a-6868-4355-a1a2-65f724a8eef8" TargetMode="External" Id="rId2353" /><Relationship Type="http://schemas.openxmlformats.org/officeDocument/2006/relationships/hyperlink" Target="mailto:espace.accueil@agglo-agen.fr" TargetMode="External" Id="rId2354" /><Relationship Type="http://schemas.openxmlformats.org/officeDocument/2006/relationships/hyperlink" Target="https://www.agglo-agen.net/" TargetMode="External" Id="rId2355" /><Relationship Type="http://schemas.openxmlformats.org/officeDocument/2006/relationships/hyperlink" Target="https://www.agglo-agen.net/contact" TargetMode="External" Id="rId2356" /><Relationship Type="http://schemas.openxmlformats.org/officeDocument/2006/relationships/hyperlink" Target="https://lannuaire.service-public.gouv.fr/nouvelle-aquitaine/lot-et-garonne/1e00284d-7248-4124-8108-6aa98c02d8bf" TargetMode="External" Id="rId2357" /><Relationship Type="http://schemas.openxmlformats.org/officeDocument/2006/relationships/hyperlink" Target="mailto:vga@valdegaronne.fr" TargetMode="External" Id="rId2358" /><Relationship Type="http://schemas.openxmlformats.org/officeDocument/2006/relationships/hyperlink" Target="https://www.vg-agglo.com/" TargetMode="External" Id="rId2359" /><Relationship Type="http://schemas.openxmlformats.org/officeDocument/2006/relationships/hyperlink" Target="https://www.facebook.com/valdegaronneagglo/" TargetMode="External" Id="rId2360" /><Relationship Type="http://schemas.openxmlformats.org/officeDocument/2006/relationships/hyperlink" Target="https://lannuaire.service-public.gouv.fr/nouvelle-aquitaine/lot-et-garonne/a4a02e33-9f63-4f35-9b7b-6ef885bfcf2a" TargetMode="External" Id="rId2361" /><Relationship Type="http://schemas.openxmlformats.org/officeDocument/2006/relationships/hyperlink" Target="mailto:contact@grand-villeneuvois.fr" TargetMode="External" Id="rId2362" /><Relationship Type="http://schemas.openxmlformats.org/officeDocument/2006/relationships/hyperlink" Target="https://www.grand-villeneuvois.fr" TargetMode="External" Id="rId2363" /><Relationship Type="http://schemas.openxmlformats.org/officeDocument/2006/relationships/hyperlink" Target="http://www.grand-villeneuvois.fr/contact.html" TargetMode="External" Id="rId2364" /><Relationship Type="http://schemas.openxmlformats.org/officeDocument/2006/relationships/hyperlink" Target="https://lannuaire.service-public.gouv.fr/nouvelle-aquitaine/lot-et-garonne/1f0cae85-8db2-4151-bde7-966ae220615c" TargetMode="External" Id="rId2365" /><Relationship Type="http://schemas.openxmlformats.org/officeDocument/2006/relationships/hyperlink" Target="mailto:contact@albretcommunaute.fr" TargetMode="External" Id="rId2366" /><Relationship Type="http://schemas.openxmlformats.org/officeDocument/2006/relationships/hyperlink" Target="https://www.albretcommunaute.fr/" TargetMode="External" Id="rId2367" /><Relationship Type="http://schemas.openxmlformats.org/officeDocument/2006/relationships/hyperlink" Target="https://www.albretcommunaute.fr/formulaire-de-contact" TargetMode="External" Id="rId2368" /><Relationship Type="http://schemas.openxmlformats.org/officeDocument/2006/relationships/hyperlink" Target="https://lannuaire.service-public.gouv.fr/nouvelle-aquitaine/lot-et-garonne/a9082f50-d1fe-4b75-8fe1-80f184faa2ba" TargetMode="External" Id="rId2369" /><Relationship Type="http://schemas.openxmlformats.org/officeDocument/2006/relationships/hyperlink" Target="mailto:ccfl@cc-dufumelois.fr" TargetMode="External" Id="rId2370" /><Relationship Type="http://schemas.openxmlformats.org/officeDocument/2006/relationships/hyperlink" Target="https://www.fumelvalleedulot.com/" TargetMode="External" Id="rId2371" /><Relationship Type="http://schemas.openxmlformats.org/officeDocument/2006/relationships/hyperlink" Target="https://lannuaire.service-public.gouv.fr/nouvelle-aquitaine/lot-et-garonne/3516ebbf-7c32-4ff2-bd22-1c6ead929a0c" TargetMode="External" Id="rId2372" /><Relationship Type="http://schemas.openxmlformats.org/officeDocument/2006/relationships/hyperlink" Target="mailto:contact@cclt.fr" TargetMode="External" Id="rId2373" /><Relationship Type="http://schemas.openxmlformats.org/officeDocument/2006/relationships/hyperlink" Target="https://www.lotettolzac.fr" TargetMode="External" Id="rId2374" /><Relationship Type="http://schemas.openxmlformats.org/officeDocument/2006/relationships/hyperlink" Target="https://lannuaire.service-public.gouv.fr/nouvelle-aquitaine/lot-et-garonne/28c07be9-52a3-4ad6-abed-c2ed739b718f" TargetMode="External" Id="rId2375" /><Relationship Type="http://schemas.openxmlformats.org/officeDocument/2006/relationships/hyperlink" Target="mailto:contact@ccbastides47.com" TargetMode="External" Id="rId2376" /><Relationship Type="http://schemas.openxmlformats.org/officeDocument/2006/relationships/hyperlink" Target="https://www.ccbastides47.com/" TargetMode="External" Id="rId2377" /><Relationship Type="http://schemas.openxmlformats.org/officeDocument/2006/relationships/hyperlink" Target="https://www.ccbastides47.com/contact/" TargetMode="External" Id="rId2378" /><Relationship Type="http://schemas.openxmlformats.org/officeDocument/2006/relationships/hyperlink" Target="https://lannuaire.service-public.gouv.fr/nouvelle-aquitaine/lot-et-garonne/7f716937-4ea9-4257-ab6f-c52099b48791" TargetMode="External" Id="rId2379" /><Relationship Type="http://schemas.openxmlformats.org/officeDocument/2006/relationships/hyperlink" Target="mailto:accueil@3clg.fr" TargetMode="External" Id="rId2380" /><Relationship Type="http://schemas.openxmlformats.org/officeDocument/2006/relationships/hyperlink" Target="https://cc-coteaux-landes-gascogne.fr/" TargetMode="External" Id="rId2381" /><Relationship Type="http://schemas.openxmlformats.org/officeDocument/2006/relationships/hyperlink" Target="https://cc-coteaux-landes-gascogne.fr/contact/" TargetMode="External" Id="rId2382" /><Relationship Type="http://schemas.openxmlformats.org/officeDocument/2006/relationships/hyperlink" Target="https://lannuaire.service-public.gouv.fr/nouvelle-aquitaine/lot-et-garonne/4ab09c49-1180-4602-ac46-a318e1377101" TargetMode="External" Id="rId2383" /><Relationship Type="http://schemas.openxmlformats.org/officeDocument/2006/relationships/hyperlink" Target="mailto:secretariat@ccconfluent.fr" TargetMode="External" Id="rId2384" /><Relationship Type="http://schemas.openxmlformats.org/officeDocument/2006/relationships/hyperlink" Target="https://www.communauteduconfluent.com/" TargetMode="External" Id="rId2385" /><Relationship Type="http://schemas.openxmlformats.org/officeDocument/2006/relationships/hyperlink" Target="https://lannuaire.service-public.gouv.fr/nouvelle-aquitaine/lot-et-garonne/7bb866c0-9103-4247-91cd-47f63c7f720a" TargetMode="External" Id="rId2386" /><Relationship Type="http://schemas.openxmlformats.org/officeDocument/2006/relationships/hyperlink" Target="mailto:bienvenue@comdecomduras.fr" TargetMode="External" Id="rId2387" /><Relationship Type="http://schemas.openxmlformats.org/officeDocument/2006/relationships/hyperlink" Target="https://cc-paysdeduras.fr/fr/" TargetMode="External" Id="rId2388" /><Relationship Type="http://schemas.openxmlformats.org/officeDocument/2006/relationships/hyperlink" Target="https://cc-paysdeduras.fr/fr/" TargetMode="External" Id="rId2389" /><Relationship Type="http://schemas.openxmlformats.org/officeDocument/2006/relationships/hyperlink" Target="https://lannuaire.service-public.gouv.fr/nouvelle-aquitaine/lot-et-garonne/2df0cfe5-fa6a-4668-8781-44f7e6c08fd3" TargetMode="External" Id="rId2390" /><Relationship Type="http://schemas.openxmlformats.org/officeDocument/2006/relationships/hyperlink" Target="mailto:communautecommunes@ccpl47.fr" TargetMode="External" Id="rId2391" /><Relationship Type="http://schemas.openxmlformats.org/officeDocument/2006/relationships/hyperlink" Target="https://www.ccpl47.fr/" TargetMode="External" Id="rId2392" /><Relationship Type="http://schemas.openxmlformats.org/officeDocument/2006/relationships/hyperlink" Target="https://www.paysdelauzun.com/contact/" TargetMode="External" Id="rId2393" /><Relationship Type="http://schemas.openxmlformats.org/officeDocument/2006/relationships/hyperlink" Target="https://lannuaire.service-public.gouv.fr/nouvelle-aquitaine/lot-et-garonne/f7684e2d-4807-4116-bf23-7dc4f2002d7d" TargetMode="External" Id="rId2394" /><Relationship Type="http://schemas.openxmlformats.org/officeDocument/2006/relationships/hyperlink" Target="mailto:contact@ccalct.fr" TargetMode="External" Id="rId2395" /><Relationship Type="http://schemas.openxmlformats.org/officeDocument/2006/relationships/hyperlink" Target="https://www.ccalct.fr/" TargetMode="External" Id="rId2396" /><Relationship Type="http://schemas.openxmlformats.org/officeDocument/2006/relationships/hyperlink" Target="https://www.ccalct.fr/contact/" TargetMode="External" Id="rId2397" /><Relationship Type="http://schemas.openxmlformats.org/officeDocument/2006/relationships/hyperlink" Target="https://lannuaire.service-public.gouv.fr/occitanie/lozere/1bcf7552-0ff0-48b5-97fc-4ccfb809c710" TargetMode="External" Id="rId2398" /><Relationship Type="http://schemas.openxmlformats.org/officeDocument/2006/relationships/hyperlink" Target="mailto:directiongenerale@coeurdelozere.fr" TargetMode="External" Id="rId2399" /><Relationship Type="http://schemas.openxmlformats.org/officeDocument/2006/relationships/hyperlink" Target="https://coeurdelozere.fr/" TargetMode="External" Id="rId2400" /><Relationship Type="http://schemas.openxmlformats.org/officeDocument/2006/relationships/hyperlink" Target="https://coeurdelozere.fr/contact/" TargetMode="External" Id="rId2401" /><Relationship Type="http://schemas.openxmlformats.org/officeDocument/2006/relationships/hyperlink" Target="https://lannuaire.service-public.gouv.fr/occitanie/lozere/23d3eb3c-fb47-40bc-9989-731cb765f789" TargetMode="External" Id="rId2402" /><Relationship Type="http://schemas.openxmlformats.org/officeDocument/2006/relationships/hyperlink" Target="mailto:contact@ccgcc48.fr" TargetMode="External" Id="rId2403" /><Relationship Type="http://schemas.openxmlformats.org/officeDocument/2006/relationships/hyperlink" Target="https://www.gorgescaussescevennes.fr/" TargetMode="External" Id="rId2404" /><Relationship Type="http://schemas.openxmlformats.org/officeDocument/2006/relationships/hyperlink" Target="https://www.gorgescaussescevennes.fr/contact-communaute-de-commune-lozere-48_fr.html" TargetMode="External" Id="rId2405" /><Relationship Type="http://schemas.openxmlformats.org/officeDocument/2006/relationships/hyperlink" Target="https://lannuaire.service-public.gouv.fr/occitanie/lozere/c2962cb7-65e0-4004-b519-466e722e2781" TargetMode="External" Id="rId2406" /><Relationship Type="http://schemas.openxmlformats.org/officeDocument/2006/relationships/hyperlink" Target="mailto:accueil@randon-margeride.fr" TargetMode="External" Id="rId2407" /><Relationship Type="http://schemas.openxmlformats.org/officeDocument/2006/relationships/hyperlink" Target="https://www.randonmargeride.fr/" TargetMode="External" Id="rId2408" /><Relationship Type="http://schemas.openxmlformats.org/officeDocument/2006/relationships/hyperlink" Target="https://www.randonmargeride.fr/contact-communaute-de-communes-randon-margeride-48-lozere" TargetMode="External" Id="rId2409" /><Relationship Type="http://schemas.openxmlformats.org/officeDocument/2006/relationships/hyperlink" Target="https://lannuaire.service-public.gouv.fr/occitanie/lozere/8c263608-8c1f-4b18-8478-ba2f0c581689" TargetMode="External" Id="rId2410" /><Relationship Type="http://schemas.openxmlformats.org/officeDocument/2006/relationships/hyperlink" Target="mailto:contact@cevennes-mont-lozere.fr" TargetMode="External" Id="rId2411" /><Relationship Type="http://schemas.openxmlformats.org/officeDocument/2006/relationships/hyperlink" Target="https://www.cevennes-mont-lozere.fr/" TargetMode="External" Id="rId2412" /><Relationship Type="http://schemas.openxmlformats.org/officeDocument/2006/relationships/hyperlink" Target="https://lannuaire.service-public.gouv.fr/occitanie/lozere/92faeeee-1edc-4cea-ad0b-a0ee85aa9b19" TargetMode="External" Id="rId2413" /><Relationship Type="http://schemas.openxmlformats.org/officeDocument/2006/relationships/hyperlink" Target="mailto:ccht48310@gmail.com" TargetMode="External" Id="rId2414" /><Relationship Type="http://schemas.openxmlformats.org/officeDocument/2006/relationships/hyperlink" Target="https://hautes-terres-aubrac.fr/" TargetMode="External" Id="rId2415" /><Relationship Type="http://schemas.openxmlformats.org/officeDocument/2006/relationships/hyperlink" Target="https://hautes-terres-aubrac.fr/contact/" TargetMode="External" Id="rId2416" /><Relationship Type="http://schemas.openxmlformats.org/officeDocument/2006/relationships/hyperlink" Target="https://lannuaire.service-public.gouv.fr/occitanie/lozere/702f230d-75c8-4a57-b143-cf3f2d78bc94" TargetMode="External" Id="rId2417" /><Relationship Type="http://schemas.openxmlformats.org/officeDocument/2006/relationships/hyperlink" Target="mailto:contact@cctama.fr" TargetMode="External" Id="rId2418" /><Relationship Type="http://schemas.openxmlformats.org/officeDocument/2006/relationships/hyperlink" Target="https://www.cctama.fr/" TargetMode="External" Id="rId2419" /><Relationship Type="http://schemas.openxmlformats.org/officeDocument/2006/relationships/hyperlink" Target="https://www.cctama.fr/contact/" TargetMode="External" Id="rId2420" /><Relationship Type="http://schemas.openxmlformats.org/officeDocument/2006/relationships/hyperlink" Target="https://lannuaire.service-public.gouv.fr/occitanie/lozere/3aa1a9a6-e89f-49b7-b496-36cf3f71c65a" TargetMode="External" Id="rId2421" /><Relationship Type="http://schemas.openxmlformats.org/officeDocument/2006/relationships/hyperlink" Target="mailto:accueil@cc-gevaudan.fr" TargetMode="External" Id="rId2422" /><Relationship Type="http://schemas.openxmlformats.org/officeDocument/2006/relationships/hyperlink" Target="https://www.cc-gevaudan.fr/" TargetMode="External" Id="rId2423" /><Relationship Type="http://schemas.openxmlformats.org/officeDocument/2006/relationships/hyperlink" Target="https://www.cc-gevaudan.fr/nous-contacter/" TargetMode="External" Id="rId2424" /><Relationship Type="http://schemas.openxmlformats.org/officeDocument/2006/relationships/hyperlink" Target="https://lannuaire.service-public.gouv.fr/occitanie/lozere/18a8229b-be7f-449c-a1d1-3c9bdc864bde" TargetMode="External" Id="rId2425" /><Relationship Type="http://schemas.openxmlformats.org/officeDocument/2006/relationships/hyperlink" Target="mailto:ccham@ccham-langogne.com" TargetMode="External" Id="rId2426" /><Relationship Type="http://schemas.openxmlformats.org/officeDocument/2006/relationships/hyperlink" Target="https://ccha-langogne.com/" TargetMode="External" Id="rId2427" /><Relationship Type="http://schemas.openxmlformats.org/officeDocument/2006/relationships/hyperlink" Target="https://ccha-langogne.com/contacter-la-ccha/" TargetMode="External" Id="rId2428" /><Relationship Type="http://schemas.openxmlformats.org/officeDocument/2006/relationships/hyperlink" Target="https://lannuaire.service-public.gouv.fr/occitanie/lozere/6da03fa5-cea6-43b4-968b-e85ed9f814ce" TargetMode="External" Id="rId2429" /><Relationship Type="http://schemas.openxmlformats.org/officeDocument/2006/relationships/hyperlink" Target="mailto:contact@choletagglomeration.fr" TargetMode="External" Id="rId2430" /><Relationship Type="http://schemas.openxmlformats.org/officeDocument/2006/relationships/hyperlink" Target="https://www.cholet.fr/welcome/" TargetMode="External" Id="rId2431" /><Relationship Type="http://schemas.openxmlformats.org/officeDocument/2006/relationships/hyperlink" Target="https://lannuaire.service-public.gouv.fr/pays-de-la-loire/maine-et-loire/78ddc726-c889-4b84-aa7f-64a7c83b9379" TargetMode="External" Id="rId2432" /><Relationship Type="http://schemas.openxmlformats.org/officeDocument/2006/relationships/hyperlink" Target="mailto:contact@maugescommunaute.fr" TargetMode="External" Id="rId2433" /><Relationship Type="http://schemas.openxmlformats.org/officeDocument/2006/relationships/hyperlink" Target="https://www.maugescommunaute.fr/" TargetMode="External" Id="rId2434" /><Relationship Type="http://schemas.openxmlformats.org/officeDocument/2006/relationships/hyperlink" Target="https://lannuaire.service-public.gouv.fr/pays-de-la-loire/maine-et-loire/a5bf9f84-010d-43aa-a141-77c52f290a0d" TargetMode="External" Id="rId2435" /><Relationship Type="http://schemas.openxmlformats.org/officeDocument/2006/relationships/hyperlink" Target="mailto:contact@saumurvaldeloire.fr" TargetMode="External" Id="rId2436" /><Relationship Type="http://schemas.openxmlformats.org/officeDocument/2006/relationships/hyperlink" Target="https://www.saumurvaldeloire.fr/" TargetMode="External" Id="rId2437" /><Relationship Type="http://schemas.openxmlformats.org/officeDocument/2006/relationships/hyperlink" Target="https://www.saumurvaldeloire.fr/contactez-nous" TargetMode="External" Id="rId2438" /><Relationship Type="http://schemas.openxmlformats.org/officeDocument/2006/relationships/hyperlink" Target="https://lannuaire.service-public.gouv.fr/pays-de-la-loire/maine-et-loire/83f2b710-fc54-4325-be9d-5cde5d0998aa" TargetMode="External" Id="rId2439" /><Relationship Type="http://schemas.openxmlformats.org/officeDocument/2006/relationships/hyperlink" Target="mailto:contact@anjoubleucommunaute.fr" TargetMode="External" Id="rId2440" /><Relationship Type="http://schemas.openxmlformats.org/officeDocument/2006/relationships/hyperlink" Target="https://www.anjoubleucommunaute.fr/" TargetMode="External" Id="rId2441" /><Relationship Type="http://schemas.openxmlformats.org/officeDocument/2006/relationships/hyperlink" Target="https://www.anjoubleucommunaute.fr/systeme/contact/" TargetMode="External" Id="rId2442" /><Relationship Type="http://schemas.openxmlformats.org/officeDocument/2006/relationships/hyperlink" Target="https://lannuaire.service-public.gouv.fr/pays-de-la-loire/maine-et-loire/98ea9a55-0ad7-4bad-9b5d-58daf9a3798a" TargetMode="External" Id="rId2443" /><Relationship Type="http://schemas.openxmlformats.org/officeDocument/2006/relationships/hyperlink" Target="mailto:contact@ccals.fr" TargetMode="External" Id="rId2444" /><Relationship Type="http://schemas.openxmlformats.org/officeDocument/2006/relationships/hyperlink" Target="https://www.ccals.fr" TargetMode="External" Id="rId2445" /><Relationship Type="http://schemas.openxmlformats.org/officeDocument/2006/relationships/hyperlink" Target="https://www.ccals.fr/systeme/contact/" TargetMode="External" Id="rId2446" /><Relationship Type="http://schemas.openxmlformats.org/officeDocument/2006/relationships/hyperlink" Target="https://lannuaire.service-public.gouv.fr/pays-de-la-loire/maine-et-loire/dc36b42c-213a-41b9-adda-c2d4c084fc20" TargetMode="External" Id="rId2447" /><Relationship Type="http://schemas.openxmlformats.org/officeDocument/2006/relationships/hyperlink" Target="mailto:president@baugeoisvallee.fr" TargetMode="External" Id="rId2448" /><Relationship Type="http://schemas.openxmlformats.org/officeDocument/2006/relationships/hyperlink" Target="https://www.baugeoisvallee.fr/" TargetMode="External" Id="rId2449" /><Relationship Type="http://schemas.openxmlformats.org/officeDocument/2006/relationships/hyperlink" Target="https://www.baugeoisvallee.fr/contact-9.html" TargetMode="External" Id="rId2450" /><Relationship Type="http://schemas.openxmlformats.org/officeDocument/2006/relationships/hyperlink" Target="https://lannuaire.service-public.gouv.fr/pays-de-la-loire/maine-et-loire/848aea1c-7bef-495d-95f4-567cbe2e0969" TargetMode="External" Id="rId2451" /><Relationship Type="http://schemas.openxmlformats.org/officeDocument/2006/relationships/hyperlink" Target="mailto:contact@loirelayonaubance.fr" TargetMode="External" Id="rId2452" /><Relationship Type="http://schemas.openxmlformats.org/officeDocument/2006/relationships/hyperlink" Target="https://loire-layon-aubance.fr/" TargetMode="External" Id="rId2453" /><Relationship Type="http://schemas.openxmlformats.org/officeDocument/2006/relationships/hyperlink" Target="https://www.loire-layon-aubance.fr/nous-contacter/" TargetMode="External" Id="rId2454" /><Relationship Type="http://schemas.openxmlformats.org/officeDocument/2006/relationships/hyperlink" Target="https://lannuaire.service-public.gouv.fr/pays-de-la-loire/maine-et-loire/abf86076-00e1-4949-b3e9-32b53b5e2f08" TargetMode="External" Id="rId2455" /><Relationship Type="http://schemas.openxmlformats.org/officeDocument/2006/relationships/hyperlink" Target="mailto:contact@valleesduhautanjou.fr" TargetMode="External" Id="rId2456" /><Relationship Type="http://schemas.openxmlformats.org/officeDocument/2006/relationships/hyperlink" Target="https://www.valleesduhautanjou.fr/" TargetMode="External" Id="rId2457" /><Relationship Type="http://schemas.openxmlformats.org/officeDocument/2006/relationships/hyperlink" Target="https://www.valleesduhautanjou.fr/contact/" TargetMode="External" Id="rId2458" /><Relationship Type="http://schemas.openxmlformats.org/officeDocument/2006/relationships/hyperlink" Target="https://lannuaire.service-public.gouv.fr/pays-de-la-loire/maine-et-loire/e85e526e-c3a9-46c5-993b-adaea5a6db0d" TargetMode="External" Id="rId2459" /><Relationship Type="http://schemas.openxmlformats.org/officeDocument/2006/relationships/hyperlink" Target="https://www.angersloiremetropole.fr/" TargetMode="External" Id="rId2460" /><Relationship Type="http://schemas.openxmlformats.org/officeDocument/2006/relationships/hyperlink" Target="https://www.angersloiremetropole.fr/contact/formulaire-de-contact/index.html" TargetMode="External" Id="rId2461" /><Relationship Type="http://schemas.openxmlformats.org/officeDocument/2006/relationships/hyperlink" Target="https://lannuaire.service-public.gouv.fr/pays-de-la-loire/maine-et-loire/d4ac6f56-0ec4-4c92-b5cf-2a8638b11ecc" TargetMode="External" Id="rId2462" /><Relationship Type="http://schemas.openxmlformats.org/officeDocument/2006/relationships/hyperlink" Target="mailto:accueil@msm-normandie.fr" TargetMode="External" Id="rId2463" /><Relationship Type="http://schemas.openxmlformats.org/officeDocument/2006/relationships/hyperlink" Target="https://www.msm-normandie.fr/fr/" TargetMode="External" Id="rId2464" /><Relationship Type="http://schemas.openxmlformats.org/officeDocument/2006/relationships/hyperlink" Target="https://www.msm-normandie.fr/fr/formulaire-de-contact" TargetMode="External" Id="rId2465" /><Relationship Type="http://schemas.openxmlformats.org/officeDocument/2006/relationships/hyperlink" Target="https://lannuaire.service-public.gouv.fr/normandie/manche/97fbe4c4-351b-4f0e-a41d-a6f9dfb558b7" TargetMode="External" Id="rId2466" /><Relationship Type="http://schemas.openxmlformats.org/officeDocument/2006/relationships/hyperlink" Target="mailto:contact@saint-lo-agglo.fr" TargetMode="External" Id="rId2467" /><Relationship Type="http://schemas.openxmlformats.org/officeDocument/2006/relationships/hyperlink" Target="https://www.saint-lo-agglo.fr/fr" TargetMode="External" Id="rId2468" /><Relationship Type="http://schemas.openxmlformats.org/officeDocument/2006/relationships/hyperlink" Target="https://www.saint-lo-agglo.fr/fr/contacter" TargetMode="External" Id="rId2469" /><Relationship Type="http://schemas.openxmlformats.org/officeDocument/2006/relationships/hyperlink" Target="https://lannuaire.service-public.gouv.fr/normandie/manche/4c5d2a3c-a8df-4d05-b44d-34133b59a05b" TargetMode="External" Id="rId2470" /><Relationship Type="http://schemas.openxmlformats.org/officeDocument/2006/relationships/hyperlink" Target="mailto:contact@lecotentin.fr" TargetMode="External" Id="rId2471" /><Relationship Type="http://schemas.openxmlformats.org/officeDocument/2006/relationships/hyperlink" Target="https://www.lecotentin.fr/" TargetMode="External" Id="rId2472" /><Relationship Type="http://schemas.openxmlformats.org/officeDocument/2006/relationships/hyperlink" Target="https://www.lecotentin.fr/les-points-daccueil" TargetMode="External" Id="rId2473" /><Relationship Type="http://schemas.openxmlformats.org/officeDocument/2006/relationships/hyperlink" Target="https://lannuaire.service-public.gouv.fr/normandie/manche/5114b30a-d0f4-4ee7-b622-595d90a8268d" TargetMode="External" Id="rId2474" /><Relationship Type="http://schemas.openxmlformats.org/officeDocument/2006/relationships/hyperlink" Target="mailto:contact@communaute-coutances.fr" TargetMode="External" Id="rId2475" /><Relationship Type="http://schemas.openxmlformats.org/officeDocument/2006/relationships/hyperlink" Target="https://www.coutancesmeretbocage.fr/" TargetMode="External" Id="rId2476" /><Relationship Type="http://schemas.openxmlformats.org/officeDocument/2006/relationships/hyperlink" Target="https://www.coutancesmeretbocage.fr/contact" TargetMode="External" Id="rId2477" /><Relationship Type="http://schemas.openxmlformats.org/officeDocument/2006/relationships/hyperlink" Target="https://lannuaire.service-public.gouv.fr/normandie/manche/b1a68414-6d3e-4cc3-afa1-66de23b708a4" TargetMode="External" Id="rId2478" /><Relationship Type="http://schemas.openxmlformats.org/officeDocument/2006/relationships/hyperlink" Target="mailto:contact@cocm.fr" TargetMode="External" Id="rId2479" /><Relationship Type="http://schemas.openxmlformats.org/officeDocument/2006/relationships/hyperlink" Target="https://www.cocm.fr/fr/" TargetMode="External" Id="rId2480" /><Relationship Type="http://schemas.openxmlformats.org/officeDocument/2006/relationships/hyperlink" Target="https://www.cocm.fr/fr/cocm/collectivite/contact.html" TargetMode="External" Id="rId2481" /><Relationship Type="http://schemas.openxmlformats.org/officeDocument/2006/relationships/hyperlink" Target="https://lannuaire.service-public.gouv.fr/normandie/manche/68bbdd4c-4e6d-4a29-9a4f-24d282dfe407" TargetMode="External" Id="rId2482" /><Relationship Type="http://schemas.openxmlformats.org/officeDocument/2006/relationships/hyperlink" Target="mailto:contact@granville-terre-mer.fr" TargetMode="External" Id="rId2483" /><Relationship Type="http://schemas.openxmlformats.org/officeDocument/2006/relationships/hyperlink" Target="https://www.granville-terre-mer.fr/" TargetMode="External" Id="rId2484" /><Relationship Type="http://schemas.openxmlformats.org/officeDocument/2006/relationships/hyperlink" Target="https://www.granville-terre-mer.fr/contacts.html" TargetMode="External" Id="rId2485" /><Relationship Type="http://schemas.openxmlformats.org/officeDocument/2006/relationships/hyperlink" Target="https://lannuaire.service-public.gouv.fr/normandie/manche/9c8a8123-e412-4286-957f-04ed72d1c85a" TargetMode="External" Id="rId2486" /><Relationship Type="http://schemas.openxmlformats.org/officeDocument/2006/relationships/hyperlink" Target="mailto:accueil@villedieuintercom.fr" TargetMode="External" Id="rId2487" /><Relationship Type="http://schemas.openxmlformats.org/officeDocument/2006/relationships/hyperlink" Target="https://www.villedieu-intercom.fr/" TargetMode="External" Id="rId2488" /><Relationship Type="http://schemas.openxmlformats.org/officeDocument/2006/relationships/hyperlink" Target="https://lannuaire.service-public.gouv.fr/normandie/manche/b12873ad-b5e3-4f92-95a1-061d232a8caf" TargetMode="External" Id="rId2489" /><Relationship Type="http://schemas.openxmlformats.org/officeDocument/2006/relationships/hyperlink" Target="mailto:contact@ccbdc.fr" TargetMode="External" Id="rId2490" /><Relationship Type="http://schemas.openxmlformats.org/officeDocument/2006/relationships/hyperlink" Target="https://www.ccbdc.fr/" TargetMode="External" Id="rId2491" /><Relationship Type="http://schemas.openxmlformats.org/officeDocument/2006/relationships/hyperlink" Target="https://lannuaire.service-public.gouv.fr/normandie/manche/de79e2d5-5f42-4257-9653-447aa9d6b68c" TargetMode="External" Id="rId2492" /><Relationship Type="http://schemas.openxmlformats.org/officeDocument/2006/relationships/hyperlink" Target="mailto:accueil@epernay-agglo.fr" TargetMode="External" Id="rId2493" /><Relationship Type="http://schemas.openxmlformats.org/officeDocument/2006/relationships/hyperlink" Target="https://epernay-agglo.fr/" TargetMode="External" Id="rId2494" /><Relationship Type="http://schemas.openxmlformats.org/officeDocument/2006/relationships/hyperlink" Target="https://lannuaire.service-public.gouv.fr/grand-est/marne/b2b1a939-0841-402e-b305-35eb3700bcce" TargetMode="External" Id="rId2495" /><Relationship Type="http://schemas.openxmlformats.org/officeDocument/2006/relationships/hyperlink" Target="mailto:contact@chalons-agglo.fr" TargetMode="External" Id="rId2496" /><Relationship Type="http://schemas.openxmlformats.org/officeDocument/2006/relationships/hyperlink" Target="https://www.chalons-agglo.fr/cac" TargetMode="External" Id="rId2497" /><Relationship Type="http://schemas.openxmlformats.org/officeDocument/2006/relationships/hyperlink" Target="https://citoyen.chalons-agglo.fr/demandes/question" TargetMode="External" Id="rId2498" /><Relationship Type="http://schemas.openxmlformats.org/officeDocument/2006/relationships/hyperlink" Target="https://lannuaire.service-public.gouv.fr/grand-est/marne/51bd69a9-ff15-4593-aa0a-c14579a88d8b" TargetMode="External" Id="rId2499" /><Relationship Type="http://schemas.openxmlformats.org/officeDocument/2006/relationships/hyperlink" Target="mailto:contact@4cvs.fr" TargetMode="External" Id="rId2500" /><Relationship Type="http://schemas.openxmlformats.org/officeDocument/2006/relationships/hyperlink" Target="http://www.4cvs.fr" TargetMode="External" Id="rId2501" /><Relationship Type="http://schemas.openxmlformats.org/officeDocument/2006/relationships/hyperlink" Target="http://www.4cvs.fr/fr/contact" TargetMode="External" Id="rId2502" /><Relationship Type="http://schemas.openxmlformats.org/officeDocument/2006/relationships/hyperlink" Target="https://lannuaire.service-public.gouv.fr/grand-est/marne/b2c6228b-d34b-4399-ab54-21ac84d7f8ef" TargetMode="External" Id="rId2503" /><Relationship Type="http://schemas.openxmlformats.org/officeDocument/2006/relationships/hyperlink" Target="mailto:cc-perthoisbocageetder@orange.fr" TargetMode="External" Id="rId2504" /><Relationship Type="http://schemas.openxmlformats.org/officeDocument/2006/relationships/hyperlink" Target="https://cc-perthoisbocageetder.fr" TargetMode="External" Id="rId2505" /><Relationship Type="http://schemas.openxmlformats.org/officeDocument/2006/relationships/hyperlink" Target="https://lannuaire.service-public.gouv.fr/grand-est/marne/f4d924d5-a5ec-4cee-8914-7c29d5bfd947" TargetMode="External" Id="rId2506" /><Relationship Type="http://schemas.openxmlformats.org/officeDocument/2006/relationships/hyperlink" Target="mailto:contact@ccssom.fr" TargetMode="External" Id="rId2507" /><Relationship Type="http://schemas.openxmlformats.org/officeDocument/2006/relationships/hyperlink" Target="https://ccssom.fr/" TargetMode="External" Id="rId2508" /><Relationship Type="http://schemas.openxmlformats.org/officeDocument/2006/relationships/hyperlink" Target="https://lannuaire.service-public.gouv.fr/grand-est/marne/b0696dc9-9d67-44a2-aaf6-54ac300b9694" TargetMode="External" Id="rId2509" /><Relationship Type="http://schemas.openxmlformats.org/officeDocument/2006/relationships/hyperlink" Target="mailto:contact@vitry-le-francois.net" TargetMode="External" Id="rId2510" /><Relationship Type="http://schemas.openxmlformats.org/officeDocument/2006/relationships/hyperlink" Target="https://www.vitry-le-francois.net/" TargetMode="External" Id="rId2511" /><Relationship Type="http://schemas.openxmlformats.org/officeDocument/2006/relationships/hyperlink" Target="https://www.vitry-le-francois.net/contact/" TargetMode="External" Id="rId2512" /><Relationship Type="http://schemas.openxmlformats.org/officeDocument/2006/relationships/hyperlink" Target="https://lannuaire.service-public.gouv.fr/grand-est/marne/24034a5b-9770-42c9-99ad-d39087154a05" TargetMode="External" Id="rId2513" /><Relationship Type="http://schemas.openxmlformats.org/officeDocument/2006/relationships/hyperlink" Target="mailto:contact@cc-argonnechampenoise.fr" TargetMode="External" Id="rId2514" /><Relationship Type="http://schemas.openxmlformats.org/officeDocument/2006/relationships/hyperlink" Target="https://www.argonnechampenoise.fr/" TargetMode="External" Id="rId2515" /><Relationship Type="http://schemas.openxmlformats.org/officeDocument/2006/relationships/hyperlink" Target="https://www.argonnechampenoise.fr/s-informer/nous-contacter/" TargetMode="External" Id="rId2516" /><Relationship Type="http://schemas.openxmlformats.org/officeDocument/2006/relationships/hyperlink" Target="https://lannuaire.service-public.gouv.fr/grand-est/marne/4a02b8bf-46f9-43c0-8770-ca46e27072ed" TargetMode="External" Id="rId2517" /><Relationship Type="http://schemas.openxmlformats.org/officeDocument/2006/relationships/hyperlink" Target="mailto:accueil@cc-briechampenoise.fr" TargetMode="External" Id="rId2518" /><Relationship Type="http://schemas.openxmlformats.org/officeDocument/2006/relationships/hyperlink" Target="https://www.cc-briechampenoise.fr/" TargetMode="External" Id="rId2519" /><Relationship Type="http://schemas.openxmlformats.org/officeDocument/2006/relationships/hyperlink" Target="https://lannuaire.service-public.gouv.fr/grand-est/marne/4a342bfa-50e1-4bb1-a4d8-8018026018e8" TargetMode="External" Id="rId2520" /><Relationship Type="http://schemas.openxmlformats.org/officeDocument/2006/relationships/hyperlink" Target="mailto:info@ccgvm.com" TargetMode="External" Id="rId2521" /><Relationship Type="http://schemas.openxmlformats.org/officeDocument/2006/relationships/hyperlink" Target="https://ccgvm.com/" TargetMode="External" Id="rId2522" /><Relationship Type="http://schemas.openxmlformats.org/officeDocument/2006/relationships/hyperlink" Target="https://ccgvm.com/contact/" TargetMode="External" Id="rId2523" /><Relationship Type="http://schemas.openxmlformats.org/officeDocument/2006/relationships/hyperlink" Target="https://lannuaire.service-public.gouv.fr/grand-est/marne/b7f6d441-57a1-41fc-8903-f488837de256" TargetMode="External" Id="rId2524" /><Relationship Type="http://schemas.openxmlformats.org/officeDocument/2006/relationships/hyperlink" Target="mailto:contact@ccmoivrecoole.fr" TargetMode="External" Id="rId2525" /><Relationship Type="http://schemas.openxmlformats.org/officeDocument/2006/relationships/hyperlink" Target="https://www.ccmoivrecoole.fr/" TargetMode="External" Id="rId2526" /><Relationship Type="http://schemas.openxmlformats.org/officeDocument/2006/relationships/hyperlink" Target="https://lannuaire.service-public.gouv.fr/grand-est/marne/434f57f7-1d4a-4930-a773-e844473a94db" TargetMode="External" Id="rId2527" /><Relationship Type="http://schemas.openxmlformats.org/officeDocument/2006/relationships/hyperlink" Target="mailto:contact@cc-regiondesuippes.com" TargetMode="External" Id="rId2528" /><Relationship Type="http://schemas.openxmlformats.org/officeDocument/2006/relationships/hyperlink" Target="https://cc-regiondesuippes.com" TargetMode="External" Id="rId2529" /><Relationship Type="http://schemas.openxmlformats.org/officeDocument/2006/relationships/hyperlink" Target="https://cc-regiondesuippes.com/" TargetMode="External" Id="rId2530" /><Relationship Type="http://schemas.openxmlformats.org/officeDocument/2006/relationships/hyperlink" Target="https://lannuaire.service-public.gouv.fr/grand-est/marne/7c23b4d6-89ef-497b-a9bc-5e7183362863" TargetMode="External" Id="rId2531" /><Relationship Type="http://schemas.openxmlformats.org/officeDocument/2006/relationships/hyperlink" Target="mailto:accueil@ccpc51.fr" TargetMode="External" Id="rId2532" /><Relationship Type="http://schemas.openxmlformats.org/officeDocument/2006/relationships/hyperlink" Target="https://ccpc51.fr/" TargetMode="External" Id="rId2533" /><Relationship Type="http://schemas.openxmlformats.org/officeDocument/2006/relationships/hyperlink" Target="https://ccpc51.fr/contact/" TargetMode="External" Id="rId2534" /><Relationship Type="http://schemas.openxmlformats.org/officeDocument/2006/relationships/hyperlink" Target="https://lannuaire.service-public.gouv.fr/grand-est/marne/f4ab6b37-e799-4345-956a-e2f058a04193" TargetMode="External" Id="rId2535" /><Relationship Type="http://schemas.openxmlformats.org/officeDocument/2006/relationships/hyperlink" Target="mailto:cc-sud-marnais@wanadoo.fr" TargetMode="External" Id="rId2536" /><Relationship Type="http://schemas.openxmlformats.org/officeDocument/2006/relationships/hyperlink" Target="https://www.cc-sudmarnais.fr/" TargetMode="External" Id="rId2537" /><Relationship Type="http://schemas.openxmlformats.org/officeDocument/2006/relationships/hyperlink" Target="https://www.cc-sudmarnais.fr/contact.php" TargetMode="External" Id="rId2538" /><Relationship Type="http://schemas.openxmlformats.org/officeDocument/2006/relationships/hyperlink" Target="https://lannuaire.service-public.gouv.fr/grand-est/marne/a787ef7f-9d4a-45a6-a31a-39d51cf8018c" TargetMode="External" Id="rId2539" /><Relationship Type="http://schemas.openxmlformats.org/officeDocument/2006/relationships/hyperlink" Target="mailto:accueil@reims-contact.fr" TargetMode="External" Id="rId2540" /><Relationship Type="http://schemas.openxmlformats.org/officeDocument/2006/relationships/hyperlink" Target="https://www.grandreims.fr/" TargetMode="External" Id="rId2541" /><Relationship Type="http://schemas.openxmlformats.org/officeDocument/2006/relationships/hyperlink" Target="https://mesdemarchesenligne.reims.fr/SEWSaaS.Guichet/workflow_url?ECITIZ_ACTIVITY_PATH=Citoyen&amp;IDORG=GREIMS&amp;TS=SVE&amp;TASK=CREATION&amp;ANONYME=1&amp;THEMATIQUE=PQ_PQ_PQAS&amp;CONTEXTE=GRANDR&amp;CTX_ST=GRANDR" TargetMode="External" Id="rId2542" /><Relationship Type="http://schemas.openxmlformats.org/officeDocument/2006/relationships/hyperlink" Target="https://lannuaire.service-public.gouv.fr/grand-est/marne/ea16f802-b050-46de-93de-e90dc7171e45" TargetMode="External" Id="rId2543" /><Relationship Type="http://schemas.openxmlformats.org/officeDocument/2006/relationships/hyperlink" Target="mailto:codecom@mairie-saintdizier.fr" TargetMode="External" Id="rId2544" /><Relationship Type="http://schemas.openxmlformats.org/officeDocument/2006/relationships/hyperlink" Target="https://www.saint-dizier.fr/" TargetMode="External" Id="rId2545" /><Relationship Type="http://schemas.openxmlformats.org/officeDocument/2006/relationships/hyperlink" Target="https://www.saint-dizier.fr/contact.html" TargetMode="External" Id="rId2546" /><Relationship Type="http://schemas.openxmlformats.org/officeDocument/2006/relationships/hyperlink" Target="https://lannuaire.service-public.gouv.fr/grand-est/haute-marne/830fd7bb-06b1-4605-8024-73fa9d9caaa6" TargetMode="External" Id="rId2547" /><Relationship Type="http://schemas.openxmlformats.org/officeDocument/2006/relationships/hyperlink" Target="mailto:standard@ville-chaumont.fr" TargetMode="External" Id="rId2548" /><Relationship Type="http://schemas.openxmlformats.org/officeDocument/2006/relationships/hyperlink" Target="https://www.agglo-chaumont.fr/" TargetMode="External" Id="rId2549" /><Relationship Type="http://schemas.openxmlformats.org/officeDocument/2006/relationships/hyperlink" Target="https://www.agglo-chaumont.fr/nous-contacter/" TargetMode="External" Id="rId2550" /><Relationship Type="http://schemas.openxmlformats.org/officeDocument/2006/relationships/hyperlink" Target="https://lannuaire.service-public.gouv.fr/grand-est/haute-marne/4467924f-28f5-4cc1-8b4d-8ed77cd26d68" TargetMode="External" Id="rId2551" /><Relationship Type="http://schemas.openxmlformats.org/officeDocument/2006/relationships/hyperlink" Target="mailto:secretariat@meuserognon.fr" TargetMode="External" Id="rId2552" /><Relationship Type="http://schemas.openxmlformats.org/officeDocument/2006/relationships/hyperlink" Target="https://www.meuserognon.fr" TargetMode="External" Id="rId2553" /><Relationship Type="http://schemas.openxmlformats.org/officeDocument/2006/relationships/hyperlink" Target="https://lannuaire.service-public.gouv.fr/grand-est/haute-marne/1a927647-f63f-4c14-b782-f417fac942f2" TargetMode="External" Id="rId2554" /><Relationship Type="http://schemas.openxmlformats.org/officeDocument/2006/relationships/hyperlink" Target="mailto:accueil@ccavm.fr" TargetMode="External" Id="rId2555" /><Relationship Type="http://schemas.openxmlformats.org/officeDocument/2006/relationships/hyperlink" Target="https://www.ccavm.fr/" TargetMode="External" Id="rId2556" /><Relationship Type="http://schemas.openxmlformats.org/officeDocument/2006/relationships/hyperlink" Target="https://www.ccavm.fr/crbst_3.html" TargetMode="External" Id="rId2557" /><Relationship Type="http://schemas.openxmlformats.org/officeDocument/2006/relationships/hyperlink" Target="https://lannuaire.service-public.gouv.fr/grand-est/haute-marne/9412b1d7-ebd0-46d2-98a3-4d8e0de7b5f1" TargetMode="External" Id="rId2558" /><Relationship Type="http://schemas.openxmlformats.org/officeDocument/2006/relationships/hyperlink" Target="mailto:contact@cc3f52.fr" TargetMode="External" Id="rId2559" /><Relationship Type="http://schemas.openxmlformats.org/officeDocument/2006/relationships/hyperlink" Target="http://communautedecommunesdes3forets.com" TargetMode="External" Id="rId2560" /><Relationship Type="http://schemas.openxmlformats.org/officeDocument/2006/relationships/hyperlink" Target="http://communautedecommunesdes3forets.com/contact" TargetMode="External" Id="rId2561" /><Relationship Type="http://schemas.openxmlformats.org/officeDocument/2006/relationships/hyperlink" Target="https://lannuaire.service-public.gouv.fr/grand-est/haute-marne/53d02c7a-f183-4edf-8971-b2044bd8a44e" TargetMode="External" Id="rId2562" /><Relationship Type="http://schemas.openxmlformats.org/officeDocument/2006/relationships/hyperlink" Target="mailto:secretariat@ccbjc.fr" TargetMode="External" Id="rId2563" /><Relationship Type="http://schemas.openxmlformats.org/officeDocument/2006/relationships/hyperlink" Target="https://www.ccbjc.fr/" TargetMode="External" Id="rId2564" /><Relationship Type="http://schemas.openxmlformats.org/officeDocument/2006/relationships/hyperlink" Target="https://www.ccbjc.fr/contact" TargetMode="External" Id="rId2565" /><Relationship Type="http://schemas.openxmlformats.org/officeDocument/2006/relationships/hyperlink" Target="https://lannuaire.service-public.gouv.fr/grand-est/haute-marne/46a72abb-30ff-438f-8cb9-a446aec4e39d" TargetMode="External" Id="rId2566" /><Relationship Type="http://schemas.openxmlformats.org/officeDocument/2006/relationships/hyperlink" Target="mailto:secretariat@grand-langres.fr" TargetMode="External" Id="rId2567" /><Relationship Type="http://schemas.openxmlformats.org/officeDocument/2006/relationships/hyperlink" Target="https://grand-langres.fr/" TargetMode="External" Id="rId2568" /><Relationship Type="http://schemas.openxmlformats.org/officeDocument/2006/relationships/hyperlink" Target="https://lannuaire.service-public.gouv.fr/grand-est/haute-marne/25daa891-0300-4f87-b54c-5d4556779209" TargetMode="External" Id="rId2569" /><Relationship Type="http://schemas.openxmlformats.org/officeDocument/2006/relationships/hyperlink" Target="mailto:contact@ccsavoirfaire.fr" TargetMode="External" Id="rId2570" /><Relationship Type="http://schemas.openxmlformats.org/officeDocument/2006/relationships/hyperlink" Target="https://www.ccdessavoirfaire.fr/" TargetMode="External" Id="rId2571" /><Relationship Type="http://schemas.openxmlformats.org/officeDocument/2006/relationships/hyperlink" Target="https://www.ccdessavoirfaire.fr/informations-pratiques" TargetMode="External" Id="rId2572" /><Relationship Type="http://schemas.openxmlformats.org/officeDocument/2006/relationships/hyperlink" Target="https://lannuaire.service-public.gouv.fr/grand-est/haute-marne/8d24e694-3e60-46a4-9b70-a8f673990bb5" TargetMode="External" Id="rId2573" /><Relationship Type="http://schemas.openxmlformats.org/officeDocument/2006/relationships/hyperlink" Target="mailto:contact@ccov.fr" TargetMode="External" Id="rId2574" /><Relationship Type="http://schemas.openxmlformats.org/officeDocument/2006/relationships/hyperlink" Target="https://www.ccov.fr/" TargetMode="External" Id="rId2575" /><Relationship Type="http://schemas.openxmlformats.org/officeDocument/2006/relationships/hyperlink" Target="https://lannuaire.service-public.gouv.fr/grand-est/vosges/0c685021-6cd2-455b-b186-61b37b798673" TargetMode="External" Id="rId2576" /><Relationship Type="http://schemas.openxmlformats.org/officeDocument/2006/relationships/hyperlink" Target="mailto:laval-agglo@agglo-laval.fr" TargetMode="External" Id="rId2577" /><Relationship Type="http://schemas.openxmlformats.org/officeDocument/2006/relationships/hyperlink" Target="https://www.agglo-laval.fr/accueil" TargetMode="External" Id="rId2578" /><Relationship Type="http://schemas.openxmlformats.org/officeDocument/2006/relationships/hyperlink" Target="https://www.agglo-laval.fr/lagglo-mon-territoire/nous-contacter" TargetMode="External" Id="rId2579" /><Relationship Type="http://schemas.openxmlformats.org/officeDocument/2006/relationships/hyperlink" Target="https://lannuaire.service-public.gouv.fr/pays-de-la-loire/mayenne/a4707521-2d68-4d32-b92e-ee8fea76418f" TargetMode="External" Id="rId2580" /><Relationship Type="http://schemas.openxmlformats.org/officeDocument/2006/relationships/hyperlink" Target="mailto:contact@mayennecommunaute.fr" TargetMode="External" Id="rId2581" /><Relationship Type="http://schemas.openxmlformats.org/officeDocument/2006/relationships/hyperlink" Target="https://www.mayenne-communaute.net/" TargetMode="External" Id="rId2582" /><Relationship Type="http://schemas.openxmlformats.org/officeDocument/2006/relationships/hyperlink" Target="https://www.mayenne-communaute.net/nous-contacter/" TargetMode="External" Id="rId2583" /><Relationship Type="http://schemas.openxmlformats.org/officeDocument/2006/relationships/hyperlink" Target="https://lannuaire.service-public.gouv.fr/pays-de-la-loire/mayenne/d098051a-8ed6-4269-b3dd-a7052203d3c4" TargetMode="External" Id="rId2584" /><Relationship Type="http://schemas.openxmlformats.org/officeDocument/2006/relationships/hyperlink" Target="mailto:accueil@lernee.fr" TargetMode="External" Id="rId2585" /><Relationship Type="http://schemas.openxmlformats.org/officeDocument/2006/relationships/hyperlink" Target="https://www.lernee.fr/" TargetMode="External" Id="rId2586" /><Relationship Type="http://schemas.openxmlformats.org/officeDocument/2006/relationships/hyperlink" Target="https://www.lernee.fr/contact/" TargetMode="External" Id="rId2587" /><Relationship Type="http://schemas.openxmlformats.org/officeDocument/2006/relationships/hyperlink" Target="https://lannuaire.service-public.gouv.fr/pays-de-la-loire/mayenne/c94a3708-cecd-424e-9540-32f6e33b3f89" TargetMode="External" Id="rId2588" /><Relationship Type="http://schemas.openxmlformats.org/officeDocument/2006/relationships/hyperlink" Target="mailto:contact@coevrons.fr" TargetMode="External" Id="rId2589" /><Relationship Type="http://schemas.openxmlformats.org/officeDocument/2006/relationships/hyperlink" Target="https://www.coevrons.fr/" TargetMode="External" Id="rId2590" /><Relationship Type="http://schemas.openxmlformats.org/officeDocument/2006/relationships/hyperlink" Target="https://www.coevrons.fr/formulaire/contact" TargetMode="External" Id="rId2591" /><Relationship Type="http://schemas.openxmlformats.org/officeDocument/2006/relationships/hyperlink" Target="https://lannuaire.service-public.gouv.fr/pays-de-la-loire/mayenne/3c2b9bc6-0d8e-4157-9f8e-7fc7671fb708" TargetMode="External" Id="rId2592" /><Relationship Type="http://schemas.openxmlformats.org/officeDocument/2006/relationships/hyperlink" Target="mailto:accueil@bocage-mayennais.fr" TargetMode="External" Id="rId2593" /><Relationship Type="http://schemas.openxmlformats.org/officeDocument/2006/relationships/hyperlink" Target="https://www.bocage-mayennais.fr/" TargetMode="External" Id="rId2594" /><Relationship Type="http://schemas.openxmlformats.org/officeDocument/2006/relationships/hyperlink" Target="https://www.bocage-mayennais.fr/bocage-mayennais-extras.php?part=contact" TargetMode="External" Id="rId2595" /><Relationship Type="http://schemas.openxmlformats.org/officeDocument/2006/relationships/hyperlink" Target="https://lannuaire.service-public.gouv.fr/pays-de-la-loire/mayenne/73ad95d2-c6ec-44f5-9806-7b5b15cef3fd" TargetMode="External" Id="rId2596" /><Relationship Type="http://schemas.openxmlformats.org/officeDocument/2006/relationships/hyperlink" Target="mailto:accueil@cc-montdesavaloirs.fr" TargetMode="External" Id="rId2597" /><Relationship Type="http://schemas.openxmlformats.org/officeDocument/2006/relationships/hyperlink" Target="https://www.cc-montdesavaloirs.fr/" TargetMode="External" Id="rId2598" /><Relationship Type="http://schemas.openxmlformats.org/officeDocument/2006/relationships/hyperlink" Target="https://lannuaire.service-public.gouv.fr/pays-de-la-loire/mayenne/8a1028d8-0563-41f7-b1f4-73673393a747" TargetMode="External" Id="rId2599" /><Relationship Type="http://schemas.openxmlformats.org/officeDocument/2006/relationships/hyperlink" Target="mailto:chateau-gontier@chateaugontier.fr" TargetMode="External" Id="rId2600" /><Relationship Type="http://schemas.openxmlformats.org/officeDocument/2006/relationships/hyperlink" Target="https://www.chateaugontier.fr/" TargetMode="External" Id="rId2601" /><Relationship Type="http://schemas.openxmlformats.org/officeDocument/2006/relationships/hyperlink" Target="https://www.chateaugontier.fr/index.php?page=36" TargetMode="External" Id="rId2602" /><Relationship Type="http://schemas.openxmlformats.org/officeDocument/2006/relationships/hyperlink" Target="https://lannuaire.service-public.gouv.fr/pays-de-la-loire/mayenne/424a80a4-7566-4c8d-a787-5b6b120d4970" TargetMode="External" Id="rId2603" /><Relationship Type="http://schemas.openxmlformats.org/officeDocument/2006/relationships/hyperlink" Target="mailto:accueil@paysdecraon.fr" TargetMode="External" Id="rId2604" /><Relationship Type="http://schemas.openxmlformats.org/officeDocument/2006/relationships/hyperlink" Target="https://www.paysdecraon.fr/" TargetMode="External" Id="rId2605" /><Relationship Type="http://schemas.openxmlformats.org/officeDocument/2006/relationships/hyperlink" Target="https://www.paysdecraon.fr/contact/" TargetMode="External" Id="rId2606" /><Relationship Type="http://schemas.openxmlformats.org/officeDocument/2006/relationships/hyperlink" Target="https://lannuaire.service-public.gouv.fr/pays-de-la-loire/mayenne/dd59d3a1-5bd5-4e96-8d43-f1373ae91c88" TargetMode="External" Id="rId2607" /><Relationship Type="http://schemas.openxmlformats.org/officeDocument/2006/relationships/hyperlink" Target="mailto:contact@paysmeslaygrez.fr" TargetMode="External" Id="rId2608" /><Relationship Type="http://schemas.openxmlformats.org/officeDocument/2006/relationships/hyperlink" Target="https://www.paysmeslaygrez.fr/" TargetMode="External" Id="rId2609" /><Relationship Type="http://schemas.openxmlformats.org/officeDocument/2006/relationships/hyperlink" Target="https://www.paysmeslaygrez.fr/systeme/nous-contacter/" TargetMode="External" Id="rId2610" /><Relationship Type="http://schemas.openxmlformats.org/officeDocument/2006/relationships/hyperlink" Target="https://lannuaire.service-public.gouv.fr/pays-de-la-loire/mayenne/df00b9ce-ea4a-4ce5-8a01-4898908e4c58" TargetMode="External" Id="rId2611" /><Relationship Type="http://schemas.openxmlformats.org/officeDocument/2006/relationships/hyperlink" Target="mailto:communautedecommunes@sablesursarthe.fr" TargetMode="External" Id="rId2612" /><Relationship Type="http://schemas.openxmlformats.org/officeDocument/2006/relationships/hyperlink" Target="https://www.payssabolien.fr" TargetMode="External" Id="rId2613" /><Relationship Type="http://schemas.openxmlformats.org/officeDocument/2006/relationships/hyperlink" Target="https://lannuaire.service-public.gouv.fr/pays-de-la-loire/sarthe/1c383054-22ca-4d87-b5c1-014aa7bcaf71" TargetMode="External" Id="rId2614" /><Relationship Type="http://schemas.openxmlformats.org/officeDocument/2006/relationships/hyperlink" Target="https://grandlongwy.fr/" TargetMode="External" Id="rId2615" /><Relationship Type="http://schemas.openxmlformats.org/officeDocument/2006/relationships/hyperlink" Target="https://grandlongwy.fr/contact/" TargetMode="External" Id="rId2616" /><Relationship Type="http://schemas.openxmlformats.org/officeDocument/2006/relationships/hyperlink" Target="https://lannuaire.service-public.gouv.fr/grand-est/meurthe-et-moselle/cadd83b6-7bed-4fea-8ff3-0e0f05e5cb54" TargetMode="External" Id="rId2617" /><Relationship Type="http://schemas.openxmlformats.org/officeDocument/2006/relationships/hyperlink" Target="mailto:secretariat@cc3m.fr" TargetMode="External" Id="rId2618" /><Relationship Type="http://schemas.openxmlformats.org/officeDocument/2006/relationships/hyperlink" Target="http://www.cc3m.fr" TargetMode="External" Id="rId2619" /><Relationship Type="http://schemas.openxmlformats.org/officeDocument/2006/relationships/hyperlink" Target="https://lannuaire.service-public.gouv.fr/grand-est/meurthe-et-moselle/b3425dd4-16be-4a38-be24-cb302ea12c83" TargetMode="External" Id="rId2620" /><Relationship Type="http://schemas.openxmlformats.org/officeDocument/2006/relationships/hyperlink" Target="mailto:contact@cc-mosellemadon.fr" TargetMode="External" Id="rId2621" /><Relationship Type="http://schemas.openxmlformats.org/officeDocument/2006/relationships/hyperlink" Target="https://www.cc-mosellemadon.fr/fr/" TargetMode="External" Id="rId2622" /><Relationship Type="http://schemas.openxmlformats.org/officeDocument/2006/relationships/hyperlink" Target="https://www.cc-mosellemadon.fr/fr/contact.html" TargetMode="External" Id="rId2623" /><Relationship Type="http://schemas.openxmlformats.org/officeDocument/2006/relationships/hyperlink" Target="https://lannuaire.service-public.gouv.fr/grand-est/meurthe-et-moselle/6206c1d2-138c-451e-a2fe-e68f8d63f532" TargetMode="External" Id="rId2624" /><Relationship Type="http://schemas.openxmlformats.org/officeDocument/2006/relationships/hyperlink" Target="mailto:contact@olc54.fr" TargetMode="External" Id="rId2625" /><Relationship Type="http://schemas.openxmlformats.org/officeDocument/2006/relationships/hyperlink" Target="https://olc54.fr" TargetMode="External" Id="rId2626" /><Relationship Type="http://schemas.openxmlformats.org/officeDocument/2006/relationships/hyperlink" Target="https://olc54.fr/contact" TargetMode="External" Id="rId2627" /><Relationship Type="http://schemas.openxmlformats.org/officeDocument/2006/relationships/hyperlink" Target="https://lannuaire.service-public.gouv.fr/grand-est/meurthe-et-moselle/7068cf13-3fff-45c6-8703-081296f508ac" TargetMode="External" Id="rId2628" /><Relationship Type="http://schemas.openxmlformats.org/officeDocument/2006/relationships/hyperlink" Target="mailto:accueil@t2l-54.fr" TargetMode="External" Id="rId2629" /><Relationship Type="http://schemas.openxmlformats.org/officeDocument/2006/relationships/hyperlink" Target="http://www.t2l-54.fr" TargetMode="External" Id="rId2630" /><Relationship Type="http://schemas.openxmlformats.org/officeDocument/2006/relationships/hyperlink" Target="https://lannuaire.service-public.gouv.fr/grand-est/meurthe-et-moselle/41c47af9-85a8-4e8a-9b70-b401c825cc9f" TargetMode="External" Id="rId2631" /><Relationship Type="http://schemas.openxmlformats.org/officeDocument/2006/relationships/hyperlink" Target="mailto:contact@terrestouloises.com" TargetMode="External" Id="rId2632" /><Relationship Type="http://schemas.openxmlformats.org/officeDocument/2006/relationships/hyperlink" Target="https://terrestouloises.com/" TargetMode="External" Id="rId2633" /><Relationship Type="http://schemas.openxmlformats.org/officeDocument/2006/relationships/hyperlink" Target="https://terrestouloises.com/ma-communaute-de-communes/nous-contacter/" TargetMode="External" Id="rId2634" /><Relationship Type="http://schemas.openxmlformats.org/officeDocument/2006/relationships/hyperlink" Target="https://lannuaire.service-public.gouv.fr/grand-est/meurthe-et-moselle/70883fe4-7897-4e85-b8d5-050d044c01c0" TargetMode="External" Id="rId2635" /><Relationship Type="http://schemas.openxmlformats.org/officeDocument/2006/relationships/hyperlink" Target="mailto:contact@comcom-sgc.fr" TargetMode="External" Id="rId2636" /><Relationship Type="http://schemas.openxmlformats.org/officeDocument/2006/relationships/hyperlink" Target="https://www.comcom-sgc.fr" TargetMode="External" Id="rId2637" /><Relationship Type="http://schemas.openxmlformats.org/officeDocument/2006/relationships/hyperlink" Target="https://www.comcom-sgc.fr/contact/" TargetMode="External" Id="rId2638" /><Relationship Type="http://schemas.openxmlformats.org/officeDocument/2006/relationships/hyperlink" Target="https://lannuaire.service-public.gouv.fr/grand-est/meurthe-et-moselle/f10be03e-37dd-41fe-a14c-02c3bb7b867a" TargetMode="External" Id="rId2639" /><Relationship Type="http://schemas.openxmlformats.org/officeDocument/2006/relationships/hyperlink" Target="mailto:accueil@ccvp.fr" TargetMode="External" Id="rId2640" /><Relationship Type="http://schemas.openxmlformats.org/officeDocument/2006/relationships/hyperlink" Target="https://www.ccvp.fr/" TargetMode="External" Id="rId2641" /><Relationship Type="http://schemas.openxmlformats.org/officeDocument/2006/relationships/hyperlink" Target="https://www.ccvp.fr/contact" TargetMode="External" Id="rId2642" /><Relationship Type="http://schemas.openxmlformats.org/officeDocument/2006/relationships/hyperlink" Target="https://lannuaire.service-public.gouv.fr/grand-est/meurthe-et-moselle/9f0effba-0636-4253-8a95-a593e4ed9f3d" TargetMode="External" Id="rId2643" /><Relationship Type="http://schemas.openxmlformats.org/officeDocument/2006/relationships/hyperlink" Target="mailto:contact@cc-seletvermois.fr" TargetMode="External" Id="rId2644" /><Relationship Type="http://schemas.openxmlformats.org/officeDocument/2006/relationships/hyperlink" Target="https://www.cc-seletvermois.fr/" TargetMode="External" Id="rId2645" /><Relationship Type="http://schemas.openxmlformats.org/officeDocument/2006/relationships/hyperlink" Target="https://www.cc-seletvermois.fr/contact/" TargetMode="External" Id="rId2646" /><Relationship Type="http://schemas.openxmlformats.org/officeDocument/2006/relationships/hyperlink" Target="https://lannuaire.service-public.gouv.fr/grand-est/meurthe-et-moselle/a7379470-cf96-4ff3-99d4-1e023dea790a" TargetMode="External" Id="rId2647" /><Relationship Type="http://schemas.openxmlformats.org/officeDocument/2006/relationships/hyperlink" Target="mailto:accueil@bassinpompey.fr" TargetMode="External" Id="rId2648" /><Relationship Type="http://schemas.openxmlformats.org/officeDocument/2006/relationships/hyperlink" Target="https://www.bassinpompey.fr/" TargetMode="External" Id="rId2649" /><Relationship Type="http://schemas.openxmlformats.org/officeDocument/2006/relationships/hyperlink" Target="https://www.bassinpompey.fr/informations-pratiques/contact-2" TargetMode="External" Id="rId2650" /><Relationship Type="http://schemas.openxmlformats.org/officeDocument/2006/relationships/hyperlink" Target="https://lannuaire.service-public.gouv.fr/grand-est/meurthe-et-moselle/4faa1f4d-e17f-4992-8f74-929d2549f45d" TargetMode="External" Id="rId2651" /><Relationship Type="http://schemas.openxmlformats.org/officeDocument/2006/relationships/hyperlink" Target="mailto:info@bassin-pont-a-mousson.fr" TargetMode="External" Id="rId2652" /><Relationship Type="http://schemas.openxmlformats.org/officeDocument/2006/relationships/hyperlink" Target="https://www.bassin-pont-a-mousson.fr/" TargetMode="External" Id="rId2653" /><Relationship Type="http://schemas.openxmlformats.org/officeDocument/2006/relationships/hyperlink" Target="https://www.bassin-pont-a-mousson.fr/contact.htm" TargetMode="External" Id="rId2654" /><Relationship Type="http://schemas.openxmlformats.org/officeDocument/2006/relationships/hyperlink" Target="https://lannuaire.service-public.gouv.fr/grand-est/meurthe-et-moselle/8afc618f-4a1c-41ef-a841-24bb41986e00" TargetMode="External" Id="rId2655" /><Relationship Type="http://schemas.openxmlformats.org/officeDocument/2006/relationships/hyperlink" Target="mailto:contact@ccpaysdusaintois.fr" TargetMode="External" Id="rId2656" /><Relationship Type="http://schemas.openxmlformats.org/officeDocument/2006/relationships/hyperlink" Target="https://www.ccpaysdusaintois.fr/fr/" TargetMode="External" Id="rId2657" /><Relationship Type="http://schemas.openxmlformats.org/officeDocument/2006/relationships/hyperlink" Target="https://www.ccpaysdusaintois.fr/fr/contact.html" TargetMode="External" Id="rId2658" /><Relationship Type="http://schemas.openxmlformats.org/officeDocument/2006/relationships/hyperlink" Target="https://lannuaire.service-public.gouv.fr/grand-est/meurthe-et-moselle/e51261a8-162f-4349-bb26-83cd9ba06707" TargetMode="External" Id="rId2659" /><Relationship Type="http://schemas.openxmlformats.org/officeDocument/2006/relationships/hyperlink" Target="mailto:contact@ccsanon.fr" TargetMode="External" Id="rId2660" /><Relationship Type="http://schemas.openxmlformats.org/officeDocument/2006/relationships/hyperlink" Target="https://www.ccsanon.fr/" TargetMode="External" Id="rId2661" /><Relationship Type="http://schemas.openxmlformats.org/officeDocument/2006/relationships/hyperlink" Target="https://www.ccsanon.fr/contact-ccs/" TargetMode="External" Id="rId2662" /><Relationship Type="http://schemas.openxmlformats.org/officeDocument/2006/relationships/hyperlink" Target="https://lannuaire.service-public.gouv.fr/grand-est/meurthe-et-moselle/a00c2321-ff74-42fe-8cd9-b006dfad469b" TargetMode="External" Id="rId2663" /><Relationship Type="http://schemas.openxmlformats.org/officeDocument/2006/relationships/hyperlink" Target="mailto:contact@delunevilleabaccarat.fr" TargetMode="External" Id="rId2664" /><Relationship Type="http://schemas.openxmlformats.org/officeDocument/2006/relationships/hyperlink" Target="https://delunevilleabaccarat.fr/" TargetMode="External" Id="rId2665" /><Relationship Type="http://schemas.openxmlformats.org/officeDocument/2006/relationships/hyperlink" Target="https://delunevilleabaccarat.fr/contact/" TargetMode="External" Id="rId2666" /><Relationship Type="http://schemas.openxmlformats.org/officeDocument/2006/relationships/hyperlink" Target="https://lannuaire.service-public.gouv.fr/grand-est/meurthe-et-moselle/abeb71cc-f38d-4dfa-9975-510825bab533" TargetMode="External" Id="rId2667" /><Relationship Type="http://schemas.openxmlformats.org/officeDocument/2006/relationships/hyperlink" Target="https://www.grandnancy.eu/accueil" TargetMode="External" Id="rId2668" /><Relationship Type="http://schemas.openxmlformats.org/officeDocument/2006/relationships/hyperlink" Target="https://www.grandnancy.eu/formulaires/guichet-des-formulaires/autre-demande" TargetMode="External" Id="rId2669" /><Relationship Type="http://schemas.openxmlformats.org/officeDocument/2006/relationships/hyperlink" Target="https://lannuaire.service-public.gouv.fr/grand-est/meurthe-et-moselle/24b8e3c9-72f4-4724-9d2a-8d247cb910e5" TargetMode="External" Id="rId2670" /><Relationship Type="http://schemas.openxmlformats.org/officeDocument/2006/relationships/hyperlink" Target="mailto:secretariat@coeurdupayshaut.fr" TargetMode="External" Id="rId2671" /><Relationship Type="http://schemas.openxmlformats.org/officeDocument/2006/relationships/hyperlink" Target="https://coeurdupayshaut.fr/" TargetMode="External" Id="rId2672" /><Relationship Type="http://schemas.openxmlformats.org/officeDocument/2006/relationships/hyperlink" Target="https://lannuaire.service-public.gouv.fr/grand-est/meurthe-et-moselle/61221287-1552-4261-9705-caf4e4ae42e9" TargetMode="External" Id="rId2673" /><Relationship Type="http://schemas.openxmlformats.org/officeDocument/2006/relationships/hyperlink" Target="mailto:accueil@cc-madetmoselle.fr" TargetMode="External" Id="rId2674" /><Relationship Type="http://schemas.openxmlformats.org/officeDocument/2006/relationships/hyperlink" Target="https://www.cc-madetmoselle.fr" TargetMode="External" Id="rId2675" /><Relationship Type="http://schemas.openxmlformats.org/officeDocument/2006/relationships/hyperlink" Target="https://www.cc-madetmoselle.fr/fr/contact.html" TargetMode="External" Id="rId2676" /><Relationship Type="http://schemas.openxmlformats.org/officeDocument/2006/relationships/hyperlink" Target="https://lannuaire.service-public.gouv.fr/grand-est/meurthe-et-moselle/974be2b6-ee1c-47fa-8246-28bacb55f339" TargetMode="External" Id="rId2677" /><Relationship Type="http://schemas.openxmlformats.org/officeDocument/2006/relationships/hyperlink" Target="mailto:contact@ccphva.com" TargetMode="External" Id="rId2678" /><Relationship Type="http://schemas.openxmlformats.org/officeDocument/2006/relationships/hyperlink" Target="https://www.ccphva.com/" TargetMode="External" Id="rId2679" /><Relationship Type="http://schemas.openxmlformats.org/officeDocument/2006/relationships/hyperlink" Target="https://www.ccphva.com/formulaire/formulaire-de-contact" TargetMode="External" Id="rId2680" /><Relationship Type="http://schemas.openxmlformats.org/officeDocument/2006/relationships/hyperlink" Target="https://lannuaire.service-public.gouv.fr/grand-est/moselle/542a9c19-748b-41cf-803d-3beb8c236f33" TargetMode="External" Id="rId2681" /><Relationship Type="http://schemas.openxmlformats.org/officeDocument/2006/relationships/hyperlink" Target="mailto:contact@ca-saintdie.fr" TargetMode="External" Id="rId2682" /><Relationship Type="http://schemas.openxmlformats.org/officeDocument/2006/relationships/hyperlink" Target="https://www.ca-saintdie.fr" TargetMode="External" Id="rId2683" /><Relationship Type="http://schemas.openxmlformats.org/officeDocument/2006/relationships/hyperlink" Target="https://lannuaire.service-public.gouv.fr/grand-est/vosges/0f92fff0-dd36-484c-8458-a0dd7c72fad5" TargetMode="External" Id="rId2684" /><Relationship Type="http://schemas.openxmlformats.org/officeDocument/2006/relationships/hyperlink" Target="mailto:contact@pays-colombey-sudtoulois.fr" TargetMode="External" Id="rId2685" /><Relationship Type="http://schemas.openxmlformats.org/officeDocument/2006/relationships/hyperlink" Target="https://www.pays-colombey-sudtoulois.fr//" TargetMode="External" Id="rId2686" /><Relationship Type="http://schemas.openxmlformats.org/officeDocument/2006/relationships/hyperlink" Target="https://lannuaire.service-public.gouv.fr/grand-est/meurthe-et-moselle/5fc34312-4951-46b3-b55c-3a4b1c4f4b24" TargetMode="External" Id="rId2687" /><Relationship Type="http://schemas.openxmlformats.org/officeDocument/2006/relationships/hyperlink" Target="mailto:contact@meusegrandsud.fr" TargetMode="External" Id="rId2688" /><Relationship Type="http://schemas.openxmlformats.org/officeDocument/2006/relationships/hyperlink" Target="https://www.meusegrandsud.fr" TargetMode="External" Id="rId2689" /><Relationship Type="http://schemas.openxmlformats.org/officeDocument/2006/relationships/hyperlink" Target="https://www.meusegrandsud.fr/contact" TargetMode="External" Id="rId2690" /><Relationship Type="http://schemas.openxmlformats.org/officeDocument/2006/relationships/hyperlink" Target="https://lannuaire.service-public.gouv.fr/grand-est/meuse/557e5b45-102b-475d-b7b1-28ac33db3fd5" TargetMode="External" Id="rId2691" /><Relationship Type="http://schemas.openxmlformats.org/officeDocument/2006/relationships/hyperlink" Target="mailto:contact@grandverdun.fr" TargetMode="External" Id="rId2692" /><Relationship Type="http://schemas.openxmlformats.org/officeDocument/2006/relationships/hyperlink" Target="https://www.verdun.fr/" TargetMode="External" Id="rId2693" /><Relationship Type="http://schemas.openxmlformats.org/officeDocument/2006/relationships/hyperlink" Target="https://www.verdun.fr/nous-contacter/" TargetMode="External" Id="rId2694" /><Relationship Type="http://schemas.openxmlformats.org/officeDocument/2006/relationships/hyperlink" Target="https://lannuaire.service-public.gouv.fr/grand-est/meuse/25550430-c7c1-47bf-a8e7-43e95d4541d8" TargetMode="External" Id="rId2695" /><Relationship Type="http://schemas.openxmlformats.org/officeDocument/2006/relationships/hyperlink" Target="mailto:contact@argonne-meuse.fr" TargetMode="External" Id="rId2696" /><Relationship Type="http://schemas.openxmlformats.org/officeDocument/2006/relationships/hyperlink" Target="https://argonne-meuse.fr" TargetMode="External" Id="rId2697" /><Relationship Type="http://schemas.openxmlformats.org/officeDocument/2006/relationships/hyperlink" Target="https://lannuaire.service-public.gouv.fr/grand-est/meuse/e6aef79e-d1a5-4cdd-9d21-75b4b81e4e1d" TargetMode="External" Id="rId2698" /><Relationship Type="http://schemas.openxmlformats.org/officeDocument/2006/relationships/hyperlink" Target="mailto:accueil@cc-cotesdemeuse-woevre.fr" TargetMode="External" Id="rId2699" /><Relationship Type="http://schemas.openxmlformats.org/officeDocument/2006/relationships/hyperlink" Target="http://www.cc-cotesdemeuse-woevre.fr" TargetMode="External" Id="rId2700" /><Relationship Type="http://schemas.openxmlformats.org/officeDocument/2006/relationships/hyperlink" Target="https://lannuaire.service-public.gouv.fr/grand-est/meuse/b8d01b83-d59c-49ee-97cb-f565b9f6b980" TargetMode="External" Id="rId2701" /><Relationship Type="http://schemas.openxmlformats.org/officeDocument/2006/relationships/hyperlink" Target="mailto:secretariat@ccvmvs.fr" TargetMode="External" Id="rId2702" /><Relationship Type="http://schemas.openxmlformats.org/officeDocument/2006/relationships/hyperlink" Target="https://www.valdemeusevoiesacree.com/" TargetMode="External" Id="rId2703" /><Relationship Type="http://schemas.openxmlformats.org/officeDocument/2006/relationships/hyperlink" Target="https://www.valdemeusevoiesacree.com/contact-acces_fr.html" TargetMode="External" Id="rId2704" /><Relationship Type="http://schemas.openxmlformats.org/officeDocument/2006/relationships/hyperlink" Target="https://lannuaire.service-public.gouv.fr/grand-est/meuse/906df6f6-626f-4787-b1bb-7f92daa13159" TargetMode="External" Id="rId2705" /><Relationship Type="http://schemas.openxmlformats.org/officeDocument/2006/relationships/hyperlink" Target="mailto:cc-cvv@orange.fr" TargetMode="External" Id="rId2706" /><Relationship Type="http://schemas.openxmlformats.org/officeDocument/2006/relationships/hyperlink" Target="https://cc-cvv.fr/" TargetMode="External" Id="rId2707" /><Relationship Type="http://schemas.openxmlformats.org/officeDocument/2006/relationships/hyperlink" Target="https://cc-cvv.fr/contact/" TargetMode="External" Id="rId2708" /><Relationship Type="http://schemas.openxmlformats.org/officeDocument/2006/relationships/hyperlink" Target="https://lannuaire.service-public.gouv.fr/grand-est/meuse/e94f6b26-37b4-4b56-9ada-5da3878ffd66" TargetMode="External" Id="rId2709" /><Relationship Type="http://schemas.openxmlformats.org/officeDocument/2006/relationships/hyperlink" Target="mailto:codecom@damvillers-spincourt.fr" TargetMode="External" Id="rId2710" /><Relationship Type="http://schemas.openxmlformats.org/officeDocument/2006/relationships/hyperlink" Target="https://damvillers-spincourt.com/" TargetMode="External" Id="rId2711" /><Relationship Type="http://schemas.openxmlformats.org/officeDocument/2006/relationships/hyperlink" Target="https://damvillers-spincourt.com/nous-contacter/" TargetMode="External" Id="rId2712" /><Relationship Type="http://schemas.openxmlformats.org/officeDocument/2006/relationships/hyperlink" Target="https://lannuaire.service-public.gouv.fr/grand-est/meuse/9fa3cd2c-c2e0-4c84-a5d8-7b2925067ef5" TargetMode="External" Id="rId2713" /><Relationship Type="http://schemas.openxmlformats.org/officeDocument/2006/relationships/hyperlink" Target="mailto:contact@cc-aireargonne.fr" TargetMode="External" Id="rId2714" /><Relationship Type="http://schemas.openxmlformats.org/officeDocument/2006/relationships/hyperlink" Target="https://www.cc-aireargonne.fr/" TargetMode="External" Id="rId2715" /><Relationship Type="http://schemas.openxmlformats.org/officeDocument/2006/relationships/hyperlink" Target="https://www.cc-aireargonne.fr/contact_fr.html" TargetMode="External" Id="rId2716" /><Relationship Type="http://schemas.openxmlformats.org/officeDocument/2006/relationships/hyperlink" Target="https://lannuaire.service-public.gouv.fr/grand-est/meuse/f0aaea0f-d2cf-4c85-a1bb-b4358fd56449" TargetMode="External" Id="rId2717" /><Relationship Type="http://schemas.openxmlformats.org/officeDocument/2006/relationships/hyperlink" Target="mailto:contact@portesdemeuse.fr" TargetMode="External" Id="rId2718" /><Relationship Type="http://schemas.openxmlformats.org/officeDocument/2006/relationships/hyperlink" Target="https://www.portesdemeuse.fr/" TargetMode="External" Id="rId2719" /><Relationship Type="http://schemas.openxmlformats.org/officeDocument/2006/relationships/hyperlink" Target="https://www.portesdemeuse.fr/contact/" TargetMode="External" Id="rId2720" /><Relationship Type="http://schemas.openxmlformats.org/officeDocument/2006/relationships/hyperlink" Target="https://lannuaire.service-public.gouv.fr/grand-est/meuse/93b26386-154a-4d24-9525-1e8765253f39" TargetMode="External" Id="rId2721" /><Relationship Type="http://schemas.openxmlformats.org/officeDocument/2006/relationships/hyperlink" Target="mailto:accueil@pays-etain.fr" TargetMode="External" Id="rId2722" /><Relationship Type="http://schemas.openxmlformats.org/officeDocument/2006/relationships/hyperlink" Target="https://www.pays-etain.fr/fr/" TargetMode="External" Id="rId2723" /><Relationship Type="http://schemas.openxmlformats.org/officeDocument/2006/relationships/hyperlink" Target="https://www.pays-etain.fr/fr/formulaire-de-contact" TargetMode="External" Id="rId2724" /><Relationship Type="http://schemas.openxmlformats.org/officeDocument/2006/relationships/hyperlink" Target="https://lannuaire.service-public.gouv.fr/grand-est/meuse/343fab92-29b2-4b61-8243-542aadb234cc" TargetMode="External" Id="rId2725" /><Relationship Type="http://schemas.openxmlformats.org/officeDocument/2006/relationships/hyperlink" Target="mailto:contact@codecom-paysdemontmedy.fr" TargetMode="External" Id="rId2726" /><Relationship Type="http://schemas.openxmlformats.org/officeDocument/2006/relationships/hyperlink" Target="https://www.codecom-paysdemontmedy.fr/" TargetMode="External" Id="rId2727" /><Relationship Type="http://schemas.openxmlformats.org/officeDocument/2006/relationships/hyperlink" Target="https://lannuaire.service-public.gouv.fr/grand-est/meuse/02b7cd56-40ec-4dc0-8ae1-4fec71f46257" TargetMode="External" Id="rId2728" /><Relationship Type="http://schemas.openxmlformats.org/officeDocument/2006/relationships/hyperlink" Target="mailto:contact@copary.fr" TargetMode="External" Id="rId2729" /><Relationship Type="http://schemas.openxmlformats.org/officeDocument/2006/relationships/hyperlink" Target="https://www.copary.fr/index.php" TargetMode="External" Id="rId2730" /><Relationship Type="http://schemas.openxmlformats.org/officeDocument/2006/relationships/hyperlink" Target="https://lannuaire.service-public.gouv.fr/grand-est/meuse/2c9ed901-1938-47ee-be60-de50ae62facb" TargetMode="External" Id="rId2731" /><Relationship Type="http://schemas.openxmlformats.org/officeDocument/2006/relationships/hyperlink" Target="mailto:accueil@ccstenaydun.fr" TargetMode="External" Id="rId2732" /><Relationship Type="http://schemas.openxmlformats.org/officeDocument/2006/relationships/hyperlink" Target="http://www.cc-paysdestenay-valdunois.fr" TargetMode="External" Id="rId2733" /><Relationship Type="http://schemas.openxmlformats.org/officeDocument/2006/relationships/hyperlink" Target="http://www.cc-paysdestenay-valdunois.fr/fr/nous-contacter" TargetMode="External" Id="rId2734" /><Relationship Type="http://schemas.openxmlformats.org/officeDocument/2006/relationships/hyperlink" Target="https://lannuaire.service-public.gouv.fr/grand-est/meuse/dcb74a37-d7d1-418a-8a33-3b0c91ec59d4" TargetMode="External" Id="rId2735" /><Relationship Type="http://schemas.openxmlformats.org/officeDocument/2006/relationships/hyperlink" Target="mailto:accueil@cc-sammiellois.fr" TargetMode="External" Id="rId2736" /><Relationship Type="http://schemas.openxmlformats.org/officeDocument/2006/relationships/hyperlink" Target="https://www.cc-sammiellois.fr/" TargetMode="External" Id="rId2737" /><Relationship Type="http://schemas.openxmlformats.org/officeDocument/2006/relationships/hyperlink" Target="https://lannuaire.service-public.gouv.fr/grand-est/meuse/8730af67-868f-430d-99f6-ed9257a76937" TargetMode="External" Id="rId2738" /><Relationship Type="http://schemas.openxmlformats.org/officeDocument/2006/relationships/hyperlink" Target="mailto:contact@codecomfresnes.com" TargetMode="External" Id="rId2739" /><Relationship Type="http://schemas.openxmlformats.org/officeDocument/2006/relationships/hyperlink" Target="https://codecom-fresnes.com/" TargetMode="External" Id="rId2740" /><Relationship Type="http://schemas.openxmlformats.org/officeDocument/2006/relationships/hyperlink" Target="https://codecom-fresnes.com/formulaire-de-contact/" TargetMode="External" Id="rId2741" /><Relationship Type="http://schemas.openxmlformats.org/officeDocument/2006/relationships/hyperlink" Target="https://lannuaire.service-public.gouv.fr/grand-est/meuse/b141ed02-93f8-4c25-a545-5d8b3e465c9b" TargetMode="External" Id="rId2742" /><Relationship Type="http://schemas.openxmlformats.org/officeDocument/2006/relationships/hyperlink" Target="mailto:courrier@gmvagglo.bzh" TargetMode="External" Id="rId2743" /><Relationship Type="http://schemas.openxmlformats.org/officeDocument/2006/relationships/hyperlink" Target="https://www.golfedumorbihan-vannesagglomeration.bzh/" TargetMode="External" Id="rId2744" /><Relationship Type="http://schemas.openxmlformats.org/officeDocument/2006/relationships/hyperlink" Target="https://www.golfedumorbihan-vannesagglomeration.bzh/nous-contacter/" TargetMode="External" Id="rId2745" /><Relationship Type="http://schemas.openxmlformats.org/officeDocument/2006/relationships/hyperlink" Target="https://lannuaire.service-public.gouv.fr/bretagne/morbihan/d502f4f3-3e3a-4618-b42b-ed47b9db1bc6" TargetMode="External" Id="rId2746" /><Relationship Type="http://schemas.openxmlformats.org/officeDocument/2006/relationships/hyperlink" Target="mailto:contact@agglo-lorient.fr" TargetMode="External" Id="rId2747" /><Relationship Type="http://schemas.openxmlformats.org/officeDocument/2006/relationships/hyperlink" Target="https://www.lorient-agglo.bzh/" TargetMode="External" Id="rId2748" /><Relationship Type="http://schemas.openxmlformats.org/officeDocument/2006/relationships/hyperlink" Target="https://www.lorient-agglo.bzh/agglo/contact/" TargetMode="External" Id="rId2749" /><Relationship Type="http://schemas.openxmlformats.org/officeDocument/2006/relationships/hyperlink" Target="https://lannuaire.service-public.gouv.fr/bretagne/morbihan/abab3da3-4cd6-42f1-ac88-9fa3f1bc4154" TargetMode="External" Id="rId2750" /><Relationship Type="http://schemas.openxmlformats.org/officeDocument/2006/relationships/hyperlink" Target="mailto:contact@arcsudbretagne.fr" TargetMode="External" Id="rId2751" /><Relationship Type="http://schemas.openxmlformats.org/officeDocument/2006/relationships/hyperlink" Target="https://www.arc-sud-bretagne.fr/" TargetMode="External" Id="rId2752" /><Relationship Type="http://schemas.openxmlformats.org/officeDocument/2006/relationships/hyperlink" Target="https://www.arc-sud-bretagne.fr/nous-contacter/" TargetMode="External" Id="rId2753" /><Relationship Type="http://schemas.openxmlformats.org/officeDocument/2006/relationships/hyperlink" Target="https://lannuaire.service-public.gouv.fr/bretagne/morbihan/7c804cca-e793-4551-ada9-129ba8b9ca58" TargetMode="External" Id="rId2754" /><Relationship Type="http://schemas.openxmlformats.org/officeDocument/2006/relationships/hyperlink" Target="mailto:accueil@auray-quiberon.fr" TargetMode="External" Id="rId2755" /><Relationship Type="http://schemas.openxmlformats.org/officeDocument/2006/relationships/hyperlink" Target="https://www.auray-quiberon.fr/" TargetMode="External" Id="rId2756" /><Relationship Type="http://schemas.openxmlformats.org/officeDocument/2006/relationships/hyperlink" Target="https://www.auray-quiberon.fr/contactez-nous-100.html" TargetMode="External" Id="rId2757" /><Relationship Type="http://schemas.openxmlformats.org/officeDocument/2006/relationships/hyperlink" Target="https://lannuaire.service-public.gouv.fr/bretagne/morbihan/30a95b88-408b-4105-b387-5bc8992c0e3d" TargetMode="External" Id="rId2758" /><Relationship Type="http://schemas.openxmlformats.org/officeDocument/2006/relationships/hyperlink" Target="mailto:bienvenue@ccvba.fr" TargetMode="External" Id="rId2759" /><Relationship Type="http://schemas.openxmlformats.org/officeDocument/2006/relationships/hyperlink" Target="https://www.vallee-des-baux-alpilles.fr/" TargetMode="External" Id="rId2760" /><Relationship Type="http://schemas.openxmlformats.org/officeDocument/2006/relationships/hyperlink" Target="https://www.vallee-des-baux-alpilles.fr/contactez-nous/" TargetMode="External" Id="rId2761" /><Relationship Type="http://schemas.openxmlformats.org/officeDocument/2006/relationships/hyperlink" Target="https://lannuaire.service-public.gouv.fr/provence-alpes-cote-d-azur/bouches-du-rhone/73f09749-0063-4339-8369-ee180e77ed85" TargetMode="External" Id="rId2762" /><Relationship Type="http://schemas.openxmlformats.org/officeDocument/2006/relationships/hyperlink" Target="mailto:contact@bbo-communaute.bzh" TargetMode="External" Id="rId2763" /><Relationship Type="http://schemas.openxmlformats.org/officeDocument/2006/relationships/hyperlink" Target="https://www.bbo-communaute.bzh/" TargetMode="External" Id="rId2764" /><Relationship Type="http://schemas.openxmlformats.org/officeDocument/2006/relationships/hyperlink" Target="https://www.bbo-communaute.bzh/contact.html" TargetMode="External" Id="rId2765" /><Relationship Type="http://schemas.openxmlformats.org/officeDocument/2006/relationships/hyperlink" Target="https://lannuaire.service-public.gouv.fr/bretagne/morbihan/72e1d606-0458-484a-a47b-ddf8f4335121" TargetMode="External" Id="rId2766" /><Relationship Type="http://schemas.openxmlformats.org/officeDocument/2006/relationships/hyperlink" Target="mailto:accueil@cmc.bzh" TargetMode="External" Id="rId2767" /><Relationship Type="http://schemas.openxmlformats.org/officeDocument/2006/relationships/hyperlink" Target="https://www.centremorbihancommunaute.bzh/" TargetMode="External" Id="rId2768" /><Relationship Type="http://schemas.openxmlformats.org/officeDocument/2006/relationships/hyperlink" Target="https://www.centremorbihancommunaute.bzh/contact/" TargetMode="External" Id="rId2769" /><Relationship Type="http://schemas.openxmlformats.org/officeDocument/2006/relationships/hyperlink" Target="https://lannuaire.service-public.gouv.fr/bretagne/morbihan/3328fc21-cf36-4935-b615-9f71e1bf5aa8" TargetMode="External" Id="rId2770" /><Relationship Type="http://schemas.openxmlformats.org/officeDocument/2006/relationships/hyperlink" Target="mailto:contact@ploermelcommunaute.bzh" TargetMode="External" Id="rId2771" /><Relationship Type="http://schemas.openxmlformats.org/officeDocument/2006/relationships/hyperlink" Target="https://www.ploermelcommunaute.bzh/" TargetMode="External" Id="rId2772" /><Relationship Type="http://schemas.openxmlformats.org/officeDocument/2006/relationships/hyperlink" Target="https://www.ploermelcommunaute.bzh/systeme/nous-contacter/" TargetMode="External" Id="rId2773" /><Relationship Type="http://schemas.openxmlformats.org/officeDocument/2006/relationships/hyperlink" Target="https://lannuaire.service-public.gouv.fr/bretagne/morbihan/441c1369-1306-460e-bfee-ed44615b4630" TargetMode="External" Id="rId2774" /><Relationship Type="http://schemas.openxmlformats.org/officeDocument/2006/relationships/hyperlink" Target="mailto:contact@questembert-communaute.fr" TargetMode="External" Id="rId2775" /><Relationship Type="http://schemas.openxmlformats.org/officeDocument/2006/relationships/hyperlink" Target="https://www.questembert-communaute.fr/" TargetMode="External" Id="rId2776" /><Relationship Type="http://schemas.openxmlformats.org/officeDocument/2006/relationships/hyperlink" Target="https://lannuaire.service-public.gouv.fr/bretagne/morbihan/0f9e48ad-d869-4208-9154-99d15aed4746" TargetMode="External" Id="rId2777" /><Relationship Type="http://schemas.openxmlformats.org/officeDocument/2006/relationships/hyperlink" Target="mailto:secretariat@rmcom.bzh" TargetMode="External" Id="rId2778" /><Relationship Type="http://schemas.openxmlformats.org/officeDocument/2006/relationships/hyperlink" Target="https://rmcom.bzh/" TargetMode="External" Id="rId2779" /><Relationship Type="http://schemas.openxmlformats.org/officeDocument/2006/relationships/hyperlink" Target="https://lannuaire.service-public.gouv.fr/bretagne/morbihan/eae078e1-af98-4718-97bb-27d8f520dde3" TargetMode="External" Id="rId2780" /><Relationship Type="http://schemas.openxmlformats.org/officeDocument/2006/relationships/hyperlink" Target="mailto:ccbi@ccbi.fr" TargetMode="External" Id="rId2781" /><Relationship Type="http://schemas.openxmlformats.org/officeDocument/2006/relationships/hyperlink" Target="http://www.ccbi.fr" TargetMode="External" Id="rId2782" /><Relationship Type="http://schemas.openxmlformats.org/officeDocument/2006/relationships/hyperlink" Target="https://lannuaire.service-public.gouv.fr/bretagne/morbihan/0c75e752-0d25-485e-b9a6-433f7a981f15" TargetMode="External" Id="rId2783" /><Relationship Type="http://schemas.openxmlformats.org/officeDocument/2006/relationships/hyperlink" Target="mailto:contact@oust-broceliande.bzh" TargetMode="External" Id="rId2784" /><Relationship Type="http://schemas.openxmlformats.org/officeDocument/2006/relationships/hyperlink" Target="https://www.oust-broceliande.bzh/accueil-obc" TargetMode="External" Id="rId2785" /><Relationship Type="http://schemas.openxmlformats.org/officeDocument/2006/relationships/hyperlink" Target="https://www.oust-broceliande.bzh/accueil-obc/pied-de-page/contacts" TargetMode="External" Id="rId2786" /><Relationship Type="http://schemas.openxmlformats.org/officeDocument/2006/relationships/hyperlink" Target="https://lannuaire.service-public.gouv.fr/bretagne/morbihan/91c14c46-8aac-4265-b2a3-cc280382d41f" TargetMode="External" Id="rId2787" /><Relationship Type="http://schemas.openxmlformats.org/officeDocument/2006/relationships/hyperlink" Target="mailto:communaute@casas57.fr" TargetMode="External" Id="rId2788" /><Relationship Type="http://schemas.openxmlformats.org/officeDocument/2006/relationships/hyperlink" Target="https://casas57.fr/" TargetMode="External" Id="rId2789" /><Relationship Type="http://schemas.openxmlformats.org/officeDocument/2006/relationships/hyperlink" Target="https://casas57.fr/contact/" TargetMode="External" Id="rId2790" /><Relationship Type="http://schemas.openxmlformats.org/officeDocument/2006/relationships/hyperlink" Target="https://lannuaire.service-public.gouv.fr/grand-est/moselle/e7737507-fb39-46c0-b954-4277d5463282" TargetMode="External" Id="rId2791" /><Relationship Type="http://schemas.openxmlformats.org/officeDocument/2006/relationships/hyperlink" Target="mailto:courrier@agglo-forbach.fr" TargetMode="External" Id="rId2792" /><Relationship Type="http://schemas.openxmlformats.org/officeDocument/2006/relationships/hyperlink" Target="https://www.agglo-forbach.fr/" TargetMode="External" Id="rId2793" /><Relationship Type="http://schemas.openxmlformats.org/officeDocument/2006/relationships/hyperlink" Target="https://www.agglo-forbach.fr/fr/contact.html" TargetMode="External" Id="rId2794" /><Relationship Type="http://schemas.openxmlformats.org/officeDocument/2006/relationships/hyperlink" Target="https://lannuaire.service-public.gouv.fr/grand-est/moselle/084856a4-4202-44f2-8641-0b807290f752" TargetMode="External" Id="rId2795" /><Relationship Type="http://schemas.openxmlformats.org/officeDocument/2006/relationships/hyperlink" Target="mailto:contact@ccb3f.fr" TargetMode="External" Id="rId2796" /><Relationship Type="http://schemas.openxmlformats.org/officeDocument/2006/relationships/hyperlink" Target="https://www.ccb3f.fr/" TargetMode="External" Id="rId2797" /><Relationship Type="http://schemas.openxmlformats.org/officeDocument/2006/relationships/hyperlink" Target="https://lannuaire.service-public.gouv.fr/grand-est/moselle/7f135c86-09b1-46fe-a546-a0d0a426e051" TargetMode="External" Id="rId2798" /><Relationship Type="http://schemas.openxmlformats.org/officeDocument/2006/relationships/hyperlink" Target="mailto:accueil@cchcpp.fr" TargetMode="External" Id="rId2799" /><Relationship Type="http://schemas.openxmlformats.org/officeDocument/2006/relationships/hyperlink" Target="https://www.cchcpp.fr" TargetMode="External" Id="rId2800" /><Relationship Type="http://schemas.openxmlformats.org/officeDocument/2006/relationships/hyperlink" Target="https://www.cchcpp.fr/fr/contact.html" TargetMode="External" Id="rId2801" /><Relationship Type="http://schemas.openxmlformats.org/officeDocument/2006/relationships/hyperlink" Target="https://lannuaire.service-public.gouv.fr/grand-est/moselle/56d46523-f3ce-4737-a970-9376d2bcfb1f" TargetMode="External" Id="rId2802" /><Relationship Type="http://schemas.openxmlformats.org/officeDocument/2006/relationships/hyperlink" Target="mailto:contact@cchpb.net" TargetMode="External" Id="rId2803" /><Relationship Type="http://schemas.openxmlformats.org/officeDocument/2006/relationships/hyperlink" Target="https://www.paysboulageois.fr/" TargetMode="External" Id="rId2804" /><Relationship Type="http://schemas.openxmlformats.org/officeDocument/2006/relationships/hyperlink" Target="https://lannuaire.service-public.gouv.fr/grand-est/moselle/2c18293c-0e9a-47c4-bb5d-937c691402d4" TargetMode="External" Id="rId2805" /><Relationship Type="http://schemas.openxmlformats.org/officeDocument/2006/relationships/hyperlink" Target="mailto:accueil@rivesdemoselle.fr" TargetMode="External" Id="rId2806" /><Relationship Type="http://schemas.openxmlformats.org/officeDocument/2006/relationships/hyperlink" Target="https://www.rivesdemoselle.fr/" TargetMode="External" Id="rId2807" /><Relationship Type="http://schemas.openxmlformats.org/officeDocument/2006/relationships/hyperlink" Target="https://www.rivesdemoselle.fr/sinformer-participer/#unequestionuneidee" TargetMode="External" Id="rId2808" /><Relationship Type="http://schemas.openxmlformats.org/officeDocument/2006/relationships/hyperlink" Target="https://lannuaire.service-public.gouv.fr/grand-est/moselle/b034bb97-c514-47ca-9f2f-8c4abfffc64f" TargetMode="External" Id="rId2809" /><Relationship Type="http://schemas.openxmlformats.org/officeDocument/2006/relationships/hyperlink" Target="mailto:contact@cc-sms.fr" TargetMode="External" Id="rId2810" /><Relationship Type="http://schemas.openxmlformats.org/officeDocument/2006/relationships/hyperlink" Target="https://www.cc-sms.fr/" TargetMode="External" Id="rId2811" /><Relationship Type="http://schemas.openxmlformats.org/officeDocument/2006/relationships/hyperlink" Target="https://www.cc-sms.fr/contact/" TargetMode="External" Id="rId2812" /><Relationship Type="http://schemas.openxmlformats.org/officeDocument/2006/relationships/hyperlink" Target="https://lannuaire.service-public.gouv.fr/grand-est/moselle/7619a292-81e4-4723-9550-39a048bce78c" TargetMode="External" Id="rId2813" /><Relationship Type="http://schemas.openxmlformats.org/officeDocument/2006/relationships/hyperlink" Target="mailto:accueil@cc-ce.com" TargetMode="External" Id="rId2814" /><Relationship Type="http://schemas.openxmlformats.org/officeDocument/2006/relationships/hyperlink" Target="https://www.ccce.fr" TargetMode="External" Id="rId2815" /><Relationship Type="http://schemas.openxmlformats.org/officeDocument/2006/relationships/hyperlink" Target="https://www.ccce.fr/contact-ccce" TargetMode="External" Id="rId2816" /><Relationship Type="http://schemas.openxmlformats.org/officeDocument/2006/relationships/hyperlink" Target="https://lannuaire.service-public.gouv.fr/grand-est/moselle/0550a892-efd8-44a6-8d9a-462b245dc85f" TargetMode="External" Id="rId2817" /><Relationship Type="http://schemas.openxmlformats.org/officeDocument/2006/relationships/hyperlink" Target="mailto:ccfm@cc-freyming-merlebach.fr" TargetMode="External" Id="rId2818" /><Relationship Type="http://schemas.openxmlformats.org/officeDocument/2006/relationships/hyperlink" Target="https://www.cc-freyming-merlebach.fr/" TargetMode="External" Id="rId2819" /><Relationship Type="http://schemas.openxmlformats.org/officeDocument/2006/relationships/hyperlink" Target="https://www.cc-freyming-merlebach.fr/contact/" TargetMode="External" Id="rId2820" /><Relationship Type="http://schemas.openxmlformats.org/officeDocument/2006/relationships/hyperlink" Target="https://lannuaire.service-public.gouv.fr/grand-est/moselle/2f374a73-9df8-4cb5-b28d-b21c29ac066b" TargetMode="External" Id="rId2821" /><Relationship Type="http://schemas.openxmlformats.org/officeDocument/2006/relationships/hyperlink" Target="mailto:contact@arcmosellan.fr" TargetMode="External" Id="rId2822" /><Relationship Type="http://schemas.openxmlformats.org/officeDocument/2006/relationships/hyperlink" Target="https://www.arcmosellan.fr/" TargetMode="External" Id="rId2823" /><Relationship Type="http://schemas.openxmlformats.org/officeDocument/2006/relationships/hyperlink" Target="https://www.arcmosellan.fr/formulaire-de-contact/" TargetMode="External" Id="rId2824" /><Relationship Type="http://schemas.openxmlformats.org/officeDocument/2006/relationships/hyperlink" Target="https://lannuaire.service-public.gouv.fr/grand-est/moselle/d29bf394-63df-48f6-ba0e-ab716fa9be71" TargetMode="External" Id="rId2825" /><Relationship Type="http://schemas.openxmlformats.org/officeDocument/2006/relationships/hyperlink" Target="mailto:dg@dufcc.com" TargetMode="External" Id="rId2826" /><Relationship Type="http://schemas.openxmlformats.org/officeDocument/2006/relationships/hyperlink" Target="https://www.dufcc.com/fr/" TargetMode="External" Id="rId2827" /><Relationship Type="http://schemas.openxmlformats.org/officeDocument/2006/relationships/hyperlink" Target="https://www.dufcc.com/fr/contact.html" TargetMode="External" Id="rId2828" /><Relationship Type="http://schemas.openxmlformats.org/officeDocument/2006/relationships/hyperlink" Target="https://lannuaire.service-public.gouv.fr/grand-est/moselle/57d94f9d-1513-46c3-a479-3cde6484daaa" TargetMode="External" Id="rId2829" /><Relationship Type="http://schemas.openxmlformats.org/officeDocument/2006/relationships/hyperlink" Target="mailto:ccpom@ccpom.fr" TargetMode="External" Id="rId2830" /><Relationship Type="http://schemas.openxmlformats.org/officeDocument/2006/relationships/hyperlink" Target="https://www.ccpom.fr/" TargetMode="External" Id="rId2831" /><Relationship Type="http://schemas.openxmlformats.org/officeDocument/2006/relationships/hyperlink" Target="https://www.ccpom.fr/contact/" TargetMode="External" Id="rId2832" /><Relationship Type="http://schemas.openxmlformats.org/officeDocument/2006/relationships/hyperlink" Target="https://lannuaire.service-public.gouv.fr/grand-est/moselle/c9029905-ce17-4084-b836-f041b384a9c5" TargetMode="External" Id="rId2833" /><Relationship Type="http://schemas.openxmlformats.org/officeDocument/2006/relationships/hyperlink" Target="mailto:contact@cc-paysdebitche.fr" TargetMode="External" Id="rId2834" /><Relationship Type="http://schemas.openxmlformats.org/officeDocument/2006/relationships/hyperlink" Target="https://www.cc-paysdebitche.fr" TargetMode="External" Id="rId2835" /><Relationship Type="http://schemas.openxmlformats.org/officeDocument/2006/relationships/hyperlink" Target="https://www.cc-paysdebitche.fr/contact/" TargetMode="External" Id="rId2836" /><Relationship Type="http://schemas.openxmlformats.org/officeDocument/2006/relationships/hyperlink" Target="https://lannuaire.service-public.gouv.fr/grand-est/moselle/9d8dd5f1-8778-4127-a359-b7680296bf07" TargetMode="External" Id="rId2837" /><Relationship Type="http://schemas.openxmlformats.org/officeDocument/2006/relationships/hyperlink" Target="mailto:contact@paysdephalsbourg.fr" TargetMode="External" Id="rId2838" /><Relationship Type="http://schemas.openxmlformats.org/officeDocument/2006/relationships/hyperlink" Target="https://www.paysdephalsbourg.fr/" TargetMode="External" Id="rId2839" /><Relationship Type="http://schemas.openxmlformats.org/officeDocument/2006/relationships/hyperlink" Target="https://www.paysdephalsbourg.fr/nous-contacter/" TargetMode="External" Id="rId2840" /><Relationship Type="http://schemas.openxmlformats.org/officeDocument/2006/relationships/hyperlink" Target="https://lannuaire.service-public.gouv.fr/grand-est/moselle/80d4e481-5e60-4c99-a458-9f0994c23525" TargetMode="External" Id="rId2841" /><Relationship Type="http://schemas.openxmlformats.org/officeDocument/2006/relationships/hyperlink" Target="mailto:administration@cc-saulnois.fr" TargetMode="External" Id="rId2842" /><Relationship Type="http://schemas.openxmlformats.org/officeDocument/2006/relationships/hyperlink" Target="https://www.cc-saulnois.fr/" TargetMode="External" Id="rId2843" /><Relationship Type="http://schemas.openxmlformats.org/officeDocument/2006/relationships/hyperlink" Target="https://www.cc-saulnois.fr/contact/" TargetMode="External" Id="rId2844" /><Relationship Type="http://schemas.openxmlformats.org/officeDocument/2006/relationships/hyperlink" Target="https://lannuaire.service-public.gouv.fr/grand-est/moselle/5d57decc-912d-4a28-a443-9caac5d1dc4c" TargetMode="External" Id="rId2845" /><Relationship Type="http://schemas.openxmlformats.org/officeDocument/2006/relationships/hyperlink" Target="mailto:contact@sudmessin.fr" TargetMode="External" Id="rId2846" /><Relationship Type="http://schemas.openxmlformats.org/officeDocument/2006/relationships/hyperlink" Target="http://www.sudmessin.fr" TargetMode="External" Id="rId2847" /><Relationship Type="http://schemas.openxmlformats.org/officeDocument/2006/relationships/hyperlink" Target="https://lannuaire.service-public.gouv.fr/grand-est/moselle/0b68ef3d-0ef6-44dc-8d61-e4e736ed811c" TargetMode="External" Id="rId2848" /><Relationship Type="http://schemas.openxmlformats.org/officeDocument/2006/relationships/hyperlink" Target="mailto:contact@ccwarndt.fr" TargetMode="External" Id="rId2849" /><Relationship Type="http://schemas.openxmlformats.org/officeDocument/2006/relationships/hyperlink" Target="https://ccwarndt.fr/" TargetMode="External" Id="rId2850" /><Relationship Type="http://schemas.openxmlformats.org/officeDocument/2006/relationships/hyperlink" Target="https://lannuaire.service-public.gouv.fr/grand-est/moselle/e40a6cda-2c12-4e00-93c9-68bb810dbfbd" TargetMode="External" Id="rId2851" /><Relationship Type="http://schemas.openxmlformats.org/officeDocument/2006/relationships/hyperlink" Target="mailto:accueilsiege@eurometropolemetz.eu" TargetMode="External" Id="rId2852" /><Relationship Type="http://schemas.openxmlformats.org/officeDocument/2006/relationships/hyperlink" Target="https://www.eurometropolemetz.eu/" TargetMode="External" Id="rId2853" /><Relationship Type="http://schemas.openxmlformats.org/officeDocument/2006/relationships/hyperlink" Target="https://demarches.services.eurometropolemetz.eu/metz-metropole/formulaire-de-contact-mm/" TargetMode="External" Id="rId2854" /><Relationship Type="http://schemas.openxmlformats.org/officeDocument/2006/relationships/hyperlink" Target="https://lannuaire.service-public.gouv.fr/grand-est/moselle/5faa58c0-5de6-4b10-9de2-42c4323cbe61" TargetMode="External" Id="rId2855" /><Relationship Type="http://schemas.openxmlformats.org/officeDocument/2006/relationships/hyperlink" Target="mailto:contact@agglo-sarreguemines.fr" TargetMode="External" Id="rId2856" /><Relationship Type="http://schemas.openxmlformats.org/officeDocument/2006/relationships/hyperlink" Target="https://www.agglo-sarreguemines.fr/" TargetMode="External" Id="rId2857" /><Relationship Type="http://schemas.openxmlformats.org/officeDocument/2006/relationships/hyperlink" Target="https://www.agglo-sarreguemines.fr/contact/" TargetMode="External" Id="rId2858" /><Relationship Type="http://schemas.openxmlformats.org/officeDocument/2006/relationships/hyperlink" Target="https://lannuaire.service-public.gouv.fr/grand-est/moselle/bba7e4ed-8a2f-4ccd-9e12-acd13415c418" TargetMode="External" Id="rId2859" /><Relationship Type="http://schemas.openxmlformats.org/officeDocument/2006/relationships/hyperlink" Target="mailto:contact@agglo-nevers.fr" TargetMode="External" Id="rId2860" /><Relationship Type="http://schemas.openxmlformats.org/officeDocument/2006/relationships/hyperlink" Target="https://www.agglo-nevers.net/" TargetMode="External" Id="rId2861" /><Relationship Type="http://schemas.openxmlformats.org/officeDocument/2006/relationships/hyperlink" Target="https://lannuaire.service-public.gouv.fr/bourgogne-franche-comte/nievre/18336d96-68cb-4ef1-baa8-ad9539e44501" TargetMode="External" Id="rId2862" /><Relationship Type="http://schemas.openxmlformats.org/officeDocument/2006/relationships/hyperlink" Target="mailto:contact@ccacn.fr" TargetMode="External" Id="rId2863" /><Relationship Type="http://schemas.openxmlformats.org/officeDocument/2006/relationships/hyperlink" Target="https://cc-amognescoeurdunivernais.fr/" TargetMode="External" Id="rId2864" /><Relationship Type="http://schemas.openxmlformats.org/officeDocument/2006/relationships/hyperlink" Target="https://lannuaire.service-public.gouv.fr/bourgogne-franche-comte/nievre/dd0926c6-1e1c-44d8-bb75-d14c2527ada0" TargetMode="External" Id="rId2865" /><Relationship Type="http://schemas.openxmlformats.org/officeDocument/2006/relationships/hyperlink" Target="mailto:contact@bazoisloiremorvan.fr" TargetMode="External" Id="rId2866" /><Relationship Type="http://schemas.openxmlformats.org/officeDocument/2006/relationships/hyperlink" Target="https://www.bazoisloiremorvan.fr/" TargetMode="External" Id="rId2867" /><Relationship Type="http://schemas.openxmlformats.org/officeDocument/2006/relationships/hyperlink" Target="https://www.bazoisloiremorvan.fr/contactez-nous/" TargetMode="External" Id="rId2868" /><Relationship Type="http://schemas.openxmlformats.org/officeDocument/2006/relationships/hyperlink" Target="https://lannuaire.service-public.gouv.fr/bourgogne-franche-comte/nievre/e0e23cd0-c8e6-4c25-8b74-66a8f7ce2bff" TargetMode="External" Id="rId2869" /><Relationship Type="http://schemas.openxmlformats.org/officeDocument/2006/relationships/hyperlink" Target="mailto:contact@coeurdeloire.fr" TargetMode="External" Id="rId2870" /><Relationship Type="http://schemas.openxmlformats.org/officeDocument/2006/relationships/hyperlink" Target="https://www.coeurdeloire.fr/" TargetMode="External" Id="rId2871" /><Relationship Type="http://schemas.openxmlformats.org/officeDocument/2006/relationships/hyperlink" Target="https://www.coeurdeloire.fr/contact/" TargetMode="External" Id="rId2872" /><Relationship Type="http://schemas.openxmlformats.org/officeDocument/2006/relationships/hyperlink" Target="https://lannuaire.service-public.gouv.fr/bourgogne-franche-comte/nievre/49ec768b-c110-4a94-9e77-3b52dddeccbe" TargetMode="External" Id="rId2873" /><Relationship Type="http://schemas.openxmlformats.org/officeDocument/2006/relationships/hyperlink" Target="mailto:administratif@cc-loire-allier.fr" TargetMode="External" Id="rId2874" /><Relationship Type="http://schemas.openxmlformats.org/officeDocument/2006/relationships/hyperlink" Target="http://www.cc-loire-allier.fr" TargetMode="External" Id="rId2875" /><Relationship Type="http://schemas.openxmlformats.org/officeDocument/2006/relationships/hyperlink" Target="https://lannuaire.service-public.gouv.fr/bourgogne-franche-comte/nievre/08e97c1c-a502-4d5c-b2be-da20653ad377" TargetMode="External" Id="rId2876" /><Relationship Type="http://schemas.openxmlformats.org/officeDocument/2006/relationships/hyperlink" Target="mailto:contact@ccmorvan.fr" TargetMode="External" Id="rId2877" /><Relationship Type="http://schemas.openxmlformats.org/officeDocument/2006/relationships/hyperlink" Target="https://www.ccmorvan.fr/" TargetMode="External" Id="rId2878" /><Relationship Type="http://schemas.openxmlformats.org/officeDocument/2006/relationships/hyperlink" Target="https://lannuaire.service-public.gouv.fr/bourgogne-franche-comte/nievre/fbce022e-eaaa-4119-a3ee-6338966b2e1c" TargetMode="External" Id="rId2879" /><Relationship Type="http://schemas.openxmlformats.org/officeDocument/2006/relationships/hyperlink" Target="mailto:accueil@ccsn.fr" TargetMode="External" Id="rId2880" /><Relationship Type="http://schemas.openxmlformats.org/officeDocument/2006/relationships/hyperlink" Target="https://www.sud-nivernais-communaute.fr/" TargetMode="External" Id="rId2881" /><Relationship Type="http://schemas.openxmlformats.org/officeDocument/2006/relationships/hyperlink" Target="https://www.sud-nivernais-communaute.fr/systeme/nous-contacter/" TargetMode="External" Id="rId2882" /><Relationship Type="http://schemas.openxmlformats.org/officeDocument/2006/relationships/hyperlink" Target="https://lannuaire.service-public.gouv.fr/bourgogne-franche-comte/nievre/2306bbfa-0f13-45a2-ba72-4ba73f452f12" TargetMode="External" Id="rId2883" /><Relationship Type="http://schemas.openxmlformats.org/officeDocument/2006/relationships/hyperlink" Target="mailto:accueil@cctbc.fr" TargetMode="External" Id="rId2884" /><Relationship Type="http://schemas.openxmlformats.org/officeDocument/2006/relationships/hyperlink" Target="https://www.tannay-brinon-corbigny.fr" TargetMode="External" Id="rId2885" /><Relationship Type="http://schemas.openxmlformats.org/officeDocument/2006/relationships/hyperlink" Target="https://www.tannay-brinon-corbigny.fr/contact/" TargetMode="External" Id="rId2886" /><Relationship Type="http://schemas.openxmlformats.org/officeDocument/2006/relationships/hyperlink" Target="https://lannuaire.service-public.gouv.fr/bourgogne-franche-comte/nievre/fd3f40ff-96ea-4c52-b637-2ff65e1269eb" TargetMode="External" Id="rId2887" /><Relationship Type="http://schemas.openxmlformats.org/officeDocument/2006/relationships/hyperlink" Target="mailto:accueilccnb@orange.fr" TargetMode="External" Id="rId2888" /><Relationship Type="http://schemas.openxmlformats.org/officeDocument/2006/relationships/hyperlink" Target="https://www.nivernais-bourbonnais.com/" TargetMode="External" Id="rId2889" /><Relationship Type="http://schemas.openxmlformats.org/officeDocument/2006/relationships/hyperlink" Target="https://www.nivernais-bourbonnais.com/contact/" TargetMode="External" Id="rId2890" /><Relationship Type="http://schemas.openxmlformats.org/officeDocument/2006/relationships/hyperlink" Target="https://lannuaire.service-public.gouv.fr/bourgogne-franche-comte/nievre/be5b7e77-a409-488b-a809-bcd89f4035c9" TargetMode="External" Id="rId2891" /><Relationship Type="http://schemas.openxmlformats.org/officeDocument/2006/relationships/hyperlink" Target="mailto:contact@cchnvy.fr" TargetMode="External" Id="rId2892" /><Relationship Type="http://schemas.openxmlformats.org/officeDocument/2006/relationships/hyperlink" Target="https://www.cchnvy.fr/" TargetMode="External" Id="rId2893" /><Relationship Type="http://schemas.openxmlformats.org/officeDocument/2006/relationships/hyperlink" Target="https://www.cchnvy.fr/contact/" TargetMode="External" Id="rId2894" /><Relationship Type="http://schemas.openxmlformats.org/officeDocument/2006/relationships/hyperlink" Target="https://lannuaire.service-public.gouv.fr/bourgogne-franche-comte/nievre/d00b025f-6f16-415a-8c89-d643ee483ed2" TargetMode="External" Id="rId2895" /><Relationship Type="http://schemas.openxmlformats.org/officeDocument/2006/relationships/hyperlink" Target="mailto:contact@cc-puisayeforterre.fr" TargetMode="External" Id="rId2896" /><Relationship Type="http://schemas.openxmlformats.org/officeDocument/2006/relationships/hyperlink" Target="https://www.puisaye-forterre.com/" TargetMode="External" Id="rId2897" /><Relationship Type="http://schemas.openxmlformats.org/officeDocument/2006/relationships/hyperlink" Target="https://lannuaire.service-public.gouv.fr/bourgogne-franche-comte/yonne/455c3c62-1a45-4707-8b9c-533e18a31108" TargetMode="External" Id="rId2898" /><Relationship Type="http://schemas.openxmlformats.org/officeDocument/2006/relationships/hyperlink" Target="mailto:contact@coeurdostreventagglo.fr" TargetMode="External" Id="rId2899" /><Relationship Type="http://schemas.openxmlformats.org/officeDocument/2006/relationships/hyperlink" Target="https://coeurdostrevent.fr/" TargetMode="External" Id="rId2900" /><Relationship Type="http://schemas.openxmlformats.org/officeDocument/2006/relationships/hyperlink" Target="https://coeurdostrevent.fr/nous-contacter/" TargetMode="External" Id="rId2901" /><Relationship Type="http://schemas.openxmlformats.org/officeDocument/2006/relationships/hyperlink" Target="https://lannuaire.service-public.gouv.fr/hauts-de-france/nord/19325ac3-de97-4764-b8bf-02bdbeff871e" TargetMode="External" Id="rId2902" /><Relationship Type="http://schemas.openxmlformats.org/officeDocument/2006/relationships/hyperlink" Target="mailto:mailccom@cc-flandreinterieure.fr" TargetMode="External" Id="rId2903" /><Relationship Type="http://schemas.openxmlformats.org/officeDocument/2006/relationships/hyperlink" Target="https://ca-coeurdeflandre.fr/" TargetMode="External" Id="rId2904" /><Relationship Type="http://schemas.openxmlformats.org/officeDocument/2006/relationships/hyperlink" Target="https://lannuaire.service-public.gouv.fr/hauts-de-france/nord/7eac9709-b2db-4f4b-be38-c2570faf8b70" TargetMode="External" Id="rId2905" /><Relationship Type="http://schemas.openxmlformats.org/officeDocument/2006/relationships/hyperlink" Target="mailto:contact@douaisis-agglo.com" TargetMode="External" Id="rId2906" /><Relationship Type="http://schemas.openxmlformats.org/officeDocument/2006/relationships/hyperlink" Target="https://www.douaisis-agglo.com/" TargetMode="External" Id="rId2907" /><Relationship Type="http://schemas.openxmlformats.org/officeDocument/2006/relationships/hyperlink" Target="https://www.douaisis-agglo.com/contacter-un-service-de-douaisis-agglo" TargetMode="External" Id="rId2908" /><Relationship Type="http://schemas.openxmlformats.org/officeDocument/2006/relationships/hyperlink" Target="https://lannuaire.service-public.gouv.fr/hauts-de-france/nord/be8bfe3b-cd29-4558-94b7-416e62525ef4" TargetMode="External" Id="rId2909" /><Relationship Type="http://schemas.openxmlformats.org/officeDocument/2006/relationships/hyperlink" Target="mailto:amvs@amvs.fr" TargetMode="External" Id="rId2910" /><Relationship Type="http://schemas.openxmlformats.org/officeDocument/2006/relationships/hyperlink" Target="https://agglo-maubeugevaldesambre.fr/" TargetMode="External" Id="rId2911" /><Relationship Type="http://schemas.openxmlformats.org/officeDocument/2006/relationships/hyperlink" Target="https://agglo-maubeugevaldesambre.fr/contact/" TargetMode="External" Id="rId2912" /><Relationship Type="http://schemas.openxmlformats.org/officeDocument/2006/relationships/hyperlink" Target="https://lannuaire.service-public.gouv.fr/hauts-de-france/nord/0a98fa2b-758f-4dcb-92a5-33b0191c81f9" TargetMode="External" Id="rId2913" /><Relationship Type="http://schemas.openxmlformats.org/officeDocument/2006/relationships/hyperlink" Target="mailto:communication.cavm@valenciennes-metropole.fr" TargetMode="External" Id="rId2914" /><Relationship Type="http://schemas.openxmlformats.org/officeDocument/2006/relationships/hyperlink" Target="https://www.valenciennes-metropole.fr/" TargetMode="External" Id="rId2915" /><Relationship Type="http://schemas.openxmlformats.org/officeDocument/2006/relationships/hyperlink" Target="https://www.valenciennes-metropole.fr/contact/" TargetMode="External" Id="rId2916" /><Relationship Type="http://schemas.openxmlformats.org/officeDocument/2006/relationships/hyperlink" Target="https://lannuaire.service-public.gouv.fr/hauts-de-france/nord/3440f7da-c14d-489e-9a85-05ffa3dfde2d" TargetMode="External" Id="rId2917" /><Relationship Type="http://schemas.openxmlformats.org/officeDocument/2006/relationships/hyperlink" Target="mailto:contact@agglo-cambrai.fr" TargetMode="External" Id="rId2918" /><Relationship Type="http://schemas.openxmlformats.org/officeDocument/2006/relationships/hyperlink" Target="https://www.agglo-cambrai.fr/" TargetMode="External" Id="rId2919" /><Relationship Type="http://schemas.openxmlformats.org/officeDocument/2006/relationships/hyperlink" Target="https://lannuaire.service-public.gouv.fr/hauts-de-france/nord/12093c70-ef1c-49e4-b89c-38d85e8e2f32" TargetMode="External" Id="rId2920" /><Relationship Type="http://schemas.openxmlformats.org/officeDocument/2006/relationships/hyperlink" Target="mailto:contact@agglo-porteduhainaut.fr" TargetMode="External" Id="rId2921" /><Relationship Type="http://schemas.openxmlformats.org/officeDocument/2006/relationships/hyperlink" Target="https://www.agglo-porteduhainaut.fr/" TargetMode="External" Id="rId2922" /><Relationship Type="http://schemas.openxmlformats.org/officeDocument/2006/relationships/hyperlink" Target="https://lannuaire.service-public.gouv.fr/hauts-de-france/nord/2cd6860d-259b-4d53-8d32-273a3a42bf99" TargetMode="External" Id="rId2923" /><Relationship Type="http://schemas.openxmlformats.org/officeDocument/2006/relationships/hyperlink" Target="mailto:secretariat@caudresis-catesis.fr" TargetMode="External" Id="rId2924" /><Relationship Type="http://schemas.openxmlformats.org/officeDocument/2006/relationships/hyperlink" Target="https://www.caudresis-catesis.fr/" TargetMode="External" Id="rId2925" /><Relationship Type="http://schemas.openxmlformats.org/officeDocument/2006/relationships/hyperlink" Target="https://www.caudresis-catesis.fr/contact.html" TargetMode="External" Id="rId2926" /><Relationship Type="http://schemas.openxmlformats.org/officeDocument/2006/relationships/hyperlink" Target="https://lannuaire.service-public.gouv.fr/hauts-de-france/nord/eff253d1-b5bb-4b73-8c09-3cdb35ccdd60" TargetMode="External" Id="rId2927" /><Relationship Type="http://schemas.openxmlformats.org/officeDocument/2006/relationships/hyperlink" Target="mailto:accueil@coeur-avesnois.fr" TargetMode="External" Id="rId2928" /><Relationship Type="http://schemas.openxmlformats.org/officeDocument/2006/relationships/hyperlink" Target="https://www.coeur-avesnois.fr/" TargetMode="External" Id="rId2929" /><Relationship Type="http://schemas.openxmlformats.org/officeDocument/2006/relationships/hyperlink" Target="https://www.coeur-avesnois.fr/contact" TargetMode="External" Id="rId2930" /><Relationship Type="http://schemas.openxmlformats.org/officeDocument/2006/relationships/hyperlink" Target="https://lannuaire.service-public.gouv.fr/hauts-de-france/nord/ac272ca6-77f2-47c9-8118-7d490c7a2f20" TargetMode="External" Id="rId2931" /><Relationship Type="http://schemas.openxmlformats.org/officeDocument/2006/relationships/hyperlink" Target="mailto:contact@pevelecarembault.fr" TargetMode="External" Id="rId2932" /><Relationship Type="http://schemas.openxmlformats.org/officeDocument/2006/relationships/hyperlink" Target="https://www.pevelecarembault.fr/" TargetMode="External" Id="rId2933" /><Relationship Type="http://schemas.openxmlformats.org/officeDocument/2006/relationships/hyperlink" Target="https://demarches.pevelecarembault.fr/user/login?destination=/formulaire/contacter-un-service-de-la-pevel" TargetMode="External" Id="rId2934" /><Relationship Type="http://schemas.openxmlformats.org/officeDocument/2006/relationships/hyperlink" Target="https://lannuaire.service-public.gouv.fr/hauts-de-france/nord/d6113487-2ac1-404a-a53e-c0f4b43d075a" TargetMode="External" Id="rId2935" /><Relationship Type="http://schemas.openxmlformats.org/officeDocument/2006/relationships/hyperlink" Target="mailto:contact@cchf.fr" TargetMode="External" Id="rId2936" /><Relationship Type="http://schemas.openxmlformats.org/officeDocument/2006/relationships/hyperlink" Target="https://www.cchf.fr/" TargetMode="External" Id="rId2937" /><Relationship Type="http://schemas.openxmlformats.org/officeDocument/2006/relationships/hyperlink" Target="https://www.facebook.com/cchf.fr/" TargetMode="External" Id="rId2938" /><Relationship Type="http://schemas.openxmlformats.org/officeDocument/2006/relationships/hyperlink" Target="https://lannuaire.service-public.gouv.fr/hauts-de-france/nord/68860c19-0e63-4a48-959c-74fd133efb9f" TargetMode="External" Id="rId2939" /><Relationship Type="http://schemas.openxmlformats.org/officeDocument/2006/relationships/hyperlink" Target="mailto:contact@ccpays-solesmois.fr" TargetMode="External" Id="rId2940" /><Relationship Type="http://schemas.openxmlformats.org/officeDocument/2006/relationships/hyperlink" Target="https://www.ccpays-solesmois.fr/" TargetMode="External" Id="rId2941" /><Relationship Type="http://schemas.openxmlformats.org/officeDocument/2006/relationships/hyperlink" Target="https://www.ccpays-solesmois.fr/contact-forms/" TargetMode="External" Id="rId2942" /><Relationship Type="http://schemas.openxmlformats.org/officeDocument/2006/relationships/hyperlink" Target="https://lannuaire.service-public.gouv.fr/hauts-de-france/nord/b8d35482-1ecd-4814-934d-9d84ed0ad758" TargetMode="External" Id="rId2943" /><Relationship Type="http://schemas.openxmlformats.org/officeDocument/2006/relationships/hyperlink" Target="mailto:contact@cc-paysdemormal.fr" TargetMode="External" Id="rId2944" /><Relationship Type="http://schemas.openxmlformats.org/officeDocument/2006/relationships/hyperlink" Target="https://www.cc-paysdemormal.fr/" TargetMode="External" Id="rId2945" /><Relationship Type="http://schemas.openxmlformats.org/officeDocument/2006/relationships/hyperlink" Target="https://www.cc-paysdemormal.fr/nous-contacter/" TargetMode="External" Id="rId2946" /><Relationship Type="http://schemas.openxmlformats.org/officeDocument/2006/relationships/hyperlink" Target="https://lannuaire.service-public.gouv.fr/hauts-de-france/nord/0ff65e15-439f-4e26-a457-fe0c7c73bd87" TargetMode="External" Id="rId2947" /><Relationship Type="http://schemas.openxmlformats.org/officeDocument/2006/relationships/hyperlink" Target="mailto:contact@cc-sudavesnois.fr" TargetMode="External" Id="rId2948" /><Relationship Type="http://schemas.openxmlformats.org/officeDocument/2006/relationships/hyperlink" Target="https://cc-sudavesnois.fr/" TargetMode="External" Id="rId2949" /><Relationship Type="http://schemas.openxmlformats.org/officeDocument/2006/relationships/hyperlink" Target="https://cc-sudavesnois.fr/" TargetMode="External" Id="rId2950" /><Relationship Type="http://schemas.openxmlformats.org/officeDocument/2006/relationships/hyperlink" Target="https://lannuaire.service-public.gouv.fr/hauts-de-france/nord/d9b3db90-127a-4248-b94b-f073a9d61cba" TargetMode="External" Id="rId2951" /><Relationship Type="http://schemas.openxmlformats.org/officeDocument/2006/relationships/hyperlink" Target="mailto:contact@ville-dunkerque.fr" TargetMode="External" Id="rId2952" /><Relationship Type="http://schemas.openxmlformats.org/officeDocument/2006/relationships/hyperlink" Target="https://www.communaute-urbaine-dunkerque.fr/" TargetMode="External" Id="rId2953" /><Relationship Type="http://schemas.openxmlformats.org/officeDocument/2006/relationships/hyperlink" Target="https://demarches.cud.fr/demarche/DPO?form=site&amp;id=6a636d382ea6e05f020d182f&amp;trackcode=BAY74Y6C33" TargetMode="External" Id="rId2954" /><Relationship Type="http://schemas.openxmlformats.org/officeDocument/2006/relationships/hyperlink" Target="https://lannuaire.service-public.gouv.fr/hauts-de-france/nord/b5ca3353-de16-4003-ac42-2199d77e2884" TargetMode="External" Id="rId2955" /><Relationship Type="http://schemas.openxmlformats.org/officeDocument/2006/relationships/hyperlink" Target="mailto:contact@lillemetropole.fr" TargetMode="External" Id="rId2956" /><Relationship Type="http://schemas.openxmlformats.org/officeDocument/2006/relationships/hyperlink" Target="https://www.lillemetropole.fr/" TargetMode="External" Id="rId2957" /><Relationship Type="http://schemas.openxmlformats.org/officeDocument/2006/relationships/hyperlink" Target="https://lannuaire.service-public.gouv.fr/hauts-de-france/nord/11205853-0de1-4cd7-8410-c7cf6f498a3e" TargetMode="External" Id="rId2958" /><Relationship Type="http://schemas.openxmlformats.org/officeDocument/2006/relationships/hyperlink" Target="mailto:contact@cc-flandrelys.fr" TargetMode="External" Id="rId2959" /><Relationship Type="http://schemas.openxmlformats.org/officeDocument/2006/relationships/hyperlink" Target="https://www.cc-flandrelys.fr/" TargetMode="External" Id="rId2960" /><Relationship Type="http://schemas.openxmlformats.org/officeDocument/2006/relationships/hyperlink" Target="https://www.cc-flandrelys.fr/formulaire-de-contact" TargetMode="External" Id="rId2961" /><Relationship Type="http://schemas.openxmlformats.org/officeDocument/2006/relationships/hyperlink" Target="https://lannuaire.service-public.gouv.fr/hauts-de-france/nord/33c65e51-e674-4c01-9b45-19716dd23b2d" TargetMode="External" Id="rId2962" /><Relationship Type="http://schemas.openxmlformats.org/officeDocument/2006/relationships/hyperlink" Target="mailto:contact@creilsudoise.fr" TargetMode="External" Id="rId2963" /><Relationship Type="http://schemas.openxmlformats.org/officeDocument/2006/relationships/hyperlink" Target="https://www.creilsudoise.fr/" TargetMode="External" Id="rId2964" /><Relationship Type="http://schemas.openxmlformats.org/officeDocument/2006/relationships/hyperlink" Target="https://www.creilsudoise.fr/mon-actu/contact/" TargetMode="External" Id="rId2965" /><Relationship Type="http://schemas.openxmlformats.org/officeDocument/2006/relationships/hyperlink" Target="https://lannuaire.service-public.gouv.fr/hauts-de-france/oise/2162ab3b-c15e-4994-9fc6-da4872fab180" TargetMode="External" Id="rId2966" /><Relationship Type="http://schemas.openxmlformats.org/officeDocument/2006/relationships/hyperlink" Target="mailto:accueil@agglo-compiegne.fr" TargetMode="External" Id="rId2967" /><Relationship Type="http://schemas.openxmlformats.org/officeDocument/2006/relationships/hyperlink" Target="https://www.agglo-compiegne.fr/" TargetMode="External" Id="rId2968" /><Relationship Type="http://schemas.openxmlformats.org/officeDocument/2006/relationships/hyperlink" Target="https://www.agglo-compiegne.fr/nous-contacter" TargetMode="External" Id="rId2969" /><Relationship Type="http://schemas.openxmlformats.org/officeDocument/2006/relationships/hyperlink" Target="https://lannuaire.service-public.gouv.fr/hauts-de-france/oise/aa07aa46-9b6a-4d03-8493-0dee4f481374" TargetMode="External" Id="rId2970" /><Relationship Type="http://schemas.openxmlformats.org/officeDocument/2006/relationships/hyperlink" Target="mailto:contact@beauvaisis.fr" TargetMode="External" Id="rId2971" /><Relationship Type="http://schemas.openxmlformats.org/officeDocument/2006/relationships/hyperlink" Target="https://www.beauvaisis.fr/" TargetMode="External" Id="rId2972" /><Relationship Type="http://schemas.openxmlformats.org/officeDocument/2006/relationships/hyperlink" Target="http://www.beauvaisis.fr/communaute-agglomeration/nous-contacter.html" TargetMode="External" Id="rId2973" /><Relationship Type="http://schemas.openxmlformats.org/officeDocument/2006/relationships/hyperlink" Target="https://lannuaire.service-public.gouv.fr/hauts-de-france/oise/556c0aac-f6fc-487c-96cd-e1bf24db6acc" TargetMode="External" Id="rId2974" /><Relationship Type="http://schemas.openxmlformats.org/officeDocument/2006/relationships/hyperlink" Target="mailto:accueil@ccsso.fr" TargetMode="External" Id="rId2975" /><Relationship Type="http://schemas.openxmlformats.org/officeDocument/2006/relationships/hyperlink" Target="https://www.ccsso.fr/" TargetMode="External" Id="rId2976" /><Relationship Type="http://schemas.openxmlformats.org/officeDocument/2006/relationships/hyperlink" Target="https://www.ccsso.fr/contact" TargetMode="External" Id="rId2977" /><Relationship Type="http://schemas.openxmlformats.org/officeDocument/2006/relationships/hyperlink" Target="https://lannuaire.service-public.gouv.fr/hauts-de-france/oise/7562730a-b4b1-466b-a68c-ac949ae32822" TargetMode="External" Id="rId2978" /><Relationship Type="http://schemas.openxmlformats.org/officeDocument/2006/relationships/hyperlink" Target="mailto:contact@thelloise.fr" TargetMode="External" Id="rId2979" /><Relationship Type="http://schemas.openxmlformats.org/officeDocument/2006/relationships/hyperlink" Target="https://www.thelloise.fr/" TargetMode="External" Id="rId2980" /><Relationship Type="http://schemas.openxmlformats.org/officeDocument/2006/relationships/hyperlink" Target="https://www.thelloise.fr/contact-general#sp-main-body" TargetMode="External" Id="rId2981" /><Relationship Type="http://schemas.openxmlformats.org/officeDocument/2006/relationships/hyperlink" Target="https://lannuaire.service-public.gouv.fr/hauts-de-france/oise/c2db65b0-ce21-46cc-a21d-8c2b903ac8d4" TargetMode="External" Id="rId2982" /><Relationship Type="http://schemas.openxmlformats.org/officeDocument/2006/relationships/hyperlink" Target="mailto:contact@ccac.fr" TargetMode="External" Id="rId2983" /><Relationship Type="http://schemas.openxmlformats.org/officeDocument/2006/relationships/hyperlink" Target="https://www.ccac.fr/" TargetMode="External" Id="rId2984" /><Relationship Type="http://schemas.openxmlformats.org/officeDocument/2006/relationships/hyperlink" Target="https://www.ccac.fr/nous-contacter/" TargetMode="External" Id="rId2985" /><Relationship Type="http://schemas.openxmlformats.org/officeDocument/2006/relationships/hyperlink" Target="https://lannuaire.service-public.gouv.fr/hauts-de-france/oise/5e6f1785-ff26-4783-94c3-bca4a970c690" TargetMode="External" Id="rId2986" /><Relationship Type="http://schemas.openxmlformats.org/officeDocument/2006/relationships/hyperlink" Target="mailto:contact@cc-oisepicarde.fr" TargetMode="External" Id="rId2987" /><Relationship Type="http://schemas.openxmlformats.org/officeDocument/2006/relationships/hyperlink" Target="https://cc-oisepicarde.fr/fr/" TargetMode="External" Id="rId2988" /><Relationship Type="http://schemas.openxmlformats.org/officeDocument/2006/relationships/hyperlink" Target="https://www.facebook.com/ccoisepicarde/" TargetMode="External" Id="rId2989" /><Relationship Type="http://schemas.openxmlformats.org/officeDocument/2006/relationships/hyperlink" Target="https://lannuaire.service-public.gouv.fr/hauts-de-france/oise/b86c6d6f-c564-486f-8cd8-9b7b94f271b7" TargetMode="External" Id="rId2990" /><Relationship Type="http://schemas.openxmlformats.org/officeDocument/2006/relationships/hyperlink" Target="mailto:ccpv@ccpv.fr" TargetMode="External" Id="rId2991" /><Relationship Type="http://schemas.openxmlformats.org/officeDocument/2006/relationships/hyperlink" Target="https://www.picardieverte.com" TargetMode="External" Id="rId2992" /><Relationship Type="http://schemas.openxmlformats.org/officeDocument/2006/relationships/hyperlink" Target="https://lannuaire.service-public.gouv.fr/hauts-de-france/oise/31d99002-a90d-44b8-a1c6-e1e80ab15561" TargetMode="External" Id="rId2993" /><Relationship Type="http://schemas.openxmlformats.org/officeDocument/2006/relationships/hyperlink" Target="mailto:contact@cc-pe.fr" TargetMode="External" Id="rId2994" /><Relationship Type="http://schemas.openxmlformats.org/officeDocument/2006/relationships/hyperlink" Target="https://www.ccplaine-estrees.com/" TargetMode="External" Id="rId2995" /><Relationship Type="http://schemas.openxmlformats.org/officeDocument/2006/relationships/hyperlink" Target="https://www.ccplaine-estrees.com/nous-contacter/" TargetMode="External" Id="rId2996" /><Relationship Type="http://schemas.openxmlformats.org/officeDocument/2006/relationships/hyperlink" Target="https://lannuaire.service-public.gouv.fr/hauts-de-france/oise/3275e90b-ba7c-4b26-b4e8-c7a155b2fa52" TargetMode="External" Id="rId2997" /><Relationship Type="http://schemas.openxmlformats.org/officeDocument/2006/relationships/hyperlink" Target="mailto:contact@cc2v.fr" TargetMode="External" Id="rId2998" /><Relationship Type="http://schemas.openxmlformats.org/officeDocument/2006/relationships/hyperlink" Target="https://www.deuxvallees.fr/" TargetMode="External" Id="rId2999" /><Relationship Type="http://schemas.openxmlformats.org/officeDocument/2006/relationships/hyperlink" Target="https://www.deuxvallees.fr/contact" TargetMode="External" Id="rId3000" /><Relationship Type="http://schemas.openxmlformats.org/officeDocument/2006/relationships/hyperlink" Target="https://lannuaire.service-public.gouv.fr/hauts-de-france/oise/ae90e5d4-5a57-467c-967f-9398aa76270b" TargetMode="External" Id="rId3001" /><Relationship Type="http://schemas.openxmlformats.org/officeDocument/2006/relationships/hyperlink" Target="mailto:contact@ccloise.com" TargetMode="External" Id="rId3002" /><Relationship Type="http://schemas.openxmlformats.org/officeDocument/2006/relationships/hyperlink" Target="https://ccloise.com/" TargetMode="External" Id="rId3003" /><Relationship Type="http://schemas.openxmlformats.org/officeDocument/2006/relationships/hyperlink" Target="https://ccloise.com/contacts/formulaire-de-demande/" TargetMode="External" Id="rId3004" /><Relationship Type="http://schemas.openxmlformats.org/officeDocument/2006/relationships/hyperlink" Target="https://lannuaire.service-public.gouv.fr/hauts-de-france/oise/1c21fc62-913a-4a0a-bef7-1cf4c45a9a15" TargetMode="External" Id="rId3005" /><Relationship Type="http://schemas.openxmlformats.org/officeDocument/2006/relationships/hyperlink" Target="mailto:secretariat@ccpoh.fr" TargetMode="External" Id="rId3006" /><Relationship Type="http://schemas.openxmlformats.org/officeDocument/2006/relationships/hyperlink" Target="https://www.ccpoh.fr/" TargetMode="External" Id="rId3007" /><Relationship Type="http://schemas.openxmlformats.org/officeDocument/2006/relationships/hyperlink" Target="https://www.ccpoh.fr/informations-pratiques/contact" TargetMode="External" Id="rId3008" /><Relationship Type="http://schemas.openxmlformats.org/officeDocument/2006/relationships/hyperlink" Target="https://lannuaire.service-public.gouv.fr/hauts-de-france/oise/ff90b36d-f513-49b0-8733-ce2bdb3b9785" TargetMode="External" Id="rId3009" /><Relationship Type="http://schemas.openxmlformats.org/officeDocument/2006/relationships/hyperlink" Target="mailto:contact@cc-sablons.fr" TargetMode="External" Id="rId3010" /><Relationship Type="http://schemas.openxmlformats.org/officeDocument/2006/relationships/hyperlink" Target="https://cc-sablons.com/" TargetMode="External" Id="rId3011" /><Relationship Type="http://schemas.openxmlformats.org/officeDocument/2006/relationships/hyperlink" Target="https://lannuaire.service-public.gouv.fr/hauts-de-france/oise/1874b9dc-c3b6-4552-9926-54d9ee6c6db5" TargetMode="External" Id="rId3012" /><Relationship Type="http://schemas.openxmlformats.org/officeDocument/2006/relationships/hyperlink" Target="mailto:accueil@pays-clermontois.fr" TargetMode="External" Id="rId3013" /><Relationship Type="http://schemas.openxmlformats.org/officeDocument/2006/relationships/hyperlink" Target="https://pays-clermontois.fr/" TargetMode="External" Id="rId3014" /><Relationship Type="http://schemas.openxmlformats.org/officeDocument/2006/relationships/hyperlink" Target="https://pays-clermontois.fr/nous-contacter/" TargetMode="External" Id="rId3015" /><Relationship Type="http://schemas.openxmlformats.org/officeDocument/2006/relationships/hyperlink" Target="https://lannuaire.service-public.gouv.fr/hauts-de-france/oise/b55df963-8412-458e-bc22-a47934ede6d0" TargetMode="External" Id="rId3016" /><Relationship Type="http://schemas.openxmlformats.org/officeDocument/2006/relationships/hyperlink" Target="mailto:contact@ccl-valleedoree.fr" TargetMode="External" Id="rId3017" /><Relationship Type="http://schemas.openxmlformats.org/officeDocument/2006/relationships/hyperlink" Target="https://www.ccl-valleedoree.fr/" TargetMode="External" Id="rId3018" /><Relationship Type="http://schemas.openxmlformats.org/officeDocument/2006/relationships/hyperlink" Target="https://www.ccl-valleedoree.fr/nous-contacter" TargetMode="External" Id="rId3019" /><Relationship Type="http://schemas.openxmlformats.org/officeDocument/2006/relationships/hyperlink" Target="https://lannuaire.service-public.gouv.fr/hauts-de-france/oise/a385ab00-2dec-4154-a21e-a696d195fdc7" TargetMode="External" Id="rId3020" /><Relationship Type="http://schemas.openxmlformats.org/officeDocument/2006/relationships/hyperlink" Target="mailto:courrier@paysnoyonnais.fr" TargetMode="External" Id="rId3021" /><Relationship Type="http://schemas.openxmlformats.org/officeDocument/2006/relationships/hyperlink" Target="https://www.paysnoyonnais.fr/" TargetMode="External" Id="rId3022" /><Relationship Type="http://schemas.openxmlformats.org/officeDocument/2006/relationships/hyperlink" Target="https://www.paysnoyonnais.fr/Contactez-nous.html" TargetMode="External" Id="rId3023" /><Relationship Type="http://schemas.openxmlformats.org/officeDocument/2006/relationships/hyperlink" Target="https://lannuaire.service-public.gouv.fr/hauts-de-france/oise/666ac10a-2d02-4fcf-9060-65c0df850a13" TargetMode="External" Id="rId3024" /><Relationship Type="http://schemas.openxmlformats.org/officeDocument/2006/relationships/hyperlink" Target="mailto:contact@cc-paysdebray.fr" TargetMode="External" Id="rId3025" /><Relationship Type="http://schemas.openxmlformats.org/officeDocument/2006/relationships/hyperlink" Target="https://cc-paysdebray.com/" TargetMode="External" Id="rId3026" /><Relationship Type="http://schemas.openxmlformats.org/officeDocument/2006/relationships/hyperlink" Target="https://cc-paysdebray.com/contact" TargetMode="External" Id="rId3027" /><Relationship Type="http://schemas.openxmlformats.org/officeDocument/2006/relationships/hyperlink" Target="https://lannuaire.service-public.gouv.fr/hauts-de-france/oise/b88f5193-ba6e-4354-86e4-18bb93181bb6" TargetMode="External" Id="rId3028" /><Relationship Type="http://schemas.openxmlformats.org/officeDocument/2006/relationships/hyperlink" Target="mailto:info@cc-paysdevalois.fr" TargetMode="External" Id="rId3029" /><Relationship Type="http://schemas.openxmlformats.org/officeDocument/2006/relationships/hyperlink" Target="https://www.cc-paysdevalois.fr/" TargetMode="External" Id="rId3030" /><Relationship Type="http://schemas.openxmlformats.org/officeDocument/2006/relationships/hyperlink" Target="https://lannuaire.service-public.gouv.fr/hauts-de-france/oise/0f4e5bc8-96c2-4faa-a8b6-6b07baaf3bd6" TargetMode="External" Id="rId3031" /><Relationship Type="http://schemas.openxmlformats.org/officeDocument/2006/relationships/hyperlink" Target="mailto:contact@cc-pays-sources.org" TargetMode="External" Id="rId3032" /><Relationship Type="http://schemas.openxmlformats.org/officeDocument/2006/relationships/hyperlink" Target="https://www.cc-pays-sources.fr/" TargetMode="External" Id="rId3033" /><Relationship Type="http://schemas.openxmlformats.org/officeDocument/2006/relationships/hyperlink" Target="https://www.cc-pays-sources.fr/le-pays-des-sources/nous-contacter/" TargetMode="External" Id="rId3034" /><Relationship Type="http://schemas.openxmlformats.org/officeDocument/2006/relationships/hyperlink" Target="https://lannuaire.service-public.gouv.fr/hauts-de-france/oise/a0a0a649-6b70-4e9a-9fc9-8097c3610b1e" TargetMode="External" Id="rId3035" /><Relationship Type="http://schemas.openxmlformats.org/officeDocument/2006/relationships/hyperlink" Target="mailto:accueil@cc-plateaupicard.fr" TargetMode="External" Id="rId3036" /><Relationship Type="http://schemas.openxmlformats.org/officeDocument/2006/relationships/hyperlink" Target="https://www.plateaupicard.fr/" TargetMode="External" Id="rId3037" /><Relationship Type="http://schemas.openxmlformats.org/officeDocument/2006/relationships/hyperlink" Target="https://www.plateaupicard.fr/formulaire-de-contact" TargetMode="External" Id="rId3038" /><Relationship Type="http://schemas.openxmlformats.org/officeDocument/2006/relationships/hyperlink" Target="https://lannuaire.service-public.gouv.fr/hauts-de-france/oise/c119919a-73fe-45be-8f04-2b78cb6d20f7" TargetMode="External" Id="rId3039" /><Relationship Type="http://schemas.openxmlformats.org/officeDocument/2006/relationships/hyperlink" Target="mailto:accueil@vexinthelle.com" TargetMode="External" Id="rId3040" /><Relationship Type="http://schemas.openxmlformats.org/officeDocument/2006/relationships/hyperlink" Target="https://www.vexinthelle.fr/" TargetMode="External" Id="rId3041" /><Relationship Type="http://schemas.openxmlformats.org/officeDocument/2006/relationships/hyperlink" Target="https://www.vexinthelle.fr/" TargetMode="External" Id="rId3042" /><Relationship Type="http://schemas.openxmlformats.org/officeDocument/2006/relationships/hyperlink" Target="https://lannuaire.service-public.gouv.fr/hauts-de-france/oise/ad98507a-2b0d-4018-97cb-f24b78446f93" TargetMode="External" Id="rId3043" /><Relationship Type="http://schemas.openxmlformats.org/officeDocument/2006/relationships/hyperlink" Target="mailto:accueil@flers-agglo.fr" TargetMode="External" Id="rId3044" /><Relationship Type="http://schemas.openxmlformats.org/officeDocument/2006/relationships/hyperlink" Target="https://www.flers-agglo.fr/" TargetMode="External" Id="rId3045" /><Relationship Type="http://schemas.openxmlformats.org/officeDocument/2006/relationships/hyperlink" Target="https://www.flers-agglo.fr/nous-contacter/" TargetMode="External" Id="rId3046" /><Relationship Type="http://schemas.openxmlformats.org/officeDocument/2006/relationships/hyperlink" Target="https://lannuaire.service-public.gouv.fr/normandie/orne/49558ef4-24ad-444c-b343-a655e03e15fb" TargetMode="External" Id="rId3047" /><Relationship Type="http://schemas.openxmlformats.org/officeDocument/2006/relationships/hyperlink" Target="mailto:accueilsiege@ccandainepassais.fr" TargetMode="External" Id="rId3048" /><Relationship Type="http://schemas.openxmlformats.org/officeDocument/2006/relationships/hyperlink" Target="https://ccandainepassais.org/" TargetMode="External" Id="rId3049" /><Relationship Type="http://schemas.openxmlformats.org/officeDocument/2006/relationships/hyperlink" Target="https://ccandainepassais.org/contact/" TargetMode="External" Id="rId3050" /><Relationship Type="http://schemas.openxmlformats.org/officeDocument/2006/relationships/hyperlink" Target="https://lannuaire.service-public.gouv.fr/normandie/orne/76398fc4-3c1a-49dd-b9c3-3aab4be48eff" TargetMode="External" Id="rId3051" /><Relationship Type="http://schemas.openxmlformats.org/officeDocument/2006/relationships/hyperlink" Target="mailto:administration@coeurduperche.fr" TargetMode="External" Id="rId3052" /><Relationship Type="http://schemas.openxmlformats.org/officeDocument/2006/relationships/hyperlink" Target="https://www.coeurduperche.com/" TargetMode="External" Id="rId3053" /><Relationship Type="http://schemas.openxmlformats.org/officeDocument/2006/relationships/hyperlink" Target="https://www.coeurduperche.com/contacts" TargetMode="External" Id="rId3054" /><Relationship Type="http://schemas.openxmlformats.org/officeDocument/2006/relationships/hyperlink" Target="https://lannuaire.service-public.gouv.fr/normandie/orne/fedbab45-8bca-4b94-91bc-c6e04c01cf98" TargetMode="External" Id="rId3055" /><Relationship Type="http://schemas.openxmlformats.org/officeDocument/2006/relationships/hyperlink" Target="mailto:mairie@tinchebray.fr" TargetMode="External" Id="rId3056" /><Relationship Type="http://schemas.openxmlformats.org/officeDocument/2006/relationships/hyperlink" Target="http://www.domfront-tinchebray-interco.fr" TargetMode="External" Id="rId3057" /><Relationship Type="http://schemas.openxmlformats.org/officeDocument/2006/relationships/hyperlink" Target="http://www.domfront-tinchebray-interco.fr/fr/contact" TargetMode="External" Id="rId3058" /><Relationship Type="http://schemas.openxmlformats.org/officeDocument/2006/relationships/hyperlink" Target="https://lannuaire.service-public.gouv.fr/normandie/orne/9db14464-b333-43dd-b99c-ecf5b0c91085" TargetMode="External" Id="rId3059" /><Relationship Type="http://schemas.openxmlformats.org/officeDocument/2006/relationships/hyperlink" Target="mailto:informations@terresdargentan.fr" TargetMode="External" Id="rId3060" /><Relationship Type="http://schemas.openxmlformats.org/officeDocument/2006/relationships/hyperlink" Target="https://terresdargentan.fr/" TargetMode="External" Id="rId3061" /><Relationship Type="http://schemas.openxmlformats.org/officeDocument/2006/relationships/hyperlink" Target="https://terresdargentan.fr/contact/" TargetMode="External" Id="rId3062" /><Relationship Type="http://schemas.openxmlformats.org/officeDocument/2006/relationships/hyperlink" Target="https://lannuaire.service-public.gouv.fr/normandie/orne/934eec5b-e7ad-42f3-a3d6-2f19541b7694" TargetMode="External" Id="rId3063" /><Relationship Type="http://schemas.openxmlformats.org/officeDocument/2006/relationships/hyperlink" Target="mailto:accueil@ccvhs.fr" TargetMode="External" Id="rId3064" /><Relationship Type="http://schemas.openxmlformats.org/officeDocument/2006/relationships/hyperlink" Target="http://www.ccvhs.fr" TargetMode="External" Id="rId3065" /><Relationship Type="http://schemas.openxmlformats.org/officeDocument/2006/relationships/hyperlink" Target="http://ccvhs.fr/" TargetMode="External" Id="rId3066" /><Relationship Type="http://schemas.openxmlformats.org/officeDocument/2006/relationships/hyperlink" Target="https://lannuaire.service-public.gouv.fr/normandie/orne/d819105e-f4d0-4a9b-a871-5bdf375b87f8" TargetMode="External" Id="rId3067" /><Relationship Type="http://schemas.openxmlformats.org/officeDocument/2006/relationships/hyperlink" Target="mailto:accueil@perchenormand.fr" TargetMode="External" Id="rId3068" /><Relationship Type="http://schemas.openxmlformats.org/officeDocument/2006/relationships/hyperlink" Target="https://www.perchenormand.fr/" TargetMode="External" Id="rId3069" /><Relationship Type="http://schemas.openxmlformats.org/officeDocument/2006/relationships/hyperlink" Target="https://lannuaire.service-public.gouv.fr/normandie/orne/abf1985f-437a-4e73-8bea-9b97ae695e74" TargetMode="External" Id="rId3070" /><Relationship Type="http://schemas.openxmlformats.org/officeDocument/2006/relationships/hyperlink" Target="mailto:accueil@cdchautsperche.fr" TargetMode="External" Id="rId3071" /><Relationship Type="http://schemas.openxmlformats.org/officeDocument/2006/relationships/hyperlink" Target="https://www.leshautsduperche.fr" TargetMode="External" Id="rId3072" /><Relationship Type="http://schemas.openxmlformats.org/officeDocument/2006/relationships/hyperlink" Target="https://www.leshautsduperche.fr/systeme/contact/" TargetMode="External" Id="rId3073" /><Relationship Type="http://schemas.openxmlformats.org/officeDocument/2006/relationships/hyperlink" Target="https://lannuaire.service-public.gouv.fr/normandie/orne/127a9782-bb2f-4b56-9301-e2aa2a9057b6" TargetMode="External" Id="rId3074" /><Relationship Type="http://schemas.openxmlformats.org/officeDocument/2006/relationships/hyperlink" Target="mailto:cdc@paysdelaigle.fr" TargetMode="External" Id="rId3075" /><Relationship Type="http://schemas.openxmlformats.org/officeDocument/2006/relationships/hyperlink" Target="https://www.paysdelaigle.com" TargetMode="External" Id="rId3076" /><Relationship Type="http://schemas.openxmlformats.org/officeDocument/2006/relationships/hyperlink" Target="https://lannuaire.service-public.gouv.fr/normandie/orne/0973b541-2971-4317-b59f-f3e049edc38c" TargetMode="External" Id="rId3077" /><Relationship Type="http://schemas.openxmlformats.org/officeDocument/2006/relationships/hyperlink" Target="mailto:cc-sourcesdelorne@orange.fr" TargetMode="External" Id="rId3078" /><Relationship Type="http://schemas.openxmlformats.org/officeDocument/2006/relationships/hyperlink" Target="https://www.cdc-sourcesdelorne.fr/" TargetMode="External" Id="rId3079" /><Relationship Type="http://schemas.openxmlformats.org/officeDocument/2006/relationships/hyperlink" Target="https://www.cdc-sourcesdelorne.fr/contact/" TargetMode="External" Id="rId3080" /><Relationship Type="http://schemas.openxmlformats.org/officeDocument/2006/relationships/hyperlink" Target="https://lannuaire.service-public.gouv.fr/normandie/orne/339a5951-0f25-4dba-9516-c2a0828b6932" TargetMode="External" Id="rId3081" /><Relationship Type="http://schemas.openxmlformats.org/officeDocument/2006/relationships/hyperlink" Target="mailto:contact@cdcvam.fr" TargetMode="External" Id="rId3082" /><Relationship Type="http://schemas.openxmlformats.org/officeDocument/2006/relationships/hyperlink" Target="https://www.cdcvam.fr/" TargetMode="External" Id="rId3083" /><Relationship Type="http://schemas.openxmlformats.org/officeDocument/2006/relationships/hyperlink" Target="https://www.cdcvam.fr/contact" TargetMode="External" Id="rId3084" /><Relationship Type="http://schemas.openxmlformats.org/officeDocument/2006/relationships/hyperlink" Target="https://lannuaire.service-public.gouv.fr/normandie/orne/968ff783-cf5c-4f09-88e3-c4aa47517444" TargetMode="External" Id="rId3085" /><Relationship Type="http://schemas.openxmlformats.org/officeDocument/2006/relationships/hyperlink" Target="mailto:contact@ccpfbc.fr" TargetMode="External" Id="rId3086" /><Relationship Type="http://schemas.openxmlformats.org/officeDocument/2006/relationships/hyperlink" Target="https://www.ccpfbc.fr/" TargetMode="External" Id="rId3087" /><Relationship Type="http://schemas.openxmlformats.org/officeDocument/2006/relationships/hyperlink" Target="https://lannuaire.service-public.gouv.fr/normandie/orne/76aea0fc-84a0-4d31-9b51-27b7d1d3c1f2" TargetMode="External" Id="rId3088" /><Relationship Type="http://schemas.openxmlformats.org/officeDocument/2006/relationships/hyperlink" Target="mailto:info@cdc-mortagne-au-perche.com" TargetMode="External" Id="rId3089" /><Relationship Type="http://schemas.openxmlformats.org/officeDocument/2006/relationships/hyperlink" Target="https://www.cdc-mortagne-au-perche.com/" TargetMode="External" Id="rId3090" /><Relationship Type="http://schemas.openxmlformats.org/officeDocument/2006/relationships/hyperlink" Target="https://www.cdc-mortagne-au-perche.com/contact/" TargetMode="External" Id="rId3091" /><Relationship Type="http://schemas.openxmlformats.org/officeDocument/2006/relationships/hyperlink" Target="https://lannuaire.service-public.gouv.fr/normandie/orne/e5927e20-d264-497b-a162-09da08984453" TargetMode="External" Id="rId3092" /><Relationship Type="http://schemas.openxmlformats.org/officeDocument/2006/relationships/hyperlink" Target="mailto:cdc@cdcvaldorne.fr" TargetMode="External" Id="rId3093" /><Relationship Type="http://schemas.openxmlformats.org/officeDocument/2006/relationships/hyperlink" Target="https://www.cc-valdorne.fr/" TargetMode="External" Id="rId3094" /><Relationship Type="http://schemas.openxmlformats.org/officeDocument/2006/relationships/hyperlink" Target="https://lannuaire.service-public.gouv.fr/normandie/orne/1bd7e340-0ea8-4f98-b1e3-a6d5f9b5246c" TargetMode="External" Id="rId3095" /><Relationship Type="http://schemas.openxmlformats.org/officeDocument/2006/relationships/hyperlink" Target="mailto:accueil@mainesaosnois.fr" TargetMode="External" Id="rId3096" /><Relationship Type="http://schemas.openxmlformats.org/officeDocument/2006/relationships/hyperlink" Target="https://www.mainesaosnois.fr/" TargetMode="External" Id="rId3097" /><Relationship Type="http://schemas.openxmlformats.org/officeDocument/2006/relationships/hyperlink" Target="https://www.mainesaosnois.fr/contact/" TargetMode="External" Id="rId3098" /><Relationship Type="http://schemas.openxmlformats.org/officeDocument/2006/relationships/hyperlink" Target="https://lannuaire.service-public.gouv.fr/pays-de-la-loire/sarthe/c313440c-0bb4-45f1-85e5-014cec6e50df" TargetMode="External" Id="rId3099" /><Relationship Type="http://schemas.openxmlformats.org/officeDocument/2006/relationships/hyperlink" Target="mailto:cabinet@cu-alencon.fr" TargetMode="External" Id="rId3100" /><Relationship Type="http://schemas.openxmlformats.org/officeDocument/2006/relationships/hyperlink" Target="https://www.cu-alencon.fr/" TargetMode="External" Id="rId3101" /><Relationship Type="http://schemas.openxmlformats.org/officeDocument/2006/relationships/hyperlink" Target="https://www.cu-alencon.fr/contact/" TargetMode="External" Id="rId3102" /><Relationship Type="http://schemas.openxmlformats.org/officeDocument/2006/relationships/hyperlink" Target="https://lannuaire.service-public.gouv.fr/normandie/orne/813f7994-06aa-4369-96f8-8a81dc707c24" TargetMode="External" Id="rId3103" /><Relationship Type="http://schemas.openxmlformats.org/officeDocument/2006/relationships/hyperlink" Target="mailto:info@grandcalais.fr" TargetMode="External" Id="rId3104" /><Relationship Type="http://schemas.openxmlformats.org/officeDocument/2006/relationships/hyperlink" Target="https://www.grandcalais.fr/" TargetMode="External" Id="rId3105" /><Relationship Type="http://schemas.openxmlformats.org/officeDocument/2006/relationships/hyperlink" Target="https://www.grandcalais.fr/linstitution-2/nous-contacter/" TargetMode="External" Id="rId3106" /><Relationship Type="http://schemas.openxmlformats.org/officeDocument/2006/relationships/hyperlink" Target="https://lannuaire.service-public.gouv.fr/hauts-de-france/pas-de-calais/6957769e-da94-45fb-afac-29ec81b879bd" TargetMode="External" Id="rId3107" /><Relationship Type="http://schemas.openxmlformats.org/officeDocument/2006/relationships/hyperlink" Target="mailto:communication@agglo-henincarvin.fr" TargetMode="External" Id="rId3108" /><Relationship Type="http://schemas.openxmlformats.org/officeDocument/2006/relationships/hyperlink" Target="https://www.agglo-henincarvin.fr/" TargetMode="External" Id="rId3109" /><Relationship Type="http://schemas.openxmlformats.org/officeDocument/2006/relationships/hyperlink" Target="https://www.agglo-henincarvin.fr/Nous-contacter" TargetMode="External" Id="rId3110" /><Relationship Type="http://schemas.openxmlformats.org/officeDocument/2006/relationships/hyperlink" Target="https://lannuaire.service-public.gouv.fr/hauts-de-france/pas-de-calais/1814283b-94c6-42b8-a0be-48ac94a2dae3" TargetMode="External" Id="rId3111" /><Relationship Type="http://schemas.openxmlformats.org/officeDocument/2006/relationships/hyperlink" Target="mailto:contact@bethunebruay.fr" TargetMode="External" Id="rId3112" /><Relationship Type="http://schemas.openxmlformats.org/officeDocument/2006/relationships/hyperlink" Target="https://www.bethunebruay.fr/" TargetMode="External" Id="rId3113" /><Relationship Type="http://schemas.openxmlformats.org/officeDocument/2006/relationships/hyperlink" Target="https://formulaires.demarches.bethunebruay.fr/contact/demande-generale/" TargetMode="External" Id="rId3114" /><Relationship Type="http://schemas.openxmlformats.org/officeDocument/2006/relationships/hyperlink" Target="https://lannuaire.service-public.gouv.fr/hauts-de-france/pas-de-calais/ec3fce83-3fd8-45da-8906-d4f515c839e9" TargetMode="External" Id="rId3115" /><Relationship Type="http://schemas.openxmlformats.org/officeDocument/2006/relationships/hyperlink" Target="mailto:contact@agglo-lenslievin.fr" TargetMode="External" Id="rId3116" /><Relationship Type="http://schemas.openxmlformats.org/officeDocument/2006/relationships/hyperlink" Target="https://www.agglo-lenslievin.fr/" TargetMode="External" Id="rId3117" /><Relationship Type="http://schemas.openxmlformats.org/officeDocument/2006/relationships/hyperlink" Target="https://www.agglo-lenslievin.fr/lagglomeration-pratique/contact/" TargetMode="External" Id="rId3118" /><Relationship Type="http://schemas.openxmlformats.org/officeDocument/2006/relationships/hyperlink" Target="https://lannuaire.service-public.gouv.fr/hauts-de-france/pas-de-calais/5544c465-ec24-4b32-a967-adbc5943fca6" TargetMode="External" Id="rId3119" /><Relationship Type="http://schemas.openxmlformats.org/officeDocument/2006/relationships/hyperlink" Target="mailto:contact@ca2bm.fr" TargetMode="External" Id="rId3120" /><Relationship Type="http://schemas.openxmlformats.org/officeDocument/2006/relationships/hyperlink" Target="https://www.ca2bm.fr/" TargetMode="External" Id="rId3121" /><Relationship Type="http://schemas.openxmlformats.org/officeDocument/2006/relationships/hyperlink" Target="https://lannuaire.service-public.gouv.fr/hauts-de-france/pas-de-calais/ca25a1bc-da52-4f3c-aaa6-e9d6b4e0cbba" TargetMode="External" Id="rId3122" /><Relationship Type="http://schemas.openxmlformats.org/officeDocument/2006/relationships/hyperlink" Target="mailto:contact@agglo-boulonnais.fr" TargetMode="External" Id="rId3123" /><Relationship Type="http://schemas.openxmlformats.org/officeDocument/2006/relationships/hyperlink" Target="https://www.agglo-boulonnais.fr/" TargetMode="External" Id="rId3124" /><Relationship Type="http://schemas.openxmlformats.org/officeDocument/2006/relationships/hyperlink" Target="https://www.agglo-boulonnais.fr/pages-pratiques/contact" TargetMode="External" Id="rId3125" /><Relationship Type="http://schemas.openxmlformats.org/officeDocument/2006/relationships/hyperlink" Target="https://lannuaire.service-public.gouv.fr/hauts-de-france/pas-de-calais/d2d3c836-791d-4cff-a90f-da130f5f4283" TargetMode="External" Id="rId3126" /><Relationship Type="http://schemas.openxmlformats.org/officeDocument/2006/relationships/hyperlink" Target="mailto:contact@ca-pso.fr" TargetMode="External" Id="rId3127" /><Relationship Type="http://schemas.openxmlformats.org/officeDocument/2006/relationships/hyperlink" Target="https://www.ca-pso.fr" TargetMode="External" Id="rId3128" /><Relationship Type="http://schemas.openxmlformats.org/officeDocument/2006/relationships/hyperlink" Target="https://www.ca-pso.fr/contact/" TargetMode="External" Id="rId3129" /><Relationship Type="http://schemas.openxmlformats.org/officeDocument/2006/relationships/hyperlink" Target="https://lannuaire.service-public.gouv.fr/hauts-de-france/pas-de-calais/fdff0965-fc8c-44ea-bec7-9e15e37c9387" TargetMode="External" Id="rId3130" /><Relationship Type="http://schemas.openxmlformats.org/officeDocument/2006/relationships/hyperlink" Target="mailto:administration@cc-osartis.com" TargetMode="External" Id="rId3131" /><Relationship Type="http://schemas.openxmlformats.org/officeDocument/2006/relationships/hyperlink" Target="https://www.cc-osartis.com/" TargetMode="External" Id="rId3132" /><Relationship Type="http://schemas.openxmlformats.org/officeDocument/2006/relationships/hyperlink" Target="https://www.cc-osartis.com/nous-contacter" TargetMode="External" Id="rId3133" /><Relationship Type="http://schemas.openxmlformats.org/officeDocument/2006/relationships/hyperlink" Target="https://lannuaire.service-public.gouv.fr/hauts-de-france/pas-de-calais/ade1c496-6ff3-400b-8c42-d7cd85e9ba5a" TargetMode="External" Id="rId3134" /><Relationship Type="http://schemas.openxmlformats.org/officeDocument/2006/relationships/hyperlink" Target="mailto:administration@paysdopale.fr" TargetMode="External" Id="rId3135" /><Relationship Type="http://schemas.openxmlformats.org/officeDocument/2006/relationships/hyperlink" Target="https://paysdopale.fr/" TargetMode="External" Id="rId3136" /><Relationship Type="http://schemas.openxmlformats.org/officeDocument/2006/relationships/hyperlink" Target="https://www.facebook.com/ccpaysdopale" TargetMode="External" Id="rId3137" /><Relationship Type="http://schemas.openxmlformats.org/officeDocument/2006/relationships/hyperlink" Target="https://lannuaire.service-public.gouv.fr/hauts-de-france/pas-de-calais/85518671-a32c-45b8-96f4-f16a29f8dbb6" TargetMode="External" Id="rId3138" /><Relationship Type="http://schemas.openxmlformats.org/officeDocument/2006/relationships/hyperlink" Target="mailto:com.com@cc-desvressamer.fr" TargetMode="External" Id="rId3139" /><Relationship Type="http://schemas.openxmlformats.org/officeDocument/2006/relationships/hyperlink" Target="https://www.cc-desvressamer.fr/" TargetMode="External" Id="rId3140" /><Relationship Type="http://schemas.openxmlformats.org/officeDocument/2006/relationships/hyperlink" Target="https://www.cc-desvressamer.fr/contact/" TargetMode="External" Id="rId3141" /><Relationship Type="http://schemas.openxmlformats.org/officeDocument/2006/relationships/hyperlink" Target="https://lannuaire.service-public.gouv.fr/hauts-de-france/pas-de-calais/93b98aba-84a3-4ebc-8940-7d46b8343cdd" TargetMode="External" Id="rId3142" /><Relationship Type="http://schemas.openxmlformats.org/officeDocument/2006/relationships/hyperlink" Target="mailto:communaute-reg-audruicq@ccra.fr" TargetMode="External" Id="rId3143" /><Relationship Type="http://schemas.openxmlformats.org/officeDocument/2006/relationships/hyperlink" Target="https://www.ccra.fr/" TargetMode="External" Id="rId3144" /><Relationship Type="http://schemas.openxmlformats.org/officeDocument/2006/relationships/hyperlink" Target="https://www.ccra.fr/Contact/10/" TargetMode="External" Id="rId3145" /><Relationship Type="http://schemas.openxmlformats.org/officeDocument/2006/relationships/hyperlink" Target="https://lannuaire.service-public.gouv.fr/hauts-de-france/pas-de-calais/c80d6338-573e-474b-8661-49170a59e820" TargetMode="External" Id="rId3146" /><Relationship Type="http://schemas.openxmlformats.org/officeDocument/2006/relationships/hyperlink" Target="mailto:contact@terredes2caps.com" TargetMode="External" Id="rId3147" /><Relationship Type="http://schemas.openxmlformats.org/officeDocument/2006/relationships/hyperlink" Target="https://www.terredes2caps.fr/" TargetMode="External" Id="rId3148" /><Relationship Type="http://schemas.openxmlformats.org/officeDocument/2006/relationships/hyperlink" Target="https://www.terredes2caps.fr/nous-contacter" TargetMode="External" Id="rId3149" /><Relationship Type="http://schemas.openxmlformats.org/officeDocument/2006/relationships/hyperlink" Target="https://lannuaire.service-public.gouv.fr/hauts-de-france/pas-de-calais/00f5bbfd-f0d5-49bd-9b33-abda3aa5aab3" TargetMode="External" Id="rId3150" /><Relationship Type="http://schemas.openxmlformats.org/officeDocument/2006/relationships/hyperlink" Target="mailto:contact@7vallees.fr" TargetMode="External" Id="rId3151" /><Relationship Type="http://schemas.openxmlformats.org/officeDocument/2006/relationships/hyperlink" Target="https://7vallees.fr/" TargetMode="External" Id="rId3152" /><Relationship Type="http://schemas.openxmlformats.org/officeDocument/2006/relationships/hyperlink" Target="https://lannuaire.service-public.gouv.fr/hauts-de-france/pas-de-calais/b1cee102-37ed-4453-92f2-7dbbeda780bc" TargetMode="External" Id="rId3153" /><Relationship Type="http://schemas.openxmlformats.org/officeDocument/2006/relationships/hyperlink" Target="mailto:accueil@campagnesartois.fr" TargetMode="External" Id="rId3154" /><Relationship Type="http://schemas.openxmlformats.org/officeDocument/2006/relationships/hyperlink" Target="https://campagnesartois.fr/" TargetMode="External" Id="rId3155" /><Relationship Type="http://schemas.openxmlformats.org/officeDocument/2006/relationships/hyperlink" Target="https://lannuaire.service-public.gouv.fr/hauts-de-france/pas-de-calais/4268f613-775f-427b-84b8-f4f2ffca273c" TargetMode="External" Id="rId3156" /><Relationship Type="http://schemas.openxmlformats.org/officeDocument/2006/relationships/hyperlink" Target="mailto:accueil@cchpm.fr" TargetMode="External" Id="rId3157" /><Relationship Type="http://schemas.openxmlformats.org/officeDocument/2006/relationships/hyperlink" Target="https://www.cchpm.fr/" TargetMode="External" Id="rId3158" /><Relationship Type="http://schemas.openxmlformats.org/officeDocument/2006/relationships/hyperlink" Target="https://www.cchpm.fr/contactez-nous" TargetMode="External" Id="rId3159" /><Relationship Type="http://schemas.openxmlformats.org/officeDocument/2006/relationships/hyperlink" Target="https://lannuaire.service-public.gouv.fr/hauts-de-france/pas-de-calais/27f1f922-2092-4b1f-8817-5569845d538e" TargetMode="External" Id="rId3160" /><Relationship Type="http://schemas.openxmlformats.org/officeDocument/2006/relationships/hyperlink" Target="mailto:accueil@ccplumbres.fr" TargetMode="External" Id="rId3161" /><Relationship Type="http://schemas.openxmlformats.org/officeDocument/2006/relationships/hyperlink" Target="https://cc-paysdelumbres.fr/fr" TargetMode="External" Id="rId3162" /><Relationship Type="http://schemas.openxmlformats.org/officeDocument/2006/relationships/hyperlink" Target="https://cc-paysdelumbres.fr/fr/contact" TargetMode="External" Id="rId3163" /><Relationship Type="http://schemas.openxmlformats.org/officeDocument/2006/relationships/hyperlink" Target="https://lannuaire.service-public.gouv.fr/hauts-de-france/pas-de-calais/e99bd3f4-8102-4840-b8b6-9acc3b2bd26b" TargetMode="External" Id="rId3164" /><Relationship Type="http://schemas.openxmlformats.org/officeDocument/2006/relationships/hyperlink" Target="mailto:accueil@cc-sudartois.fr" TargetMode="External" Id="rId3165" /><Relationship Type="http://schemas.openxmlformats.org/officeDocument/2006/relationships/hyperlink" Target="https://www.cc-sudartois.fr/" TargetMode="External" Id="rId3166" /><Relationship Type="http://schemas.openxmlformats.org/officeDocument/2006/relationships/hyperlink" Target="https://www.cc-sudartois.fr/contact" TargetMode="External" Id="rId3167" /><Relationship Type="http://schemas.openxmlformats.org/officeDocument/2006/relationships/hyperlink" Target="https://lannuaire.service-public.gouv.fr/hauts-de-france/pas-de-calais/b9631fd2-a208-4cf6-ae43-5ed454aedea3" TargetMode="External" Id="rId3168" /><Relationship Type="http://schemas.openxmlformats.org/officeDocument/2006/relationships/hyperlink" Target="mailto:contact@cu-arras.org" TargetMode="External" Id="rId3169" /><Relationship Type="http://schemas.openxmlformats.org/officeDocument/2006/relationships/hyperlink" Target="https://www.cu-arras.fr/" TargetMode="External" Id="rId3170" /><Relationship Type="http://schemas.openxmlformats.org/officeDocument/2006/relationships/hyperlink" Target="https://www.cu-arras.fr/" TargetMode="External" Id="rId3171" /><Relationship Type="http://schemas.openxmlformats.org/officeDocument/2006/relationships/hyperlink" Target="https://lannuaire.service-public.gouv.fr/hauts-de-france/pas-de-calais/2c22fe9e-f835-48fd-a1a9-edbfb18c2276" TargetMode="External" Id="rId3172" /><Relationship Type="http://schemas.openxmlformats.org/officeDocument/2006/relationships/hyperlink" Target="mailto:contact@ternoiscom.fr" TargetMode="External" Id="rId3173" /><Relationship Type="http://schemas.openxmlformats.org/officeDocument/2006/relationships/hyperlink" Target="https://www.ternoiscom.fr/" TargetMode="External" Id="rId3174" /><Relationship Type="http://schemas.openxmlformats.org/officeDocument/2006/relationships/hyperlink" Target="https://www.ternoiscom.fr/index.php/contact/" TargetMode="External" Id="rId3175" /><Relationship Type="http://schemas.openxmlformats.org/officeDocument/2006/relationships/hyperlink" Target="https://lannuaire.service-public.gouv.fr/hauts-de-france/pas-de-calais/6d5b147c-ce39-4f5a-9551-956077075200" TargetMode="External" Id="rId3176" /><Relationship Type="http://schemas.openxmlformats.org/officeDocument/2006/relationships/hyperlink" Target="mailto:acceuil@capissoire.fr" TargetMode="External" Id="rId3177" /><Relationship Type="http://schemas.openxmlformats.org/officeDocument/2006/relationships/hyperlink" Target="https://www.capissoire.fr/" TargetMode="External" Id="rId3178" /><Relationship Type="http://schemas.openxmlformats.org/officeDocument/2006/relationships/hyperlink" Target="https://www.capissoire.fr/nous-contacter/" TargetMode="External" Id="rId3179" /><Relationship Type="http://schemas.openxmlformats.org/officeDocument/2006/relationships/hyperlink" Target="https://lannuaire.service-public.gouv.fr/auvergne-rhone-alpes/puy-de-dome/b9295536-d66a-45ad-8952-bb5d549d01d9" TargetMode="External" Id="rId3180" /><Relationship Type="http://schemas.openxmlformats.org/officeDocument/2006/relationships/hyperlink" Target="mailto:contact@rlv.eu" TargetMode="External" Id="rId3181" /><Relationship Type="http://schemas.openxmlformats.org/officeDocument/2006/relationships/hyperlink" Target="https://www.rlv.eu/" TargetMode="External" Id="rId3182" /><Relationship Type="http://schemas.openxmlformats.org/officeDocument/2006/relationships/hyperlink" Target="https://www.rlv.eu/contact" TargetMode="External" Id="rId3183" /><Relationship Type="http://schemas.openxmlformats.org/officeDocument/2006/relationships/hyperlink" Target="https://lannuaire.service-public.gouv.fr/auvergne-rhone-alpes/puy-de-dome/84828004-7159-47b0-85c4-068e20244355" TargetMode="External" Id="rId3184" /><Relationship Type="http://schemas.openxmlformats.org/officeDocument/2006/relationships/hyperlink" Target="mailto:accueil@ambertlivradoisforez.fr" TargetMode="External" Id="rId3185" /><Relationship Type="http://schemas.openxmlformats.org/officeDocument/2006/relationships/hyperlink" Target="https://www.ambertlivradoisforez.fr" TargetMode="External" Id="rId3186" /><Relationship Type="http://schemas.openxmlformats.org/officeDocument/2006/relationships/hyperlink" Target="https://lannuaire.service-public.gouv.fr/auvergne-rhone-alpes/puy-de-dome/ee25d5f9-e709-4454-8f5c-45d4b974855b" TargetMode="External" Id="rId3187" /><Relationship Type="http://schemas.openxmlformats.org/officeDocument/2006/relationships/hyperlink" Target="mailto:contact@billomcommunaute.fr" TargetMode="External" Id="rId3188" /><Relationship Type="http://schemas.openxmlformats.org/officeDocument/2006/relationships/hyperlink" Target="https://billomcommunaute.fr" TargetMode="External" Id="rId3189" /><Relationship Type="http://schemas.openxmlformats.org/officeDocument/2006/relationships/hyperlink" Target="https://billomcommunaute.fr/contact/" TargetMode="External" Id="rId3190" /><Relationship Type="http://schemas.openxmlformats.org/officeDocument/2006/relationships/hyperlink" Target="https://lannuaire.service-public.gouv.fr/auvergne-rhone-alpes/puy-de-dome/fdd94983-958c-4f40-a991-2934a9d31df3" TargetMode="External" Id="rId3191" /><Relationship Type="http://schemas.openxmlformats.org/officeDocument/2006/relationships/hyperlink" Target="mailto:contact@ccvcommunaute.fr" TargetMode="External" Id="rId3192" /><Relationship Type="http://schemas.openxmlformats.org/officeDocument/2006/relationships/hyperlink" Target="https://www.ccvcommunaute.fr" TargetMode="External" Id="rId3193" /><Relationship Type="http://schemas.openxmlformats.org/officeDocument/2006/relationships/hyperlink" Target="https://www.ccvcommunaute.fr/nos-horaires/" TargetMode="External" Id="rId3194" /><Relationship Type="http://schemas.openxmlformats.org/officeDocument/2006/relationships/hyperlink" Target="https://lannuaire.service-public.gouv.fr/auvergne-rhone-alpes/puy-de-dome/d216b03a-a8fe-46e1-8987-c249f8c1609d" TargetMode="External" Id="rId3195" /><Relationship Type="http://schemas.openxmlformats.org/officeDocument/2006/relationships/hyperlink" Target="mailto:secretariat-general@comcom-csm.fr" TargetMode="External" Id="rId3196" /><Relationship Type="http://schemas.openxmlformats.org/officeDocument/2006/relationships/hyperlink" Target="https://www.combrailles-sioule-morge.fr/" TargetMode="External" Id="rId3197" /><Relationship Type="http://schemas.openxmlformats.org/officeDocument/2006/relationships/hyperlink" Target="https://www.combrailles-sioule-morge.fr/" TargetMode="External" Id="rId3198" /><Relationship Type="http://schemas.openxmlformats.org/officeDocument/2006/relationships/hyperlink" Target="https://lannuaire.service-public.gouv.fr/auvergne-rhone-alpes/puy-de-dome/fd3dce84-07b3-4547-9ed1-49c5b60f4e64" TargetMode="External" Id="rId3199" /><Relationship Type="http://schemas.openxmlformats.org/officeDocument/2006/relationships/hyperlink" Target="mailto:accueil@domes-sancyartense.fr" TargetMode="External" Id="rId3200" /><Relationship Type="http://schemas.openxmlformats.org/officeDocument/2006/relationships/hyperlink" Target="https://www.domes-sancyartense.fr/" TargetMode="External" Id="rId3201" /><Relationship Type="http://schemas.openxmlformats.org/officeDocument/2006/relationships/hyperlink" Target="https://lannuaire.service-public.gouv.fr/auvergne-rhone-alpes/puy-de-dome/0cf5db2f-b352-4259-81ce-9522e85443be" TargetMode="External" Id="rId3202" /><Relationship Type="http://schemas.openxmlformats.org/officeDocument/2006/relationships/hyperlink" Target="mailto:contact@ccdoreallier.fr" TargetMode="External" Id="rId3203" /><Relationship Type="http://schemas.openxmlformats.org/officeDocument/2006/relationships/hyperlink" Target="http://www.ccdoreallier.fr" TargetMode="External" Id="rId3204" /><Relationship Type="http://schemas.openxmlformats.org/officeDocument/2006/relationships/hyperlink" Target="http://www.ccdoreallier.fr/contact/" TargetMode="External" Id="rId3205" /><Relationship Type="http://schemas.openxmlformats.org/officeDocument/2006/relationships/hyperlink" Target="https://lannuaire.service-public.gouv.fr/auvergne-rhone-alpes/puy-de-dome/c109728b-d82b-403c-86cb-754d6965039e" TargetMode="External" Id="rId3206" /><Relationship Type="http://schemas.openxmlformats.org/officeDocument/2006/relationships/hyperlink" Target="mailto:contact@mond-arverne.fr" TargetMode="External" Id="rId3207" /><Relationship Type="http://schemas.openxmlformats.org/officeDocument/2006/relationships/hyperlink" Target="https://www.mond-arverne.fr/" TargetMode="External" Id="rId3208" /><Relationship Type="http://schemas.openxmlformats.org/officeDocument/2006/relationships/hyperlink" Target="https://www.mond-arverne.fr/" TargetMode="External" Id="rId3209" /><Relationship Type="http://schemas.openxmlformats.org/officeDocument/2006/relationships/hyperlink" Target="https://lannuaire.service-public.gouv.fr/auvergne-rhone-alpes/puy-de-dome/90d0cc8d-8259-438f-86c6-fda5baba8eee" TargetMode="External" Id="rId3210" /><Relationship Type="http://schemas.openxmlformats.org/officeDocument/2006/relationships/hyperlink" Target="mailto:contact@plainelimagne.fr" TargetMode="External" Id="rId3211" /><Relationship Type="http://schemas.openxmlformats.org/officeDocument/2006/relationships/hyperlink" Target="https://www.plainelimagne.com/" TargetMode="External" Id="rId3212" /><Relationship Type="http://schemas.openxmlformats.org/officeDocument/2006/relationships/hyperlink" Target="https://www.plainelimagne.com/" TargetMode="External" Id="rId3213" /><Relationship Type="http://schemas.openxmlformats.org/officeDocument/2006/relationships/hyperlink" Target="https://lannuaire.service-public.gouv.fr/auvergne-rhone-alpes/puy-de-dome/6837692d-1e5b-49e8-88ee-ef8483598bb5" TargetMode="External" Id="rId3214" /><Relationship Type="http://schemas.openxmlformats.org/officeDocument/2006/relationships/hyperlink" Target="mailto:contact@cctdm.fr" TargetMode="External" Id="rId3215" /><Relationship Type="http://schemas.openxmlformats.org/officeDocument/2006/relationships/hyperlink" Target="https://www.cctdm.fr/" TargetMode="External" Id="rId3216" /><Relationship Type="http://schemas.openxmlformats.org/officeDocument/2006/relationships/hyperlink" Target="https://www.cctdm.fr/contact" TargetMode="External" Id="rId3217" /><Relationship Type="http://schemas.openxmlformats.org/officeDocument/2006/relationships/hyperlink" Target="https://lannuaire.service-public.gouv.fr/auvergne-rhone-alpes/puy-de-dome/9beda32a-fe8d-4785-a934-3036869e54b6" TargetMode="External" Id="rId3218" /><Relationship Type="http://schemas.openxmlformats.org/officeDocument/2006/relationships/hyperlink" Target="mailto:accueil@paysdesainteloy.fr" TargetMode="External" Id="rId3219" /><Relationship Type="http://schemas.openxmlformats.org/officeDocument/2006/relationships/hyperlink" Target="https://www.paysdesainteloy.fr" TargetMode="External" Id="rId3220" /><Relationship Type="http://schemas.openxmlformats.org/officeDocument/2006/relationships/hyperlink" Target="https://lannuaire.service-public.gouv.fr/auvergne-rhone-alpes/puy-de-dome/a21980d3-e074-467c-88aa-b01ca0366097" TargetMode="External" Id="rId3221" /><Relationship Type="http://schemas.openxmlformats.org/officeDocument/2006/relationships/hyperlink" Target="mailto:communication@clermontmetropole.eu" TargetMode="External" Id="rId3222" /><Relationship Type="http://schemas.openxmlformats.org/officeDocument/2006/relationships/hyperlink" Target="http://www.clermontmetropole.fr" TargetMode="External" Id="rId3223" /><Relationship Type="http://schemas.openxmlformats.org/officeDocument/2006/relationships/hyperlink" Target="https://lannuaire.service-public.gouv.fr/auvergne-rhone-alpes/puy-de-dome/0e9015bf-78dd-46d4-afbe-96b556e74cde" TargetMode="External" Id="rId3224" /><Relationship Type="http://schemas.openxmlformats.org/officeDocument/2006/relationships/hyperlink" Target="mailto:courrier@ville-pau.fr" TargetMode="External" Id="rId3225" /><Relationship Type="http://schemas.openxmlformats.org/officeDocument/2006/relationships/hyperlink" Target="https://www.pau.fr/" TargetMode="External" Id="rId3226" /><Relationship Type="http://schemas.openxmlformats.org/officeDocument/2006/relationships/hyperlink" Target="https://lannuaire.service-public.gouv.fr/nouvelle-aquitaine/pyrenees-atlantiques/dd849c87-29f9-4599-a837-14ef15a92858" TargetMode="External" Id="rId3227" /><Relationship Type="http://schemas.openxmlformats.org/officeDocument/2006/relationships/hyperlink" Target="mailto:contact@communaute-paysbasque.fr" TargetMode="External" Id="rId3228" /><Relationship Type="http://schemas.openxmlformats.org/officeDocument/2006/relationships/hyperlink" Target="https://www.communaute-paysbasque.fr/" TargetMode="External" Id="rId3229" /><Relationship Type="http://schemas.openxmlformats.org/officeDocument/2006/relationships/hyperlink" Target="https://www.communaute-paysbasque.fr/mes-demarches/demarches/contacter-les-services-de-la-communaute-pays-basque" TargetMode="External" Id="rId3230" /><Relationship Type="http://schemas.openxmlformats.org/officeDocument/2006/relationships/hyperlink" Target="https://lannuaire.service-public.gouv.fr/nouvelle-aquitaine/pyrenees-atlantiques/c4d86624-1bd8-485a-b767-b338e6964dc3" TargetMode="External" Id="rId3231" /><Relationship Type="http://schemas.openxmlformats.org/officeDocument/2006/relationships/hyperlink" Target="mailto:contact@cc-lacqorthez.fr" TargetMode="External" Id="rId3232" /><Relationship Type="http://schemas.openxmlformats.org/officeDocument/2006/relationships/hyperlink" Target="https://www.cc-lacqorthez.fr/" TargetMode="External" Id="rId3233" /><Relationship Type="http://schemas.openxmlformats.org/officeDocument/2006/relationships/hyperlink" Target="https://www.cc-lacqorthez.fr/contactez-nous" TargetMode="External" Id="rId3234" /><Relationship Type="http://schemas.openxmlformats.org/officeDocument/2006/relationships/hyperlink" Target="https://lannuaire.service-public.gouv.fr/nouvelle-aquitaine/pyrenees-atlantiques/061530ab-d7e6-4ec2-a484-6008ffb58f03" TargetMode="External" Id="rId3235" /><Relationship Type="http://schemas.openxmlformats.org/officeDocument/2006/relationships/hyperlink" Target="mailto:ccvo@cc-ossau.fr" TargetMode="External" Id="rId3236" /><Relationship Type="http://schemas.openxmlformats.org/officeDocument/2006/relationships/hyperlink" Target="https://cc-ossau.fr/" TargetMode="External" Id="rId3237" /><Relationship Type="http://schemas.openxmlformats.org/officeDocument/2006/relationships/hyperlink" Target="https://lannuaire.service-public.gouv.fr/nouvelle-aquitaine/pyrenees-atlantiques/50595a6f-3069-4b86-9b1c-0e1ce110fa9a" TargetMode="External" Id="rId3238" /><Relationship Type="http://schemas.openxmlformats.org/officeDocument/2006/relationships/hyperlink" Target="mailto:contact@cclb64.fr" TargetMode="External" Id="rId3239" /><Relationship Type="http://schemas.openxmlformats.org/officeDocument/2006/relationships/hyperlink" Target="https://www.cclb64.fr/" TargetMode="External" Id="rId3240" /><Relationship Type="http://schemas.openxmlformats.org/officeDocument/2006/relationships/hyperlink" Target="https://lannuaire.service-public.gouv.fr/nouvelle-aquitaine/pyrenees-atlantiques/2fd23b93-30af-4a9c-a125-aa44d04b3db8" TargetMode="External" Id="rId3241" /><Relationship Type="http://schemas.openxmlformats.org/officeDocument/2006/relationships/hyperlink" Target="mailto:accueil@ccbearndesgaves.fr" TargetMode="External" Id="rId3242" /><Relationship Type="http://schemas.openxmlformats.org/officeDocument/2006/relationships/hyperlink" Target="https://www.ccbearndesgaves.fr/" TargetMode="External" Id="rId3243" /><Relationship Type="http://schemas.openxmlformats.org/officeDocument/2006/relationships/hyperlink" Target="https://www.ccbearndesgaves.fr/contact" TargetMode="External" Id="rId3244" /><Relationship Type="http://schemas.openxmlformats.org/officeDocument/2006/relationships/hyperlink" Target="https://lannuaire.service-public.gouv.fr/nouvelle-aquitaine/pyrenees-atlantiques/8cff5c4b-0be2-417e-b596-001faf3d66bf" TargetMode="External" Id="rId3245" /><Relationship Type="http://schemas.openxmlformats.org/officeDocument/2006/relationships/hyperlink" Target="mailto:dgs@hautbearn.fr" TargetMode="External" Id="rId3246" /><Relationship Type="http://schemas.openxmlformats.org/officeDocument/2006/relationships/hyperlink" Target="https://www.hautbearn.fr" TargetMode="External" Id="rId3247" /><Relationship Type="http://schemas.openxmlformats.org/officeDocument/2006/relationships/hyperlink" Target="https://www.hautbearn.fr/contactez-nous" TargetMode="External" Id="rId3248" /><Relationship Type="http://schemas.openxmlformats.org/officeDocument/2006/relationships/hyperlink" Target="https://lannuaire.service-public.gouv.fr/nouvelle-aquitaine/pyrenees-atlantiques/46574109-cb84-4fb6-b9d1-641e7de8cdf6" TargetMode="External" Id="rId3249" /><Relationship Type="http://schemas.openxmlformats.org/officeDocument/2006/relationships/hyperlink" Target="mailto:contact@cc-nordestbearn.fr" TargetMode="External" Id="rId3250" /><Relationship Type="http://schemas.openxmlformats.org/officeDocument/2006/relationships/hyperlink" Target="https://www.cc-nordestbearn.fr/" TargetMode="External" Id="rId3251" /><Relationship Type="http://schemas.openxmlformats.org/officeDocument/2006/relationships/hyperlink" Target="https://www.cc-nordestbearn.fr/formulaire-de-contact" TargetMode="External" Id="rId3252" /><Relationship Type="http://schemas.openxmlformats.org/officeDocument/2006/relationships/hyperlink" Target="https://lannuaire.service-public.gouv.fr/nouvelle-aquitaine/pyrenees-atlantiques/8dd94f32-51f0-4ca0-8d51-b7e792903eda" TargetMode="External" Id="rId3253" /><Relationship Type="http://schemas.openxmlformats.org/officeDocument/2006/relationships/hyperlink" Target="mailto:contact@adour-madiran.fr" TargetMode="External" Id="rId3254" /><Relationship Type="http://schemas.openxmlformats.org/officeDocument/2006/relationships/hyperlink" Target="https://www.adour-madiran.fr/" TargetMode="External" Id="rId3255" /><Relationship Type="http://schemas.openxmlformats.org/officeDocument/2006/relationships/hyperlink" Target="https://www.adour-madiran.fr/systeme/nous-contacter/" TargetMode="External" Id="rId3256" /><Relationship Type="http://schemas.openxmlformats.org/officeDocument/2006/relationships/hyperlink" Target="https://lannuaire.service-public.gouv.fr/occitanie/hautes-pyrenees/1a85d3a4-75fb-4d31-aacc-41c33033086f" TargetMode="External" Id="rId3257" /><Relationship Type="http://schemas.openxmlformats.org/officeDocument/2006/relationships/hyperlink" Target="mailto:contact@paysdenay.fr" TargetMode="External" Id="rId3258" /><Relationship Type="http://schemas.openxmlformats.org/officeDocument/2006/relationships/hyperlink" Target="https://www.paysdenay.fr/" TargetMode="External" Id="rId3259" /><Relationship Type="http://schemas.openxmlformats.org/officeDocument/2006/relationships/hyperlink" Target="https://www.paysdenay.fr/contact" TargetMode="External" Id="rId3260" /><Relationship Type="http://schemas.openxmlformats.org/officeDocument/2006/relationships/hyperlink" Target="https://lannuaire.service-public.gouv.fr/nouvelle-aquitaine/pyrenees-atlantiques/78b4775a-2dbe-4281-a0df-c7c2e191969b" TargetMode="External" Id="rId3261" /><Relationship Type="http://schemas.openxmlformats.org/officeDocument/2006/relationships/hyperlink" Target="https://www.agglo-tlp.fr/" TargetMode="External" Id="rId3262" /><Relationship Type="http://schemas.openxmlformats.org/officeDocument/2006/relationships/hyperlink" Target="https://www.agglo-tlp.fr/page/contact" TargetMode="External" Id="rId3263" /><Relationship Type="http://schemas.openxmlformats.org/officeDocument/2006/relationships/hyperlink" Target="https://lannuaire.service-public.gouv.fr/occitanie/hautes-pyrenees/75a170b6-528b-456c-aec0-fe339a3a01df" TargetMode="External" Id="rId3264" /><Relationship Type="http://schemas.openxmlformats.org/officeDocument/2006/relationships/hyperlink" Target="mailto:contact@aure-louron.fr" TargetMode="External" Id="rId3265" /><Relationship Type="http://schemas.openxmlformats.org/officeDocument/2006/relationships/hyperlink" Target="https://www.aure-louron.fr/" TargetMode="External" Id="rId3266" /><Relationship Type="http://schemas.openxmlformats.org/officeDocument/2006/relationships/hyperlink" Target="https://www.aure-louron.fr/contact.html" TargetMode="External" Id="rId3267" /><Relationship Type="http://schemas.openxmlformats.org/officeDocument/2006/relationships/hyperlink" Target="https://lannuaire.service-public.gouv.fr/occitanie/hautes-pyrenees/df300c30-7b29-444d-a637-392cdc54f733" TargetMode="External" Id="rId3268" /><Relationship Type="http://schemas.openxmlformats.org/officeDocument/2006/relationships/hyperlink" Target="mailto:accueil@neste-barousse.fr" TargetMode="External" Id="rId3269" /><Relationship Type="http://schemas.openxmlformats.org/officeDocument/2006/relationships/hyperlink" Target="https://neste-barousse.fr/" TargetMode="External" Id="rId3270" /><Relationship Type="http://schemas.openxmlformats.org/officeDocument/2006/relationships/hyperlink" Target="https://neste-barousse.fr/cc-neste-barousse/contact/" TargetMode="External" Id="rId3271" /><Relationship Type="http://schemas.openxmlformats.org/officeDocument/2006/relationships/hyperlink" Target="https://lannuaire.service-public.gouv.fr/occitanie/hautes-pyrenees/3a1f59d6-92f9-4c56-918d-b8ebbee406b8" TargetMode="External" Id="rId3272" /><Relationship Type="http://schemas.openxmlformats.org/officeDocument/2006/relationships/hyperlink" Target="mailto:courriel@ccpvg.fr" TargetMode="External" Id="rId3273" /><Relationship Type="http://schemas.openxmlformats.org/officeDocument/2006/relationships/hyperlink" Target="https://ccpvg.fr/" TargetMode="External" Id="rId3274" /><Relationship Type="http://schemas.openxmlformats.org/officeDocument/2006/relationships/hyperlink" Target="https://ccpvg.fr/contactez-nous/" TargetMode="External" Id="rId3275" /><Relationship Type="http://schemas.openxmlformats.org/officeDocument/2006/relationships/hyperlink" Target="https://lannuaire.service-public.gouv.fr/occitanie/hautes-pyrenees/3f2838cd-86ba-4c29-ab46-54fcef78a3a4" TargetMode="External" Id="rId3276" /><Relationship Type="http://schemas.openxmlformats.org/officeDocument/2006/relationships/hyperlink" Target="mailto:accueil@haute-bigorre.fr" TargetMode="External" Id="rId3277" /><Relationship Type="http://schemas.openxmlformats.org/officeDocument/2006/relationships/hyperlink" Target="https://www.haute-bigorre.fr/" TargetMode="External" Id="rId3278" /><Relationship Type="http://schemas.openxmlformats.org/officeDocument/2006/relationships/hyperlink" Target="https://www.haute-bigorre.fr/contactez-nous/" TargetMode="External" Id="rId3279" /><Relationship Type="http://schemas.openxmlformats.org/officeDocument/2006/relationships/hyperlink" Target="https://lannuaire.service-public.gouv.fr/occitanie/hautes-pyrenees/a0a9039e-58d4-425c-bcb4-48698db4564e" TargetMode="External" Id="rId3280" /><Relationship Type="http://schemas.openxmlformats.org/officeDocument/2006/relationships/hyperlink" Target="mailto:contact@coteaux-val-arros.fr" TargetMode="External" Id="rId3281" /><Relationship Type="http://schemas.openxmlformats.org/officeDocument/2006/relationships/hyperlink" Target="https://www.coteaux-val-arros.fr/" TargetMode="External" Id="rId3282" /><Relationship Type="http://schemas.openxmlformats.org/officeDocument/2006/relationships/hyperlink" Target="https://www.coteaux-val-arros.fr/contactez-nous/" TargetMode="External" Id="rId3283" /><Relationship Type="http://schemas.openxmlformats.org/officeDocument/2006/relationships/hyperlink" Target="https://lannuaire.service-public.gouv.fr/occitanie/hautes-pyrenees/e357af4a-81a0-4e62-ad79-13849f124495" TargetMode="External" Id="rId3284" /><Relationship Type="http://schemas.openxmlformats.org/officeDocument/2006/relationships/hyperlink" Target="mailto:ccptpaystrie@orange.fr" TargetMode="External" Id="rId3285" /><Relationship Type="http://schemas.openxmlformats.org/officeDocument/2006/relationships/hyperlink" Target="https://www.ccptm.fr/" TargetMode="External" Id="rId3286" /><Relationship Type="http://schemas.openxmlformats.org/officeDocument/2006/relationships/hyperlink" Target="https://ccptm.fr/contactez-nous-2/" TargetMode="External" Id="rId3287" /><Relationship Type="http://schemas.openxmlformats.org/officeDocument/2006/relationships/hyperlink" Target="https://lannuaire.service-public.gouv.fr/occitanie/hautes-pyrenees/6756168f-ac70-43ae-90c1-9e4b89ffcf67" TargetMode="External" Id="rId3288" /><Relationship Type="http://schemas.openxmlformats.org/officeDocument/2006/relationships/hyperlink" Target="mailto:accueil@ccplannemezan.fr" TargetMode="External" Id="rId3289" /><Relationship Type="http://schemas.openxmlformats.org/officeDocument/2006/relationships/hyperlink" Target="https://www.ccplateaudelannemezan.fr/" TargetMode="External" Id="rId3290" /><Relationship Type="http://schemas.openxmlformats.org/officeDocument/2006/relationships/hyperlink" Target="https://lannuaire.service-public.gouv.fr/occitanie/hautes-pyrenees/11b0e009-c237-4bb7-b7ee-461abbcd170b" TargetMode="External" Id="rId3291" /><Relationship Type="http://schemas.openxmlformats.org/officeDocument/2006/relationships/hyperlink" Target="mailto:contact@cc-aglyfenouilledes.fr" TargetMode="External" Id="rId3292" /><Relationship Type="http://schemas.openxmlformats.org/officeDocument/2006/relationships/hyperlink" Target="http://www.cc-aglyfenouilledes.fr" TargetMode="External" Id="rId3293" /><Relationship Type="http://schemas.openxmlformats.org/officeDocument/2006/relationships/hyperlink" Target="https://lannuaire.service-public.gouv.fr/occitanie/pyrenees-orientales/0ac1f21d-2274-465a-959d-9c797096b9a8" TargetMode="External" Id="rId3294" /><Relationship Type="http://schemas.openxmlformats.org/officeDocument/2006/relationships/hyperlink" Target="mailto:contact@conflentcanigo.fr" TargetMode="External" Id="rId3295" /><Relationship Type="http://schemas.openxmlformats.org/officeDocument/2006/relationships/hyperlink" Target="https://www.conflentcanigo.fr/" TargetMode="External" Id="rId3296" /><Relationship Type="http://schemas.openxmlformats.org/officeDocument/2006/relationships/hyperlink" Target="https://www.conflentcanigo.fr/contact" TargetMode="External" Id="rId3297" /><Relationship Type="http://schemas.openxmlformats.org/officeDocument/2006/relationships/hyperlink" Target="https://lannuaire.service-public.gouv.fr/occitanie/pyrenees-orientales/512d8839-1409-4986-93ea-0235d973b571" TargetMode="External" Id="rId3298" /><Relationship Type="http://schemas.openxmlformats.org/officeDocument/2006/relationships/hyperlink" Target="mailto:contact@pyrenees-catalanes.com" TargetMode="External" Id="rId3299" /><Relationship Type="http://schemas.openxmlformats.org/officeDocument/2006/relationships/hyperlink" Target="https://www.pyrenees-catalanes.net/" TargetMode="External" Id="rId3300" /><Relationship Type="http://schemas.openxmlformats.org/officeDocument/2006/relationships/hyperlink" Target="https://www.pyrenees-catalanes.net/fr/nous-contacter" TargetMode="External" Id="rId3301" /><Relationship Type="http://schemas.openxmlformats.org/officeDocument/2006/relationships/hyperlink" Target="https://lannuaire.service-public.gouv.fr/occitanie/pyrenees-orientales/21db85f0-9a54-4d7c-9ea5-788d11973520" TargetMode="External" Id="rId3302" /><Relationship Type="http://schemas.openxmlformats.org/officeDocument/2006/relationships/hyperlink" Target="mailto:contact@pyrenees-cerdagne.com" TargetMode="External" Id="rId3303" /><Relationship Type="http://schemas.openxmlformats.org/officeDocument/2006/relationships/hyperlink" Target="https://www.pyrenees-cerdagne.fr/" TargetMode="External" Id="rId3304" /><Relationship Type="http://schemas.openxmlformats.org/officeDocument/2006/relationships/hyperlink" Target="https://www.pyrenees-cerdagne.fr/vie-pratique/nous-contacter" TargetMode="External" Id="rId3305" /><Relationship Type="http://schemas.openxmlformats.org/officeDocument/2006/relationships/hyperlink" Target="https://lannuaire.service-public.gouv.fr/occitanie/pyrenees-orientales/910ba4b3-e5d2-4ddf-a632-eac3e7434e7d" TargetMode="External" Id="rId3306" /><Relationship Type="http://schemas.openxmlformats.org/officeDocument/2006/relationships/hyperlink" Target="mailto:accueil@roussillon-conflent.fr" TargetMode="External" Id="rId3307" /><Relationship Type="http://schemas.openxmlformats.org/officeDocument/2006/relationships/hyperlink" Target="https://www.roussillon-conflent.fr/" TargetMode="External" Id="rId3308" /><Relationship Type="http://schemas.openxmlformats.org/officeDocument/2006/relationships/hyperlink" Target="https://lannuaire.service-public.gouv.fr/occitanie/pyrenees-orientales/61b26ada-c60e-4f2b-8f20-7c86e0def5ac" TargetMode="External" Id="rId3309" /><Relationship Type="http://schemas.openxmlformats.org/officeDocument/2006/relationships/hyperlink" Target="mailto:info@sudroussillon.fr" TargetMode="External" Id="rId3310" /><Relationship Type="http://schemas.openxmlformats.org/officeDocument/2006/relationships/hyperlink" Target="https://sudroussillon.fr/" TargetMode="External" Id="rId3311" /><Relationship Type="http://schemas.openxmlformats.org/officeDocument/2006/relationships/hyperlink" Target="https://lannuaire.service-public.gouv.fr/occitanie/pyrenees-orientales/ebdde942-900d-41d2-b443-0e708a1c1e57" TargetMode="External" Id="rId3312" /><Relationship Type="http://schemas.openxmlformats.org/officeDocument/2006/relationships/hyperlink" Target="mailto:accueil@cc-acvi.com" TargetMode="External" Id="rId3313" /><Relationship Type="http://schemas.openxmlformats.org/officeDocument/2006/relationships/hyperlink" Target="https://www.cc-acvi.com/" TargetMode="External" Id="rId3314" /><Relationship Type="http://schemas.openxmlformats.org/officeDocument/2006/relationships/hyperlink" Target="https://www.cc-acvi.com/nous-contacter/" TargetMode="External" Id="rId3315" /><Relationship Type="http://schemas.openxmlformats.org/officeDocument/2006/relationships/hyperlink" Target="https://lannuaire.service-public.gouv.fr/occitanie/pyrenees-orientales/5b70bf08-85bb-4131-99a5-79ff6a617344" TargetMode="External" Id="rId3316" /><Relationship Type="http://schemas.openxmlformats.org/officeDocument/2006/relationships/hyperlink" Target="mailto:contact@cc-aspres.fr" TargetMode="External" Id="rId3317" /><Relationship Type="http://schemas.openxmlformats.org/officeDocument/2006/relationships/hyperlink" Target="https://www.cc-aspres.fr/" TargetMode="External" Id="rId3318" /><Relationship Type="http://schemas.openxmlformats.org/officeDocument/2006/relationships/hyperlink" Target="https://lannuaire.service-public.gouv.fr/occitanie/pyrenees-orientales/851d2dad-aa3a-4100-b069-4fa3d9660e55" TargetMode="External" Id="rId3319" /><Relationship Type="http://schemas.openxmlformats.org/officeDocument/2006/relationships/hyperlink" Target="mailto:accueil@haut-vallespir.fr" TargetMode="External" Id="rId3320" /><Relationship Type="http://schemas.openxmlformats.org/officeDocument/2006/relationships/hyperlink" Target="https://www.haut-vallespir.fr/" TargetMode="External" Id="rId3321" /><Relationship Type="http://schemas.openxmlformats.org/officeDocument/2006/relationships/hyperlink" Target="https://lannuaire.service-public.gouv.fr/occitanie/pyrenees-orientales/b34b9e40-49df-4205-8b4c-e256b470cb45" TargetMode="External" Id="rId3322" /><Relationship Type="http://schemas.openxmlformats.org/officeDocument/2006/relationships/hyperlink" Target="mailto:accueil@vallespir.com" TargetMode="External" Id="rId3323" /><Relationship Type="http://schemas.openxmlformats.org/officeDocument/2006/relationships/hyperlink" Target="https://www.vallespir.com/" TargetMode="External" Id="rId3324" /><Relationship Type="http://schemas.openxmlformats.org/officeDocument/2006/relationships/hyperlink" Target="https://www.vallespir.com/nous-contacter/" TargetMode="External" Id="rId3325" /><Relationship Type="http://schemas.openxmlformats.org/officeDocument/2006/relationships/hyperlink" Target="https://lannuaire.service-public.gouv.fr/occitanie/pyrenees-orientales/c6bde7da-bd68-420b-b354-dff24bff2583" TargetMode="External" Id="rId3326" /><Relationship Type="http://schemas.openxmlformats.org/officeDocument/2006/relationships/hyperlink" Target="mailto:accueil.pmca@perpignan-mediterranee.org" TargetMode="External" Id="rId3327" /><Relationship Type="http://schemas.openxmlformats.org/officeDocument/2006/relationships/hyperlink" Target="https://www.perpignanmediterraneemetropole.fr" TargetMode="External" Id="rId3328" /><Relationship Type="http://schemas.openxmlformats.org/officeDocument/2006/relationships/hyperlink" Target="https://lannuaire.service-public.gouv.fr/occitanie/pyrenees-orientales/a970b8c1-9090-488e-9308-7332c4cf83f2" TargetMode="External" Id="rId3329" /><Relationship Type="http://schemas.openxmlformats.org/officeDocument/2006/relationships/hyperlink" Target="mailto:ecrire@agglo-haguenau.fr" TargetMode="External" Id="rId3330" /><Relationship Type="http://schemas.openxmlformats.org/officeDocument/2006/relationships/hyperlink" Target="https://www.agglo-haguenau.fr/" TargetMode="External" Id="rId3331" /><Relationship Type="http://schemas.openxmlformats.org/officeDocument/2006/relationships/hyperlink" Target="https://www.agglo-haguenau.fr/contact/" TargetMode="External" Id="rId3332" /><Relationship Type="http://schemas.openxmlformats.org/officeDocument/2006/relationships/hyperlink" Target="https://lannuaire.service-public.gouv.fr/grand-est/bas-rhin/8e27619c-651a-491a-94b7-5ba6881e7901" TargetMode="External" Id="rId3333" /><Relationship Type="http://schemas.openxmlformats.org/officeDocument/2006/relationships/hyperlink" Target="mailto:info@sauer-pechelbronn.fr" TargetMode="External" Id="rId3334" /><Relationship Type="http://schemas.openxmlformats.org/officeDocument/2006/relationships/hyperlink" Target="https://www.sauer-pechelbronn.fr/" TargetMode="External" Id="rId3335" /><Relationship Type="http://schemas.openxmlformats.org/officeDocument/2006/relationships/hyperlink" Target="https://lannuaire.service-public.gouv.fr/grand-est/bas-rhin/f7eb1b65-33b6-4526-affb-a5f42b7d3388" TargetMode="External" Id="rId3336" /><Relationship Type="http://schemas.openxmlformats.org/officeDocument/2006/relationships/hyperlink" Target="mailto:accueil@hanau-lapetitepierre.alsace" TargetMode="External" Id="rId3337" /><Relationship Type="http://schemas.openxmlformats.org/officeDocument/2006/relationships/hyperlink" Target="https://www.hanau-lapetitepierre.alsace/" TargetMode="External" Id="rId3338" /><Relationship Type="http://schemas.openxmlformats.org/officeDocument/2006/relationships/hyperlink" Target="https://www.hanau-lapetitepierre.alsace/contact/" TargetMode="External" Id="rId3339" /><Relationship Type="http://schemas.openxmlformats.org/officeDocument/2006/relationships/hyperlink" Target="https://lannuaire.service-public.gouv.fr/grand-est/bas-rhin/800fcec5-ef77-4e1a-82cb-7283a975c1e3" TargetMode="External" Id="rId3340" /><Relationship Type="http://schemas.openxmlformats.org/officeDocument/2006/relationships/hyperlink" Target="mailto:contact@cc-selestat.fr" TargetMode="External" Id="rId3341" /><Relationship Type="http://schemas.openxmlformats.org/officeDocument/2006/relationships/hyperlink" Target="https://www.cc-selestat.fr/" TargetMode="External" Id="rId3342" /><Relationship Type="http://schemas.openxmlformats.org/officeDocument/2006/relationships/hyperlink" Target="https://lannuaire.service-public.gouv.fr/grand-est/bas-rhin/819d4568-bf83-4264-8dde-1f9fe00cd71c" TargetMode="External" Id="rId3343" /><Relationship Type="http://schemas.openxmlformats.org/officeDocument/2006/relationships/hyperlink" Target="mailto:accueil@ccab.eu" TargetMode="External" Id="rId3344" /><Relationship Type="http://schemas.openxmlformats.org/officeDocument/2006/relationships/hyperlink" Target="https://www.alsace-bossue.fr/" TargetMode="External" Id="rId3345" /><Relationship Type="http://schemas.openxmlformats.org/officeDocument/2006/relationships/hyperlink" Target="https://lannuaire.service-public.gouv.fr/grand-est/bas-rhin/9cd57644-efde-47fe-9c04-9ac640b38e7d" TargetMode="External" Id="rId3346" /><Relationship Type="http://schemas.openxmlformats.org/officeDocument/2006/relationships/hyperlink" Target="mailto:contact@cc-outreforet.fr" TargetMode="External" Id="rId3347" /><Relationship Type="http://schemas.openxmlformats.org/officeDocument/2006/relationships/hyperlink" Target="https://www.cc-outreforet.fr/" TargetMode="External" Id="rId3348" /><Relationship Type="http://schemas.openxmlformats.org/officeDocument/2006/relationships/hyperlink" Target="https://www.cc-outreforet.fr/contact/" TargetMode="External" Id="rId3349" /><Relationship Type="http://schemas.openxmlformats.org/officeDocument/2006/relationships/hyperlink" Target="https://lannuaire.service-public.gouv.fr/grand-est/bas-rhin/989e39cf-0843-447b-88d7-17cace2b9d3d" TargetMode="External" Id="rId3350" /><Relationship Type="http://schemas.openxmlformats.org/officeDocument/2006/relationships/hyperlink" Target="mailto:info@cc-basse-zorn.fr" TargetMode="External" Id="rId3351" /><Relationship Type="http://schemas.openxmlformats.org/officeDocument/2006/relationships/hyperlink" Target="https://www.cc-basse-zorn.fr/" TargetMode="External" Id="rId3352" /><Relationship Type="http://schemas.openxmlformats.org/officeDocument/2006/relationships/hyperlink" Target="https://www.cc-basse-zorn.fr/FR/Divers/Nous-contacter.html" TargetMode="External" Id="rId3353" /><Relationship Type="http://schemas.openxmlformats.org/officeDocument/2006/relationships/hyperlink" Target="https://lannuaire.service-public.gouv.fr/grand-est/bas-rhin/1741c3d2-ca28-40a1-add3-4efcede11f11" TargetMode="External" Id="rId3354" /><Relationship Type="http://schemas.openxmlformats.org/officeDocument/2006/relationships/hyperlink" Target="mailto:contact@mossigvignoble.fr" TargetMode="External" Id="rId3355" /><Relationship Type="http://schemas.openxmlformats.org/officeDocument/2006/relationships/hyperlink" Target="https://www.mossigvignoble.fr/" TargetMode="External" Id="rId3356" /><Relationship Type="http://schemas.openxmlformats.org/officeDocument/2006/relationships/hyperlink" Target="https://www.mossigvignoble.fr/formulaire-de-contact/" TargetMode="External" Id="rId3357" /><Relationship Type="http://schemas.openxmlformats.org/officeDocument/2006/relationships/hyperlink" Target="https://lannuaire.service-public.gouv.fr/grand-est/bas-rhin/e14b71c9-8bef-4d09-a227-f8c590f3be31" TargetMode="External" Id="rId3358" /><Relationship Type="http://schemas.openxmlformats.org/officeDocument/2006/relationships/hyperlink" Target="mailto:contact@cc-plaine-rhin.fr" TargetMode="External" Id="rId3359" /><Relationship Type="http://schemas.openxmlformats.org/officeDocument/2006/relationships/hyperlink" Target="https://cc-plaine-rhin.fr/" TargetMode="External" Id="rId3360" /><Relationship Type="http://schemas.openxmlformats.org/officeDocument/2006/relationships/hyperlink" Target="https://cc-plaine-rhin.fr/informations/formulaire-de-contact/" TargetMode="External" Id="rId3361" /><Relationship Type="http://schemas.openxmlformats.org/officeDocument/2006/relationships/hyperlink" Target="https://lannuaire.service-public.gouv.fr/grand-est/bas-rhin/c1cade55-6446-49b5-b8d8-14beab28ec76" TargetMode="External" Id="rId3362" /><Relationship Type="http://schemas.openxmlformats.org/officeDocument/2006/relationships/hyperlink" Target="mailto:secretariat@cc-molsheim-mutzig.fr" TargetMode="External" Id="rId3363" /><Relationship Type="http://schemas.openxmlformats.org/officeDocument/2006/relationships/hyperlink" Target="https://www.cc-molsheim-mutzig.fr/" TargetMode="External" Id="rId3364" /><Relationship Type="http://schemas.openxmlformats.org/officeDocument/2006/relationships/hyperlink" Target="https://www.cc-molsheim-mutzig.fr/contact.htm" TargetMode="External" Id="rId3365" /><Relationship Type="http://schemas.openxmlformats.org/officeDocument/2006/relationships/hyperlink" Target="https://lannuaire.service-public.gouv.fr/grand-est/bas-rhin/838b4dd8-03a6-432b-bade-8d60fcd8a874" TargetMode="External" Id="rId3366" /><Relationship Type="http://schemas.openxmlformats.org/officeDocument/2006/relationships/hyperlink" Target="mailto:contact@valleedeville.fr" TargetMode="External" Id="rId3367" /><Relationship Type="http://schemas.openxmlformats.org/officeDocument/2006/relationships/hyperlink" Target="https://cdc.valleedeville.fr/" TargetMode="External" Id="rId3368" /><Relationship Type="http://schemas.openxmlformats.org/officeDocument/2006/relationships/hyperlink" Target="https://lannuaire.service-public.gouv.fr/grand-est/bas-rhin/cc17ab82-7f03-4766-ab8a-0d3f538cb5a8" TargetMode="External" Id="rId3369" /><Relationship Type="http://schemas.openxmlformats.org/officeDocument/2006/relationships/hyperlink" Target="mailto:contact@valleedelabruche.fr" TargetMode="External" Id="rId3370" /><Relationship Type="http://schemas.openxmlformats.org/officeDocument/2006/relationships/hyperlink" Target="https://cc.valleedelabruche.fr/" TargetMode="External" Id="rId3371" /><Relationship Type="http://schemas.openxmlformats.org/officeDocument/2006/relationships/hyperlink" Target="https://lannuaire.service-public.gouv.fr/grand-est/bas-rhin/89239143-8b09-4e97-8117-a6c380ec7e22" TargetMode="External" Id="rId3372" /><Relationship Type="http://schemas.openxmlformats.org/officeDocument/2006/relationships/hyperlink" Target="mailto:courrier@ccp-r.fr" TargetMode="External" Id="rId3373" /><Relationship Type="http://schemas.openxmlformats.org/officeDocument/2006/relationships/hyperlink" Target="https://www.cc-portesderosheim.fr/" TargetMode="External" Id="rId3374" /><Relationship Type="http://schemas.openxmlformats.org/officeDocument/2006/relationships/hyperlink" Target="https://www.cc-portesderosheim.fr/formulaire-de-contact/" TargetMode="External" Id="rId3375" /><Relationship Type="http://schemas.openxmlformats.org/officeDocument/2006/relationships/hyperlink" Target="https://lannuaire.service-public.gouv.fr/grand-est/bas-rhin/6d42e6d7-3d0e-4068-a804-b0fef0b3f278" TargetMode="External" Id="rId3376" /><Relationship Type="http://schemas.openxmlformats.org/officeDocument/2006/relationships/hyperlink" Target="mailto:contact@cc-erstein.fr" TargetMode="External" Id="rId3377" /><Relationship Type="http://schemas.openxmlformats.org/officeDocument/2006/relationships/hyperlink" Target="https://www.cc-erstein.fr/" TargetMode="External" Id="rId3378" /><Relationship Type="http://schemas.openxmlformats.org/officeDocument/2006/relationships/hyperlink" Target="https://lannuaire.service-public.gouv.fr/grand-est/bas-rhin/f05f0280-b177-47d2-bcc1-6ead4de3cc9f" TargetMode="External" Id="rId3379" /><Relationship Type="http://schemas.openxmlformats.org/officeDocument/2006/relationships/hyperlink" Target="mailto:com.com@kochersberg.fr" TargetMode="External" Id="rId3380" /><Relationship Type="http://schemas.openxmlformats.org/officeDocument/2006/relationships/hyperlink" Target="https://www.kochersberg.fr/" TargetMode="External" Id="rId3381" /><Relationship Type="http://schemas.openxmlformats.org/officeDocument/2006/relationships/hyperlink" Target="https://www.kochersberg.fr/Divers/Nous-contacter.html" TargetMode="External" Id="rId3382" /><Relationship Type="http://schemas.openxmlformats.org/officeDocument/2006/relationships/hyperlink" Target="https://lannuaire.service-public.gouv.fr/grand-est/bas-rhin/e7e4ca35-1db7-4975-a92f-5e927cc8efe7" TargetMode="External" Id="rId3383" /><Relationship Type="http://schemas.openxmlformats.org/officeDocument/2006/relationships/hyperlink" Target="mailto:contact@cc-paysrhenan.fr" TargetMode="External" Id="rId3384" /><Relationship Type="http://schemas.openxmlformats.org/officeDocument/2006/relationships/hyperlink" Target="https://www.cc-paysrhenan.fr/" TargetMode="External" Id="rId3385" /><Relationship Type="http://schemas.openxmlformats.org/officeDocument/2006/relationships/hyperlink" Target="https://www.cc-paysrhenan.fr/Contact.html" TargetMode="External" Id="rId3386" /><Relationship Type="http://schemas.openxmlformats.org/officeDocument/2006/relationships/hyperlink" Target="https://lannuaire.service-public.gouv.fr/grand-est/bas-rhin/a0069d80-5201-4958-9234-def67f592adc" TargetMode="External" Id="rId3387" /><Relationship Type="http://schemas.openxmlformats.org/officeDocument/2006/relationships/hyperlink" Target="mailto:contact@paysdebarr.fr" TargetMode="External" Id="rId3388" /><Relationship Type="http://schemas.openxmlformats.org/officeDocument/2006/relationships/hyperlink" Target="https://www.paysdebarr.fr/" TargetMode="External" Id="rId3389" /><Relationship Type="http://schemas.openxmlformats.org/officeDocument/2006/relationships/hyperlink" Target="https://www.paysdebarr.fr/fr/nous-contacter" TargetMode="External" Id="rId3390" /><Relationship Type="http://schemas.openxmlformats.org/officeDocument/2006/relationships/hyperlink" Target="https://lannuaire.service-public.gouv.fr/grand-est/bas-rhin/4bc43939-5e5c-459e-b54d-ab0484055d3a" TargetMode="External" Id="rId3391" /><Relationship Type="http://schemas.openxmlformats.org/officeDocument/2006/relationships/hyperlink" Target="mailto:contact@ccpaysniederbronn.fr" TargetMode="External" Id="rId3392" /><Relationship Type="http://schemas.openxmlformats.org/officeDocument/2006/relationships/hyperlink" Target="https://www.ccpaysniederbronn.fr/" TargetMode="External" Id="rId3393" /><Relationship Type="http://schemas.openxmlformats.org/officeDocument/2006/relationships/hyperlink" Target="https://www.ccpaysniederbronn.fr/Nous-contacter.html" TargetMode="External" Id="rId3394" /><Relationship Type="http://schemas.openxmlformats.org/officeDocument/2006/relationships/hyperlink" Target="https://lannuaire.service-public.gouv.fr/grand-est/bas-rhin/324e636a-9094-457e-88fb-036c812cfbd2" TargetMode="External" Id="rId3395" /><Relationship Type="http://schemas.openxmlformats.org/officeDocument/2006/relationships/hyperlink" Target="mailto:ccpso@ccpso.com" TargetMode="External" Id="rId3396" /><Relationship Type="http://schemas.openxmlformats.org/officeDocument/2006/relationships/hyperlink" Target="http://www.cc-paysdesainteodile.fr" TargetMode="External" Id="rId3397" /><Relationship Type="http://schemas.openxmlformats.org/officeDocument/2006/relationships/hyperlink" Target="http://www.cc-paysdesainteodile.fr/contact/" TargetMode="External" Id="rId3398" /><Relationship Type="http://schemas.openxmlformats.org/officeDocument/2006/relationships/hyperlink" Target="https://lannuaire.service-public.gouv.fr/grand-est/bas-rhin/1cc87d8c-9830-4933-909f-0bf5183bc430" TargetMode="External" Id="rId3399" /><Relationship Type="http://schemas.openxmlformats.org/officeDocument/2006/relationships/hyperlink" Target="mailto:contact@cc-saverne.fr" TargetMode="External" Id="rId3400" /><Relationship Type="http://schemas.openxmlformats.org/officeDocument/2006/relationships/hyperlink" Target="https://www.cc-paysdesaverne.fr/" TargetMode="External" Id="rId3401" /><Relationship Type="http://schemas.openxmlformats.org/officeDocument/2006/relationships/hyperlink" Target="https://lannuaire.service-public.gouv.fr/grand-est/bas-rhin/08215e48-479d-429c-b7be-9634644fbda9" TargetMode="External" Id="rId3402" /><Relationship Type="http://schemas.openxmlformats.org/officeDocument/2006/relationships/hyperlink" Target="mailto:infos@cc-pays-wissembourg.fr" TargetMode="External" Id="rId3403" /><Relationship Type="http://schemas.openxmlformats.org/officeDocument/2006/relationships/hyperlink" Target="https://www.cc-pays-wissembourg.fr/" TargetMode="External" Id="rId3404" /><Relationship Type="http://schemas.openxmlformats.org/officeDocument/2006/relationships/hyperlink" Target="https://www.cc-pays-wissembourg.fr/fr/Contact.html" TargetMode="External" Id="rId3405" /><Relationship Type="http://schemas.openxmlformats.org/officeDocument/2006/relationships/hyperlink" Target="https://lannuaire.service-public.gouv.fr/grand-est/bas-rhin/ea5e77ed-6740-4114-bde1-115e79aee82c" TargetMode="External" Id="rId3406" /><Relationship Type="http://schemas.openxmlformats.org/officeDocument/2006/relationships/hyperlink" Target="https://www.strasbourg.eu/" TargetMode="External" Id="rId3407" /><Relationship Type="http://schemas.openxmlformats.org/officeDocument/2006/relationships/hyperlink" Target="https://demarches.strasbourg.eu/contactez-nous/contactez-nous/" TargetMode="External" Id="rId3408" /><Relationship Type="http://schemas.openxmlformats.org/officeDocument/2006/relationships/hyperlink" Target="https://lannuaire.service-public.gouv.fr/grand-est/bas-rhin/db057bfd-ee8f-49eb-83a9-156c8f87bc3a" TargetMode="External" Id="rId3409" /><Relationship Type="http://schemas.openxmlformats.org/officeDocument/2006/relationships/hyperlink" Target="mailto:contact@ried-marckolsheim.fr" TargetMode="External" Id="rId3410" /><Relationship Type="http://schemas.openxmlformats.org/officeDocument/2006/relationships/hyperlink" Target="https://www.ried-marckolsheim.fr/" TargetMode="External" Id="rId3411" /><Relationship Type="http://schemas.openxmlformats.org/officeDocument/2006/relationships/hyperlink" Target="https://www.ried-marckolsheim.fr/contactez-nous" TargetMode="External" Id="rId3412" /><Relationship Type="http://schemas.openxmlformats.org/officeDocument/2006/relationships/hyperlink" Target="https://lannuaire.service-public.gouv.fr/grand-est/bas-rhin/5b0ac28f-73b8-4a2f-9986-84aafd37effa" TargetMode="External" Id="rId3413" /><Relationship Type="http://schemas.openxmlformats.org/officeDocument/2006/relationships/hyperlink" Target="mailto:contact@agglo-colmar.fr" TargetMode="External" Id="rId3414" /><Relationship Type="http://schemas.openxmlformats.org/officeDocument/2006/relationships/hyperlink" Target="https://www.agglo-colmar.fr/" TargetMode="External" Id="rId3415" /><Relationship Type="http://schemas.openxmlformats.org/officeDocument/2006/relationships/hyperlink" Target="https://lannuaire.service-public.gouv.fr/grand-est/haut-rhin/d5d2347e-8656-4a5a-95f5-d1afb887c009" TargetMode="External" Id="rId3416" /><Relationship Type="http://schemas.openxmlformats.org/officeDocument/2006/relationships/hyperlink" Target="mailto:mulhouse@mulhouse.fr" TargetMode="External" Id="rId3417" /><Relationship Type="http://schemas.openxmlformats.org/officeDocument/2006/relationships/hyperlink" Target="https://www.m2a.fr/" TargetMode="External" Id="rId3418" /><Relationship Type="http://schemas.openxmlformats.org/officeDocument/2006/relationships/hyperlink" Target="https://www.m2a.fr/contact/" TargetMode="External" Id="rId3419" /><Relationship Type="http://schemas.openxmlformats.org/officeDocument/2006/relationships/hyperlink" Target="https://lannuaire.service-public.gouv.fr/grand-est/haut-rhin/ae46ad43-c37b-40d9-8b23-4105804085c9" TargetMode="External" Id="rId3420" /><Relationship Type="http://schemas.openxmlformats.org/officeDocument/2006/relationships/hyperlink" Target="mailto:direction@agglo-saint-louis.fr" TargetMode="External" Id="rId3421" /><Relationship Type="http://schemas.openxmlformats.org/officeDocument/2006/relationships/hyperlink" Target="https://www.agglo-saint-louis.fr/fr/" TargetMode="External" Id="rId3422" /><Relationship Type="http://schemas.openxmlformats.org/officeDocument/2006/relationships/hyperlink" Target="https://www.agglo-saint-louis.fr/fr/contact/" TargetMode="External" Id="rId3423" /><Relationship Type="http://schemas.openxmlformats.org/officeDocument/2006/relationships/hyperlink" Target="https://lannuaire.service-public.gouv.fr/grand-est/haut-rhin/45b4105a-804b-4b55-ae0d-32d60d01f49e" TargetMode="External" Id="rId3424" /><Relationship Type="http://schemas.openxmlformats.org/officeDocument/2006/relationships/hyperlink" Target="mailto:contact@alsacerhinbrisach.fr" TargetMode="External" Id="rId3425" /><Relationship Type="http://schemas.openxmlformats.org/officeDocument/2006/relationships/hyperlink" Target="https://cc-alsacerhinbrisach.fr/" TargetMode="External" Id="rId3426" /><Relationship Type="http://schemas.openxmlformats.org/officeDocument/2006/relationships/hyperlink" Target="https://www.paysrhinbrisach.fr/communaute-de-communes/contact-plan-dacces/" TargetMode="External" Id="rId3427" /><Relationship Type="http://schemas.openxmlformats.org/officeDocument/2006/relationships/hyperlink" Target="https://lannuaire.service-public.gouv.fr/grand-est/haut-rhin/7c6f00ab-c570-402d-aed3-8d2da00aad09" TargetMode="External" Id="rId3428" /><Relationship Type="http://schemas.openxmlformats.org/officeDocument/2006/relationships/hyperlink" Target="mailto:info@sudalsace-largue.fr" TargetMode="External" Id="rId3429" /><Relationship Type="http://schemas.openxmlformats.org/officeDocument/2006/relationships/hyperlink" Target="https://www.sudalsace-largue.fr" TargetMode="External" Id="rId3430" /><Relationship Type="http://schemas.openxmlformats.org/officeDocument/2006/relationships/hyperlink" Target="https://www.sudalsace-largue.fr/territoire-intercommunal/ecrivez-nous.htm" TargetMode="External" Id="rId3431" /><Relationship Type="http://schemas.openxmlformats.org/officeDocument/2006/relationships/hyperlink" Target="https://lannuaire.service-public.gouv.fr/grand-est/haut-rhin/f2fae96d-8cf2-4ced-bee1-763c38e93016" TargetMode="External" Id="rId3432" /><Relationship Type="http://schemas.openxmlformats.org/officeDocument/2006/relationships/hyperlink" Target="mailto:accueil@cc-sundgau.fr" TargetMode="External" Id="rId3433" /><Relationship Type="http://schemas.openxmlformats.org/officeDocument/2006/relationships/hyperlink" Target="https://www.cc-sundgau.fr/" TargetMode="External" Id="rId3434" /><Relationship Type="http://schemas.openxmlformats.org/officeDocument/2006/relationships/hyperlink" Target="https://cc-sundgau.fr/formulaire-de-contact/" TargetMode="External" Id="rId3435" /><Relationship Type="http://schemas.openxmlformats.org/officeDocument/2006/relationships/hyperlink" Target="https://lannuaire.service-public.gouv.fr/grand-est/haut-rhin/417d0bc2-a123-4de6-9021-da5b7ec5aab2" TargetMode="External" Id="rId3436" /><Relationship Type="http://schemas.openxmlformats.org/officeDocument/2006/relationships/hyperlink" Target="mailto:contact@cc-thann-cernay.fr" TargetMode="External" Id="rId3437" /><Relationship Type="http://schemas.openxmlformats.org/officeDocument/2006/relationships/hyperlink" Target="https://www.cc-thann-cernay.fr" TargetMode="External" Id="rId3438" /><Relationship Type="http://schemas.openxmlformats.org/officeDocument/2006/relationships/hyperlink" Target="https://cc-thann-cernay.fr/contact-services/" TargetMode="External" Id="rId3439" /><Relationship Type="http://schemas.openxmlformats.org/officeDocument/2006/relationships/hyperlink" Target="https://lannuaire.service-public.gouv.fr/grand-est/haut-rhin/532eebec-7bf3-4cf5-bbe1-d654f08351c1" TargetMode="External" Id="rId3440" /><Relationship Type="http://schemas.openxmlformats.org/officeDocument/2006/relationships/hyperlink" Target="mailto:infos@cc-guebwiller.fr" TargetMode="External" Id="rId3441" /><Relationship Type="http://schemas.openxmlformats.org/officeDocument/2006/relationships/hyperlink" Target="https://www.cc-guebwiller.fr/" TargetMode="External" Id="rId3442" /><Relationship Type="http://schemas.openxmlformats.org/officeDocument/2006/relationships/hyperlink" Target="https://www.cc-guebwiller.fr/contact-ccrg/" TargetMode="External" Id="rId3443" /><Relationship Type="http://schemas.openxmlformats.org/officeDocument/2006/relationships/hyperlink" Target="https://lannuaire.service-public.gouv.fr/grand-est/haut-rhin/e5711f76-c87c-49c6-aac5-99978d3b1d49" TargetMode="External" Id="rId3444" /><Relationship Type="http://schemas.openxmlformats.org/officeDocument/2006/relationships/hyperlink" Target="mailto:info@cc-kaysersberg.fr" TargetMode="External" Id="rId3445" /><Relationship Type="http://schemas.openxmlformats.org/officeDocument/2006/relationships/hyperlink" Target="https://www.cc-kaysersberg.fr" TargetMode="External" Id="rId3446" /><Relationship Type="http://schemas.openxmlformats.org/officeDocument/2006/relationships/hyperlink" Target="https://www.cc-kaysersberg.fr/contact.htm" TargetMode="External" Id="rId3447" /><Relationship Type="http://schemas.openxmlformats.org/officeDocument/2006/relationships/hyperlink" Target="https://lannuaire.service-public.gouv.fr/grand-est/haut-rhin/91754233-c9fb-47fb-bb26-71cc6ffe79c1" TargetMode="External" Id="rId3448" /><Relationship Type="http://schemas.openxmlformats.org/officeDocument/2006/relationships/hyperlink" Target="mailto:ccvm@cc-vallee-munster.fr" TargetMode="External" Id="rId3449" /><Relationship Type="http://schemas.openxmlformats.org/officeDocument/2006/relationships/hyperlink" Target="https://www.cc-vallee-munster.fr/" TargetMode="External" Id="rId3450" /><Relationship Type="http://schemas.openxmlformats.org/officeDocument/2006/relationships/hyperlink" Target="https://lannuaire.service-public.gouv.fr/grand-est/haut-rhin/56566b1c-fba2-4634-930f-c5569b137065" TargetMode="External" Id="rId3451" /><Relationship Type="http://schemas.openxmlformats.org/officeDocument/2006/relationships/hyperlink" Target="mailto:contact@ccvsa.fr" TargetMode="External" Id="rId3452" /><Relationship Type="http://schemas.openxmlformats.org/officeDocument/2006/relationships/hyperlink" Target="https://ccvsa.fr/" TargetMode="External" Id="rId3453" /><Relationship Type="http://schemas.openxmlformats.org/officeDocument/2006/relationships/hyperlink" Target="https://ccvsa.fr/contact-services/" TargetMode="External" Id="rId3454" /><Relationship Type="http://schemas.openxmlformats.org/officeDocument/2006/relationships/hyperlink" Target="https://lannuaire.service-public.gouv.fr/grand-est/haut-rhin/c8d775c7-fac1-4c77-8dcc-480b19e851eb" TargetMode="External" Id="rId3455" /><Relationship Type="http://schemas.openxmlformats.org/officeDocument/2006/relationships/hyperlink" Target="mailto:contact@cc-vallee-doller.fr" TargetMode="External" Id="rId3456" /><Relationship Type="http://schemas.openxmlformats.org/officeDocument/2006/relationships/hyperlink" Target="https://www.cc-vallee-doller.fr/" TargetMode="External" Id="rId3457" /><Relationship Type="http://schemas.openxmlformats.org/officeDocument/2006/relationships/hyperlink" Target="https://lannuaire.service-public.gouv.fr/grand-est/haut-rhin/12312613-fc77-481c-ab2f-8a7d5e10b442" TargetMode="External" Id="rId3458" /><Relationship Type="http://schemas.openxmlformats.org/officeDocument/2006/relationships/hyperlink" Target="mailto:contact@ccchr.fr" TargetMode="External" Id="rId3459" /><Relationship Type="http://schemas.openxmlformats.org/officeDocument/2006/relationships/hyperlink" Target="https://ccchr.fr/" TargetMode="External" Id="rId3460" /><Relationship Type="http://schemas.openxmlformats.org/officeDocument/2006/relationships/hyperlink" Target="https://lannuaire.service-public.gouv.fr/grand-est/haut-rhin/9fa9b4cc-84cd-4da2-adef-a4f2b73b81ef" TargetMode="External" Id="rId3461" /><Relationship Type="http://schemas.openxmlformats.org/officeDocument/2006/relationships/hyperlink" Target="mailto:contact@paysderibeauville.fr" TargetMode="External" Id="rId3462" /><Relationship Type="http://schemas.openxmlformats.org/officeDocument/2006/relationships/hyperlink" Target="https://www.cc-ribeauville.fr/" TargetMode="External" Id="rId3463" /><Relationship Type="http://schemas.openxmlformats.org/officeDocument/2006/relationships/hyperlink" Target="https://lannuaire.service-public.gouv.fr/grand-est/haut-rhin/17433479-e09e-472a-ac1f-54f9d1dde9bb" TargetMode="External" Id="rId3464" /><Relationship Type="http://schemas.openxmlformats.org/officeDocument/2006/relationships/hyperlink" Target="mailto:accueil@cc-paysderouffach.fr" TargetMode="External" Id="rId3465" /><Relationship Type="http://schemas.openxmlformats.org/officeDocument/2006/relationships/hyperlink" Target="https://www.cc-paysderouffach-vignobles-chateaux.fr/" TargetMode="External" Id="rId3466" /><Relationship Type="http://schemas.openxmlformats.org/officeDocument/2006/relationships/hyperlink" Target="https://www.cc-paysderouffach-vignobles-chateaux.fr/formulaire-de-contact" TargetMode="External" Id="rId3467" /><Relationship Type="http://schemas.openxmlformats.org/officeDocument/2006/relationships/hyperlink" Target="https://lannuaire.service-public.gouv.fr/grand-est/haut-rhin/e1969655-0559-4893-bff6-f62ef1613f20" TargetMode="External" Id="rId3468" /><Relationship Type="http://schemas.openxmlformats.org/officeDocument/2006/relationships/hyperlink" Target="mailto:accueil@cc-valdargent.fr" TargetMode="External" Id="rId3469" /><Relationship Type="http://schemas.openxmlformats.org/officeDocument/2006/relationships/hyperlink" Target="https://www.cc-valdargent.fr/" TargetMode="External" Id="rId3470" /><Relationship Type="http://schemas.openxmlformats.org/officeDocument/2006/relationships/hyperlink" Target="https://www.cc-valdargent.fr/contact" TargetMode="External" Id="rId3471" /><Relationship Type="http://schemas.openxmlformats.org/officeDocument/2006/relationships/hyperlink" Target="https://lannuaire.service-public.gouv.fr/grand-est/haut-rhin/ad1b17ac-2cf1-433a-967b-c2b552e31720" TargetMode="External" Id="rId3472" /><Relationship Type="http://schemas.openxmlformats.org/officeDocument/2006/relationships/hyperlink" Target="mailto:contact@c-or.fr" TargetMode="External" Id="rId3473" /><Relationship Type="http://schemas.openxmlformats.org/officeDocument/2006/relationships/hyperlink" Target="https://www.ouestrhodanien.fr/" TargetMode="External" Id="rId3474" /><Relationship Type="http://schemas.openxmlformats.org/officeDocument/2006/relationships/hyperlink" Target="https://www.ouestrhodanien.fr/nous-contacter/" TargetMode="External" Id="rId3475" /><Relationship Type="http://schemas.openxmlformats.org/officeDocument/2006/relationships/hyperlink" Target="https://lannuaire.service-public.gouv.fr/auvergne-rhone-alpes/rhone/4655d371-6205-4bff-ac42-d3109648d84e" TargetMode="External" Id="rId3476" /><Relationship Type="http://schemas.openxmlformats.org/officeDocument/2006/relationships/hyperlink" Target="mailto:contact@cc-pierresdorees.com" TargetMode="External" Id="rId3477" /><Relationship Type="http://schemas.openxmlformats.org/officeDocument/2006/relationships/hyperlink" Target="https://www.cc-pierresdorees.com/" TargetMode="External" Id="rId3478" /><Relationship Type="http://schemas.openxmlformats.org/officeDocument/2006/relationships/hyperlink" Target="https://www.cc-pierresdorees.com/contact" TargetMode="External" Id="rId3479" /><Relationship Type="http://schemas.openxmlformats.org/officeDocument/2006/relationships/hyperlink" Target="https://lannuaire.service-public.gouv.fr/auvergne-rhone-alpes/rhone/314edd8d-49a5-40d5-bd83-356b55bfa7ec" TargetMode="External" Id="rId3480" /><Relationship Type="http://schemas.openxmlformats.org/officeDocument/2006/relationships/hyperlink" Target="mailto:contact@ccsb-saonebeaujolais.fr" TargetMode="External" Id="rId3481" /><Relationship Type="http://schemas.openxmlformats.org/officeDocument/2006/relationships/hyperlink" Target="https://ccsb-saonebeaujolais.fr/" TargetMode="External" Id="rId3482" /><Relationship Type="http://schemas.openxmlformats.org/officeDocument/2006/relationships/hyperlink" Target="https://ccsb-saonebeaujolais.fr/contactez-la-ccsb/" TargetMode="External" Id="rId3483" /><Relationship Type="http://schemas.openxmlformats.org/officeDocument/2006/relationships/hyperlink" Target="https://lannuaire.service-public.gouv.fr/auvergne-rhone-alpes/rhone/c89d5a8e-c557-4dab-94f2-4168e551e748" TargetMode="External" Id="rId3484" /><Relationship Type="http://schemas.openxmlformats.org/officeDocument/2006/relationships/hyperlink" Target="mailto:accueil@ccel.fr" TargetMode="External" Id="rId3485" /><Relationship Type="http://schemas.openxmlformats.org/officeDocument/2006/relationships/hyperlink" Target="https://ccel.fr/" TargetMode="External" Id="rId3486" /><Relationship Type="http://schemas.openxmlformats.org/officeDocument/2006/relationships/hyperlink" Target="https://ccel.fr/contact/" TargetMode="External" Id="rId3487" /><Relationship Type="http://schemas.openxmlformats.org/officeDocument/2006/relationships/hyperlink" Target="https://lannuaire.service-public.gouv.fr/auvergne-rhone-alpes/rhone/21432a76-82df-4325-96bd-70c856aaff98" TargetMode="External" Id="rId3488" /><Relationship Type="http://schemas.openxmlformats.org/officeDocument/2006/relationships/hyperlink" Target="mailto:contact@cc-valleedugaron.fr" TargetMode="External" Id="rId3489" /><Relationship Type="http://schemas.openxmlformats.org/officeDocument/2006/relationships/hyperlink" Target="https://www.ccvalleedugaron.com/" TargetMode="External" Id="rId3490" /><Relationship Type="http://schemas.openxmlformats.org/officeDocument/2006/relationships/hyperlink" Target="https://www.ccvalleedugaron.com/contact/" TargetMode="External" Id="rId3491" /><Relationship Type="http://schemas.openxmlformats.org/officeDocument/2006/relationships/hyperlink" Target="https://lannuaire.service-public.gouv.fr/auvergne-rhone-alpes/rhone/68d4be09-461e-41f4-9d56-16f3fb80d433" TargetMode="External" Id="rId3492" /><Relationship Type="http://schemas.openxmlformats.org/officeDocument/2006/relationships/hyperlink" Target="mailto:ccvl@ccvl.fr" TargetMode="External" Id="rId3493" /><Relationship Type="http://schemas.openxmlformats.org/officeDocument/2006/relationships/hyperlink" Target="http://www.ccvl.fr" TargetMode="External" Id="rId3494" /><Relationship Type="http://schemas.openxmlformats.org/officeDocument/2006/relationships/hyperlink" Target="https://lannuaire.service-public.gouv.fr/auvergne-rhone-alpes/rhone/efed0eb0-dfe3-4b41-8a18-efb5856f5fac" TargetMode="External" Id="rId3495" /><Relationship Type="http://schemas.openxmlformats.org/officeDocument/2006/relationships/hyperlink" Target="mailto:copamo@cc-paysmornantais.fr" TargetMode="External" Id="rId3496" /><Relationship Type="http://schemas.openxmlformats.org/officeDocument/2006/relationships/hyperlink" Target="https://cc-paysmornantais.fr/" TargetMode="External" Id="rId3497" /><Relationship Type="http://schemas.openxmlformats.org/officeDocument/2006/relationships/hyperlink" Target="https://cc-paysmornantais.fr/contact.html" TargetMode="External" Id="rId3498" /><Relationship Type="http://schemas.openxmlformats.org/officeDocument/2006/relationships/hyperlink" Target="https://lannuaire.service-public.gouv.fr/auvergne-rhone-alpes/rhone/6e004bed-cf5c-4c00-bebe-673c86a79da0" TargetMode="External" Id="rId3499" /><Relationship Type="http://schemas.openxmlformats.org/officeDocument/2006/relationships/hyperlink" Target="mailto:ccpa@paysdelarbresle.fr" TargetMode="External" Id="rId3500" /><Relationship Type="http://schemas.openxmlformats.org/officeDocument/2006/relationships/hyperlink" Target="https://www.paysdelarbresle.fr/" TargetMode="External" Id="rId3501" /><Relationship Type="http://schemas.openxmlformats.org/officeDocument/2006/relationships/hyperlink" Target="https://www.paysdelarbresle.fr/contact/" TargetMode="External" Id="rId3502" /><Relationship Type="http://schemas.openxmlformats.org/officeDocument/2006/relationships/hyperlink" Target="https://lannuaire.service-public.gouv.fr/auvergne-rhone-alpes/rhone/062dc07a-5ad8-4a1c-850d-4fead6d18936" TargetMode="External" Id="rId3503" /><Relationship Type="http://schemas.openxmlformats.org/officeDocument/2006/relationships/hyperlink" Target="mailto:ccpo@pays-ozon.com" TargetMode="External" Id="rId3504" /><Relationship Type="http://schemas.openxmlformats.org/officeDocument/2006/relationships/hyperlink" Target="http://www.pays-ozon.com" TargetMode="External" Id="rId3505" /><Relationship Type="http://schemas.openxmlformats.org/officeDocument/2006/relationships/hyperlink" Target="https://lannuaire.service-public.gouv.fr/auvergne-rhone-alpes/rhone/056b286e-06cd-491f-8c81-c45863ffa3d6" TargetMode="External" Id="rId3506" /><Relationship Type="http://schemas.openxmlformats.org/officeDocument/2006/relationships/hyperlink" Target="mailto:agglomerationvesoul@vesoul.fr" TargetMode="External" Id="rId3507" /><Relationship Type="http://schemas.openxmlformats.org/officeDocument/2006/relationships/hyperlink" Target="https://www.vesoul.fr/" TargetMode="External" Id="rId3508" /><Relationship Type="http://schemas.openxmlformats.org/officeDocument/2006/relationships/hyperlink" Target="https://www.vesoul.fr/ville-agglo/l-agglomeration-de-vesoul/contacter-l-agglomeration.html" TargetMode="External" Id="rId3509" /><Relationship Type="http://schemas.openxmlformats.org/officeDocument/2006/relationships/hyperlink" Target="https://lannuaire.service-public.gouv.fr/bourgogne-franche-comte/haute-saone/7c05b07f-7585-460b-acfd-5965891c2ccb" TargetMode="External" Id="rId3510" /><Relationship Type="http://schemas.openxmlformats.org/officeDocument/2006/relationships/hyperlink" Target="mailto:ccrahincherimont@wanadoo.fr" TargetMode="External" Id="rId3511" /><Relationship Type="http://schemas.openxmlformats.org/officeDocument/2006/relationships/hyperlink" Target="https://www.ccrc70.fr/" TargetMode="External" Id="rId3512" /><Relationship Type="http://schemas.openxmlformats.org/officeDocument/2006/relationships/hyperlink" Target="https://www.ccrc70.fr/contacter-la-ccrc/" TargetMode="External" Id="rId3513" /><Relationship Type="http://schemas.openxmlformats.org/officeDocument/2006/relationships/hyperlink" Target="https://lannuaire.service-public.gouv.fr/bourgogne-franche-comte/haute-saone/28b1f71e-b9fd-40e0-a193-3d15ece5f8a5" TargetMode="External" Id="rId3514" /><Relationship Type="http://schemas.openxmlformats.org/officeDocument/2006/relationships/hyperlink" Target="mailto:contact@cctds.fr" TargetMode="External" Id="rId3515" /><Relationship Type="http://schemas.openxmlformats.org/officeDocument/2006/relationships/hyperlink" Target="https://www.cctds.fr/" TargetMode="External" Id="rId3516" /><Relationship Type="http://schemas.openxmlformats.org/officeDocument/2006/relationships/hyperlink" Target="https://www.cctds.fr/contact" TargetMode="External" Id="rId3517" /><Relationship Type="http://schemas.openxmlformats.org/officeDocument/2006/relationships/hyperlink" Target="https://lannuaire.service-public.gouv.fr/bourgogne-franche-comte/haute-saone/a22bbfdd-2d27-4b1e-a32d-71f59d72413d" TargetMode="External" Id="rId3518" /><Relationship Type="http://schemas.openxmlformats.org/officeDocument/2006/relationships/hyperlink" Target="mailto:secretariat@cc-valdegray.fr" TargetMode="External" Id="rId3519" /><Relationship Type="http://schemas.openxmlformats.org/officeDocument/2006/relationships/hyperlink" Target="https://www.cc-valdegray.fr/" TargetMode="External" Id="rId3520" /><Relationship Type="http://schemas.openxmlformats.org/officeDocument/2006/relationships/hyperlink" Target="https://www.cc-valdegray.fr/contact--1614786823.html" TargetMode="External" Id="rId3521" /><Relationship Type="http://schemas.openxmlformats.org/officeDocument/2006/relationships/hyperlink" Target="https://lannuaire.service-public.gouv.fr/bourgogne-franche-comte/haute-saone/dc4faf37-30c3-42ff-b73d-a8a9adc800c4" TargetMode="External" Id="rId3522" /><Relationship Type="http://schemas.openxmlformats.org/officeDocument/2006/relationships/hyperlink" Target="mailto:contact@cchc.fr" TargetMode="External" Id="rId3523" /><Relationship Type="http://schemas.openxmlformats.org/officeDocument/2006/relationships/hyperlink" Target="https://www.cchc.fr/" TargetMode="External" Id="rId3524" /><Relationship Type="http://schemas.openxmlformats.org/officeDocument/2006/relationships/hyperlink" Target="https://www.cchc.fr/contact/" TargetMode="External" Id="rId3525" /><Relationship Type="http://schemas.openxmlformats.org/officeDocument/2006/relationships/hyperlink" Target="https://lannuaire.service-public.gouv.fr/bourgogne-franche-comte/haute-saone/4dc6bce0-c9fd-49e7-a513-04e0437f6357" TargetMode="External" Id="rId3526" /><Relationship Type="http://schemas.openxmlformats.org/officeDocument/2006/relationships/hyperlink" Target="mailto:melisey.ccme@orange.fr" TargetMode="External" Id="rId3527" /><Relationship Type="http://schemas.openxmlformats.org/officeDocument/2006/relationships/hyperlink" Target="https://www.cc-1000etangs.fr/" TargetMode="External" Id="rId3528" /><Relationship Type="http://schemas.openxmlformats.org/officeDocument/2006/relationships/hyperlink" Target="https://lannuaire.service-public.gouv.fr/bourgogne-franche-comte/haute-saone/a61ea15b-ffdf-4b5e-ac9a-a6955a8002b8" TargetMode="External" Id="rId3529" /><Relationship Type="http://schemas.openxmlformats.org/officeDocument/2006/relationships/hyperlink" Target="mailto:lescombes@wanadoo.fr" TargetMode="External" Id="rId3530" /><Relationship Type="http://schemas.openxmlformats.org/officeDocument/2006/relationships/hyperlink" Target="http://www.cc-descombes.fr" TargetMode="External" Id="rId3531" /><Relationship Type="http://schemas.openxmlformats.org/officeDocument/2006/relationships/hyperlink" Target="http://www.cc-descombes.fr/courriel.php" TargetMode="External" Id="rId3532" /><Relationship Type="http://schemas.openxmlformats.org/officeDocument/2006/relationships/hyperlink" Target="https://lannuaire.service-public.gouv.fr/bourgogne-franche-comte/haute-saone/e911e692-1be4-464d-980d-4c8602f99dd9" TargetMode="External" Id="rId3533" /><Relationship Type="http://schemas.openxmlformats.org/officeDocument/2006/relationships/hyperlink" Target="mailto:cchvs@cchvs.fr" TargetMode="External" Id="rId3534" /><Relationship Type="http://schemas.openxmlformats.org/officeDocument/2006/relationships/hyperlink" Target="https://www.cchvs.fr/" TargetMode="External" Id="rId3535" /><Relationship Type="http://schemas.openxmlformats.org/officeDocument/2006/relationships/hyperlink" Target="https://www.cchvs.fr/contact.html" TargetMode="External" Id="rId3536" /><Relationship Type="http://schemas.openxmlformats.org/officeDocument/2006/relationships/hyperlink" Target="https://lannuaire.service-public.gouv.fr/bourgogne-franche-comte/haute-saone/c18336d5-c79b-4bb5-b730-12fcfbc1a6c0" TargetMode="External" Id="rId3537" /><Relationship Type="http://schemas.openxmlformats.org/officeDocument/2006/relationships/hyperlink" Target="mailto:ccmgy@wanadoo.fr" TargetMode="External" Id="rId3538" /><Relationship Type="http://schemas.openxmlformats.org/officeDocument/2006/relationships/hyperlink" Target="https://montsdegy.fr/" TargetMode="External" Id="rId3539" /><Relationship Type="http://schemas.openxmlformats.org/officeDocument/2006/relationships/hyperlink" Target="https://montsdegy.fr/contact--1614182146.html" TargetMode="External" Id="rId3540" /><Relationship Type="http://schemas.openxmlformats.org/officeDocument/2006/relationships/hyperlink" Target="https://lannuaire.service-public.gouv.fr/bourgogne-franche-comte/haute-saone/fa80aede-ec43-4316-ad64-1e93bf72aff7" TargetMode="External" Id="rId3541" /><Relationship Type="http://schemas.openxmlformats.org/officeDocument/2006/relationships/hyperlink" Target="mailto:secretariat@cc4r.eu" TargetMode="External" Id="rId3542" /><Relationship Type="http://schemas.openxmlformats.org/officeDocument/2006/relationships/hyperlink" Target="https://communaute.4rivieres.fr/" TargetMode="External" Id="rId3543" /><Relationship Type="http://schemas.openxmlformats.org/officeDocument/2006/relationships/hyperlink" Target="https://communaute.4rivieres.fr/--04c679a3252339c5bc2780817efce2f8.html" TargetMode="External" Id="rId3544" /><Relationship Type="http://schemas.openxmlformats.org/officeDocument/2006/relationships/hyperlink" Target="https://lannuaire.service-public.gouv.fr/bourgogne-franche-comte/haute-saone/67f4702d-ddd1-4aa0-88ac-29d0770e3bd2" TargetMode="External" Id="rId3545" /><Relationship Type="http://schemas.openxmlformats.org/officeDocument/2006/relationships/hyperlink" Target="mailto:communaute-communes@cc-pays-riolais.fr" TargetMode="External" Id="rId3546" /><Relationship Type="http://schemas.openxmlformats.org/officeDocument/2006/relationships/hyperlink" Target="https://www.cc-pays-riolais.fr/" TargetMode="External" Id="rId3547" /><Relationship Type="http://schemas.openxmlformats.org/officeDocument/2006/relationships/hyperlink" Target="https://www.cc-pays-riolais.fr/connaitre/contact/" TargetMode="External" Id="rId3548" /><Relationship Type="http://schemas.openxmlformats.org/officeDocument/2006/relationships/hyperlink" Target="https://lannuaire.service-public.gouv.fr/bourgogne-franche-comte/haute-saone/35922041-379f-4463-82d3-6166c0805a7b" TargetMode="External" Id="rId3549" /><Relationship Type="http://schemas.openxmlformats.org/officeDocument/2006/relationships/hyperlink" Target="mailto:contact@pays-de-lure.fr" TargetMode="External" Id="rId3550" /><Relationship Type="http://schemas.openxmlformats.org/officeDocument/2006/relationships/hyperlink" Target="https://www.pays-de-lure.fr/" TargetMode="External" Id="rId3551" /><Relationship Type="http://schemas.openxmlformats.org/officeDocument/2006/relationships/hyperlink" Target="https://www.pays-de-lure.fr/contact.htm" TargetMode="External" Id="rId3552" /><Relationship Type="http://schemas.openxmlformats.org/officeDocument/2006/relationships/hyperlink" Target="https://lannuaire.service-public.gouv.fr/bourgogne-franche-comte/haute-saone/9231a4ca-7fa8-44c6-9969-46ea904fd157" TargetMode="External" Id="rId3553" /><Relationship Type="http://schemas.openxmlformats.org/officeDocument/2006/relationships/hyperlink" Target="mailto:accueil@paysdeluxeuil.fr" TargetMode="External" Id="rId3554" /><Relationship Type="http://schemas.openxmlformats.org/officeDocument/2006/relationships/hyperlink" Target="https://www.paysdeluxeuil.fr/" TargetMode="External" Id="rId3555" /><Relationship Type="http://schemas.openxmlformats.org/officeDocument/2006/relationships/hyperlink" Target="https://lannuaire.service-public.gouv.fr/bourgogne-franche-comte/haute-saone/9b075301-2670-4662-8aef-e62ae6f9c051" TargetMode="External" Id="rId3556" /><Relationship Type="http://schemas.openxmlformats.org/officeDocument/2006/relationships/hyperlink" Target="mailto:contact@ccpmc.fr" TargetMode="External" Id="rId3557" /><Relationship Type="http://schemas.openxmlformats.org/officeDocument/2006/relationships/hyperlink" Target="https://www.ccpmc.fr/" TargetMode="External" Id="rId3558" /><Relationship Type="http://schemas.openxmlformats.org/officeDocument/2006/relationships/hyperlink" Target="https://www.ccpmc.fr/contact" TargetMode="External" Id="rId3559" /><Relationship Type="http://schemas.openxmlformats.org/officeDocument/2006/relationships/hyperlink" Target="https://lannuaire.service-public.gouv.fr/bourgogne-franche-comte/haute-saone/355766bd-791d-4588-8d95-cfb24d0f3694" TargetMode="External" Id="rId3560" /><Relationship Type="http://schemas.openxmlformats.org/officeDocument/2006/relationships/hyperlink" Target="mailto:contact@cctv70.fr" TargetMode="External" Id="rId3561" /><Relationship Type="http://schemas.openxmlformats.org/officeDocument/2006/relationships/hyperlink" Target="https://cctv70.fr/fr/" TargetMode="External" Id="rId3562" /><Relationship Type="http://schemas.openxmlformats.org/officeDocument/2006/relationships/hyperlink" Target="https://cctv70.fr/fr/" TargetMode="External" Id="rId3563" /><Relationship Type="http://schemas.openxmlformats.org/officeDocument/2006/relationships/hyperlink" Target="https://lannuaire.service-public.gouv.fr/bourgogne-franche-comte/haute-saone/2310fba1-01c9-47e6-a5b9-8a83114baa59" TargetMode="External" Id="rId3564" /><Relationship Type="http://schemas.openxmlformats.org/officeDocument/2006/relationships/hyperlink" Target="mailto:contact@legrandchalon.fr" TargetMode="External" Id="rId3565" /><Relationship Type="http://schemas.openxmlformats.org/officeDocument/2006/relationships/hyperlink" Target="https://www.legrandchalon.fr/" TargetMode="External" Id="rId3566" /><Relationship Type="http://schemas.openxmlformats.org/officeDocument/2006/relationships/hyperlink" Target="https://www.legrandchalon.fr/contactez-nous/" TargetMode="External" Id="rId3567" /><Relationship Type="http://schemas.openxmlformats.org/officeDocument/2006/relationships/hyperlink" Target="https://lannuaire.service-public.gouv.fr/bourgogne-franche-comte/saone-et-loire/9d0bcc3b-d74d-420b-ae45-56b211071546" TargetMode="External" Id="rId3568" /><Relationship Type="http://schemas.openxmlformats.org/officeDocument/2006/relationships/hyperlink" Target="mailto:contact@blintercom.fr" TargetMode="External" Id="rId3569" /><Relationship Type="http://schemas.openxmlformats.org/officeDocument/2006/relationships/hyperlink" Target="https://www.bresselouhannaiseintercom.fr/" TargetMode="External" Id="rId3570" /><Relationship Type="http://schemas.openxmlformats.org/officeDocument/2006/relationships/hyperlink" Target="https://www.bresselouhannaiseintercom.fr/contactez-nous/" TargetMode="External" Id="rId3571" /><Relationship Type="http://schemas.openxmlformats.org/officeDocument/2006/relationships/hyperlink" Target="https://lannuaire.service-public.gouv.fr/bourgogne-franche-comte/saone-et-loire/75acc33f-e068-4433-8a62-474922532f2e" TargetMode="External" Id="rId3572" /><Relationship Type="http://schemas.openxmlformats.org/officeDocument/2006/relationships/hyperlink" Target="mailto:accueil@bressenordintercom.fr" TargetMode="External" Id="rId3573" /><Relationship Type="http://schemas.openxmlformats.org/officeDocument/2006/relationships/hyperlink" Target="https://www.bressenordintercom.fr" TargetMode="External" Id="rId3574" /><Relationship Type="http://schemas.openxmlformats.org/officeDocument/2006/relationships/hyperlink" Target="https://www.bressenordintercom.fr/contactez-nous/" TargetMode="External" Id="rId3575" /><Relationship Type="http://schemas.openxmlformats.org/officeDocument/2006/relationships/hyperlink" Target="https://lannuaire.service-public.gouv.fr/bourgogne-franche-comte/saone-et-loire/602c57e8-36f3-45c0-af98-b681eb49b01d" TargetMode="External" Id="rId3576" /><Relationship Type="http://schemas.openxmlformats.org/officeDocument/2006/relationships/hyperlink" Target="mailto:ccbr71@orange.fr" TargetMode="External" Id="rId3577" /><Relationship Type="http://schemas.openxmlformats.org/officeDocument/2006/relationships/hyperlink" Target="https://www.ccbresserevermont71.fr/" TargetMode="External" Id="rId3578" /><Relationship Type="http://schemas.openxmlformats.org/officeDocument/2006/relationships/hyperlink" Target="https://www.ccbresserevermont71.fr/contactez-nous/" TargetMode="External" Id="rId3579" /><Relationship Type="http://schemas.openxmlformats.org/officeDocument/2006/relationships/hyperlink" Target="https://lannuaire.service-public.gouv.fr/bourgogne-franche-comte/saone-et-loire/c2f751b7-2297-4296-b53f-c312a61873ed" TargetMode="External" Id="rId3580" /><Relationship Type="http://schemas.openxmlformats.org/officeDocument/2006/relationships/hyperlink" Target="mailto:cc@brionnaissudbourgogne.fr" TargetMode="External" Id="rId3581" /><Relationship Type="http://schemas.openxmlformats.org/officeDocument/2006/relationships/hyperlink" Target="https://brionnaissudbourgogne.fr" TargetMode="External" Id="rId3582" /><Relationship Type="http://schemas.openxmlformats.org/officeDocument/2006/relationships/hyperlink" Target="https://lannuaire.service-public.gouv.fr/bourgogne-franche-comte/saone-et-loire/1e391588-b861-43ba-8955-2482970b3d6a" TargetMode="External" Id="rId3583" /><Relationship Type="http://schemas.openxmlformats.org/officeDocument/2006/relationships/hyperlink" Target="mailto:accueil@cceals.fr" TargetMode="External" Id="rId3584" /><Relationship Type="http://schemas.openxmlformats.org/officeDocument/2006/relationships/hyperlink" Target="https://cceals.fr" TargetMode="External" Id="rId3585" /><Relationship Type="http://schemas.openxmlformats.org/officeDocument/2006/relationships/hyperlink" Target="https://lannuaire.service-public.gouv.fr/bourgogne-franche-comte/saone-et-loire/1454e4dc-bb66-4aa7-af25-7806b53ac98e" TargetMode="External" Id="rId3586" /><Relationship Type="http://schemas.openxmlformats.org/officeDocument/2006/relationships/hyperlink" Target="mailto:administratif@cc-saonegrosne.fr" TargetMode="External" Id="rId3587" /><Relationship Type="http://schemas.openxmlformats.org/officeDocument/2006/relationships/hyperlink" Target="https://www.cc-entresaoneetgrosne.fr/" TargetMode="External" Id="rId3588" /><Relationship Type="http://schemas.openxmlformats.org/officeDocument/2006/relationships/hyperlink" Target="https://www.cc-entresaoneetgrosne.fr/contact/" TargetMode="External" Id="rId3589" /><Relationship Type="http://schemas.openxmlformats.org/officeDocument/2006/relationships/hyperlink" Target="https://lannuaire.service-public.gouv.fr/bourgogne-franche-comte/saone-et-loire/fd7dedb1-3ef7-4673-aee4-605710dbe47a" TargetMode="External" Id="rId3590" /><Relationship Type="http://schemas.openxmlformats.org/officeDocument/2006/relationships/hyperlink" Target="mailto:accueil@ccmt71.fr" TargetMode="External" Id="rId3591" /><Relationship Type="http://schemas.openxmlformats.org/officeDocument/2006/relationships/hyperlink" Target="https://maconnais-tournugeois.fr/" TargetMode="External" Id="rId3592" /><Relationship Type="http://schemas.openxmlformats.org/officeDocument/2006/relationships/hyperlink" Target="https://lannuaire.service-public.gouv.fr/bourgogne-franche-comte/saone-et-loire/ce230276-0e90-4cdd-b845-1472f0e743e8" TargetMode="External" Id="rId3593" /><Relationship Type="http://schemas.openxmlformats.org/officeDocument/2006/relationships/hyperlink" Target="mailto:contact@scmb71.com" TargetMode="External" Id="rId3594" /><Relationship Type="http://schemas.openxmlformats.org/officeDocument/2006/relationships/hyperlink" Target="https://www.scmb71.com/" TargetMode="External" Id="rId3595" /><Relationship Type="http://schemas.openxmlformats.org/officeDocument/2006/relationships/hyperlink" Target="https://www.scmb71.com/contact" TargetMode="External" Id="rId3596" /><Relationship Type="http://schemas.openxmlformats.org/officeDocument/2006/relationships/hyperlink" Target="https://lannuaire.service-public.gouv.fr/bourgogne-franche-comte/saone-et-loire/59cc6119-59b6-4b56-b436-159b90ebbb76" TargetMode="External" Id="rId3597" /><Relationship Type="http://schemas.openxmlformats.org/officeDocument/2006/relationships/hyperlink" Target="mailto:contact@saonedoubsbresse.fr" TargetMode="External" Id="rId3598" /><Relationship Type="http://schemas.openxmlformats.org/officeDocument/2006/relationships/hyperlink" Target="http://www.saonedoubsbresse.fr" TargetMode="External" Id="rId3599" /><Relationship Type="http://schemas.openxmlformats.org/officeDocument/2006/relationships/hyperlink" Target="http://www.saonedoubsbresse.fr/contact/" TargetMode="External" Id="rId3600" /><Relationship Type="http://schemas.openxmlformats.org/officeDocument/2006/relationships/hyperlink" Target="https://lannuaire.service-public.gouv.fr/bourgogne-franche-comte/saone-et-loire/2a93461c-76a7-455b-b3c3-7feea66dc160" TargetMode="External" Id="rId3601" /><Relationship Type="http://schemas.openxmlformats.org/officeDocument/2006/relationships/hyperlink" Target="mailto:secretariat@ccscc.fr" TargetMode="External" Id="rId3602" /><Relationship Type="http://schemas.openxmlformats.org/officeDocument/2006/relationships/hyperlink" Target="https://www.cc-sud-cote-chalonnaise.fr/" TargetMode="External" Id="rId3603" /><Relationship Type="http://schemas.openxmlformats.org/officeDocument/2006/relationships/hyperlink" Target="https://lannuaire.service-public.gouv.fr/bourgogne-franche-comte/saone-et-loire/98e65ad2-cd9d-44ce-a853-98fe0b12583d" TargetMode="External" Id="rId3604" /><Relationship Type="http://schemas.openxmlformats.org/officeDocument/2006/relationships/hyperlink" Target="mailto:comcom@terresdebresse.fr" TargetMode="External" Id="rId3605" /><Relationship Type="http://schemas.openxmlformats.org/officeDocument/2006/relationships/hyperlink" Target="https://www.terresdebresse.fr/" TargetMode="External" Id="rId3606" /><Relationship Type="http://schemas.openxmlformats.org/officeDocument/2006/relationships/hyperlink" Target="https://lannuaire.service-public.gouv.fr/bourgogne-franche-comte/saone-et-loire/378b1fe1-8104-4dce-b3ca-30b6e33e6de0" TargetMode="External" Id="rId3607" /><Relationship Type="http://schemas.openxmlformats.org/officeDocument/2006/relationships/hyperlink" Target="mailto:contact@ccmarcigny.fr" TargetMode="External" Id="rId3608" /><Relationship Type="http://schemas.openxmlformats.org/officeDocument/2006/relationships/hyperlink" Target="https://www.cc-marcigny.fr/" TargetMode="External" Id="rId3609" /><Relationship Type="http://schemas.openxmlformats.org/officeDocument/2006/relationships/hyperlink" Target="https://lannuaire.service-public.gouv.fr/bourgogne-franche-comte/saone-et-loire/1d833994-b964-4beb-9f5f-f6bf7fdf2bc1" TargetMode="External" Id="rId3610" /><Relationship Type="http://schemas.openxmlformats.org/officeDocument/2006/relationships/hyperlink" Target="mailto:contact@ccsemur.fr" TargetMode="External" Id="rId3611" /><Relationship Type="http://schemas.openxmlformats.org/officeDocument/2006/relationships/hyperlink" Target="https://www.cc-semur-en-brionnais.fr/" TargetMode="External" Id="rId3612" /><Relationship Type="http://schemas.openxmlformats.org/officeDocument/2006/relationships/hyperlink" Target="https://lannuaire.service-public.gouv.fr/bourgogne-franche-comte/saone-et-loire/fe2b1626-1ee4-460b-adf3-53e328c2f293" TargetMode="External" Id="rId3613" /><Relationship Type="http://schemas.openxmlformats.org/officeDocument/2006/relationships/hyperlink" Target="mailto:contact@enclunisois.fr" TargetMode="External" Id="rId3614" /><Relationship Type="http://schemas.openxmlformats.org/officeDocument/2006/relationships/hyperlink" Target="https://enclunisois.fr/" TargetMode="External" Id="rId3615" /><Relationship Type="http://schemas.openxmlformats.org/officeDocument/2006/relationships/hyperlink" Target="https://enclunisois.fr/accueil/contact/" TargetMode="External" Id="rId3616" /><Relationship Type="http://schemas.openxmlformats.org/officeDocument/2006/relationships/hyperlink" Target="https://lannuaire.service-public.gouv.fr/bourgogne-franche-comte/saone-et-loire/21eb2109-21c5-4803-83f3-0dbe6b15bb77" TargetMode="External" Id="rId3617" /><Relationship Type="http://schemas.openxmlformats.org/officeDocument/2006/relationships/hyperlink" Target="mailto:contact@grandautunoismorvan.fr" TargetMode="External" Id="rId3618" /><Relationship Type="http://schemas.openxmlformats.org/officeDocument/2006/relationships/hyperlink" Target="https://www.grandautunoismorvan.fr/" TargetMode="External" Id="rId3619" /><Relationship Type="http://schemas.openxmlformats.org/officeDocument/2006/relationships/hyperlink" Target="https://www.grandautunoismorvan.fr/contact-20.html" TargetMode="External" Id="rId3620" /><Relationship Type="http://schemas.openxmlformats.org/officeDocument/2006/relationships/hyperlink" Target="https://lannuaire.service-public.gouv.fr/bourgogne-franche-comte/saone-et-loire/5b8c552f-1cc8-4ce9-8f06-f8edcf4910d4" TargetMode="External" Id="rId3621" /><Relationship Type="http://schemas.openxmlformats.org/officeDocument/2006/relationships/hyperlink" Target="mailto:info@creusot-montceau.org" TargetMode="External" Id="rId3622" /><Relationship Type="http://schemas.openxmlformats.org/officeDocument/2006/relationships/hyperlink" Target="https://www.creusot-montceau.org/" TargetMode="External" Id="rId3623" /><Relationship Type="http://schemas.openxmlformats.org/officeDocument/2006/relationships/hyperlink" Target="https://www.creusot-montceau.org/nous-contacter/" TargetMode="External" Id="rId3624" /><Relationship Type="http://schemas.openxmlformats.org/officeDocument/2006/relationships/hyperlink" Target="https://lannuaire.service-public.gouv.fr/bourgogne-franche-comte/saone-et-loire/1474feb1-b2fe-4f62-a473-9e01c48baf8e" TargetMode="External" Id="rId3625" /><Relationship Type="http://schemas.openxmlformats.org/officeDocument/2006/relationships/hyperlink" Target="mailto:contact@cchautesarthealpesmancelles.fr" TargetMode="External" Id="rId3626" /><Relationship Type="http://schemas.openxmlformats.org/officeDocument/2006/relationships/hyperlink" Target="https://www.cchautesarthealpesmancelles.fr/" TargetMode="External" Id="rId3627" /><Relationship Type="http://schemas.openxmlformats.org/officeDocument/2006/relationships/hyperlink" Target="https://www.cchautesarthealpesmancelles.fr/contact/" TargetMode="External" Id="rId3628" /><Relationship Type="http://schemas.openxmlformats.org/officeDocument/2006/relationships/hyperlink" Target="https://lannuaire.service-public.gouv.fr/pays-de-la-loire/sarthe/7d41352c-06ad-46e7-9936-8d43967d231b" TargetMode="External" Id="rId3629" /><Relationship Type="http://schemas.openxmlformats.org/officeDocument/2006/relationships/hyperlink" Target="mailto:accueil@cc-lbn.fr" TargetMode="External" Id="rId3630" /><Relationship Type="http://schemas.openxmlformats.org/officeDocument/2006/relationships/hyperlink" Target="https://www.cc-lbn.fr/" TargetMode="External" Id="rId3631" /><Relationship Type="http://schemas.openxmlformats.org/officeDocument/2006/relationships/hyperlink" Target="https://www.cc-lbn.fr/nous-contacter/" TargetMode="External" Id="rId3632" /><Relationship Type="http://schemas.openxmlformats.org/officeDocument/2006/relationships/hyperlink" Target="https://lannuaire.service-public.gouv.fr/pays-de-la-loire/sarthe/76dcc28a-3cdf-4b4b-b49c-244082fc0a16" TargetMode="External" Id="rId3633" /><Relationship Type="http://schemas.openxmlformats.org/officeDocument/2006/relationships/hyperlink" Target="mailto:contact@cc-gesnoisbilurien.fr" TargetMode="External" Id="rId3634" /><Relationship Type="http://schemas.openxmlformats.org/officeDocument/2006/relationships/hyperlink" Target="https://www.cc-gesnoisbilurien.fr/" TargetMode="External" Id="rId3635" /><Relationship Type="http://schemas.openxmlformats.org/officeDocument/2006/relationships/hyperlink" Target="https://www.cc-gesnoisbilurien.fr/interco/contact-cdc/" TargetMode="External" Id="rId3636" /><Relationship Type="http://schemas.openxmlformats.org/officeDocument/2006/relationships/hyperlink" Target="https://lannuaire.service-public.gouv.fr/pays-de-la-loire/sarthe/6ec069b2-efd5-4d2b-abe3-e065e35f1ad6" TargetMode="External" Id="rId3637" /><Relationship Type="http://schemas.openxmlformats.org/officeDocument/2006/relationships/hyperlink" Target="mailto:secretariat@loirluceberce.fr" TargetMode="External" Id="rId3638" /><Relationship Type="http://schemas.openxmlformats.org/officeDocument/2006/relationships/hyperlink" Target="https://www.loirluceberce.fr/" TargetMode="External" Id="rId3639" /><Relationship Type="http://schemas.openxmlformats.org/officeDocument/2006/relationships/hyperlink" Target="https://www.loirluceberce.fr/systeme/contact/" TargetMode="External" Id="rId3640" /><Relationship Type="http://schemas.openxmlformats.org/officeDocument/2006/relationships/hyperlink" Target="https://lannuaire.service-public.gouv.fr/pays-de-la-loire/sarthe/35da8128-f0d8-49ec-a23b-784c8a533de5" TargetMode="External" Id="rId3641" /><Relationship Type="http://schemas.openxmlformats.org/officeDocument/2006/relationships/hyperlink" Target="mailto:contact@mainecoeurdesarthe.fr" TargetMode="External" Id="rId3642" /><Relationship Type="http://schemas.openxmlformats.org/officeDocument/2006/relationships/hyperlink" Target="https://www.mainecoeurdesarthe.fr/" TargetMode="External" Id="rId3643" /><Relationship Type="http://schemas.openxmlformats.org/officeDocument/2006/relationships/hyperlink" Target="https://www.mainecoeurdesarthe.fr/contact/" TargetMode="External" Id="rId3644" /><Relationship Type="http://schemas.openxmlformats.org/officeDocument/2006/relationships/hyperlink" Target="https://lannuaire.service-public.gouv.fr/pays-de-la-loire/sarthe/f3247e35-762b-42c4-8be1-68ea4b36d5dc" TargetMode="External" Id="rId3645" /><Relationship Type="http://schemas.openxmlformats.org/officeDocument/2006/relationships/hyperlink" Target="mailto:communautedecommunes@belinois.fr" TargetMode="External" Id="rId3646" /><Relationship Type="http://schemas.openxmlformats.org/officeDocument/2006/relationships/hyperlink" Target="https://www.cc-berce-belinois.fr/" TargetMode="External" Id="rId3647" /><Relationship Type="http://schemas.openxmlformats.org/officeDocument/2006/relationships/hyperlink" Target="https://www.cc-berce-belinois.fr/nous-contacter/" TargetMode="External" Id="rId3648" /><Relationship Type="http://schemas.openxmlformats.org/officeDocument/2006/relationships/hyperlink" Target="https://lannuaire.service-public.gouv.fr/pays-de-la-loire/sarthe/e9e699e5-b582-4bd3-bfae-adcb76933830" TargetMode="External" Id="rId3649" /><Relationship Type="http://schemas.openxmlformats.org/officeDocument/2006/relationships/hyperlink" Target="mailto:accueil@comcomsudsarthe.fr" TargetMode="External" Id="rId3650" /><Relationship Type="http://schemas.openxmlformats.org/officeDocument/2006/relationships/hyperlink" Target="https://www.comcomsudsarthe.fr/" TargetMode="External" Id="rId3651" /><Relationship Type="http://schemas.openxmlformats.org/officeDocument/2006/relationships/hyperlink" Target="https://lannuaire.service-public.gouv.fr/pays-de-la-loire/sarthe/98f60cc0-2f49-40c7-8919-b41c4b17adba" TargetMode="External" Id="rId3652" /><Relationship Type="http://schemas.openxmlformats.org/officeDocument/2006/relationships/hyperlink" Target="mailto:contact@4cps.fr" TargetMode="External" Id="rId3653" /><Relationship Type="http://schemas.openxmlformats.org/officeDocument/2006/relationships/hyperlink" Target="https://www.4cps.fr" TargetMode="External" Id="rId3654" /><Relationship Type="http://schemas.openxmlformats.org/officeDocument/2006/relationships/hyperlink" Target="https://www.4cps.fr/a-votre-service/contact/" TargetMode="External" Id="rId3655" /><Relationship Type="http://schemas.openxmlformats.org/officeDocument/2006/relationships/hyperlink" Target="https://lannuaire.service-public.gouv.fr/pays-de-la-loire/sarthe/2a126d55-d289-43a8-aa36-b9919c704814" TargetMode="External" Id="rId3656" /><Relationship Type="http://schemas.openxmlformats.org/officeDocument/2006/relationships/hyperlink" Target="mailto:ccvba@cc-vba.com" TargetMode="External" Id="rId3657" /><Relationship Type="http://schemas.openxmlformats.org/officeDocument/2006/relationships/hyperlink" Target="https://www.cc-vba.com/" TargetMode="External" Id="rId3658" /><Relationship Type="http://schemas.openxmlformats.org/officeDocument/2006/relationships/hyperlink" Target="https://lannuaire.service-public.gouv.fr/pays-de-la-loire/sarthe/c7ce1b76-b444-478f-8636-25d07a80413c" TargetMode="External" Id="rId3659" /><Relationship Type="http://schemas.openxmlformats.org/officeDocument/2006/relationships/hyperlink" Target="mailto:contact@cc-paysflechois.fr" TargetMode="External" Id="rId3660" /><Relationship Type="http://schemas.openxmlformats.org/officeDocument/2006/relationships/hyperlink" Target="https://www.paysflechois.fr" TargetMode="External" Id="rId3661" /><Relationship Type="http://schemas.openxmlformats.org/officeDocument/2006/relationships/hyperlink" Target="https://lannuaire.service-public.gouv.fr/pays-de-la-loire/sarthe/899bbffa-f4df-4db9-be02-6b45878c40b3" TargetMode="External" Id="rId3662" /><Relationship Type="http://schemas.openxmlformats.org/officeDocument/2006/relationships/hyperlink" Target="mailto:contact@huisne-sarthoise.com" TargetMode="External" Id="rId3663" /><Relationship Type="http://schemas.openxmlformats.org/officeDocument/2006/relationships/hyperlink" Target="https://www.huisne-sarthoise.com/" TargetMode="External" Id="rId3664" /><Relationship Type="http://schemas.openxmlformats.org/officeDocument/2006/relationships/hyperlink" Target="https://www.huisne-sarthoise.com/contact/" TargetMode="External" Id="rId3665" /><Relationship Type="http://schemas.openxmlformats.org/officeDocument/2006/relationships/hyperlink" Target="https://lannuaire.service-public.gouv.fr/pays-de-la-loire/sarthe/7559481a-64ab-456c-84af-b200edae722e" TargetMode="External" Id="rId3666" /><Relationship Type="http://schemas.openxmlformats.org/officeDocument/2006/relationships/hyperlink" Target="mailto:communaute.communes@sudestmanceau.com" TargetMode="External" Id="rId3667" /><Relationship Type="http://schemas.openxmlformats.org/officeDocument/2006/relationships/hyperlink" Target="https://www.cc-sudestmanceau.fr/" TargetMode="External" Id="rId3668" /><Relationship Type="http://schemas.openxmlformats.org/officeDocument/2006/relationships/hyperlink" Target="https://www.cc-sudestmanceau.fr/nous-contacter/" TargetMode="External" Id="rId3669" /><Relationship Type="http://schemas.openxmlformats.org/officeDocument/2006/relationships/hyperlink" Target="https://lannuaire.service-public.gouv.fr/pays-de-la-loire/sarthe/f4521a47-699e-425a-b5d7-e02c4c0c1c8b" TargetMode="External" Id="rId3670" /><Relationship Type="http://schemas.openxmlformats.org/officeDocument/2006/relationships/hyperlink" Target="mailto:communaute@cc-valdesarthe.fr" TargetMode="External" Id="rId3671" /><Relationship Type="http://schemas.openxmlformats.org/officeDocument/2006/relationships/hyperlink" Target="https://www.val-de-sarthe.fr/" TargetMode="External" Id="rId3672" /><Relationship Type="http://schemas.openxmlformats.org/officeDocument/2006/relationships/hyperlink" Target="https://www.val-de-sarthe.fr/contact-siege/" TargetMode="External" Id="rId3673" /><Relationship Type="http://schemas.openxmlformats.org/officeDocument/2006/relationships/hyperlink" Target="https://lannuaire.service-public.gouv.fr/pays-de-la-loire/sarthe/58f4909a-f302-468d-9df7-59154a13a4ef" TargetMode="External" Id="rId3674" /><Relationship Type="http://schemas.openxmlformats.org/officeDocument/2006/relationships/hyperlink" Target="https://www.lemansmetropole.fr/" TargetMode="External" Id="rId3675" /><Relationship Type="http://schemas.openxmlformats.org/officeDocument/2006/relationships/hyperlink" Target="https://www.lemansmetropole.fr/contactez-nous" TargetMode="External" Id="rId3676" /><Relationship Type="http://schemas.openxmlformats.org/officeDocument/2006/relationships/hyperlink" Target="https://lannuaire.service-public.gouv.fr/pays-de-la-loire/sarthe/95a9cc44-acf5-4032-9333-2e7bfb969622" TargetMode="External" Id="rId3677" /><Relationship Type="http://schemas.openxmlformats.org/officeDocument/2006/relationships/hyperlink" Target="mailto:contact@arlysere.fr" TargetMode="External" Id="rId3678" /><Relationship Type="http://schemas.openxmlformats.org/officeDocument/2006/relationships/hyperlink" Target="https://www.arlysere.fr/" TargetMode="External" Id="rId3679" /><Relationship Type="http://schemas.openxmlformats.org/officeDocument/2006/relationships/hyperlink" Target="https://smart-agglo-arlysere.fr/categories/nous-contacter" TargetMode="External" Id="rId3680" /><Relationship Type="http://schemas.openxmlformats.org/officeDocument/2006/relationships/hyperlink" Target="https://lannuaire.service-public.gouv.fr/auvergne-rhone-alpes/savoie/b70923fd-24ea-46cf-9a18-0fa6a9d6ca12" TargetMode="External" Id="rId3681" /><Relationship Type="http://schemas.openxmlformats.org/officeDocument/2006/relationships/hyperlink" Target="mailto:contact@grand-lac.fr" TargetMode="External" Id="rId3682" /><Relationship Type="http://schemas.openxmlformats.org/officeDocument/2006/relationships/hyperlink" Target="https://grand-lac.fr/" TargetMode="External" Id="rId3683" /><Relationship Type="http://schemas.openxmlformats.org/officeDocument/2006/relationships/hyperlink" Target="https://grand-lac.fr/pages-pratiques/contact" TargetMode="External" Id="rId3684" /><Relationship Type="http://schemas.openxmlformats.org/officeDocument/2006/relationships/hyperlink" Target="https://lannuaire.service-public.gouv.fr/auvergne-rhone-alpes/savoie/9a2482d6-25b0-45a8-854f-057541162cdc" TargetMode="External" Id="rId3685" /><Relationship Type="http://schemas.openxmlformats.org/officeDocument/2006/relationships/hyperlink" Target="https://www.grandchambery.fr" TargetMode="External" Id="rId3686" /><Relationship Type="http://schemas.openxmlformats.org/officeDocument/2006/relationships/hyperlink" Target="https://formulaires.simplici.grandchambery.fr/administration-generale/nous-ecrire-en-ligne/" TargetMode="External" Id="rId3687" /><Relationship Type="http://schemas.openxmlformats.org/officeDocument/2006/relationships/hyperlink" Target="https://lannuaire.service-public.gouv.fr/auvergne-rhone-alpes/savoie/052be6ab-fa3e-45e7-b740-8e31a52abf06" TargetMode="External" Id="rId3688" /><Relationship Type="http://schemas.openxmlformats.org/officeDocument/2006/relationships/hyperlink" Target="mailto:contact@3cma73.com" TargetMode="External" Id="rId3689" /><Relationship Type="http://schemas.openxmlformats.org/officeDocument/2006/relationships/hyperlink" Target="https://www.coeurdemaurienne-arvan.com/" TargetMode="External" Id="rId3690" /><Relationship Type="http://schemas.openxmlformats.org/officeDocument/2006/relationships/hyperlink" Target="https://www.coeurdemaurienne-arvan.com/nous-contacter/" TargetMode="External" Id="rId3691" /><Relationship Type="http://schemas.openxmlformats.org/officeDocument/2006/relationships/hyperlink" Target="https://lannuaire.service-public.gouv.fr/auvergne-rhone-alpes/savoie/926e4888-742a-40a0-ad60-5f46255ccd8d" TargetMode="External" Id="rId3692" /><Relationship Type="http://schemas.openxmlformats.org/officeDocument/2006/relationships/hyperlink" Target="mailto:secretariat@cc.coeurdesavoie.fr" TargetMode="External" Id="rId3693" /><Relationship Type="http://schemas.openxmlformats.org/officeDocument/2006/relationships/hyperlink" Target="https://www.coeurdesavoie.fr/" TargetMode="External" Id="rId3694" /><Relationship Type="http://schemas.openxmlformats.org/officeDocument/2006/relationships/hyperlink" Target="https://www.coeurdesavoie.fr/3786-contact.htm" TargetMode="External" Id="rId3695" /><Relationship Type="http://schemas.openxmlformats.org/officeDocument/2006/relationships/hyperlink" Target="https://lannuaire.service-public.gouv.fr/auvergne-rhone-alpes/savoie/bf7aeb11-7e0d-4bcd-87a8-a97a34ebb150" TargetMode="External" Id="rId3696" /><Relationship Type="http://schemas.openxmlformats.org/officeDocument/2006/relationships/hyperlink" Target="mailto:contact@coeurdetarentaise.fr" TargetMode="External" Id="rId3697" /><Relationship Type="http://schemas.openxmlformats.org/officeDocument/2006/relationships/hyperlink" Target="https://www.coeurdetarentaise.fr/" TargetMode="External" Id="rId3698" /><Relationship Type="http://schemas.openxmlformats.org/officeDocument/2006/relationships/hyperlink" Target="https://lannuaire.service-public.gouv.fr/auvergne-rhone-alpes/savoie/7d2382ff-7455-4f54-a595-d097652f8506" TargetMode="External" Id="rId3699" /><Relationship Type="http://schemas.openxmlformats.org/officeDocument/2006/relationships/hyperlink" Target="mailto:info@cchmv.fr" TargetMode="External" Id="rId3700" /><Relationship Type="http://schemas.openxmlformats.org/officeDocument/2006/relationships/hyperlink" Target="https://www.cchautemaurienne.com/" TargetMode="External" Id="rId3701" /><Relationship Type="http://schemas.openxmlformats.org/officeDocument/2006/relationships/hyperlink" Target="https://lannuaire.service-public.gouv.fr/auvergne-rhone-alpes/savoie/2d73c578-3ce6-4c9c-8c2e-9c6e5e1e1bbe" TargetMode="External" Id="rId3702" /><Relationship Type="http://schemas.openxmlformats.org/officeDocument/2006/relationships/hyperlink" Target="mailto:contact@versantsdaime.fr" TargetMode="External" Id="rId3703" /><Relationship Type="http://schemas.openxmlformats.org/officeDocument/2006/relationships/hyperlink" Target="http://www.versantsdaime.fr" TargetMode="External" Id="rId3704" /><Relationship Type="http://schemas.openxmlformats.org/officeDocument/2006/relationships/hyperlink" Target="https://lannuaire.service-public.gouv.fr/auvergne-rhone-alpes/savoie/08956eb9-4b9a-44be-b342-00eb5740fdb9" TargetMode="External" Id="rId3705" /><Relationship Type="http://schemas.openxmlformats.org/officeDocument/2006/relationships/hyperlink" Target="mailto:info@maurienne-galibier.com" TargetMode="External" Id="rId3706" /><Relationship Type="http://schemas.openxmlformats.org/officeDocument/2006/relationships/hyperlink" Target="https://www.maurienne-galibier.com/fr/index.aspx" TargetMode="External" Id="rId3707" /><Relationship Type="http://schemas.openxmlformats.org/officeDocument/2006/relationships/hyperlink" Target="https://lannuaire.service-public.gouv.fr/auvergne-rhone-alpes/savoie/170235ae-804f-43b7-8c45-13008c7c9a8f" TargetMode="External" Id="rId3708" /><Relationship Type="http://schemas.openxmlformats.org/officeDocument/2006/relationships/hyperlink" Target="mailto:communautedecommunes@portedemaurienne.eu" TargetMode="External" Id="rId3709" /><Relationship Type="http://schemas.openxmlformats.org/officeDocument/2006/relationships/hyperlink" Target="https://www.portedemaurienne-tourisme.com/communaute-de-communes" TargetMode="External" Id="rId3710" /><Relationship Type="http://schemas.openxmlformats.org/officeDocument/2006/relationships/hyperlink" Target="https://www.portedemaurienne-tourisme.com/contactez-nous" TargetMode="External" Id="rId3711" /><Relationship Type="http://schemas.openxmlformats.org/officeDocument/2006/relationships/hyperlink" Target="https://lannuaire.service-public.gouv.fr/auvergne-rhone-alpes/savoie/f2bf2fe1-e3f6-45ef-977d-fd832ef2d6c9" TargetMode="External" Id="rId3712" /><Relationship Type="http://schemas.openxmlformats.org/officeDocument/2006/relationships/hyperlink" Target="mailto:contact@ccvalguiers.fr" TargetMode="External" Id="rId3713" /><Relationship Type="http://schemas.openxmlformats.org/officeDocument/2006/relationships/hyperlink" Target="https://www.ccvalguiers.fr/infos/" TargetMode="External" Id="rId3714" /><Relationship Type="http://schemas.openxmlformats.org/officeDocument/2006/relationships/hyperlink" Target="https://lannuaire.service-public.gouv.fr/auvergne-rhone-alpes/savoie/479dc17a-b6aa-48ac-8619-9d444b4a16fa" TargetMode="External" Id="rId3715" /><Relationship Type="http://schemas.openxmlformats.org/officeDocument/2006/relationships/hyperlink" Target="mailto:info@valvanoise.fr" TargetMode="External" Id="rId3716" /><Relationship Type="http://schemas.openxmlformats.org/officeDocument/2006/relationships/hyperlink" Target="https://www.valvanoise.fr/" TargetMode="External" Id="rId3717" /><Relationship Type="http://schemas.openxmlformats.org/officeDocument/2006/relationships/hyperlink" Target="https://www.valvanoise.fr/525-contact.htm" TargetMode="External" Id="rId3718" /><Relationship Type="http://schemas.openxmlformats.org/officeDocument/2006/relationships/hyperlink" Target="https://lannuaire.service-public.gouv.fr/auvergne-rhone-alpes/savoie/917d60d9-0f8f-49fc-ab97-2e4f36a9c6ef" TargetMode="External" Id="rId3719" /><Relationship Type="http://schemas.openxmlformats.org/officeDocument/2006/relationships/hyperlink" Target="mailto:contact@hautetarentaise.fr" TargetMode="External" Id="rId3720" /><Relationship Type="http://schemas.openxmlformats.org/officeDocument/2006/relationships/hyperlink" Target="https://www.hautetarentaise.fr/" TargetMode="External" Id="rId3721" /><Relationship Type="http://schemas.openxmlformats.org/officeDocument/2006/relationships/hyperlink" Target="https://lannuaire.service-public.gouv.fr/auvergne-rhone-alpes/savoie/fb20012f-176d-4453-813b-d69651712755" TargetMode="External" Id="rId3722" /><Relationship Type="http://schemas.openxmlformats.org/officeDocument/2006/relationships/hyperlink" Target="mailto:accueil@ccyenne.fr" TargetMode="External" Id="rId3723" /><Relationship Type="http://schemas.openxmlformats.org/officeDocument/2006/relationships/hyperlink" Target="https://ccyenne.fr/" TargetMode="External" Id="rId3724" /><Relationship Type="http://schemas.openxmlformats.org/officeDocument/2006/relationships/hyperlink" Target="https://lannuaire.service-public.gouv.fr/auvergne-rhone-alpes/savoie/387b6efe-2150-46ed-bedd-ca9a63c9fb06" TargetMode="External" Id="rId3725" /><Relationship Type="http://schemas.openxmlformats.org/officeDocument/2006/relationships/hyperlink" Target="mailto:secretariat@ccva-savoie.com" TargetMode="External" Id="rId3726" /><Relationship Type="http://schemas.openxmlformats.org/officeDocument/2006/relationships/hyperlink" Target="https://www.ccva-savoie.com/" TargetMode="External" Id="rId3727" /><Relationship Type="http://schemas.openxmlformats.org/officeDocument/2006/relationships/hyperlink" Target="https://www.ccva-savoie.com/index.php/contact" TargetMode="External" Id="rId3728" /><Relationship Type="http://schemas.openxmlformats.org/officeDocument/2006/relationships/hyperlink" Target="https://lannuaire.service-public.gouv.fr/auvergne-rhone-alpes/savoie/caa92373-184d-4cc9-aed1-22e8fce22e6d" TargetMode="External" Id="rId3729" /><Relationship Type="http://schemas.openxmlformats.org/officeDocument/2006/relationships/hyperlink" Target="mailto:accueil@la4c.fr" TargetMode="External" Id="rId3730" /><Relationship Type="http://schemas.openxmlformats.org/officeDocument/2006/relationships/hyperlink" Target="https://www.la4c.fr/" TargetMode="External" Id="rId3731" /><Relationship Type="http://schemas.openxmlformats.org/officeDocument/2006/relationships/hyperlink" Target="https://www.la4c.fr/contact/" TargetMode="External" Id="rId3732" /><Relationship Type="http://schemas.openxmlformats.org/officeDocument/2006/relationships/hyperlink" Target="https://lannuaire.service-public.gouv.fr/auvergne-rhone-alpes/savoie/1f16540d-6824-4da5-a138-459caf8048eb" TargetMode="External" Id="rId3733" /><Relationship Type="http://schemas.openxmlformats.org/officeDocument/2006/relationships/hyperlink" Target="mailto:ccla@ccla.fr" TargetMode="External" Id="rId3734" /><Relationship Type="http://schemas.openxmlformats.org/officeDocument/2006/relationships/hyperlink" Target="https://ccla.fr/" TargetMode="External" Id="rId3735" /><Relationship Type="http://schemas.openxmlformats.org/officeDocument/2006/relationships/hyperlink" Target="https://ccla.fr/contact/" TargetMode="External" Id="rId3736" /><Relationship Type="http://schemas.openxmlformats.org/officeDocument/2006/relationships/hyperlink" Target="https://lannuaire.service-public.gouv.fr/auvergne-rhone-alpes/savoie/ba0e44d4-e98a-4ad5-a44e-6c1789d65c10" TargetMode="External" Id="rId3737" /><Relationship Type="http://schemas.openxmlformats.org/officeDocument/2006/relationships/hyperlink" Target="mailto:contact@annemasse-agglo.fr" TargetMode="External" Id="rId3738" /><Relationship Type="http://schemas.openxmlformats.org/officeDocument/2006/relationships/hyperlink" Target="https://www.annemasse-agglo.fr/" TargetMode="External" Id="rId3739" /><Relationship Type="http://schemas.openxmlformats.org/officeDocument/2006/relationships/hyperlink" Target="https://www.annemasse-agglo.fr/contact" TargetMode="External" Id="rId3740" /><Relationship Type="http://schemas.openxmlformats.org/officeDocument/2006/relationships/hyperlink" Target="https://lannuaire.service-public.gouv.fr/auvergne-rhone-alpes/haute-savoie/6253917a-1cf3-4c35-8b72-e26be4bd9428" TargetMode="External" Id="rId3741" /><Relationship Type="http://schemas.openxmlformats.org/officeDocument/2006/relationships/hyperlink" Target="mailto:accueil@thononagglo.fr" TargetMode="External" Id="rId3742" /><Relationship Type="http://schemas.openxmlformats.org/officeDocument/2006/relationships/hyperlink" Target="https://www.thononagglo.fr/" TargetMode="External" Id="rId3743" /><Relationship Type="http://schemas.openxmlformats.org/officeDocument/2006/relationships/hyperlink" Target="https://lannuaire.service-public.gouv.fr/auvergne-rhone-alpes/haute-savoie/e1357262-5054-455a-ba10-6bab4f2c1334" TargetMode="External" Id="rId3744" /><Relationship Type="http://schemas.openxmlformats.org/officeDocument/2006/relationships/hyperlink" Target="mailto:agglo@grandannecy.fr" TargetMode="External" Id="rId3745" /><Relationship Type="http://schemas.openxmlformats.org/officeDocument/2006/relationships/hyperlink" Target="https://www.grandannecy.fr/" TargetMode="External" Id="rId3746" /><Relationship Type="http://schemas.openxmlformats.org/officeDocument/2006/relationships/hyperlink" Target="https://www.grandannecy.fr/contact" TargetMode="External" Id="rId3747" /><Relationship Type="http://schemas.openxmlformats.org/officeDocument/2006/relationships/hyperlink" Target="https://lannuaire.service-public.gouv.fr/auvergne-rhone-alpes/haute-savoie/aaf24976-83e8-4270-93b1-980fc91988c4" TargetMode="External" Id="rId3748" /><Relationship Type="http://schemas.openxmlformats.org/officeDocument/2006/relationships/hyperlink" Target="mailto:contact@arve-saleve.fr" TargetMode="External" Id="rId3749" /><Relationship Type="http://schemas.openxmlformats.org/officeDocument/2006/relationships/hyperlink" Target="https://www.arve-saleve.fr/" TargetMode="External" Id="rId3750" /><Relationship Type="http://schemas.openxmlformats.org/officeDocument/2006/relationships/hyperlink" Target="https://www.arve-saleve.fr/contact/" TargetMode="External" Id="rId3751" /><Relationship Type="http://schemas.openxmlformats.org/officeDocument/2006/relationships/hyperlink" Target="https://lannuaire.service-public.gouv.fr/auvergne-rhone-alpes/haute-savoie/313b0707-1ef5-4b33-b9f1-d01db6427577" TargetMode="External" Id="rId3752" /><Relationship Type="http://schemas.openxmlformats.org/officeDocument/2006/relationships/hyperlink" Target="mailto:contact@2ccam.fr" TargetMode="External" Id="rId3753" /><Relationship Type="http://schemas.openxmlformats.org/officeDocument/2006/relationships/hyperlink" Target="https://www.2ccam.fr/fr/" TargetMode="External" Id="rId3754" /><Relationship Type="http://schemas.openxmlformats.org/officeDocument/2006/relationships/hyperlink" Target="https://www.2ccam.fr/fr/" TargetMode="External" Id="rId3755" /><Relationship Type="http://schemas.openxmlformats.org/officeDocument/2006/relationships/hyperlink" Target="https://lannuaire.service-public.gouv.fr/auvergne-rhone-alpes/haute-savoie/9e23b7f7-55d2-4251-9da1-fc5329df94b4" TargetMode="External" Id="rId3756" /><Relationship Type="http://schemas.openxmlformats.org/officeDocument/2006/relationships/hyperlink" Target="mailto:courrier@ccfg.fr" TargetMode="External" Id="rId3757" /><Relationship Type="http://schemas.openxmlformats.org/officeDocument/2006/relationships/hyperlink" Target="https://www.ccfg.fr/" TargetMode="External" Id="rId3758" /><Relationship Type="http://schemas.openxmlformats.org/officeDocument/2006/relationships/hyperlink" Target="https://www.ccfg.fr/8905-contact.htm" TargetMode="External" Id="rId3759" /><Relationship Type="http://schemas.openxmlformats.org/officeDocument/2006/relationships/hyperlink" Target="https://lannuaire.service-public.gouv.fr/auvergne-rhone-alpes/haute-savoie/99b3f049-6de8-47d6-86f3-d19e9fcea0b0" TargetMode="External" Id="rId3760" /><Relationship Type="http://schemas.openxmlformats.org/officeDocument/2006/relationships/hyperlink" Target="mailto:accueil@ccfu.fr" TargetMode="External" Id="rId3761" /><Relationship Type="http://schemas.openxmlformats.org/officeDocument/2006/relationships/hyperlink" Target="https://www.fier-et-usses.com/" TargetMode="External" Id="rId3762" /><Relationship Type="http://schemas.openxmlformats.org/officeDocument/2006/relationships/hyperlink" Target="https://www.fier-et-usses.com/2071-contact.htm" TargetMode="External" Id="rId3763" /><Relationship Type="http://schemas.openxmlformats.org/officeDocument/2006/relationships/hyperlink" Target="https://lannuaire.service-public.gouv.fr/auvergne-rhone-alpes/haute-savoie/e2769939-8de7-407d-acff-78e93b899249" TargetMode="External" Id="rId3764" /><Relationship Type="http://schemas.openxmlformats.org/officeDocument/2006/relationships/hyperlink" Target="mailto:accueil@cc-peva.fr" TargetMode="External" Id="rId3765" /><Relationship Type="http://schemas.openxmlformats.org/officeDocument/2006/relationships/hyperlink" Target="https://www.cc-peva.fr/index.php" TargetMode="External" Id="rId3766" /><Relationship Type="http://schemas.openxmlformats.org/officeDocument/2006/relationships/hyperlink" Target="https://www.cc-peva.fr/203-contact.htm" TargetMode="External" Id="rId3767" /><Relationship Type="http://schemas.openxmlformats.org/officeDocument/2006/relationships/hyperlink" Target="https://lannuaire.service-public.gouv.fr/auvergne-rhone-alpes/haute-savoie/9812d62a-d061-461a-ab8d-9ef608e6d81f" TargetMode="External" Id="rId3768" /><Relationship Type="http://schemas.openxmlformats.org/officeDocument/2006/relationships/hyperlink" Target="mailto:accueil@ccpmb.fr" TargetMode="External" Id="rId3769" /><Relationship Type="http://schemas.openxmlformats.org/officeDocument/2006/relationships/hyperlink" Target="https://www.ccpmb.fr/" TargetMode="External" Id="rId3770" /><Relationship Type="http://schemas.openxmlformats.org/officeDocument/2006/relationships/hyperlink" Target="https://lannuaire.service-public.gouv.fr/auvergne-rhone-alpes/haute-savoie/08269d23-c589-49a2-9b8e-f78964c3a8c2" TargetMode="External" Id="rId3771" /><Relationship Type="http://schemas.openxmlformats.org/officeDocument/2006/relationships/hyperlink" Target="mailto:contact@rumilly-terredesavoie.fr" TargetMode="External" Id="rId3772" /><Relationship Type="http://schemas.openxmlformats.org/officeDocument/2006/relationships/hyperlink" Target="http://www.rumilly-terredesavoie.fr" TargetMode="External" Id="rId3773" /><Relationship Type="http://schemas.openxmlformats.org/officeDocument/2006/relationships/hyperlink" Target="https://lannuaire.service-public.gouv.fr/auvergne-rhone-alpes/haute-savoie/5ba54675-ce30-41a4-b46f-e158ed12a414" TargetMode="External" Id="rId3774" /><Relationship Type="http://schemas.openxmlformats.org/officeDocument/2006/relationships/hyperlink" Target="mailto:contact@cc-valleeverte.fr" TargetMode="External" Id="rId3775" /><Relationship Type="http://schemas.openxmlformats.org/officeDocument/2006/relationships/hyperlink" Target="https://cc-valleeverte.fr/" TargetMode="External" Id="rId3776" /><Relationship Type="http://schemas.openxmlformats.org/officeDocument/2006/relationships/hyperlink" Target="https://lannuaire.service-public.gouv.fr/auvergne-rhone-alpes/haute-savoie/c8abca94-58ab-4450-980d-5f92d4bd9bb2" TargetMode="External" Id="rId3777" /><Relationship Type="http://schemas.openxmlformats.org/officeDocument/2006/relationships/hyperlink" Target="mailto:contact@ccvcmb.fr" TargetMode="External" Id="rId3778" /><Relationship Type="http://schemas.openxmlformats.org/officeDocument/2006/relationships/hyperlink" Target="https://www.cc-valleedechamonixmontblanc.fr/" TargetMode="External" Id="rId3779" /><Relationship Type="http://schemas.openxmlformats.org/officeDocument/2006/relationships/hyperlink" Target="https://lannuaire.service-public.gouv.fr/auvergne-rhone-alpes/haute-savoie/8aa487dc-f1e2-4b15-aaa9-fb9ef8596367" TargetMode="External" Id="rId3780" /><Relationship Type="http://schemas.openxmlformats.org/officeDocument/2006/relationships/hyperlink" Target="mailto:accueil@montagnesdugiffre.fr" TargetMode="External" Id="rId3781" /><Relationship Type="http://schemas.openxmlformats.org/officeDocument/2006/relationships/hyperlink" Target="https://www.montagnesdugiffre.fr/" TargetMode="External" Id="rId3782" /><Relationship Type="http://schemas.openxmlformats.org/officeDocument/2006/relationships/hyperlink" Target="https://www.montagnesdugiffre.fr/contact/" TargetMode="External" Id="rId3783" /><Relationship Type="http://schemas.openxmlformats.org/officeDocument/2006/relationships/hyperlink" Target="https://lannuaire.service-public.gouv.fr/auvergne-rhone-alpes/haute-savoie/94a7a8ba-eaac-4c41-b35a-86bc16324bf4" TargetMode="External" Id="rId3784" /><Relationship Type="http://schemas.openxmlformats.org/officeDocument/2006/relationships/hyperlink" Target="mailto:secretariat@cc4r.fr" TargetMode="External" Id="rId3785" /><Relationship Type="http://schemas.openxmlformats.org/officeDocument/2006/relationships/hyperlink" Target="http://www.cc4r.fr" TargetMode="External" Id="rId3786" /><Relationship Type="http://schemas.openxmlformats.org/officeDocument/2006/relationships/hyperlink" Target="http://www.cc4r.fr/contact-2.html" TargetMode="External" Id="rId3787" /><Relationship Type="http://schemas.openxmlformats.org/officeDocument/2006/relationships/hyperlink" Target="https://lannuaire.service-public.gouv.fr/auvergne-rhone-alpes/haute-savoie/71c4baf1-149e-46d9-9c19-7cd0654a446f" TargetMode="External" Id="rId3788" /><Relationship Type="http://schemas.openxmlformats.org/officeDocument/2006/relationships/hyperlink" Target="mailto:comcom@cc-sources-lac-annecy.com" TargetMode="External" Id="rId3789" /><Relationship Type="http://schemas.openxmlformats.org/officeDocument/2006/relationships/hyperlink" Target="https://www.cc-sources-lac-annecy.com/" TargetMode="External" Id="rId3790" /><Relationship Type="http://schemas.openxmlformats.org/officeDocument/2006/relationships/hyperlink" Target="https://lannuaire.service-public.gouv.fr/auvergne-rhone-alpes/haute-savoie/e7f9fd77-ba8b-4fbc-8c29-de2ed137d749" TargetMode="External" Id="rId3791" /><Relationship Type="http://schemas.openxmlformats.org/officeDocument/2006/relationships/hyperlink" Target="mailto:accueil@ccvt.fr" TargetMode="External" Id="rId3792" /><Relationship Type="http://schemas.openxmlformats.org/officeDocument/2006/relationships/hyperlink" Target="https://ccdesvalleesdethones.fr/page/accueil" TargetMode="External" Id="rId3793" /><Relationship Type="http://schemas.openxmlformats.org/officeDocument/2006/relationships/hyperlink" Target="https://www.facebook.com/ccdesvalleesdethones" TargetMode="External" Id="rId3794" /><Relationship Type="http://schemas.openxmlformats.org/officeDocument/2006/relationships/hyperlink" Target="https://lannuaire.service-public.gouv.fr/auvergne-rhone-alpes/haute-savoie/a01cc354-e788-4cc8-a43e-e67134e4f45f" TargetMode="External" Id="rId3795" /><Relationship Type="http://schemas.openxmlformats.org/officeDocument/2006/relationships/hyperlink" Target="mailto:info@cc-genevois.fr" TargetMode="External" Id="rId3796" /><Relationship Type="http://schemas.openxmlformats.org/officeDocument/2006/relationships/hyperlink" Target="https://www.cc-genevois.fr/" TargetMode="External" Id="rId3797" /><Relationship Type="http://schemas.openxmlformats.org/officeDocument/2006/relationships/hyperlink" Target="https://www.cc-genevois.fr/fr/nous-contacter" TargetMode="External" Id="rId3798" /><Relationship Type="http://schemas.openxmlformats.org/officeDocument/2006/relationships/hyperlink" Target="https://lannuaire.service-public.gouv.fr/auvergne-rhone-alpes/haute-savoie/96715d34-c0ab-4ada-af3f-9079e62e7de5" TargetMode="External" Id="rId3799" /><Relationship Type="http://schemas.openxmlformats.org/officeDocument/2006/relationships/hyperlink" Target="mailto:info@hautchablais.fr" TargetMode="External" Id="rId3800" /><Relationship Type="http://schemas.openxmlformats.org/officeDocument/2006/relationships/hyperlink" Target="https://www.hautchablais.fr" TargetMode="External" Id="rId3801" /><Relationship Type="http://schemas.openxmlformats.org/officeDocument/2006/relationships/hyperlink" Target="https://www.hautchablais.fr/contact" TargetMode="External" Id="rId3802" /><Relationship Type="http://schemas.openxmlformats.org/officeDocument/2006/relationships/hyperlink" Target="https://lannuaire.service-public.gouv.fr/auvergne-rhone-alpes/haute-savoie/99cdc1cd-0b37-448c-a2a5-5d945403f219" TargetMode="External" Id="rId3803" /><Relationship Type="http://schemas.openxmlformats.org/officeDocument/2006/relationships/hyperlink" Target="mailto:contact@ccpaysrochois.fr" TargetMode="External" Id="rId3804" /><Relationship Type="http://schemas.openxmlformats.org/officeDocument/2006/relationships/hyperlink" Target="https://www.ccpaysrochois.fr/" TargetMode="External" Id="rId3805" /><Relationship Type="http://schemas.openxmlformats.org/officeDocument/2006/relationships/hyperlink" Target="https://lannuaire.service-public.gouv.fr/auvergne-rhone-alpes/haute-savoie/e862780c-2ab0-414d-95af-dded43866f49" TargetMode="External" Id="rId3806" /><Relationship Type="http://schemas.openxmlformats.org/officeDocument/2006/relationships/hyperlink" Target="mailto:ccpc@ccpaysdecruseilles.org" TargetMode="External" Id="rId3807" /><Relationship Type="http://schemas.openxmlformats.org/officeDocument/2006/relationships/hyperlink" Target="https://ccpaysdecruseilles.org/" TargetMode="External" Id="rId3808" /><Relationship Type="http://schemas.openxmlformats.org/officeDocument/2006/relationships/hyperlink" Target="https://lannuaire.service-public.gouv.fr/auvergne-rhone-alpes/haute-savoie/7e1e27a8-7aa3-4854-aafd-83110d060052" TargetMode="External" Id="rId3809" /><Relationship Type="http://schemas.openxmlformats.org/officeDocument/2006/relationships/hyperlink" Target="mailto:contact@metropolegrandparis.fr" TargetMode="External" Id="rId3810" /><Relationship Type="http://schemas.openxmlformats.org/officeDocument/2006/relationships/hyperlink" Target="https://www.metropolegrandparis.fr/fr" TargetMode="External" Id="rId3811" /><Relationship Type="http://schemas.openxmlformats.org/officeDocument/2006/relationships/hyperlink" Target="https://lannuaire.service-public.gouv.fr/ile-de-france/paris/cd6d613b-65e4-4392-932a-58e98aaaa933" TargetMode="External" Id="rId3812" /><Relationship Type="http://schemas.openxmlformats.org/officeDocument/2006/relationships/hyperlink" Target="mailto:accueil@cauxseine.fr" TargetMode="External" Id="rId3813" /><Relationship Type="http://schemas.openxmlformats.org/officeDocument/2006/relationships/hyperlink" Target="https://www.cauxseine.fr/" TargetMode="External" Id="rId3814" /><Relationship Type="http://schemas.openxmlformats.org/officeDocument/2006/relationships/hyperlink" Target="https://www.cauxseine.fr/nous-contacter/" TargetMode="External" Id="rId3815" /><Relationship Type="http://schemas.openxmlformats.org/officeDocument/2006/relationships/hyperlink" Target="https://lannuaire.service-public.gouv.fr/normandie/seine-maritime/43afec30-2190-44fb-b0bc-1972de247156" TargetMode="External" Id="rId3816" /><Relationship Type="http://schemas.openxmlformats.org/officeDocument/2006/relationships/hyperlink" Target="mailto:contact@agglo-fecampcauxlittoral.fr" TargetMode="External" Id="rId3817" /><Relationship Type="http://schemas.openxmlformats.org/officeDocument/2006/relationships/hyperlink" Target="https://www.agglo-fecampcauxlittoral.fr/" TargetMode="External" Id="rId3818" /><Relationship Type="http://schemas.openxmlformats.org/officeDocument/2006/relationships/hyperlink" Target="https://www.agglo-fecampcauxlittoral.fr/nous-contacter/" TargetMode="External" Id="rId3819" /><Relationship Type="http://schemas.openxmlformats.org/officeDocument/2006/relationships/hyperlink" Target="https://lannuaire.service-public.gouv.fr/normandie/seine-maritime/e7581982-9224-4d32-993c-47d683135ff9" TargetMode="External" Id="rId3820" /><Relationship Type="http://schemas.openxmlformats.org/officeDocument/2006/relationships/hyperlink" Target="mailto:contact@agglodieppe-maritime.com" TargetMode="External" Id="rId3821" /><Relationship Type="http://schemas.openxmlformats.org/officeDocument/2006/relationships/hyperlink" Target="http://www.agglodieppe-maritime.com" TargetMode="External" Id="rId3822" /><Relationship Type="http://schemas.openxmlformats.org/officeDocument/2006/relationships/hyperlink" Target="https://lannuaire.service-public.gouv.fr/normandie/seine-maritime/0a48d46c-64ee-4c14-a15d-0cdfce4cdfe6" TargetMode="External" Id="rId3823" /><Relationship Type="http://schemas.openxmlformats.org/officeDocument/2006/relationships/hyperlink" Target="mailto:contact@brayeawy.fr" TargetMode="External" Id="rId3824" /><Relationship Type="http://schemas.openxmlformats.org/officeDocument/2006/relationships/hyperlink" Target="https://brayeawy.fr/" TargetMode="External" Id="rId3825" /><Relationship Type="http://schemas.openxmlformats.org/officeDocument/2006/relationships/hyperlink" Target="https://brayeawy.fr/contact-acces-bray-eawy/" TargetMode="External" Id="rId3826" /><Relationship Type="http://schemas.openxmlformats.org/officeDocument/2006/relationships/hyperlink" Target="https://lannuaire.service-public.gouv.fr/normandie/seine-maritime/4619bbff-9f96-41cd-a903-14d82e816eb3" TargetMode="External" Id="rId3827" /><Relationship Type="http://schemas.openxmlformats.org/officeDocument/2006/relationships/hyperlink" Target="mailto:accueil@campagne-de-caux.fr" TargetMode="External" Id="rId3828" /><Relationship Type="http://schemas.openxmlformats.org/officeDocument/2006/relationships/hyperlink" Target="https://www.campagne-de-caux.fr/" TargetMode="External" Id="rId3829" /><Relationship Type="http://schemas.openxmlformats.org/officeDocument/2006/relationships/hyperlink" Target="https://www.campagne-de-caux.fr/la-communaute-de-communes/infos-pratiques/nous-contacter/" TargetMode="External" Id="rId3830" /><Relationship Type="http://schemas.openxmlformats.org/officeDocument/2006/relationships/hyperlink" Target="https://lannuaire.service-public.gouv.fr/normandie/seine-maritime/fff00d09-d41e-4ad6-aee2-c9cddfae36a1" TargetMode="External" Id="rId3831" /><Relationship Type="http://schemas.openxmlformats.org/officeDocument/2006/relationships/hyperlink" Target="mailto:accueil@cc-caux-austreberthe.fr" TargetMode="External" Id="rId3832" /><Relationship Type="http://schemas.openxmlformats.org/officeDocument/2006/relationships/hyperlink" Target="https://www.caux-austreberthe.fr/" TargetMode="External" Id="rId3833" /><Relationship Type="http://schemas.openxmlformats.org/officeDocument/2006/relationships/hyperlink" Target="https://lannuaire.service-public.gouv.fr/normandie/seine-maritime/6a3f7687-fb64-4594-8159-6d515d607ac6" TargetMode="External" Id="rId3834" /><Relationship Type="http://schemas.openxmlformats.org/officeDocument/2006/relationships/hyperlink" Target="mailto:contact@falaisesdutalou.fr" TargetMode="External" Id="rId3835" /><Relationship Type="http://schemas.openxmlformats.org/officeDocument/2006/relationships/hyperlink" Target="https://www.falaisesdutalou.fr/" TargetMode="External" Id="rId3836" /><Relationship Type="http://schemas.openxmlformats.org/officeDocument/2006/relationships/hyperlink" Target="https://www.falaisesdutalou.fr/nous-contacter" TargetMode="External" Id="rId3837" /><Relationship Type="http://schemas.openxmlformats.org/officeDocument/2006/relationships/hyperlink" Target="https://lannuaire.service-public.gouv.fr/normandie/seine-maritime/beed9173-8998-4c08-8fed-5655c1ac1b33" TargetMode="External" Id="rId3838" /><Relationship Type="http://schemas.openxmlformats.org/officeDocument/2006/relationships/hyperlink" Target="mailto:contact@intercauxvexin.fr" TargetMode="External" Id="rId3839" /><Relationship Type="http://schemas.openxmlformats.org/officeDocument/2006/relationships/hyperlink" Target="https://www.intercauxvexin.fr/fr/" TargetMode="External" Id="rId3840" /><Relationship Type="http://schemas.openxmlformats.org/officeDocument/2006/relationships/hyperlink" Target="https://www.intercauxvexin.fr/fr/contact" TargetMode="External" Id="rId3841" /><Relationship Type="http://schemas.openxmlformats.org/officeDocument/2006/relationships/hyperlink" Target="https://lannuaire.service-public.gouv.fr/normandie/seine-maritime/23754a28-37bd-418f-9933-2a6a3c1e2a1d" TargetMode="External" Id="rId3842" /><Relationship Type="http://schemas.openxmlformats.org/officeDocument/2006/relationships/hyperlink" Target="mailto:contact@plateaudecaux.fr" TargetMode="External" Id="rId3843" /><Relationship Type="http://schemas.openxmlformats.org/officeDocument/2006/relationships/hyperlink" Target="https://www.plateaudecaux.fr/" TargetMode="External" Id="rId3844" /><Relationship Type="http://schemas.openxmlformats.org/officeDocument/2006/relationships/hyperlink" Target="https://www.plateaudecaux.fr/contact/" TargetMode="External" Id="rId3845" /><Relationship Type="http://schemas.openxmlformats.org/officeDocument/2006/relationships/hyperlink" Target="https://lannuaire.service-public.gouv.fr/normandie/seine-maritime/f3dfe825-a2c8-4e7a-807f-660f074667d2" TargetMode="External" Id="rId3846" /><Relationship Type="http://schemas.openxmlformats.org/officeDocument/2006/relationships/hyperlink" Target="mailto:contact@terroirdecaux.net" TargetMode="External" Id="rId3847" /><Relationship Type="http://schemas.openxmlformats.org/officeDocument/2006/relationships/hyperlink" Target="https://www.terroirdecaux.fr/" TargetMode="External" Id="rId3848" /><Relationship Type="http://schemas.openxmlformats.org/officeDocument/2006/relationships/hyperlink" Target="https://lannuaire.service-public.gouv.fr/normandie/seine-maritime/7aada417-f11e-4ff5-9c05-41ea70a0fc3d" TargetMode="External" Id="rId3849" /><Relationship Type="http://schemas.openxmlformats.org/officeDocument/2006/relationships/hyperlink" Target="mailto:contact@yvetot-normandie.fr" TargetMode="External" Id="rId3850" /><Relationship Type="http://schemas.openxmlformats.org/officeDocument/2006/relationships/hyperlink" Target="https://www.yvetot-normandie.fr/" TargetMode="External" Id="rId3851" /><Relationship Type="http://schemas.openxmlformats.org/officeDocument/2006/relationships/hyperlink" Target="https://www.yvetot-normandie.fr/contact/" TargetMode="External" Id="rId3852" /><Relationship Type="http://schemas.openxmlformats.org/officeDocument/2006/relationships/hyperlink" Target="https://lannuaire.service-public.gouv.fr/normandie/seine-maritime/2c0b4ee4-14ea-4a04-9bda-f4af0ba5b766" TargetMode="External" Id="rId3853" /><Relationship Type="http://schemas.openxmlformats.org/officeDocument/2006/relationships/hyperlink" Target="mailto:secretariat@comcom-londinieres.fr;ccl1@orange.fr" TargetMode="External" Id="rId3854" /><Relationship Type="http://schemas.openxmlformats.org/officeDocument/2006/relationships/hyperlink" Target="https://www.comcom-londinieres.fr/" TargetMode="External" Id="rId3855" /><Relationship Type="http://schemas.openxmlformats.org/officeDocument/2006/relationships/hyperlink" Target="https://www.comcom-londinieres.fr/contact/" TargetMode="External" Id="rId3856" /><Relationship Type="http://schemas.openxmlformats.org/officeDocument/2006/relationships/hyperlink" Target="https://lannuaire.service-public.gouv.fr/normandie/seine-maritime/1b43fa41-5a07-41cd-a4be-eb2a1a8c3c31" TargetMode="External" Id="rId3857" /><Relationship Type="http://schemas.openxmlformats.org/officeDocument/2006/relationships/hyperlink" Target="mailto:email@cote-albatre.com" TargetMode="External" Id="rId3858" /><Relationship Type="http://schemas.openxmlformats.org/officeDocument/2006/relationships/hyperlink" Target="https://cote-albatre.fr/" TargetMode="External" Id="rId3859" /><Relationship Type="http://schemas.openxmlformats.org/officeDocument/2006/relationships/hyperlink" Target="https://cote-albatre.fr/" TargetMode="External" Id="rId3860" /><Relationship Type="http://schemas.openxmlformats.org/officeDocument/2006/relationships/hyperlink" Target="https://lannuaire.service-public.gouv.fr/normandie/seine-maritime/dc830fb1-f735-460b-8d10-3a2f3c00c543" TargetMode="External" Id="rId3861" /><Relationship Type="http://schemas.openxmlformats.org/officeDocument/2006/relationships/hyperlink" Target="https://www.lehavreseinemetropole.fr/" TargetMode="External" Id="rId3862" /><Relationship Type="http://schemas.openxmlformats.org/officeDocument/2006/relationships/hyperlink" Target="https://formulaires.mesdemarches.lehavreseinemetropole.fr/contactez-nous/formulaire-de-contact-import/" TargetMode="External" Id="rId3863" /><Relationship Type="http://schemas.openxmlformats.org/officeDocument/2006/relationships/hyperlink" Target="https://lannuaire.service-public.gouv.fr/normandie/seine-maritime/15ae2e5a-dce1-4835-96c5-d9099d677f64" TargetMode="External" Id="rId3864" /><Relationship Type="http://schemas.openxmlformats.org/officeDocument/2006/relationships/hyperlink" Target="mailto:contact@metropole-rouen-normandie.fr" TargetMode="External" Id="rId3865" /><Relationship Type="http://schemas.openxmlformats.org/officeDocument/2006/relationships/hyperlink" Target="https://www.metropole-rouen-normandie.fr/" TargetMode="External" Id="rId3866" /><Relationship Type="http://schemas.openxmlformats.org/officeDocument/2006/relationships/hyperlink" Target="https://mrn.metropole-rouen-normandie.fr/ma-metropole" TargetMode="External" Id="rId3867" /><Relationship Type="http://schemas.openxmlformats.org/officeDocument/2006/relationships/hyperlink" Target="https://lannuaire.service-public.gouv.fr/normandie/seine-maritime/c5883058-7a68-4314-98fb-0d07ddee2349" TargetMode="External" Id="rId3868" /><Relationship Type="http://schemas.openxmlformats.org/officeDocument/2006/relationships/hyperlink" Target="mailto:contact@cciabb.fr" TargetMode="External" Id="rId3869" /><Relationship Type="http://schemas.openxmlformats.org/officeDocument/2006/relationships/hyperlink" Target="https://www.cc-aumale-blangy.fr/" TargetMode="External" Id="rId3870" /><Relationship Type="http://schemas.openxmlformats.org/officeDocument/2006/relationships/hyperlink" Target="https://www.cc-aumale-blangy.fr/informations-pratiques/nous-contacter/" TargetMode="External" Id="rId3871" /><Relationship Type="http://schemas.openxmlformats.org/officeDocument/2006/relationships/hyperlink" Target="https://lannuaire.service-public.gouv.fr/normandie/seine-maritime/2d529986-cd37-487d-bab7-7d923ba64df4" TargetMode="External" Id="rId3872" /><Relationship Type="http://schemas.openxmlformats.org/officeDocument/2006/relationships/hyperlink" Target="mailto:contact@villes-soeurs.fr" TargetMode="External" Id="rId3873" /><Relationship Type="http://schemas.openxmlformats.org/officeDocument/2006/relationships/hyperlink" Target="https://www.villes-soeurs.fr/" TargetMode="External" Id="rId3874" /><Relationship Type="http://schemas.openxmlformats.org/officeDocument/2006/relationships/hyperlink" Target="https://www.villes-soeurs.fr/contact/" TargetMode="External" Id="rId3875" /><Relationship Type="http://schemas.openxmlformats.org/officeDocument/2006/relationships/hyperlink" Target="https://lannuaire.service-public.gouv.fr/normandie/seine-maritime/fd113f0e-6599-4b86-a787-fb80f53e8776" TargetMode="External" Id="rId3876" /><Relationship Type="http://schemas.openxmlformats.org/officeDocument/2006/relationships/hyperlink" Target="mailto:accueil@coulommierspaysdebrie.fr" TargetMode="External" Id="rId3877" /><Relationship Type="http://schemas.openxmlformats.org/officeDocument/2006/relationships/hyperlink" Target="https://www.coulommierspaysdebrie.fr/" TargetMode="External" Id="rId3878" /><Relationship Type="http://schemas.openxmlformats.org/officeDocument/2006/relationships/hyperlink" Target="https://www.coulommierspaysdebrie.fr/contactez-nous/" TargetMode="External" Id="rId3879" /><Relationship Type="http://schemas.openxmlformats.org/officeDocument/2006/relationships/hyperlink" Target="https://lannuaire.service-public.gouv.fr/ile-de-france/seine-et-marne/3af84158-b16e-4a65-a3b3-384e547ed38f" TargetMode="External" Id="rId3880" /><Relationship Type="http://schemas.openxmlformats.org/officeDocument/2006/relationships/hyperlink" Target="mailto:accueil@marneetgondoire.fr" TargetMode="External" Id="rId3881" /><Relationship Type="http://schemas.openxmlformats.org/officeDocument/2006/relationships/hyperlink" Target="https://www.marneetgondoire.fr/" TargetMode="External" Id="rId3882" /><Relationship Type="http://schemas.openxmlformats.org/officeDocument/2006/relationships/hyperlink" Target="https://www.marneetgondoire.fr/nous-ecrire-9.html" TargetMode="External" Id="rId3883" /><Relationship Type="http://schemas.openxmlformats.org/officeDocument/2006/relationships/hyperlink" Target="https://lannuaire.service-public.gouv.fr/ile-de-france/seine-et-marne/d6316e54-b310-4104-9e23-85e9d31b1593" TargetMode="External" Id="rId3884" /><Relationship Type="http://schemas.openxmlformats.org/officeDocument/2006/relationships/hyperlink" Target="https://www.melunvaldeseine.fr/" TargetMode="External" Id="rId3885" /><Relationship Type="http://schemas.openxmlformats.org/officeDocument/2006/relationships/hyperlink" Target="https://www.melunvaldeseine.fr/informations-pratiques/contact" TargetMode="External" Id="rId3886" /><Relationship Type="http://schemas.openxmlformats.org/officeDocument/2006/relationships/hyperlink" Target="https://lannuaire.service-public.gouv.fr/ile-de-france/seine-et-marne/e470bd88-2b3e-423b-8978-d93935df66d2" TargetMode="External" Id="rId3887" /><Relationship Type="http://schemas.openxmlformats.org/officeDocument/2006/relationships/hyperlink" Target="mailto:contact@agglo-pvm.fr" TargetMode="External" Id="rId3888" /><Relationship Type="http://schemas.openxmlformats.org/officeDocument/2006/relationships/hyperlink" Target="https://www.agglo-pvm.fr/" TargetMode="External" Id="rId3889" /><Relationship Type="http://schemas.openxmlformats.org/officeDocument/2006/relationships/hyperlink" Target="https://www.agglo-pvm.fr/informations-pratiques/contact" TargetMode="External" Id="rId3890" /><Relationship Type="http://schemas.openxmlformats.org/officeDocument/2006/relationships/hyperlink" Target="https://lannuaire.service-public.gouv.fr/ile-de-france/seine-et-marne/67d8ec99-6e9b-440b-aa5f-2fb5370b8e3c" TargetMode="External" Id="rId3891" /><Relationship Type="http://schemas.openxmlformats.org/officeDocument/2006/relationships/hyperlink" Target="mailto:contact@vdeagglo.fr" TargetMode="External" Id="rId3892" /><Relationship Type="http://schemas.openxmlformats.org/officeDocument/2006/relationships/hyperlink" Target="https://www.valdeuropeagglo.fr/" TargetMode="External" Id="rId3893" /><Relationship Type="http://schemas.openxmlformats.org/officeDocument/2006/relationships/hyperlink" Target="https://www.valdeuropeagglo.fr/contact/" TargetMode="External" Id="rId3894" /><Relationship Type="http://schemas.openxmlformats.org/officeDocument/2006/relationships/hyperlink" Target="https://lannuaire.service-public.gouv.fr/ile-de-france/seine-et-marne/fb913f9f-2b02-4073-b84c-e0b69618a823" TargetMode="External" Id="rId3895" /><Relationship Type="http://schemas.openxmlformats.org/officeDocument/2006/relationships/hyperlink" Target="mailto:accueil@pays-fontainebleau.fr" TargetMode="External" Id="rId3896" /><Relationship Type="http://schemas.openxmlformats.org/officeDocument/2006/relationships/hyperlink" Target="https://www.pays-fontainebleau.fr/" TargetMode="External" Id="rId3897" /><Relationship Type="http://schemas.openxmlformats.org/officeDocument/2006/relationships/hyperlink" Target="https://www.pays-fontainebleau.fr/contact/" TargetMode="External" Id="rId3898" /><Relationship Type="http://schemas.openxmlformats.org/officeDocument/2006/relationships/hyperlink" Target="https://lannuaire.service-public.gouv.fr/ile-de-france/seine-et-marne/64e07ac1-11d9-40a6-8e99-88166648641c" TargetMode="External" Id="rId3899" /><Relationship Type="http://schemas.openxmlformats.org/officeDocument/2006/relationships/hyperlink" Target="mailto:contact@meaux.fr" TargetMode="External" Id="rId3900" /><Relationship Type="http://schemas.openxmlformats.org/officeDocument/2006/relationships/hyperlink" Target="https://www.agglo-paysdemeaux.fr/" TargetMode="External" Id="rId3901" /><Relationship Type="http://schemas.openxmlformats.org/officeDocument/2006/relationships/hyperlink" Target="https://www.espace-citoyens.net/meaux/espace-citoyens/Demande/NouvelleDemande/CONTACTJFC/MSG_JFC" TargetMode="External" Id="rId3902" /><Relationship Type="http://schemas.openxmlformats.org/officeDocument/2006/relationships/hyperlink" Target="https://lannuaire.service-public.gouv.fr/ile-de-france/seine-et-marne/83a9e8af-91bb-4b18-bee7-5b62efaf2866" TargetMode="External" Id="rId3903" /><Relationship Type="http://schemas.openxmlformats.org/officeDocument/2006/relationships/hyperlink" Target="mailto:contact@cc-basseemontois.fr" TargetMode="External" Id="rId3904" /><Relationship Type="http://schemas.openxmlformats.org/officeDocument/2006/relationships/hyperlink" Target="https://www.cc-basseemontois.fr/fr" TargetMode="External" Id="rId3905" /><Relationship Type="http://schemas.openxmlformats.org/officeDocument/2006/relationships/hyperlink" Target="https://www.cc-basseemontois.fr/fr/form/contactez-nous" TargetMode="External" Id="rId3906" /><Relationship Type="http://schemas.openxmlformats.org/officeDocument/2006/relationships/hyperlink" Target="https://lannuaire.service-public.gouv.fr/ile-de-france/seine-et-marne/ff281616-4a6e-41f4-a82b-261e5ec5c4f9" TargetMode="External" Id="rId3907" /><Relationship Type="http://schemas.openxmlformats.org/officeDocument/2006/relationships/hyperlink" Target="mailto:secretariat@brienangissienne.fr" TargetMode="External" Id="rId3908" /><Relationship Type="http://schemas.openxmlformats.org/officeDocument/2006/relationships/hyperlink" Target="http://www.brienangissienne.fr" TargetMode="External" Id="rId3909" /><Relationship Type="http://schemas.openxmlformats.org/officeDocument/2006/relationships/hyperlink" Target="https://lannuaire.service-public.gouv.fr/ile-de-france/seine-et-marne/0573aadb-a597-4173-8f2d-07558a7e982a" TargetMode="External" Id="rId3910" /><Relationship Type="http://schemas.openxmlformats.org/officeDocument/2006/relationships/hyperlink" Target="mailto:accueil@ccbrc.fr" TargetMode="External" Id="rId3911" /><Relationship Type="http://schemas.openxmlformats.org/officeDocument/2006/relationships/hyperlink" Target="https://www.briedesrivieresetchateaux.fr" TargetMode="External" Id="rId3912" /><Relationship Type="http://schemas.openxmlformats.org/officeDocument/2006/relationships/hyperlink" Target="https://lannuaire.service-public.gouv.fr/ile-de-france/seine-et-marne/f8eed306-cd17-4691-9c5c-b2b170d85fde" TargetMode="External" Id="rId3913" /><Relationship Type="http://schemas.openxmlformats.org/officeDocument/2006/relationships/hyperlink" Target="mailto:ccgvl@ccgvl77.fr" TargetMode="External" Id="rId3914" /><Relationship Type="http://schemas.openxmlformats.org/officeDocument/2006/relationships/hyperlink" Target="https://www.ccgvl77.fr/" TargetMode="External" Id="rId3915" /><Relationship Type="http://schemas.openxmlformats.org/officeDocument/2006/relationships/hyperlink" Target="https://lannuaire.service-public.gouv.fr/ile-de-france/seine-et-marne/c35c863e-600d-48fb-bc8e-87508e0b1949" TargetMode="External" Id="rId3916" /><Relationship Type="http://schemas.openxmlformats.org/officeDocument/2006/relationships/hyperlink" Target="mailto:contact@lesportesbriardes.fr" TargetMode="External" Id="rId3917" /><Relationship Type="http://schemas.openxmlformats.org/officeDocument/2006/relationships/hyperlink" Target="https://www.lesportesbriardes.fr/" TargetMode="External" Id="rId3918" /><Relationship Type="http://schemas.openxmlformats.org/officeDocument/2006/relationships/hyperlink" Target="https://lannuaire.service-public.gouv.fr/ile-de-france/seine-et-marne/cc42b7f8-3b62-4d79-8550-2eeea730d1dc" TargetMode="External" Id="rId3919" /><Relationship Type="http://schemas.openxmlformats.org/officeDocument/2006/relationships/hyperlink" Target="mailto:ccmsl@ccmsl.com" TargetMode="External" Id="rId3920" /><Relationship Type="http://schemas.openxmlformats.org/officeDocument/2006/relationships/hyperlink" Target="https://www.ccmsl.fr/" TargetMode="External" Id="rId3921" /><Relationship Type="http://schemas.openxmlformats.org/officeDocument/2006/relationships/hyperlink" Target="https://www.ccmsl.fr/" TargetMode="External" Id="rId3922" /><Relationship Type="http://schemas.openxmlformats.org/officeDocument/2006/relationships/hyperlink" Target="https://lannuaire.service-public.gouv.fr/ile-de-france/seine-et-marne/82ffaf4c-b38e-404f-8d16-5c464cd4bc1f" TargetMode="External" Id="rId3923" /><Relationship Type="http://schemas.openxmlformats.org/officeDocument/2006/relationships/hyperlink" Target="mailto:contact@paysdemontereau.fr" TargetMode="External" Id="rId3924" /><Relationship Type="http://schemas.openxmlformats.org/officeDocument/2006/relationships/hyperlink" Target="https://paysdemontereau77.fr" TargetMode="External" Id="rId3925" /><Relationship Type="http://schemas.openxmlformats.org/officeDocument/2006/relationships/hyperlink" Target="https://paysdemontereau77.fr/contact/" TargetMode="External" Id="rId3926" /><Relationship Type="http://schemas.openxmlformats.org/officeDocument/2006/relationships/hyperlink" Target="https://lannuaire.service-public.gouv.fr/ile-de-france/seine-et-marne/20ba5899-f6b9-44c1-bf32-d0d95b71d470" TargetMode="External" Id="rId3927" /><Relationship Type="http://schemas.openxmlformats.org/officeDocument/2006/relationships/hyperlink" Target="mailto:secretariat@paysdenemours.fr" TargetMode="External" Id="rId3928" /><Relationship Type="http://schemas.openxmlformats.org/officeDocument/2006/relationships/hyperlink" Target="https://www.paysdenemours.fr/" TargetMode="External" Id="rId3929" /><Relationship Type="http://schemas.openxmlformats.org/officeDocument/2006/relationships/hyperlink" Target="https://www.paysdenemours.fr/contact/" TargetMode="External" Id="rId3930" /><Relationship Type="http://schemas.openxmlformats.org/officeDocument/2006/relationships/hyperlink" Target="https://lannuaire.service-public.gouv.fr/ile-de-france/seine-et-marne/f29a5c35-b951-407b-91d9-52231c26d655" TargetMode="External" Id="rId3931" /><Relationship Type="http://schemas.openxmlformats.org/officeDocument/2006/relationships/hyperlink" Target="mailto:contact@cc-pmf.fr" TargetMode="External" Id="rId3932" /><Relationship Type="http://schemas.openxmlformats.org/officeDocument/2006/relationships/hyperlink" Target="http://www.cc-pmf.fr" TargetMode="External" Id="rId3933" /><Relationship Type="http://schemas.openxmlformats.org/officeDocument/2006/relationships/hyperlink" Target="https://lannuaire.service-public.gouv.fr/ile-de-france/seine-et-marne/4fa013ed-00ec-464a-a25b-ac1e58e0afbc" TargetMode="External" Id="rId3934" /><Relationship Type="http://schemas.openxmlformats.org/officeDocument/2006/relationships/hyperlink" Target="mailto:contact@valbriard.fr" TargetMode="External" Id="rId3935" /><Relationship Type="http://schemas.openxmlformats.org/officeDocument/2006/relationships/hyperlink" Target="https://valbriard.fr/" TargetMode="External" Id="rId3936" /><Relationship Type="http://schemas.openxmlformats.org/officeDocument/2006/relationships/hyperlink" Target="https://valbriard.fr/contact/" TargetMode="External" Id="rId3937" /><Relationship Type="http://schemas.openxmlformats.org/officeDocument/2006/relationships/hyperlink" Target="https://lannuaire.service-public.gouv.fr/ile-de-france/seine-et-marne/2fe015f7-a85d-497b-9888-e92d430e8602" TargetMode="External" Id="rId3938" /><Relationship Type="http://schemas.openxmlformats.org/officeDocument/2006/relationships/hyperlink" Target="mailto:accueil@cc2m.fr" TargetMode="External" Id="rId3939" /><Relationship Type="http://schemas.openxmlformats.org/officeDocument/2006/relationships/hyperlink" Target="https://www.cc2morin.fr/" TargetMode="External" Id="rId3940" /><Relationship Type="http://schemas.openxmlformats.org/officeDocument/2006/relationships/hyperlink" Target="https://www.cc2morin.fr/nous-contacter/" TargetMode="External" Id="rId3941" /><Relationship Type="http://schemas.openxmlformats.org/officeDocument/2006/relationships/hyperlink" Target="https://lannuaire.service-public.gouv.fr/ile-de-france/seine-et-marne/b2a2ab59-2a1d-4910-8d6b-bfbf24cfb6ad" TargetMode="External" Id="rId3942" /><Relationship Type="http://schemas.openxmlformats.org/officeDocument/2006/relationships/hyperlink" Target="mailto:ccpo@paysdelourcq.fr" TargetMode="External" Id="rId3943" /><Relationship Type="http://schemas.openxmlformats.org/officeDocument/2006/relationships/hyperlink" Target="https://www.paysdelourcq.fr/accueil" TargetMode="External" Id="rId3944" /><Relationship Type="http://schemas.openxmlformats.org/officeDocument/2006/relationships/hyperlink" Target="https://lannuaire.service-public.gouv.fr/ile-de-france/seine-et-marne/c2e3c31c-dffc-4775-ba21-76effc360a37" TargetMode="External" Id="rId3945" /><Relationship Type="http://schemas.openxmlformats.org/officeDocument/2006/relationships/hyperlink" Target="mailto:accueil@cc-du-provinois.fr" TargetMode="External" Id="rId3946" /><Relationship Type="http://schemas.openxmlformats.org/officeDocument/2006/relationships/hyperlink" Target="https://www.cc-provinois.fr/" TargetMode="External" Id="rId3947" /><Relationship Type="http://schemas.openxmlformats.org/officeDocument/2006/relationships/hyperlink" Target="https://lannuaire.service-public.gouv.fr/ile-de-france/seine-et-marne/c6f1f8c3-1fb7-4593-9f11-fa794bce20fc" TargetMode="External" Id="rId3948" /><Relationship Type="http://schemas.openxmlformats.org/officeDocument/2006/relationships/hyperlink" Target="mailto:contact@grandparissud.fr" TargetMode="External" Id="rId3949" /><Relationship Type="http://schemas.openxmlformats.org/officeDocument/2006/relationships/hyperlink" Target="https://www.grandparissud.fr" TargetMode="External" Id="rId3950" /><Relationship Type="http://schemas.openxmlformats.org/officeDocument/2006/relationships/hyperlink" Target="https://www.grandparissud.fr/contactez-nous/" TargetMode="External" Id="rId3951" /><Relationship Type="http://schemas.openxmlformats.org/officeDocument/2006/relationships/hyperlink" Target="https://lannuaire.service-public.gouv.fr/ile-de-france/essonne/8f840c86-548d-46f7-bd03-0595ef774235" TargetMode="External" Id="rId3952" /><Relationship Type="http://schemas.openxmlformats.org/officeDocument/2006/relationships/hyperlink" Target="mailto:communaute@loreedelabrie.fr" TargetMode="External" Id="rId3953" /><Relationship Type="http://schemas.openxmlformats.org/officeDocument/2006/relationships/hyperlink" Target="https://www.loreedelabrie.fr/" TargetMode="External" Id="rId3954" /><Relationship Type="http://schemas.openxmlformats.org/officeDocument/2006/relationships/hyperlink" Target="https://www.loreedelabrie.fr/contact/" TargetMode="External" Id="rId3955" /><Relationship Type="http://schemas.openxmlformats.org/officeDocument/2006/relationships/hyperlink" Target="https://lannuaire.service-public.gouv.fr/ile-de-france/seine-et-marne/f33215d7-7b1f-4d8b-8819-ed68d6fa12fc" TargetMode="External" Id="rId3956" /><Relationship Type="http://schemas.openxmlformats.org/officeDocument/2006/relationships/hyperlink" Target="mailto:info@roissypaysdefrance.fr" TargetMode="External" Id="rId3957" /><Relationship Type="http://schemas.openxmlformats.org/officeDocument/2006/relationships/hyperlink" Target="https://www.roissypaysdefrance.fr/" TargetMode="External" Id="rId3958" /><Relationship Type="http://schemas.openxmlformats.org/officeDocument/2006/relationships/hyperlink" Target="https://www.roissypaysdefrance.fr/lagglo/nous-contacter" TargetMode="External" Id="rId3959" /><Relationship Type="http://schemas.openxmlformats.org/officeDocument/2006/relationships/hyperlink" Target="https://lannuaire.service-public.gouv.fr/ile-de-france/val-d-oise/95e36cb4-6046-46b8-95d5-1397a63520ab" TargetMode="External" Id="rId3960" /><Relationship Type="http://schemas.openxmlformats.org/officeDocument/2006/relationships/hyperlink" Target="mailto:accueil@rt78.fr" TargetMode="External" Id="rId3961" /><Relationship Type="http://schemas.openxmlformats.org/officeDocument/2006/relationships/hyperlink" Target="https://www.rt78.fr/" TargetMode="External" Id="rId3962" /><Relationship Type="http://schemas.openxmlformats.org/officeDocument/2006/relationships/hyperlink" Target="https://lannuaire.service-public.gouv.fr/ile-de-france/yvelines/f26b30cd-3a03-44f9-bed0-b05878e56266" TargetMode="External" Id="rId3963" /><Relationship Type="http://schemas.openxmlformats.org/officeDocument/2006/relationships/hyperlink" Target="https://www.saint-quentin-en-yvelines.fr/" TargetMode="External" Id="rId3964" /><Relationship Type="http://schemas.openxmlformats.org/officeDocument/2006/relationships/hyperlink" Target="https://www.saint-quentin-en-yvelines.fr/contact/" TargetMode="External" Id="rId3965" /><Relationship Type="http://schemas.openxmlformats.org/officeDocument/2006/relationships/hyperlink" Target="https://lannuaire.service-public.gouv.fr/ile-de-france/yvelines/2270fd07-f2a2-4f69-92be-df1dcac32303" TargetMode="External" Id="rId3966" /><Relationship Type="http://schemas.openxmlformats.org/officeDocument/2006/relationships/hyperlink" Target="mailto:accueil@cccy.fr" TargetMode="External" Id="rId3967" /><Relationship Type="http://schemas.openxmlformats.org/officeDocument/2006/relationships/hyperlink" Target="https://www.coeur-yvelines.fr/" TargetMode="External" Id="rId3968" /><Relationship Type="http://schemas.openxmlformats.org/officeDocument/2006/relationships/hyperlink" Target="https://lannuaire.service-public.gouv.fr/ile-de-france/yvelines/183e8079-bb74-4f10-8eb7-3f5324000b2b" TargetMode="External" Id="rId3969" /><Relationship Type="http://schemas.openxmlformats.org/officeDocument/2006/relationships/hyperlink" Target="mailto:ccgm@cc-gallymauldre.fr" TargetMode="External" Id="rId3970" /><Relationship Type="http://schemas.openxmlformats.org/officeDocument/2006/relationships/hyperlink" Target="https://cc-gallymauldre.fr/" TargetMode="External" Id="rId3971" /><Relationship Type="http://schemas.openxmlformats.org/officeDocument/2006/relationships/hyperlink" Target="https://lannuaire.service-public.gouv.fr/ile-de-france/yvelines/a96819e9-2a53-4dcf-8f52-24a57c8b2ef3" TargetMode="External" Id="rId3972" /><Relationship Type="http://schemas.openxmlformats.org/officeDocument/2006/relationships/hyperlink" Target="mailto:accueil@ccpif.fr" TargetMode="External" Id="rId3973" /><Relationship Type="http://schemas.openxmlformats.org/officeDocument/2006/relationships/hyperlink" Target="https://www.ccpif.fr/" TargetMode="External" Id="rId3974" /><Relationship Type="http://schemas.openxmlformats.org/officeDocument/2006/relationships/hyperlink" Target="https://lannuaire.service-public.gouv.fr/ile-de-france/yvelines/80bf6773-3d4f-498b-8275-e24dc653bf1d" TargetMode="External" Id="rId3975" /><Relationship Type="http://schemas.openxmlformats.org/officeDocument/2006/relationships/hyperlink" Target="mailto:cchvc78@orange.fr" TargetMode="External" Id="rId3976" /><Relationship Type="http://schemas.openxmlformats.org/officeDocument/2006/relationships/hyperlink" Target="https://www.cchvc.fr/" TargetMode="External" Id="rId3977" /><Relationship Type="http://schemas.openxmlformats.org/officeDocument/2006/relationships/hyperlink" Target="https://www.cchvc.fr/contact/" TargetMode="External" Id="rId3978" /><Relationship Type="http://schemas.openxmlformats.org/officeDocument/2006/relationships/hyperlink" Target="https://lannuaire.service-public.gouv.fr/ile-de-france/yvelines/aa3ea9d6-f1bb-4220-b9fa-e09530587ca7" TargetMode="External" Id="rId3979" /><Relationship Type="http://schemas.openxmlformats.org/officeDocument/2006/relationships/hyperlink" Target="https://www.gpseo.fr" TargetMode="External" Id="rId3980" /><Relationship Type="http://schemas.openxmlformats.org/officeDocument/2006/relationships/hyperlink" Target="https://formulaires.demarches.gpseo.fr/formulaire-de-contact/nous-contacter/" TargetMode="External" Id="rId3981" /><Relationship Type="http://schemas.openxmlformats.org/officeDocument/2006/relationships/hyperlink" Target="https://lannuaire.service-public.gouv.fr/ile-de-france/yvelines/3213b523-3f7e-4a6f-9912-303add774cbb" TargetMode="External" Id="rId3982" /><Relationship Type="http://schemas.openxmlformats.org/officeDocument/2006/relationships/hyperlink" Target="mailto:contact@agglovgp.fr" TargetMode="External" Id="rId3983" /><Relationship Type="http://schemas.openxmlformats.org/officeDocument/2006/relationships/hyperlink" Target="https://www.versaillesgrandparc.fr/" TargetMode="External" Id="rId3984" /><Relationship Type="http://schemas.openxmlformats.org/officeDocument/2006/relationships/hyperlink" Target="https://www.versaillesgrandparc.fr/contact" TargetMode="External" Id="rId3985" /><Relationship Type="http://schemas.openxmlformats.org/officeDocument/2006/relationships/hyperlink" Target="https://lannuaire.service-public.gouv.fr/ile-de-france/yvelines/440915fa-991f-4ca9-963d-c1dc232f9a1d" TargetMode="External" Id="rId3986" /><Relationship Type="http://schemas.openxmlformats.org/officeDocument/2006/relationships/hyperlink" Target="mailto:contact@casgbs.fr" TargetMode="External" Id="rId3987" /><Relationship Type="http://schemas.openxmlformats.org/officeDocument/2006/relationships/hyperlink" Target="https://www.saintgermainbouclesdeseine.fr/" TargetMode="External" Id="rId3988" /><Relationship Type="http://schemas.openxmlformats.org/officeDocument/2006/relationships/hyperlink" Target="https://www.saintgermainbouclesdeseine.fr/nous-contacter/" TargetMode="External" Id="rId3989" /><Relationship Type="http://schemas.openxmlformats.org/officeDocument/2006/relationships/hyperlink" Target="https://lannuaire.service-public.gouv.fr/ile-de-france/yvelines/9cb9c2f1-3519-422e-bc2e-76bc8b5216cf" TargetMode="External" Id="rId3990" /><Relationship Type="http://schemas.openxmlformats.org/officeDocument/2006/relationships/hyperlink" Target="mailto:courrier@cergypontoise.fr" TargetMode="External" Id="rId3991" /><Relationship Type="http://schemas.openxmlformats.org/officeDocument/2006/relationships/hyperlink" Target="https://www.cergypontoise.fr" TargetMode="External" Id="rId3992" /><Relationship Type="http://schemas.openxmlformats.org/officeDocument/2006/relationships/hyperlink" Target="https://www.cergypontoise.fr/directagglo#/" TargetMode="External" Id="rId3993" /><Relationship Type="http://schemas.openxmlformats.org/officeDocument/2006/relationships/hyperlink" Target="https://lannuaire.service-public.gouv.fr/ile-de-france/val-d-oise/1d37d547-4812-4ef0-a59d-4b03b2d9a9ea" TargetMode="External" Id="rId3994" /><Relationship Type="http://schemas.openxmlformats.org/officeDocument/2006/relationships/hyperlink" Target="mailto:contact@agglo2b.fr" TargetMode="External" Id="rId3995" /><Relationship Type="http://schemas.openxmlformats.org/officeDocument/2006/relationships/hyperlink" Target="https://www.agglo2b.fr/" TargetMode="External" Id="rId3996" /><Relationship Type="http://schemas.openxmlformats.org/officeDocument/2006/relationships/hyperlink" Target="https://wp01.hellyum.com/agglo2b/depot-de-demande-sve/" TargetMode="External" Id="rId3997" /><Relationship Type="http://schemas.openxmlformats.org/officeDocument/2006/relationships/hyperlink" Target="https://lannuaire.service-public.gouv.fr/nouvelle-aquitaine/deux-sevres/b33ce726-b46f-4e26-a993-124ae6359eaf" TargetMode="External" Id="rId3998" /><Relationship Type="http://schemas.openxmlformats.org/officeDocument/2006/relationships/hyperlink" Target="mailto:agglo@agglo-niort.fr" TargetMode="External" Id="rId3999" /><Relationship Type="http://schemas.openxmlformats.org/officeDocument/2006/relationships/hyperlink" Target="https://www.niortagglo.fr/" TargetMode="External" Id="rId4000" /><Relationship Type="http://schemas.openxmlformats.org/officeDocument/2006/relationships/hyperlink" Target="https://www.niortagglo.fr/acces-directs/contactez-nous/index.html" TargetMode="External" Id="rId4001" /><Relationship Type="http://schemas.openxmlformats.org/officeDocument/2006/relationships/hyperlink" Target="https://lannuaire.service-public.gouv.fr/nouvelle-aquitaine/deux-sevres/cca236b9-da26-4def-92c4-3da9603b5069" TargetMode="External" Id="rId4002" /><Relationship Type="http://schemas.openxmlformats.org/officeDocument/2006/relationships/hyperlink" Target="mailto:communaute@cc-avt.fr" TargetMode="External" Id="rId4003" /><Relationship Type="http://schemas.openxmlformats.org/officeDocument/2006/relationships/hyperlink" Target="https://www.cc-avt.fr/" TargetMode="External" Id="rId4004" /><Relationship Type="http://schemas.openxmlformats.org/officeDocument/2006/relationships/hyperlink" Target="https://www.cc-avt.fr/contact.html" TargetMode="External" Id="rId4005" /><Relationship Type="http://schemas.openxmlformats.org/officeDocument/2006/relationships/hyperlink" Target="https://lannuaire.service-public.gouv.fr/nouvelle-aquitaine/deux-sevres/7b74c321-a9fd-414e-b9fe-82f42f25953c" TargetMode="External" Id="rId4006" /><Relationship Type="http://schemas.openxmlformats.org/officeDocument/2006/relationships/hyperlink" Target="mailto:contact@cc-hvs.fr" TargetMode="External" Id="rId4007" /><Relationship Type="http://schemas.openxmlformats.org/officeDocument/2006/relationships/hyperlink" Target="https://cc-hautvaldesevre.fr/" TargetMode="External" Id="rId4008" /><Relationship Type="http://schemas.openxmlformats.org/officeDocument/2006/relationships/hyperlink" Target="https://cc-hautvaldesevre.fr/contact.html" TargetMode="External" Id="rId4009" /><Relationship Type="http://schemas.openxmlformats.org/officeDocument/2006/relationships/hyperlink" Target="https://lannuaire.service-public.gouv.fr/nouvelle-aquitaine/deux-sevres/feed2471-dd68-4d16-9c29-a90e09990a64" TargetMode="External" Id="rId4010" /><Relationship Type="http://schemas.openxmlformats.org/officeDocument/2006/relationships/hyperlink" Target="mailto:accueil@melloisenpoitou.fr" TargetMode="External" Id="rId4011" /><Relationship Type="http://schemas.openxmlformats.org/officeDocument/2006/relationships/hyperlink" Target="https://www.melloisenpoitou.fr/" TargetMode="External" Id="rId4012" /><Relationship Type="http://schemas.openxmlformats.org/officeDocument/2006/relationships/hyperlink" Target="https://www.melloisenpoitou.fr/contactez-nous" TargetMode="External" Id="rId4013" /><Relationship Type="http://schemas.openxmlformats.org/officeDocument/2006/relationships/hyperlink" Target="https://lannuaire.service-public.gouv.fr/nouvelle-aquitaine/deux-sevres/4e3e2428-830f-4269-8653-e50b86213e56" TargetMode="External" Id="rId4014" /><Relationship Type="http://schemas.openxmlformats.org/officeDocument/2006/relationships/hyperlink" Target="mailto:accueil.champdeniers@valdegatine.fr" TargetMode="External" Id="rId4015" /><Relationship Type="http://schemas.openxmlformats.org/officeDocument/2006/relationships/hyperlink" Target="https://www.valdegatine.fr/accueil.html" TargetMode="External" Id="rId4016" /><Relationship Type="http://schemas.openxmlformats.org/officeDocument/2006/relationships/hyperlink" Target="https://www.valdegatine.fr/contact.html" TargetMode="External" Id="rId4017" /><Relationship Type="http://schemas.openxmlformats.org/officeDocument/2006/relationships/hyperlink" Target="https://lannuaire.service-public.gouv.fr/nouvelle-aquitaine/deux-sevres/6949f806-41a4-45b4-97f8-8f0d8145310e" TargetMode="External" Id="rId4018" /><Relationship Type="http://schemas.openxmlformats.org/officeDocument/2006/relationships/hyperlink" Target="mailto:cc-parthenay@cc-parthenay-gatine.fr" TargetMode="External" Id="rId4019" /><Relationship Type="http://schemas.openxmlformats.org/officeDocument/2006/relationships/hyperlink" Target="https://www.cc-parthenay-gatine.fr/" TargetMode="External" Id="rId4020" /><Relationship Type="http://schemas.openxmlformats.org/officeDocument/2006/relationships/hyperlink" Target="https://lannuaire.service-public.gouv.fr/nouvelle-aquitaine/deux-sevres/981d3c12-af95-4995-8476-ca0a6a4b7fc0" TargetMode="External" Id="rId4021" /><Relationship Type="http://schemas.openxmlformats.org/officeDocument/2006/relationships/hyperlink" Target="mailto:info@thouars-communaute.fr" TargetMode="External" Id="rId4022" /><Relationship Type="http://schemas.openxmlformats.org/officeDocument/2006/relationships/hyperlink" Target="https://www.thouars-communaute.fr/" TargetMode="External" Id="rId4023" /><Relationship Type="http://schemas.openxmlformats.org/officeDocument/2006/relationships/hyperlink" Target="https://www.thouars-communaute.fr/" TargetMode="External" Id="rId4024" /><Relationship Type="http://schemas.openxmlformats.org/officeDocument/2006/relationships/hyperlink" Target="https://lannuaire.service-public.gouv.fr/nouvelle-aquitaine/deux-sevres/1b39bc84-44d3-4215-bed9-d058bcdf6e95" TargetMode="External" Id="rId4025" /><Relationship Type="http://schemas.openxmlformats.org/officeDocument/2006/relationships/hyperlink" Target="mailto:maire-amiens@amiens-metropole.com" TargetMode="External" Id="rId4026" /><Relationship Type="http://schemas.openxmlformats.org/officeDocument/2006/relationships/hyperlink" Target="https://www.amiens.fr/" TargetMode="External" Id="rId4027" /><Relationship Type="http://schemas.openxmlformats.org/officeDocument/2006/relationships/hyperlink" Target="https://lannuaire.service-public.gouv.fr/hauts-de-france/somme/efc23c87-0dcf-4537-a78a-5a3185a7eea2" TargetMode="External" Id="rId4028" /><Relationship Type="http://schemas.openxmlformats.org/officeDocument/2006/relationships/hyperlink" Target="mailto:contact@ca-baiedesomme.fr" TargetMode="External" Id="rId4029" /><Relationship Type="http://schemas.openxmlformats.org/officeDocument/2006/relationships/hyperlink" Target="http://www.baiedesommeagglo.fr" TargetMode="External" Id="rId4030" /><Relationship Type="http://schemas.openxmlformats.org/officeDocument/2006/relationships/hyperlink" Target="https://www.baiedesommeagglo.fr/contact/" TargetMode="External" Id="rId4031" /><Relationship Type="http://schemas.openxmlformats.org/officeDocument/2006/relationships/hyperlink" Target="https://lannuaire.service-public.gouv.fr/hauts-de-france/somme/1a93978f-bc9f-46ea-83db-329bee5d1592" TargetMode="External" Id="rId4032" /><Relationship Type="http://schemas.openxmlformats.org/officeDocument/2006/relationships/hyperlink" Target="mailto:secretariat@avrelucenoye.fr" TargetMode="External" Id="rId4033" /><Relationship Type="http://schemas.openxmlformats.org/officeDocument/2006/relationships/hyperlink" Target="https://www.avrelucenoye.fr/" TargetMode="External" Id="rId4034" /><Relationship Type="http://schemas.openxmlformats.org/officeDocument/2006/relationships/hyperlink" Target="https://www.avrelucenoye.fr/nous-contacter/" TargetMode="External" Id="rId4035" /><Relationship Type="http://schemas.openxmlformats.org/officeDocument/2006/relationships/hyperlink" Target="https://lannuaire.service-public.gouv.fr/hauts-de-france/somme/d879e2e7-b66e-4f89-b344-6a4165242703" TargetMode="External" Id="rId4036" /><Relationship Type="http://schemas.openxmlformats.org/officeDocument/2006/relationships/hyperlink" Target="mailto:contact@nievresomme.fr" TargetMode="External" Id="rId4037" /><Relationship Type="http://schemas.openxmlformats.org/officeDocument/2006/relationships/hyperlink" Target="https://www.nievresomme.fr/" TargetMode="External" Id="rId4038" /><Relationship Type="http://schemas.openxmlformats.org/officeDocument/2006/relationships/hyperlink" Target="https://www.nievresomme.fr/contact/contact.html" TargetMode="External" Id="rId4039" /><Relationship Type="http://schemas.openxmlformats.org/officeDocument/2006/relationships/hyperlink" Target="https://lannuaire.service-public.gouv.fr/hauts-de-france/somme/9ba2180b-165f-4c50-be40-7eb458be4b88" TargetMode="External" Id="rId4040" /><Relationship Type="http://schemas.openxmlformats.org/officeDocument/2006/relationships/hyperlink" Target="mailto:siege.rue@ponthieu-marquenterre.fr" TargetMode="External" Id="rId4041" /><Relationship Type="http://schemas.openxmlformats.org/officeDocument/2006/relationships/hyperlink" Target="https://www.ponthieu-marquenterre.fr/" TargetMode="External" Id="rId4042" /><Relationship Type="http://schemas.openxmlformats.org/officeDocument/2006/relationships/hyperlink" Target="https://lannuaire.service-public.gouv.fr/hauts-de-france/somme/74880fe7-ab6a-408d-b76f-8ab2d0069c5e" TargetMode="External" Id="rId4043" /><Relationship Type="http://schemas.openxmlformats.org/officeDocument/2006/relationships/hyperlink" Target="mailto:contact@cc2so.fr" TargetMode="External" Id="rId4044" /><Relationship Type="http://schemas.openxmlformats.org/officeDocument/2006/relationships/hyperlink" Target="https://www.cc2so.fr/" TargetMode="External" Id="rId4045" /><Relationship Type="http://schemas.openxmlformats.org/officeDocument/2006/relationships/hyperlink" Target="https://lannuaire.service-public.gouv.fr/hauts-de-france/somme/82ce2f8a-ea87-416e-b3b2-ddabbdc36c99" TargetMode="External" Id="rId4046" /><Relationship Type="http://schemas.openxmlformats.org/officeDocument/2006/relationships/hyperlink" Target="mailto:contact@terredepicardie.fr" TargetMode="External" Id="rId4047" /><Relationship Type="http://schemas.openxmlformats.org/officeDocument/2006/relationships/hyperlink" Target="https://terredepicardie.fr/" TargetMode="External" Id="rId4048" /><Relationship Type="http://schemas.openxmlformats.org/officeDocument/2006/relationships/hyperlink" Target="https://lannuaire.service-public.gouv.fr/hauts-de-france/somme/9ed19fdb-92b8-439e-a2fd-21b19a9f1573" TargetMode="External" Id="rId4049" /><Relationship Type="http://schemas.openxmlformats.org/officeDocument/2006/relationships/hyperlink" Target="mailto:cchs@cchs.fr" TargetMode="External" Id="rId4050" /><Relationship Type="http://schemas.openxmlformats.org/officeDocument/2006/relationships/hyperlink" Target="https://www.coeurhautesomme.fr/" TargetMode="External" Id="rId4051" /><Relationship Type="http://schemas.openxmlformats.org/officeDocument/2006/relationships/hyperlink" Target="https://www.coeurhautesomme.fr/communaute-de-communes/contact/" TargetMode="External" Id="rId4052" /><Relationship Type="http://schemas.openxmlformats.org/officeDocument/2006/relationships/hyperlink" Target="https://lannuaire.service-public.gouv.fr/hauts-de-france/somme/35fa7871-a479-48e6-9ba9-6253ea8e2f08" TargetMode="External" Id="rId4053" /><Relationship Type="http://schemas.openxmlformats.org/officeDocument/2006/relationships/hyperlink" Target="mailto:contact@grandroye.fr" TargetMode="External" Id="rId4054" /><Relationship Type="http://schemas.openxmlformats.org/officeDocument/2006/relationships/hyperlink" Target="https://www.grandroye.fr/" TargetMode="External" Id="rId4055" /><Relationship Type="http://schemas.openxmlformats.org/officeDocument/2006/relationships/hyperlink" Target="https://lannuaire.service-public.gouv.fr/hauts-de-france/somme/bc076ee1-b496-4076-a406-c73e76c9fd77" TargetMode="External" Id="rId4056" /><Relationship Type="http://schemas.openxmlformats.org/officeDocument/2006/relationships/hyperlink" Target="mailto:comdecom@paysducoquelicot.com" TargetMode="External" Id="rId4057" /><Relationship Type="http://schemas.openxmlformats.org/officeDocument/2006/relationships/hyperlink" Target="https://www.paysducoquelicot.com/" TargetMode="External" Id="rId4058" /><Relationship Type="http://schemas.openxmlformats.org/officeDocument/2006/relationships/hyperlink" Target="https://www.paysducoquelicot.com/contact" TargetMode="External" Id="rId4059" /><Relationship Type="http://schemas.openxmlformats.org/officeDocument/2006/relationships/hyperlink" Target="https://lannuaire.service-public.gouv.fr/hauts-de-france/somme/a6f0c180-e33a-4250-9b88-a8d6b6ac78a8" TargetMode="External" Id="rId4060" /><Relationship Type="http://schemas.openxmlformats.org/officeDocument/2006/relationships/hyperlink" Target="mailto:contact@cctnp.fr" TargetMode="External" Id="rId4061" /><Relationship Type="http://schemas.openxmlformats.org/officeDocument/2006/relationships/hyperlink" Target="https://www.cctnp.fr/" TargetMode="External" Id="rId4062" /><Relationship Type="http://schemas.openxmlformats.org/officeDocument/2006/relationships/hyperlink" Target="https://www.cctnp.fr/contact/" TargetMode="External" Id="rId4063" /><Relationship Type="http://schemas.openxmlformats.org/officeDocument/2006/relationships/hyperlink" Target="https://lannuaire.service-public.gouv.fr/hauts-de-france/somme/6e716b30-1dbc-4a04-9f74-f1d39879f9dc" TargetMode="External" Id="rId4064" /><Relationship Type="http://schemas.openxmlformats.org/officeDocument/2006/relationships/hyperlink" Target="mailto:comdecom@valdesomme.com" TargetMode="External" Id="rId4065" /><Relationship Type="http://schemas.openxmlformats.org/officeDocument/2006/relationships/hyperlink" Target="https://www.valdesomme.com/" TargetMode="External" Id="rId4066" /><Relationship Type="http://schemas.openxmlformats.org/officeDocument/2006/relationships/hyperlink" Target="https://lannuaire.service-public.gouv.fr/hauts-de-france/somme/05a77901-f128-4689-bd91-a4a8db957298" TargetMode="External" Id="rId4067" /><Relationship Type="http://schemas.openxmlformats.org/officeDocument/2006/relationships/hyperlink" Target="mailto:contact@cc-vimeu.fr" TargetMode="External" Id="rId4068" /><Relationship Type="http://schemas.openxmlformats.org/officeDocument/2006/relationships/hyperlink" Target="https://ccvimeu.fr/" TargetMode="External" Id="rId4069" /><Relationship Type="http://schemas.openxmlformats.org/officeDocument/2006/relationships/hyperlink" Target="https://ccvimeu.fr/" TargetMode="External" Id="rId4070" /><Relationship Type="http://schemas.openxmlformats.org/officeDocument/2006/relationships/hyperlink" Target="https://lannuaire.service-public.gouv.fr/hauts-de-france/somme/237dbc92-e853-4006-8e7e-15d528fcd7bb" TargetMode="External" Id="rId4071" /><Relationship Type="http://schemas.openxmlformats.org/officeDocument/2006/relationships/hyperlink" Target="mailto:accueil@gaillac-graulhet.fr" TargetMode="External" Id="rId4072" /><Relationship Type="http://schemas.openxmlformats.org/officeDocument/2006/relationships/hyperlink" Target="https://www.gaillac-graulhet.fr/" TargetMode="External" Id="rId4073" /><Relationship Type="http://schemas.openxmlformats.org/officeDocument/2006/relationships/hyperlink" Target="https://www.gaillac-graulhet.fr/contactez-nous/" TargetMode="External" Id="rId4074" /><Relationship Type="http://schemas.openxmlformats.org/officeDocument/2006/relationships/hyperlink" Target="https://lannuaire.service-public.gouv.fr/occitanie/tarn/4ee89124-76c9-4e53-9b46-84d8da2707e0" TargetMode="External" Id="rId4075" /><Relationship Type="http://schemas.openxmlformats.org/officeDocument/2006/relationships/hyperlink" Target="mailto:agglomeration@castres-mazamet.com" TargetMode="External" Id="rId4076" /><Relationship Type="http://schemas.openxmlformats.org/officeDocument/2006/relationships/hyperlink" Target="https://www.castres-mazamet.fr/" TargetMode="External" Id="rId4077" /><Relationship Type="http://schemas.openxmlformats.org/officeDocument/2006/relationships/hyperlink" Target="https://www.castres-mazamet.fr/contact" TargetMode="External" Id="rId4078" /><Relationship Type="http://schemas.openxmlformats.org/officeDocument/2006/relationships/hyperlink" Target="https://lannuaire.service-public.gouv.fr/occitanie/tarn/b20a4cf4-2920-4cb8-897a-ea66b4be388c" TargetMode="External" Id="rId4079" /><Relationship Type="http://schemas.openxmlformats.org/officeDocument/2006/relationships/hyperlink" Target="mailto:secretariat.general@grand-albigeois.fr" TargetMode="External" Id="rId4080" /><Relationship Type="http://schemas.openxmlformats.org/officeDocument/2006/relationships/hyperlink" Target="https://www.grand-albigeois.fr/" TargetMode="External" Id="rId4081" /><Relationship Type="http://schemas.openxmlformats.org/officeDocument/2006/relationships/hyperlink" Target="https://www.grand-albigeois.fr/nous-contacter/" TargetMode="External" Id="rId4082" /><Relationship Type="http://schemas.openxmlformats.org/officeDocument/2006/relationships/hyperlink" Target="https://lannuaire.service-public.gouv.fr/occitanie/tarn/9becab73-9a6f-48ac-bee7-69c4eebd080e" TargetMode="External" Id="rId4083" /><Relationship Type="http://schemas.openxmlformats.org/officeDocument/2006/relationships/hyperlink" Target="mailto:contact@3c-s.fr" TargetMode="External" Id="rId4084" /><Relationship Type="http://schemas.openxmlformats.org/officeDocument/2006/relationships/hyperlink" Target="https://www.carmausin-segala.fr/" TargetMode="External" Id="rId4085" /><Relationship Type="http://schemas.openxmlformats.org/officeDocument/2006/relationships/hyperlink" Target="https://www.carmausin-segala.fr/contact" TargetMode="External" Id="rId4086" /><Relationship Type="http://schemas.openxmlformats.org/officeDocument/2006/relationships/hyperlink" Target="https://lannuaire.service-public.gouv.fr/occitanie/tarn/a47c3a55-3f89-4cb9-9c9a-a500000d87c0" TargetMode="External" Id="rId4087" /><Relationship Type="http://schemas.openxmlformats.org/officeDocument/2006/relationships/hyperlink" Target="mailto:direction@centretarn.fr" TargetMode="External" Id="rId4088" /><Relationship Type="http://schemas.openxmlformats.org/officeDocument/2006/relationships/hyperlink" Target="https://www.centretarn.fr/" TargetMode="External" Id="rId4089" /><Relationship Type="http://schemas.openxmlformats.org/officeDocument/2006/relationships/hyperlink" Target="https://www.centretarn.fr/contact/" TargetMode="External" Id="rId4090" /><Relationship Type="http://schemas.openxmlformats.org/officeDocument/2006/relationships/hyperlink" Target="https://lannuaire.service-public.gouv.fr/occitanie/tarn/c64af365-273f-4ffe-bdfb-93b88e529d77" TargetMode="External" Id="rId4091" /><Relationship Type="http://schemas.openxmlformats.org/officeDocument/2006/relationships/hyperlink" Target="mailto:contact@ccsvp.fr" TargetMode="External" Id="rId4092" /><Relationship Type="http://schemas.openxmlformats.org/officeDocument/2006/relationships/hyperlink" Target="https://ccsvp.fr/" TargetMode="External" Id="rId4093" /><Relationship Type="http://schemas.openxmlformats.org/officeDocument/2006/relationships/hyperlink" Target="https://ccsvp.fr/" TargetMode="External" Id="rId4094" /><Relationship Type="http://schemas.openxmlformats.org/officeDocument/2006/relationships/hyperlink" Target="https://lannuaire.service-public.gouv.fr/occitanie/tarn/18ebe4f2-291b-4bfd-92c4-d0c8c051ac03" TargetMode="External" Id="rId4095" /><Relationship Type="http://schemas.openxmlformats.org/officeDocument/2006/relationships/hyperlink" Target="mailto:contact@cc-thoremontagnenoire.fr" TargetMode="External" Id="rId4096" /><Relationship Type="http://schemas.openxmlformats.org/officeDocument/2006/relationships/hyperlink" Target="https://www.cc-thoremontagnenoire.fr/" TargetMode="External" Id="rId4097" /><Relationship Type="http://schemas.openxmlformats.org/officeDocument/2006/relationships/hyperlink" Target="https://www.cc-thoremontagnenoire.fr/contact" TargetMode="External" Id="rId4098" /><Relationship Type="http://schemas.openxmlformats.org/officeDocument/2006/relationships/hyperlink" Target="https://lannuaire.service-public.gouv.fr/occitanie/tarn/edf18c54-2c68-4ffe-86f8-899ecae8219e" TargetMode="External" Id="rId4099" /><Relationship Type="http://schemas.openxmlformats.org/officeDocument/2006/relationships/hyperlink" Target="mailto:val-81@orange.fr" TargetMode="External" Id="rId4100" /><Relationship Type="http://schemas.openxmlformats.org/officeDocument/2006/relationships/hyperlink" Target="https://www.val81.fr/" TargetMode="External" Id="rId4101" /><Relationship Type="http://schemas.openxmlformats.org/officeDocument/2006/relationships/hyperlink" Target="https://lannuaire.service-public.gouv.fr/occitanie/tarn/e7306869-f4aa-42cf-b3eb-c4f9e629ef08" TargetMode="External" Id="rId4102" /><Relationship Type="http://schemas.openxmlformats.org/officeDocument/2006/relationships/hyperlink" Target="mailto:accueil@ccmav.fr" TargetMode="External" Id="rId4103" /><Relationship Type="http://schemas.openxmlformats.org/officeDocument/2006/relationships/hyperlink" Target="https://www.montsalban-villefranchois.fr/web/home/2-accueil.php" TargetMode="External" Id="rId4104" /><Relationship Type="http://schemas.openxmlformats.org/officeDocument/2006/relationships/hyperlink" Target="https://www.montsalban-villefranchois.fr/contact/" TargetMode="External" Id="rId4105" /><Relationship Type="http://schemas.openxmlformats.org/officeDocument/2006/relationships/hyperlink" Target="https://lannuaire.service-public.gouv.fr/occitanie/tarn/12338982-3296-4d16-814a-5a41830c8aa1" TargetMode="External" Id="rId4106" /><Relationship Type="http://schemas.openxmlformats.org/officeDocument/2006/relationships/hyperlink" Target="mailto:direction.4c@orange.fr" TargetMode="External" Id="rId4107" /><Relationship Type="http://schemas.openxmlformats.org/officeDocument/2006/relationships/hyperlink" Target="http://4c81.fr" TargetMode="External" Id="rId4108" /><Relationship Type="http://schemas.openxmlformats.org/officeDocument/2006/relationships/hyperlink" Target="https://4c81.fr/contacts-2/" TargetMode="External" Id="rId4109" /><Relationship Type="http://schemas.openxmlformats.org/officeDocument/2006/relationships/hyperlink" Target="https://lannuaire.service-public.gouv.fr/occitanie/tarn/51b5b010-0ec1-42a7-abf5-14b8e5a886b7" TargetMode="External" Id="rId4110" /><Relationship Type="http://schemas.openxmlformats.org/officeDocument/2006/relationships/hyperlink" Target="mailto:contact@cclpa.fr" TargetMode="External" Id="rId4111" /><Relationship Type="http://schemas.openxmlformats.org/officeDocument/2006/relationships/hyperlink" Target="https://www.cclpa.fr/" TargetMode="External" Id="rId4112" /><Relationship Type="http://schemas.openxmlformats.org/officeDocument/2006/relationships/hyperlink" Target="https://www.cclpa.fr/contact" TargetMode="External" Id="rId4113" /><Relationship Type="http://schemas.openxmlformats.org/officeDocument/2006/relationships/hyperlink" Target="https://lannuaire.service-public.gouv.fr/occitanie/tarn/d0c01337-c513-4386-8657-4a9db0eab643" TargetMode="External" Id="rId4114" /><Relationship Type="http://schemas.openxmlformats.org/officeDocument/2006/relationships/hyperlink" Target="mailto:contact@communautesoragout.fr" TargetMode="External" Id="rId4115" /><Relationship Type="http://schemas.openxmlformats.org/officeDocument/2006/relationships/hyperlink" Target="https://www.communautesoragout.fr/" TargetMode="External" Id="rId4116" /><Relationship Type="http://schemas.openxmlformats.org/officeDocument/2006/relationships/hyperlink" Target="https://www.communautesoragout.fr/contact" TargetMode="External" Id="rId4117" /><Relationship Type="http://schemas.openxmlformats.org/officeDocument/2006/relationships/hyperlink" Target="https://lannuaire.service-public.gouv.fr/occitanie/tarn/2279bbd2-37d8-4c4f-98dd-67211eb0de0e" TargetMode="External" Id="rId4118" /><Relationship Type="http://schemas.openxmlformats.org/officeDocument/2006/relationships/hyperlink" Target="mailto:accueil@cc-qrga.fr" TargetMode="External" Id="rId4119" /><Relationship Type="http://schemas.openxmlformats.org/officeDocument/2006/relationships/hyperlink" Target="https://cc-qrga.fr/" TargetMode="External" Id="rId4120" /><Relationship Type="http://schemas.openxmlformats.org/officeDocument/2006/relationships/hyperlink" Target="https://lannuaire.service-public.gouv.fr/occitanie/tarn-et-garonne/f2050ddc-1341-49d5-ba1d-eb8d1cff7e65" TargetMode="External" Id="rId4121" /><Relationship Type="http://schemas.openxmlformats.org/officeDocument/2006/relationships/hyperlink" Target="mailto:contact@ville-montauban.fr" TargetMode="External" Id="rId4122" /><Relationship Type="http://schemas.openxmlformats.org/officeDocument/2006/relationships/hyperlink" Target="https://www.montauban.com/" TargetMode="External" Id="rId4123" /><Relationship Type="http://schemas.openxmlformats.org/officeDocument/2006/relationships/hyperlink" Target="https://lannuaire.service-public.gouv.fr/occitanie/tarn-et-garonne/d7f6b316-ae1a-4251-a85c-f4e92c26386e" TargetMode="External" Id="rId4124" /><Relationship Type="http://schemas.openxmlformats.org/officeDocument/2006/relationships/hyperlink" Target="mailto:grandsudtarnetgaronne@grandsud82.fr" TargetMode="External" Id="rId4125" /><Relationship Type="http://schemas.openxmlformats.org/officeDocument/2006/relationships/hyperlink" Target="https://www.grandsud82.fr/" TargetMode="External" Id="rId4126" /><Relationship Type="http://schemas.openxmlformats.org/officeDocument/2006/relationships/hyperlink" Target="https://www.grandsud82.fr/contactez-nous/" TargetMode="External" Id="rId4127" /><Relationship Type="http://schemas.openxmlformats.org/officeDocument/2006/relationships/hyperlink" Target="https://lannuaire.service-public.gouv.fr/occitanie/tarn-et-garonne/825d3041-8bd2-4c69-9974-b8d95795102d" TargetMode="External" Id="rId4128" /><Relationship Type="http://schemas.openxmlformats.org/officeDocument/2006/relationships/hyperlink" Target="mailto:contact@quercyvertaveyron.fr" TargetMode="External" Id="rId4129" /><Relationship Type="http://schemas.openxmlformats.org/officeDocument/2006/relationships/hyperlink" Target="https://www.quercyvertaveyron.fr/" TargetMode="External" Id="rId4130" /><Relationship Type="http://schemas.openxmlformats.org/officeDocument/2006/relationships/hyperlink" Target="https://www.quercyvertaveyron.fr/nous-joindre/" TargetMode="External" Id="rId4131" /><Relationship Type="http://schemas.openxmlformats.org/officeDocument/2006/relationships/hyperlink" Target="https://lannuaire.service-public.gouv.fr/occitanie/tarn-et-garonne/58b9fe05-c8f2-4894-a8ab-82a985f751ca" TargetMode="External" Id="rId4132" /><Relationship Type="http://schemas.openxmlformats.org/officeDocument/2006/relationships/hyperlink" Target="mailto:accueil@terresdesconfluences.fr" TargetMode="External" Id="rId4133" /><Relationship Type="http://schemas.openxmlformats.org/officeDocument/2006/relationships/hyperlink" Target="https://www.terresdesconfluences.fr/" TargetMode="External" Id="rId4134" /><Relationship Type="http://schemas.openxmlformats.org/officeDocument/2006/relationships/hyperlink" Target="https://www.terresdesconfluences.fr/je-souhaite-contacter-la-communaute-de-communes" TargetMode="External" Id="rId4135" /><Relationship Type="http://schemas.openxmlformats.org/officeDocument/2006/relationships/hyperlink" Target="https://lannuaire.service-public.gouv.fr/occitanie/tarn-et-garonne/f07f515b-5913-4511-b67d-95cf22ebc3df" TargetMode="External" Id="rId4136" /><Relationship Type="http://schemas.openxmlformats.org/officeDocument/2006/relationships/hyperlink" Target="mailto:contact@cc-lomagne82.fr" TargetMode="External" Id="rId4137" /><Relationship Type="http://schemas.openxmlformats.org/officeDocument/2006/relationships/hyperlink" Target="https://cc82.malomagne.com/" TargetMode="External" Id="rId4138" /><Relationship Type="http://schemas.openxmlformats.org/officeDocument/2006/relationships/hyperlink" Target="https://cc82.malomagne.com/nous-contacter/" TargetMode="External" Id="rId4139" /><Relationship Type="http://schemas.openxmlformats.org/officeDocument/2006/relationships/hyperlink" Target="https://lannuaire.service-public.gouv.fr/occitanie/tarn-et-garonne/f2de9df2-f6eb-496f-9356-aa1c88a32b99" TargetMode="External" Id="rId4140" /><Relationship Type="http://schemas.openxmlformats.org/officeDocument/2006/relationships/hyperlink" Target="mailto:contact@cc-paysdelafrancaise.fr" TargetMode="External" Id="rId4141" /><Relationship Type="http://schemas.openxmlformats.org/officeDocument/2006/relationships/hyperlink" Target="https://www.paysdelafrancaise.fr/" TargetMode="External" Id="rId4142" /><Relationship Type="http://schemas.openxmlformats.org/officeDocument/2006/relationships/hyperlink" Target="https://www.paysdelafrancaise.fr/contact/" TargetMode="External" Id="rId4143" /><Relationship Type="http://schemas.openxmlformats.org/officeDocument/2006/relationships/hyperlink" Target="https://lannuaire.service-public.gouv.fr/occitanie/tarn-et-garonne/1e91bc15-c2c6-48f5-a605-d6b84fdef7c4" TargetMode="External" Id="rId4144" /><Relationship Type="http://schemas.openxmlformats.org/officeDocument/2006/relationships/hyperlink" Target="mailto:accueil@cdc-psq.fr" TargetMode="External" Id="rId4145" /><Relationship Type="http://schemas.openxmlformats.org/officeDocument/2006/relationships/hyperlink" Target="https://cdc-psq.fr/" TargetMode="External" Id="rId4146" /><Relationship Type="http://schemas.openxmlformats.org/officeDocument/2006/relationships/hyperlink" Target="https://lannuaire.service-public.gouv.fr/occitanie/tarn-et-garonne/4a9e5198-86f1-4dc2-bc0b-9b17d30fb4d5" TargetMode="External" Id="rId4147" /><Relationship Type="http://schemas.openxmlformats.org/officeDocument/2006/relationships/hyperlink" Target="mailto:communautedecommunes@quercycaussadais.fr" TargetMode="External" Id="rId4148" /><Relationship Type="http://schemas.openxmlformats.org/officeDocument/2006/relationships/hyperlink" Target="https://www.quercycaussadais.fr/" TargetMode="External" Id="rId4149" /><Relationship Type="http://schemas.openxmlformats.org/officeDocument/2006/relationships/hyperlink" Target="https://www.quercycaussadais.fr/contact" TargetMode="External" Id="rId4150" /><Relationship Type="http://schemas.openxmlformats.org/officeDocument/2006/relationships/hyperlink" Target="https://lannuaire.service-public.gouv.fr/occitanie/tarn-et-garonne/becc6e55-31e6-464a-99e2-7c16f9bcdb5c" TargetMode="External" Id="rId4151" /><Relationship Type="http://schemas.openxmlformats.org/officeDocument/2006/relationships/hyperlink" Target="mailto:accueil@dracenie.com" TargetMode="External" Id="rId4152" /><Relationship Type="http://schemas.openxmlformats.org/officeDocument/2006/relationships/hyperlink" Target="https://www.dracenie.com/" TargetMode="External" Id="rId4153" /><Relationship Type="http://schemas.openxmlformats.org/officeDocument/2006/relationships/hyperlink" Target="https://www.dracenie.com/contact" TargetMode="External" Id="rId4154" /><Relationship Type="http://schemas.openxmlformats.org/officeDocument/2006/relationships/hyperlink" Target="https://lannuaire.service-public.gouv.fr/provence-alpes-cote-d-azur/var/a61432f9-b1eb-47b7-9dea-6d9a3ecbd23b" TargetMode="External" Id="rId4155" /><Relationship Type="http://schemas.openxmlformats.org/officeDocument/2006/relationships/hyperlink" Target="mailto:contact@esterelcotedazur-agglo.fr" TargetMode="External" Id="rId4156" /><Relationship Type="http://schemas.openxmlformats.org/officeDocument/2006/relationships/hyperlink" Target="https://esterelcotedazur-agglo.fr/" TargetMode="External" Id="rId4157" /><Relationship Type="http://schemas.openxmlformats.org/officeDocument/2006/relationships/hyperlink" Target="https://esterelcotedazur-agglo.fr/contacter-un-service/" TargetMode="External" Id="rId4158" /><Relationship Type="http://schemas.openxmlformats.org/officeDocument/2006/relationships/hyperlink" Target="https://lannuaire.service-public.gouv.fr/provence-alpes-cote-d-azur/var/49c9d5d0-70d5-4392-9504-19e7319b964d" TargetMode="External" Id="rId4159" /><Relationship Type="http://schemas.openxmlformats.org/officeDocument/2006/relationships/hyperlink" Target="mailto:agglo@sudsaintebaume.fr" TargetMode="External" Id="rId4160" /><Relationship Type="http://schemas.openxmlformats.org/officeDocument/2006/relationships/hyperlink" Target="https://www.agglo-sudsaintebaume.fr" TargetMode="External" Id="rId4161" /><Relationship Type="http://schemas.openxmlformats.org/officeDocument/2006/relationships/hyperlink" Target="https://www.agglo-sudsaintebaume.fr/contact/" TargetMode="External" Id="rId4162" /><Relationship Type="http://schemas.openxmlformats.org/officeDocument/2006/relationships/hyperlink" Target="https://lannuaire.service-public.gouv.fr/provence-alpes-cote-d-azur/var/cf2954b7-c7bd-40b7-b96c-a0e9e6536e4f" TargetMode="External" Id="rId4163" /><Relationship Type="http://schemas.openxmlformats.org/officeDocument/2006/relationships/hyperlink" Target="mailto:contact@caprovenceverte.fr" TargetMode="External" Id="rId4164" /><Relationship Type="http://schemas.openxmlformats.org/officeDocument/2006/relationships/hyperlink" Target="https://www.caprovenceverte.fr/" TargetMode="External" Id="rId4165" /><Relationship Type="http://schemas.openxmlformats.org/officeDocument/2006/relationships/hyperlink" Target="https://www.caprovenceverte.fr/contact/" TargetMode="External" Id="rId4166" /><Relationship Type="http://schemas.openxmlformats.org/officeDocument/2006/relationships/hyperlink" Target="https://lannuaire.service-public.gouv.fr/provence-alpes-cote-d-azur/var/aee0f90d-f149-4f3a-971c-10644ebbb0e8" TargetMode="External" Id="rId4167" /><Relationship Type="http://schemas.openxmlformats.org/officeDocument/2006/relationships/hyperlink" Target="mailto:contact@coeurduvar.com" TargetMode="External" Id="rId4168" /><Relationship Type="http://schemas.openxmlformats.org/officeDocument/2006/relationships/hyperlink" Target="https://www.coeurduvar.com/" TargetMode="External" Id="rId4169" /><Relationship Type="http://schemas.openxmlformats.org/officeDocument/2006/relationships/hyperlink" Target="https://www.coeurduvar.com/contact-coeur-du-var" TargetMode="External" Id="rId4170" /><Relationship Type="http://schemas.openxmlformats.org/officeDocument/2006/relationships/hyperlink" Target="https://lannuaire.service-public.gouv.fr/provence-alpes-cote-d-azur/var/1a2598e0-a7eb-4dfc-b5e2-9c2a75388c5d" TargetMode="External" Id="rId4171" /><Relationship Type="http://schemas.openxmlformats.org/officeDocument/2006/relationships/hyperlink" Target="mailto:accueil@cclgv.fr" TargetMode="External" Id="rId4172" /><Relationship Type="http://schemas.openxmlformats.org/officeDocument/2006/relationships/hyperlink" Target="https://www.cc-lacsgorgesverdon.fr/" TargetMode="External" Id="rId4173" /><Relationship Type="http://schemas.openxmlformats.org/officeDocument/2006/relationships/hyperlink" Target="https://www.cc-lacsgorgesverdon.fr/contacts-comcom" TargetMode="External" Id="rId4174" /><Relationship Type="http://schemas.openxmlformats.org/officeDocument/2006/relationships/hyperlink" Target="https://lannuaire.service-public.gouv.fr/provence-alpes-cote-d-azur/var/3b9ce22d-f7bd-46d9-82d1-8b44c8d08e39" TargetMode="External" Id="rId4175" /><Relationship Type="http://schemas.openxmlformats.org/officeDocument/2006/relationships/hyperlink" Target="mailto:contact@ccmpm.fr" TargetMode="External" Id="rId4176" /><Relationship Type="http://schemas.openxmlformats.org/officeDocument/2006/relationships/hyperlink" Target="https://www.ccmpm.fr" TargetMode="External" Id="rId4177" /><Relationship Type="http://schemas.openxmlformats.org/officeDocument/2006/relationships/hyperlink" Target="https://www.ccmpm.fr/nous-contacter/" TargetMode="External" Id="rId4178" /><Relationship Type="http://schemas.openxmlformats.org/officeDocument/2006/relationships/hyperlink" Target="https://lannuaire.service-public.gouv.fr/provence-alpes-cote-d-azur/var/d973f8cf-4b8f-4080-9825-54728a6e9906" TargetMode="External" Id="rId4179" /><Relationship Type="http://schemas.openxmlformats.org/officeDocument/2006/relationships/hyperlink" Target="mailto:accueil@provenceverdon.fr" TargetMode="External" Id="rId4180" /><Relationship Type="http://schemas.openxmlformats.org/officeDocument/2006/relationships/hyperlink" Target="https://www.provenceverdon.fr/" TargetMode="External" Id="rId4181" /><Relationship Type="http://schemas.openxmlformats.org/officeDocument/2006/relationships/hyperlink" Target="https://www.provenceverdon.fr/" TargetMode="External" Id="rId4182" /><Relationship Type="http://schemas.openxmlformats.org/officeDocument/2006/relationships/hyperlink" Target="https://lannuaire.service-public.gouv.fr/provence-alpes-cote-d-azur/var/710fc744-033b-48b6-be87-9a4a4b14ff16" TargetMode="External" Id="rId4183" /><Relationship Type="http://schemas.openxmlformats.org/officeDocument/2006/relationships/hyperlink" Target="mailto:info@ccvg.fr" TargetMode="External" Id="rId4184" /><Relationship Type="http://schemas.openxmlformats.org/officeDocument/2006/relationships/hyperlink" Target="https://www.ccvg.fr/" TargetMode="External" Id="rId4185" /><Relationship Type="http://schemas.openxmlformats.org/officeDocument/2006/relationships/hyperlink" Target="https://www.ccvg.fr/nous-contacter-5/" TargetMode="External" Id="rId4186" /><Relationship Type="http://schemas.openxmlformats.org/officeDocument/2006/relationships/hyperlink" Target="https://lannuaire.service-public.gouv.fr/provence-alpes-cote-d-azur/var/52737038-0552-47c0-9049-16f23b02b480" TargetMode="External" Id="rId4187" /><Relationship Type="http://schemas.openxmlformats.org/officeDocument/2006/relationships/hyperlink" Target="mailto:contact@cc-golfedesainttropez.fr" TargetMode="External" Id="rId4188" /><Relationship Type="http://schemas.openxmlformats.org/officeDocument/2006/relationships/hyperlink" Target="https://www.golfe-sainttropez.fr/" TargetMode="External" Id="rId4189" /><Relationship Type="http://schemas.openxmlformats.org/officeDocument/2006/relationships/hyperlink" Target="https://www.golfe-sainttropez.fr/nous-contacter/" TargetMode="External" Id="rId4190" /><Relationship Type="http://schemas.openxmlformats.org/officeDocument/2006/relationships/hyperlink" Target="https://lannuaire.service-public.gouv.fr/provence-alpes-cote-d-azur/var/74476cb5-2f20-4385-801b-631666f6c426" TargetMode="External" Id="rId4191" /><Relationship Type="http://schemas.openxmlformats.org/officeDocument/2006/relationships/hyperlink" Target="mailto:contact@cc-paysdefayence.fr" TargetMode="External" Id="rId4192" /><Relationship Type="http://schemas.openxmlformats.org/officeDocument/2006/relationships/hyperlink" Target="https://www.cc-paysdefayence.fr/" TargetMode="External" Id="rId4193" /><Relationship Type="http://schemas.openxmlformats.org/officeDocument/2006/relationships/hyperlink" Target="https://lannuaire.service-public.gouv.fr/provence-alpes-cote-d-azur/var/2e5a0294-cc2c-469a-91d7-5eabf73966d8" TargetMode="External" Id="rId4194" /><Relationship Type="http://schemas.openxmlformats.org/officeDocument/2006/relationships/hyperlink" Target="mailto:contact@metropoletpm.fr" TargetMode="External" Id="rId4195" /><Relationship Type="http://schemas.openxmlformats.org/officeDocument/2006/relationships/hyperlink" Target="https://metropoletpm.fr/" TargetMode="External" Id="rId4196" /><Relationship Type="http://schemas.openxmlformats.org/officeDocument/2006/relationships/hyperlink" Target="https://lannuaire.service-public.gouv.fr/provence-alpes-cote-d-azur/var/dfdbc330-f97a-4922-92b8-68dfab3ddcdd" TargetMode="External" Id="rId4197" /><Relationship Type="http://schemas.openxmlformats.org/officeDocument/2006/relationships/hyperlink" Target="mailto:accueil@c-lmv.fr" TargetMode="External" Id="rId4198" /><Relationship Type="http://schemas.openxmlformats.org/officeDocument/2006/relationships/hyperlink" Target="https://www.luberonmontsdevaucluse.fr/" TargetMode="External" Id="rId4199" /><Relationship Type="http://schemas.openxmlformats.org/officeDocument/2006/relationships/hyperlink" Target="https://www.luberonmontsdevaucluse.fr/contactez-nous/" TargetMode="External" Id="rId4200" /><Relationship Type="http://schemas.openxmlformats.org/officeDocument/2006/relationships/hyperlink" Target="https://lannuaire.service-public.gouv.fr/provence-alpes-cote-d-azur/vaucluse/6bf50d99-6688-40c4-99cd-a57024d23dcc" TargetMode="External" Id="rId4201" /><Relationship Type="http://schemas.openxmlformats.org/officeDocument/2006/relationships/hyperlink" Target="mailto:accueil-cove@lacove.fr" TargetMode="External" Id="rId4202" /><Relationship Type="http://schemas.openxmlformats.org/officeDocument/2006/relationships/hyperlink" Target="https://www.lacove.fr/accueil.html" TargetMode="External" Id="rId4203" /><Relationship Type="http://schemas.openxmlformats.org/officeDocument/2006/relationships/hyperlink" Target="https://www.lacove.fr/nous-contacter.html" TargetMode="External" Id="rId4204" /><Relationship Type="http://schemas.openxmlformats.org/officeDocument/2006/relationships/hyperlink" Target="https://lannuaire.service-public.gouv.fr/provence-alpes-cote-d-azur/vaucluse/9b14f873-e961-4f89-8911-9b6a07dc2ed3" TargetMode="External" Id="rId4205" /><Relationship Type="http://schemas.openxmlformats.org/officeDocument/2006/relationships/hyperlink" Target="mailto:accueil@sorguesducomtat.fr" TargetMode="External" Id="rId4206" /><Relationship Type="http://schemas.openxmlformats.org/officeDocument/2006/relationships/hyperlink" Target="https://sorguesducomtat.fr/fr/" TargetMode="External" Id="rId4207" /><Relationship Type="http://schemas.openxmlformats.org/officeDocument/2006/relationships/hyperlink" Target="https://lannuaire.service-public.gouv.fr/provence-alpes-cote-d-azur/vaucluse/ec01309b-1f8c-4aa2-af79-54cb21f195a5" TargetMode="External" Id="rId4208" /><Relationship Type="http://schemas.openxmlformats.org/officeDocument/2006/relationships/hyperlink" Target="mailto:accueil@ccayguesouveze.com" TargetMode="External" Id="rId4209" /><Relationship Type="http://schemas.openxmlformats.org/officeDocument/2006/relationships/hyperlink" Target="https://www.ccayguesouveze.com/" TargetMode="External" Id="rId4210" /><Relationship Type="http://schemas.openxmlformats.org/officeDocument/2006/relationships/hyperlink" Target="http://www.ccayguesouveze.com/contact/" TargetMode="External" Id="rId4211" /><Relationship Type="http://schemas.openxmlformats.org/officeDocument/2006/relationships/hyperlink" Target="https://lannuaire.service-public.gouv.fr/provence-alpes-cote-d-azur/vaucluse/a1980ee2-df14-4c61-adcb-25edfbaf7729" TargetMode="External" Id="rId4212" /><Relationship Type="http://schemas.openxmlformats.org/officeDocument/2006/relationships/hyperlink" Target="mailto:contact@ccpro.fr" TargetMode="External" Id="rId4213" /><Relationship Type="http://schemas.openxmlformats.org/officeDocument/2006/relationships/hyperlink" Target="https://www.ccpro.fr/" TargetMode="External" Id="rId4214" /><Relationship Type="http://schemas.openxmlformats.org/officeDocument/2006/relationships/hyperlink" Target="https://www.ccpro.fr/contact/" TargetMode="External" Id="rId4215" /><Relationship Type="http://schemas.openxmlformats.org/officeDocument/2006/relationships/hyperlink" Target="https://lannuaire.service-public.gouv.fr/provence-alpes-cote-d-azur/vaucluse/34610ba2-b32b-48ea-8d19-4aeadbfd28f7" TargetMode="External" Id="rId4216" /><Relationship Type="http://schemas.openxmlformats.org/officeDocument/2006/relationships/hyperlink" Target="mailto:accueil@ccrlp.fr" TargetMode="External" Id="rId4217" /><Relationship Type="http://schemas.openxmlformats.org/officeDocument/2006/relationships/hyperlink" Target="http://www.ccrlp.fr" TargetMode="External" Id="rId4218" /><Relationship Type="http://schemas.openxmlformats.org/officeDocument/2006/relationships/hyperlink" Target="https://lannuaire.service-public.gouv.fr/provence-alpes-cote-d-azur/vaucluse/053e0e63-ded0-4b06-acef-11502193b3c8" TargetMode="External" Id="rId4219" /><Relationship Type="http://schemas.openxmlformats.org/officeDocument/2006/relationships/hyperlink" Target="mailto:accueil@cotelub.fr" TargetMode="External" Id="rId4220" /><Relationship Type="http://schemas.openxmlformats.org/officeDocument/2006/relationships/hyperlink" Target="https://www.cotelub.fr/" TargetMode="External" Id="rId4221" /><Relationship Type="http://schemas.openxmlformats.org/officeDocument/2006/relationships/hyperlink" Target="https://lannuaire.service-public.gouv.fr/provence-alpes-cote-d-azur/vaucluse/13a8c8e5-a3c5-4615-a462-c31309015044" TargetMode="External" Id="rId4222" /><Relationship Type="http://schemas.openxmlformats.org/officeDocument/2006/relationships/hyperlink" Target="mailto:contact@ccpsmv.fr" TargetMode="External" Id="rId4223" /><Relationship Type="http://schemas.openxmlformats.org/officeDocument/2006/relationships/hyperlink" Target="https://www.paysdessorgues.fr/" TargetMode="External" Id="rId4224" /><Relationship Type="http://schemas.openxmlformats.org/officeDocument/2006/relationships/hyperlink" Target="https://www.paysdessorgues.fr/contact" TargetMode="External" Id="rId4225" /><Relationship Type="http://schemas.openxmlformats.org/officeDocument/2006/relationships/hyperlink" Target="https://lannuaire.service-public.gouv.fr/provence-alpes-cote-d-azur/vaucluse/2a02fb0d-054e-4c80-86b3-4befc91dbbcd" TargetMode="External" Id="rId4226" /><Relationship Type="http://schemas.openxmlformats.org/officeDocument/2006/relationships/hyperlink" Target="mailto:accueil@larochesuryon.fr" TargetMode="External" Id="rId4227" /><Relationship Type="http://schemas.openxmlformats.org/officeDocument/2006/relationships/hyperlink" Target="https://www.larochesuryon.fr/" TargetMode="External" Id="rId4228" /><Relationship Type="http://schemas.openxmlformats.org/officeDocument/2006/relationships/hyperlink" Target="https://www.espace-citoyens.net/larochesuryon/espace-citoyens/Demande/NouvelleDemande/COURRIER/CONTACT" TargetMode="External" Id="rId4229" /><Relationship Type="http://schemas.openxmlformats.org/officeDocument/2006/relationships/hyperlink" Target="https://lannuaire.service-public.gouv.fr/pays-de-la-loire/vendee/b126aee6-75e9-496b-abc8-84b0360de7ce" TargetMode="External" Id="rId4230" /><Relationship Type="http://schemas.openxmlformats.org/officeDocument/2006/relationships/hyperlink" Target="mailto:info@lsoagglo.fr" TargetMode="External" Id="rId4231" /><Relationship Type="http://schemas.openxmlformats.org/officeDocument/2006/relationships/hyperlink" Target="https://www.lsoagglo.fr/" TargetMode="External" Id="rId4232" /><Relationship Type="http://schemas.openxmlformats.org/officeDocument/2006/relationships/hyperlink" Target="https://lannuaire.service-public.gouv.fr/pays-de-la-loire/vendee/1c285ec2-4db7-42c1-9f0d-c05fb8b820a1" TargetMode="External" Id="rId4233" /><Relationship Type="http://schemas.openxmlformats.org/officeDocument/2006/relationships/hyperlink" Target="mailto:contact@terresdemontaigu.fr" TargetMode="External" Id="rId4234" /><Relationship Type="http://schemas.openxmlformats.org/officeDocument/2006/relationships/hyperlink" Target="https://www.terresdemontaigu.fr/" TargetMode="External" Id="rId4235" /><Relationship Type="http://schemas.openxmlformats.org/officeDocument/2006/relationships/hyperlink" Target="https://www.terresdemontaigu.fr/contact/" TargetMode="External" Id="rId4236" /><Relationship Type="http://schemas.openxmlformats.org/officeDocument/2006/relationships/hyperlink" Target="https://lannuaire.service-public.gouv.fr/pays-de-la-loire/vendee/596ed788-401e-46f2-a5c7-5ba4eebc3a35" TargetMode="External" Id="rId4237" /><Relationship Type="http://schemas.openxmlformats.org/officeDocument/2006/relationships/hyperlink" Target="mailto:accueil@payssaintgilles.fr" TargetMode="External" Id="rId4238" /><Relationship Type="http://schemas.openxmlformats.org/officeDocument/2006/relationships/hyperlink" Target="https://payssaintgilles.fr/" TargetMode="External" Id="rId4239" /><Relationship Type="http://schemas.openxmlformats.org/officeDocument/2006/relationships/hyperlink" Target="https://payssaintgilles.fr/contact/" TargetMode="External" Id="rId4240" /><Relationship Type="http://schemas.openxmlformats.org/officeDocument/2006/relationships/hyperlink" Target="https://lannuaire.service-public.gouv.fr/pays-de-la-loire/vendee/49fab78b-d1fd-48d8-8eca-892455177b28" TargetMode="External" Id="rId4241" /><Relationship Type="http://schemas.openxmlformats.org/officeDocument/2006/relationships/hyperlink" Target="mailto:contact@challansgois.fr" TargetMode="External" Id="rId4242" /><Relationship Type="http://schemas.openxmlformats.org/officeDocument/2006/relationships/hyperlink" Target="https://www.challansgois.fr/" TargetMode="External" Id="rId4243" /><Relationship Type="http://schemas.openxmlformats.org/officeDocument/2006/relationships/hyperlink" Target="https://www.challansgois.fr/nous-contacter" TargetMode="External" Id="rId4244" /><Relationship Type="http://schemas.openxmlformats.org/officeDocument/2006/relationships/hyperlink" Target="https://lannuaire.service-public.gouv.fr/pays-de-la-loire/vendee/bdc2de03-7b2f-4cb1-ab00-c2356343de15" TargetMode="External" Id="rId4245" /><Relationship Type="http://schemas.openxmlformats.org/officeDocument/2006/relationships/hyperlink" Target="mailto:accueil@omdm.fr" TargetMode="External" Id="rId4246" /><Relationship Type="http://schemas.openxmlformats.org/officeDocument/2006/relationships/hyperlink" Target="https://www.oceanmaraisdemonts.fr/" TargetMode="External" Id="rId4247" /><Relationship Type="http://schemas.openxmlformats.org/officeDocument/2006/relationships/hyperlink" Target="https://lannuaire.service-public.gouv.fr/pays-de-la-loire/vendee/42d6ad23-333e-404e-9131-79507109580b" TargetMode="External" Id="rId4248" /><Relationship Type="http://schemas.openxmlformats.org/officeDocument/2006/relationships/hyperlink" Target="mailto:contact@cc-paysdechantonnay.fr" TargetMode="External" Id="rId4249" /><Relationship Type="http://schemas.openxmlformats.org/officeDocument/2006/relationships/hyperlink" Target="https://www.paysdechantonnay.fr/" TargetMode="External" Id="rId4250" /><Relationship Type="http://schemas.openxmlformats.org/officeDocument/2006/relationships/hyperlink" Target="https://www.paysdechantonnay.fr/nous-contacter/" TargetMode="External" Id="rId4251" /><Relationship Type="http://schemas.openxmlformats.org/officeDocument/2006/relationships/hyperlink" Target="https://lannuaire.service-public.gouv.fr/pays-de-la-loire/vendee/361f7789-9b70-4275-b61b-e90224c7d9a9" TargetMode="External" Id="rId4252" /><Relationship Type="http://schemas.openxmlformats.org/officeDocument/2006/relationships/hyperlink" Target="mailto:accueil@sudvendeelittoral.fr" TargetMode="External" Id="rId4253" /><Relationship Type="http://schemas.openxmlformats.org/officeDocument/2006/relationships/hyperlink" Target="https://www.cc-sudvendeelittoral.fr/" TargetMode="External" Id="rId4254" /><Relationship Type="http://schemas.openxmlformats.org/officeDocument/2006/relationships/hyperlink" Target="https://www.cc-sudvendeelittoral.fr/systeme/nous-contacter/" TargetMode="External" Id="rId4255" /><Relationship Type="http://schemas.openxmlformats.org/officeDocument/2006/relationships/hyperlink" Target="https://lannuaire.service-public.gouv.fr/pays-de-la-loire/vendee/2eaf4b87-e89b-47ff-bf02-b38799a7fd22" TargetMode="External" Id="rId4256" /><Relationship Type="http://schemas.openxmlformats.org/officeDocument/2006/relationships/hyperlink" Target="mailto:contact@vendeegrandlittoral.fr" TargetMode="External" Id="rId4257" /><Relationship Type="http://schemas.openxmlformats.org/officeDocument/2006/relationships/hyperlink" Target="https://www.vendeegrandlittoral.fr/" TargetMode="External" Id="rId4258" /><Relationship Type="http://schemas.openxmlformats.org/officeDocument/2006/relationships/hyperlink" Target="https://www.vendeegrandlittoral.fr/systeme/contact/" TargetMode="External" Id="rId4259" /><Relationship Type="http://schemas.openxmlformats.org/officeDocument/2006/relationships/hyperlink" Target="https://lannuaire.service-public.gouv.fr/pays-de-la-loire/vendee/14f6b5e5-af7e-416a-8422-953a99d13d74" TargetMode="External" Id="rId4260" /><Relationship Type="http://schemas.openxmlformats.org/officeDocument/2006/relationships/hyperlink" Target="mailto:secretariat@cc-vsa.com" TargetMode="External" Id="rId4261" /><Relationship Type="http://schemas.openxmlformats.org/officeDocument/2006/relationships/hyperlink" Target="https://www.cc-vsa.com/" TargetMode="External" Id="rId4262" /><Relationship Type="http://schemas.openxmlformats.org/officeDocument/2006/relationships/hyperlink" Target="https://www.cc-vsa.com/systeme/nous-contacter/" TargetMode="External" Id="rId4263" /><Relationship Type="http://schemas.openxmlformats.org/officeDocument/2006/relationships/hyperlink" Target="https://lannuaire.service-public.gouv.fr/pays-de-la-loire/vendee/dc455848-f4fd-4c8e-a112-a787b8e4d933" TargetMode="External" Id="rId4264" /><Relationship Type="http://schemas.openxmlformats.org/officeDocument/2006/relationships/hyperlink" Target="mailto:accueil@vieetboulogne.fr" TargetMode="External" Id="rId4265" /><Relationship Type="http://schemas.openxmlformats.org/officeDocument/2006/relationships/hyperlink" Target="https://www.vie-et-boulogne.fr/" TargetMode="External" Id="rId4266" /><Relationship Type="http://schemas.openxmlformats.org/officeDocument/2006/relationships/hyperlink" Target="https://www.vie-et-boulogne.fr/nous-contacter/" TargetMode="External" Id="rId4267" /><Relationship Type="http://schemas.openxmlformats.org/officeDocument/2006/relationships/hyperlink" Target="https://lannuaire.service-public.gouv.fr/pays-de-la-loire/vendee/87d14a9d-ef21-48fe-aea6-0f1d0c3c0a4b" TargetMode="External" Id="rId4268" /><Relationship Type="http://schemas.openxmlformats.org/officeDocument/2006/relationships/hyperlink" Target="mailto:contact@iledenoirmoutier.org" TargetMode="External" Id="rId4269" /><Relationship Type="http://schemas.openxmlformats.org/officeDocument/2006/relationships/hyperlink" Target="https://www.cdc-iledenoirmoutier.com/" TargetMode="External" Id="rId4270" /><Relationship Type="http://schemas.openxmlformats.org/officeDocument/2006/relationships/hyperlink" Target="https://www.cdc-iledenoirmoutier.com/contact" TargetMode="External" Id="rId4271" /><Relationship Type="http://schemas.openxmlformats.org/officeDocument/2006/relationships/hyperlink" Target="https://lannuaire.service-public.gouv.fr/pays-de-la-loire/vendee/2fbb7f30-dc40-41b7-86a4-40b86b77c3bc" TargetMode="External" Id="rId4272" /><Relationship Type="http://schemas.openxmlformats.org/officeDocument/2006/relationships/hyperlink" Target="mailto:accueil@fontenayvendee.fr" TargetMode="External" Id="rId4273" /><Relationship Type="http://schemas.openxmlformats.org/officeDocument/2006/relationships/hyperlink" Target="https://www.fontenayvendee.fr/" TargetMode="External" Id="rId4274" /><Relationship Type="http://schemas.openxmlformats.org/officeDocument/2006/relationships/hyperlink" Target="https://www.fontenayvendee.fr/systeme/contact/" TargetMode="External" Id="rId4275" /><Relationship Type="http://schemas.openxmlformats.org/officeDocument/2006/relationships/hyperlink" Target="https://lannuaire.service-public.gouv.fr/pays-de-la-loire/vendee/257faded-4aa6-4f0f-bf13-43f968b836ce" TargetMode="External" Id="rId4276" /><Relationship Type="http://schemas.openxmlformats.org/officeDocument/2006/relationships/hyperlink" Target="mailto:contact@paysdemortagne.fr" TargetMode="External" Id="rId4277" /><Relationship Type="http://schemas.openxmlformats.org/officeDocument/2006/relationships/hyperlink" Target="https://www.paysdemortagne.fr/" TargetMode="External" Id="rId4278" /><Relationship Type="http://schemas.openxmlformats.org/officeDocument/2006/relationships/hyperlink" Target="https://www.paysdemortagne.fr/contact/" TargetMode="External" Id="rId4279" /><Relationship Type="http://schemas.openxmlformats.org/officeDocument/2006/relationships/hyperlink" Target="https://lannuaire.service-public.gouv.fr/pays-de-la-loire/vendee/99baa63c-66bd-4d0e-8cee-13baa4190695" TargetMode="External" Id="rId4280" /><Relationship Type="http://schemas.openxmlformats.org/officeDocument/2006/relationships/hyperlink" Target="mailto:contact@paysdepouzauges.fr" TargetMode="External" Id="rId4281" /><Relationship Type="http://schemas.openxmlformats.org/officeDocument/2006/relationships/hyperlink" Target="https://www.paysdepouzauges.fr/" TargetMode="External" Id="rId4282" /><Relationship Type="http://schemas.openxmlformats.org/officeDocument/2006/relationships/hyperlink" Target="https://www.paysdepouzauges.fr/la-communaute-de-communes/contact/" TargetMode="External" Id="rId4283" /><Relationship Type="http://schemas.openxmlformats.org/officeDocument/2006/relationships/hyperlink" Target="https://lannuaire.service-public.gouv.fr/pays-de-la-loire/vendee/e9324c54-9917-4b03-896c-4f609e16b807" TargetMode="External" Id="rId4284" /><Relationship Type="http://schemas.openxmlformats.org/officeDocument/2006/relationships/hyperlink" Target="mailto:contact@paysfulgentessarts.fr" TargetMode="External" Id="rId4285" /><Relationship Type="http://schemas.openxmlformats.org/officeDocument/2006/relationships/hyperlink" Target="https://www.paysfulgentessarts.fr/" TargetMode="External" Id="rId4286" /><Relationship Type="http://schemas.openxmlformats.org/officeDocument/2006/relationships/hyperlink" Target="https://www.paysfulgentessarts.fr/Contact" TargetMode="External" Id="rId4287" /><Relationship Type="http://schemas.openxmlformats.org/officeDocument/2006/relationships/hyperlink" Target="https://lannuaire.service-public.gouv.fr/pays-de-la-loire/vendee/99ebc9bd-ff35-4d8f-8f68-3c4c4e7a491b" TargetMode="External" Id="rId4288" /><Relationship Type="http://schemas.openxmlformats.org/officeDocument/2006/relationships/hyperlink" Target="mailto:info@ccplc.fr" TargetMode="External" Id="rId4289" /><Relationship Type="http://schemas.openxmlformats.org/officeDocument/2006/relationships/hyperlink" Target="https://www.pays-chataigneraie.fr/" TargetMode="External" Id="rId4290" /><Relationship Type="http://schemas.openxmlformats.org/officeDocument/2006/relationships/hyperlink" Target="https://www.pays-chataigneraie.fr/systeme/contact/" TargetMode="External" Id="rId4291" /><Relationship Type="http://schemas.openxmlformats.org/officeDocument/2006/relationships/hyperlink" Target="https://lannuaire.service-public.gouv.fr/pays-de-la-loire/vendee/7cc2a93e-e9e1-4900-ab8c-ad55eed890fa" TargetMode="External" Id="rId4292" /><Relationship Type="http://schemas.openxmlformats.org/officeDocument/2006/relationships/hyperlink" Target="mailto:contact@cc-paysdesachards.fr" TargetMode="External" Id="rId4293" /><Relationship Type="http://schemas.openxmlformats.org/officeDocument/2006/relationships/hyperlink" Target="https://www.cc-paysdesachards.fr/" TargetMode="External" Id="rId4294" /><Relationship Type="http://schemas.openxmlformats.org/officeDocument/2006/relationships/hyperlink" Target="https://www.cc-paysdesachards.fr/contact/" TargetMode="External" Id="rId4295" /><Relationship Type="http://schemas.openxmlformats.org/officeDocument/2006/relationships/hyperlink" Target="https://lannuaire.service-public.gouv.fr/pays-de-la-loire/vendee/a539e3d3-f6fc-41fa-b974-d7b41ce320d9" TargetMode="External" Id="rId4296" /><Relationship Type="http://schemas.openxmlformats.org/officeDocument/2006/relationships/hyperlink" Target="mailto:info@paysdesherbiers.fr" TargetMode="External" Id="rId4297" /><Relationship Type="http://schemas.openxmlformats.org/officeDocument/2006/relationships/hyperlink" Target="https://www.paysdesherbiers.fr/" TargetMode="External" Id="rId4298" /><Relationship Type="http://schemas.openxmlformats.org/officeDocument/2006/relationships/hyperlink" Target="https://www.paysdesherbiers.fr/systeme/nous-contacter/" TargetMode="External" Id="rId4299" /><Relationship Type="http://schemas.openxmlformats.org/officeDocument/2006/relationships/hyperlink" Target="https://lannuaire.service-public.gouv.fr/pays-de-la-loire/vendee/ee8f58f5-5ed3-4bcb-aee0-0531c1c7f7bb" TargetMode="External" Id="rId4300" /><Relationship Type="http://schemas.openxmlformats.org/officeDocument/2006/relationships/hyperlink" Target="mailto:communication@grand-chatellerault.fr" TargetMode="External" Id="rId4301" /><Relationship Type="http://schemas.openxmlformats.org/officeDocument/2006/relationships/hyperlink" Target="https://www.grand-chatellerault.fr" TargetMode="External" Id="rId4302" /><Relationship Type="http://schemas.openxmlformats.org/officeDocument/2006/relationships/hyperlink" Target="https://lannuaire.service-public.gouv.fr/nouvelle-aquitaine/vienne/c585cbd5-65a3-41a5-b1c6-303320e6a532" TargetMode="External" Id="rId4303" /><Relationship Type="http://schemas.openxmlformats.org/officeDocument/2006/relationships/hyperlink" Target="mailto:contact@ccvg86.fr" TargetMode="External" Id="rId4304" /><Relationship Type="http://schemas.openxmlformats.org/officeDocument/2006/relationships/hyperlink" Target="https://www.vienneetgartempe.fr/" TargetMode="External" Id="rId4305" /><Relationship Type="http://schemas.openxmlformats.org/officeDocument/2006/relationships/hyperlink" Target="https://www.vienneetgartempe.fr/contact/" TargetMode="External" Id="rId4306" /><Relationship Type="http://schemas.openxmlformats.org/officeDocument/2006/relationships/hyperlink" Target="https://lannuaire.service-public.gouv.fr/nouvelle-aquitaine/vienne/bca388d4-3e7f-406f-b88a-86cdf2f78ca1" TargetMode="External" Id="rId4307" /><Relationship Type="http://schemas.openxmlformats.org/officeDocument/2006/relationships/hyperlink" Target="mailto:accueil@valleesduclain.fr" TargetMode="External" Id="rId4308" /><Relationship Type="http://schemas.openxmlformats.org/officeDocument/2006/relationships/hyperlink" Target="https://www.valleesduclain.fr/" TargetMode="External" Id="rId4309" /><Relationship Type="http://schemas.openxmlformats.org/officeDocument/2006/relationships/hyperlink" Target="https://lannuaire.service-public.gouv.fr/nouvelle-aquitaine/vienne/14417d18-1921-4644-b0a4-513b6e4140cc" TargetMode="External" Id="rId4310" /><Relationship Type="http://schemas.openxmlformats.org/officeDocument/2006/relationships/hyperlink" Target="mailto:contact@civraisienpoitou.fr" TargetMode="External" Id="rId4311" /><Relationship Type="http://schemas.openxmlformats.org/officeDocument/2006/relationships/hyperlink" Target="https://www.civraisienpoitou.fr/" TargetMode="External" Id="rId4312" /><Relationship Type="http://schemas.openxmlformats.org/officeDocument/2006/relationships/hyperlink" Target="https://www.civraisienpoitou.fr/contact" TargetMode="External" Id="rId4313" /><Relationship Type="http://schemas.openxmlformats.org/officeDocument/2006/relationships/hyperlink" Target="https://lannuaire.service-public.gouv.fr/nouvelle-aquitaine/vienne/509efa56-4fd7-47b2-b750-aff09858c34c" TargetMode="External" Id="rId4314" /><Relationship Type="http://schemas.openxmlformats.org/officeDocument/2006/relationships/hyperlink" Target="mailto:contact@cc-hautpoitou.fr" TargetMode="External" Id="rId4315" /><Relationship Type="http://schemas.openxmlformats.org/officeDocument/2006/relationships/hyperlink" Target="https://cc-hautpoitou.fr/" TargetMode="External" Id="rId4316" /><Relationship Type="http://schemas.openxmlformats.org/officeDocument/2006/relationships/hyperlink" Target="https://lannuaire.service-public.gouv.fr/nouvelle-aquitaine/vienne/4978a8ed-23cb-4375-81c6-99ceb4d3340e" TargetMode="External" Id="rId4317" /><Relationship Type="http://schemas.openxmlformats.org/officeDocument/2006/relationships/hyperlink" Target="mailto:contact@pays-loudunais.fr" TargetMode="External" Id="rId4318" /><Relationship Type="http://schemas.openxmlformats.org/officeDocument/2006/relationships/hyperlink" Target="https://www.pays-loudunais.fr/" TargetMode="External" Id="rId4319" /><Relationship Type="http://schemas.openxmlformats.org/officeDocument/2006/relationships/hyperlink" Target="https://www.pays-loudunais.fr/contact/" TargetMode="External" Id="rId4320" /><Relationship Type="http://schemas.openxmlformats.org/officeDocument/2006/relationships/hyperlink" Target="https://lannuaire.service-public.gouv.fr/nouvelle-aquitaine/vienne/244e8e3a-921e-43a5-be30-c56e07e78c77" TargetMode="External" Id="rId4321" /><Relationship Type="http://schemas.openxmlformats.org/officeDocument/2006/relationships/hyperlink" Target="mailto:communication@grandpoitiers.fr" TargetMode="External" Id="rId4322" /><Relationship Type="http://schemas.openxmlformats.org/officeDocument/2006/relationships/hyperlink" Target="https://www.grandpoitiers.fr/" TargetMode="External" Id="rId4323" /><Relationship Type="http://schemas.openxmlformats.org/officeDocument/2006/relationships/hyperlink" Target="https://www.grandpoitiers.fr/informations-pratiques/contact" TargetMode="External" Id="rId4324" /><Relationship Type="http://schemas.openxmlformats.org/officeDocument/2006/relationships/hyperlink" Target="https://lannuaire.service-public.gouv.fr/nouvelle-aquitaine/vienne/24e7b7c8-6a27-474b-8542-42ee50759869" TargetMode="External" Id="rId4325" /><Relationship Type="http://schemas.openxmlformats.org/officeDocument/2006/relationships/hyperlink" Target="mailto:contact@briancesudhautevienne.fr" TargetMode="External" Id="rId4326" /><Relationship Type="http://schemas.openxmlformats.org/officeDocument/2006/relationships/hyperlink" Target="https://www.briancesudhautevienne.fr/" TargetMode="External" Id="rId4327" /><Relationship Type="http://schemas.openxmlformats.org/officeDocument/2006/relationships/hyperlink" Target="https://www.briancesudhautevienne.fr/Contact" TargetMode="External" Id="rId4328" /><Relationship Type="http://schemas.openxmlformats.org/officeDocument/2006/relationships/hyperlink" Target="https://lannuaire.service-public.gouv.fr/nouvelle-aquitaine/haute-vienne/537e8fe4-9c1d-42b2-bdb2-ce8d707cce0e" TargetMode="External" Id="rId4329" /><Relationship Type="http://schemas.openxmlformats.org/officeDocument/2006/relationships/hyperlink" Target="mailto:cdc@briancecombade.fr" TargetMode="External" Id="rId4330" /><Relationship Type="http://schemas.openxmlformats.org/officeDocument/2006/relationships/hyperlink" Target="https://briancecombade.fr/" TargetMode="External" Id="rId4331" /><Relationship Type="http://schemas.openxmlformats.org/officeDocument/2006/relationships/hyperlink" Target="https://briancecombade.fr/communication/contact" TargetMode="External" Id="rId4332" /><Relationship Type="http://schemas.openxmlformats.org/officeDocument/2006/relationships/hyperlink" Target="https://lannuaire.service-public.gouv.fr/nouvelle-aquitaine/haute-vienne/6ee93216-6b89-4801-afc9-f87939b46ad7" TargetMode="External" Id="rId4333" /><Relationship Type="http://schemas.openxmlformats.org/officeDocument/2006/relationships/hyperlink" Target="mailto:secretariat@gartempe-saint-pardoux.fr" TargetMode="External" Id="rId4334" /><Relationship Type="http://schemas.openxmlformats.org/officeDocument/2006/relationships/hyperlink" Target="https://gartempe-saint-pardoux.fr/fr/" TargetMode="External" Id="rId4335" /><Relationship Type="http://schemas.openxmlformats.org/officeDocument/2006/relationships/hyperlink" Target="https://gartempe-saint-pardoux.fr/fr/" TargetMode="External" Id="rId4336" /><Relationship Type="http://schemas.openxmlformats.org/officeDocument/2006/relationships/hyperlink" Target="https://lannuaire.service-public.gouv.fr/nouvelle-aquitaine/haute-vienne/b202371f-a2d9-4397-aae3-8dc43f4f3263" TargetMode="External" Id="rId4337" /><Relationship Type="http://schemas.openxmlformats.org/officeDocument/2006/relationships/hyperlink" Target="mailto:hautlimousinenmarche@cchlem.fr" TargetMode="External" Id="rId4338" /><Relationship Type="http://schemas.openxmlformats.org/officeDocument/2006/relationships/hyperlink" Target="https://hautlimousinenmarche.fr/" TargetMode="External" Id="rId4339" /><Relationship Type="http://schemas.openxmlformats.org/officeDocument/2006/relationships/hyperlink" Target="https://hautlimousinenmarche.fr/contact/" TargetMode="External" Id="rId4340" /><Relationship Type="http://schemas.openxmlformats.org/officeDocument/2006/relationships/hyperlink" Target="https://lannuaire.service-public.gouv.fr/nouvelle-aquitaine/haute-vienne/c4680509-caec-4784-ab65-6e5bc2d4118f" TargetMode="External" Id="rId4341" /><Relationship Type="http://schemas.openxmlformats.org/officeDocument/2006/relationships/hyperlink" Target="mailto:contact@ouestlimousin.com" TargetMode="External" Id="rId4342" /><Relationship Type="http://schemas.openxmlformats.org/officeDocument/2006/relationships/hyperlink" Target="https://www.ouestlimousin.com/" TargetMode="External" Id="rId4343" /><Relationship Type="http://schemas.openxmlformats.org/officeDocument/2006/relationships/hyperlink" Target="https://lannuaire.service-public.gouv.fr/nouvelle-aquitaine/haute-vienne/38aacb95-2c79-4290-a556-c3040ca3001d" TargetMode="External" Id="rId4344" /><Relationship Type="http://schemas.openxmlformats.org/officeDocument/2006/relationships/hyperlink" Target="mailto:accueil@paysdenexon-montsdechalus.fr" TargetMode="External" Id="rId4345" /><Relationship Type="http://schemas.openxmlformats.org/officeDocument/2006/relationships/hyperlink" Target="https://www.paysdenexon-montsdechalus.fr" TargetMode="External" Id="rId4346" /><Relationship Type="http://schemas.openxmlformats.org/officeDocument/2006/relationships/hyperlink" Target="https://www.paysdenexon-montsdechalus.fr/contacts.html" TargetMode="External" Id="rId4347" /><Relationship Type="http://schemas.openxmlformats.org/officeDocument/2006/relationships/hyperlink" Target="https://lannuaire.service-public.gouv.fr/nouvelle-aquitaine/haute-vienne/4b178f0e-57c1-4a2f-9945-213ef921d9f6" TargetMode="External" Id="rId4348" /><Relationship Type="http://schemas.openxmlformats.org/officeDocument/2006/relationships/hyperlink" Target="mailto:contact@pol-cdc.fr" TargetMode="External" Id="rId4349" /><Relationship Type="http://schemas.openxmlformats.org/officeDocument/2006/relationships/hyperlink" Target="https://www.porteoceane-dulimousin.fr/" TargetMode="External" Id="rId4350" /><Relationship Type="http://schemas.openxmlformats.org/officeDocument/2006/relationships/hyperlink" Target="https://lannuaire.service-public.gouv.fr/nouvelle-aquitaine/haute-vienne/e11c45fa-4fb2-42cf-a910-6df71d15a7b1" TargetMode="External" Id="rId4351" /><Relationship Type="http://schemas.openxmlformats.org/officeDocument/2006/relationships/hyperlink" Target="mailto:accueil@ccnoblat.fr" TargetMode="External" Id="rId4352" /><Relationship Type="http://schemas.openxmlformats.org/officeDocument/2006/relationships/hyperlink" Target="https://ccnoblat.fr/" TargetMode="External" Id="rId4353" /><Relationship Type="http://schemas.openxmlformats.org/officeDocument/2006/relationships/hyperlink" Target="https://lannuaire.service-public.gouv.fr/nouvelle-aquitaine/haute-vienne/407fa58a-4bfc-4d77-b349-1e6508b88c95" TargetMode="External" Id="rId4354" /><Relationship Type="http://schemas.openxmlformats.org/officeDocument/2006/relationships/hyperlink" Target="mailto:contact@cc-portesdevassiviere.fr" TargetMode="External" Id="rId4355" /><Relationship Type="http://schemas.openxmlformats.org/officeDocument/2006/relationships/hyperlink" Target="https://www.cc-portesdevassiviere.fr/" TargetMode="External" Id="rId4356" /><Relationship Type="http://schemas.openxmlformats.org/officeDocument/2006/relationships/hyperlink" Target="https://www.cc-portesdevassiviere.fr/contact-et-liens/" TargetMode="External" Id="rId4357" /><Relationship Type="http://schemas.openxmlformats.org/officeDocument/2006/relationships/hyperlink" Target="https://lannuaire.service-public.gouv.fr/nouvelle-aquitaine/haute-vienne/865c9208-8d02-41eb-8f16-6c1bc20dccd1" TargetMode="External" Id="rId4358" /><Relationship Type="http://schemas.openxmlformats.org/officeDocument/2006/relationships/hyperlink" Target="mailto:info@cc-valdevienne.fr" TargetMode="External" Id="rId4359" /><Relationship Type="http://schemas.openxmlformats.org/officeDocument/2006/relationships/hyperlink" Target="https://valdevienne.fr/" TargetMode="External" Id="rId4360" /><Relationship Type="http://schemas.openxmlformats.org/officeDocument/2006/relationships/hyperlink" Target="https://valdevienne.fr/val-de-vienne-ccvv/contact/" TargetMode="External" Id="rId4361" /><Relationship Type="http://schemas.openxmlformats.org/officeDocument/2006/relationships/hyperlink" Target="https://lannuaire.service-public.gouv.fr/nouvelle-aquitaine/haute-vienne/963708ba-98ab-41da-91a8-4ad49fd4602d" TargetMode="External" Id="rId4362" /><Relationship Type="http://schemas.openxmlformats.org/officeDocument/2006/relationships/hyperlink" Target="mailto:accueil@elan87.fr" TargetMode="External" Id="rId4363" /><Relationship Type="http://schemas.openxmlformats.org/officeDocument/2006/relationships/hyperlink" Target="https://www.elan87.fr/" TargetMode="External" Id="rId4364" /><Relationship Type="http://schemas.openxmlformats.org/officeDocument/2006/relationships/hyperlink" Target="https://www.elan87.fr/contact/" TargetMode="External" Id="rId4365" /><Relationship Type="http://schemas.openxmlformats.org/officeDocument/2006/relationships/hyperlink" Target="https://lannuaire.service-public.gouv.fr/nouvelle-aquitaine/haute-vienne/9c0bc49a-b66e-4be7-8562-b17cc778a80b" TargetMode="External" Id="rId4366" /><Relationship Type="http://schemas.openxmlformats.org/officeDocument/2006/relationships/hyperlink" Target="mailto:communaute-urbaine@limoges-metropole.fr" TargetMode="External" Id="rId4367" /><Relationship Type="http://schemas.openxmlformats.org/officeDocument/2006/relationships/hyperlink" Target="https://www.limoges-metropole.fr" TargetMode="External" Id="rId4368" /><Relationship Type="http://schemas.openxmlformats.org/officeDocument/2006/relationships/hyperlink" Target="https://www.limoges-metropole.fr/informations-pratiques/nous-contacter" TargetMode="External" Id="rId4369" /><Relationship Type="http://schemas.openxmlformats.org/officeDocument/2006/relationships/hyperlink" Target="https://lannuaire.service-public.gouv.fr/nouvelle-aquitaine/haute-vienne/e85a63e9-98d7-4172-b885-f483445de877" TargetMode="External" Id="rId4370" /><Relationship Type="http://schemas.openxmlformats.org/officeDocument/2006/relationships/hyperlink" Target="mailto:direction@agglo-epinal.fr" TargetMode="External" Id="rId4371" /><Relationship Type="http://schemas.openxmlformats.org/officeDocument/2006/relationships/hyperlink" Target="https://www.agglo-epinal.fr/" TargetMode="External" Id="rId4372" /><Relationship Type="http://schemas.openxmlformats.org/officeDocument/2006/relationships/hyperlink" Target="https://www.agglo-epinal.fr/nous-contacter/" TargetMode="External" Id="rId4373" /><Relationship Type="http://schemas.openxmlformats.org/officeDocument/2006/relationships/hyperlink" Target="https://lannuaire.service-public.gouv.fr/grand-est/vosges/58c63a10-6527-4e6b-8ab3-17d8c26a6ffe" TargetMode="External" Id="rId4374" /><Relationship Type="http://schemas.openxmlformats.org/officeDocument/2006/relationships/hyperlink" Target="mailto:accueil@cc-bruyeres.fr" TargetMode="External" Id="rId4375" /><Relationship Type="http://schemas.openxmlformats.org/officeDocument/2006/relationships/hyperlink" Target="https://www.ccb2v.fr/" TargetMode="External" Id="rId4376" /><Relationship Type="http://schemas.openxmlformats.org/officeDocument/2006/relationships/hyperlink" Target="https://www.ccb2v.fr/formulaire-de-contact/" TargetMode="External" Id="rId4377" /><Relationship Type="http://schemas.openxmlformats.org/officeDocument/2006/relationships/hyperlink" Target="https://lannuaire.service-public.gouv.fr/grand-est/vosges/37f79312-678a-496c-81cb-1f9bd868f04b" TargetMode="External" Id="rId4378" /><Relationship Type="http://schemas.openxmlformats.org/officeDocument/2006/relationships/hyperlink" Target="mailto:contact@ccghv.fr" TargetMode="External" Id="rId4379" /><Relationship Type="http://schemas.openxmlformats.org/officeDocument/2006/relationships/hyperlink" Target="https://ccghv.fr/" TargetMode="External" Id="rId4380" /><Relationship Type="http://schemas.openxmlformats.org/officeDocument/2006/relationships/hyperlink" Target="https://ccghv.fr/contact/" TargetMode="External" Id="rId4381" /><Relationship Type="http://schemas.openxmlformats.org/officeDocument/2006/relationships/hyperlink" Target="https://lannuaire.service-public.gouv.fr/grand-est/vosges/aa56f59f-0db8-4c12-877d-effd34e6f7d9" TargetMode="External" Id="rId4382" /><Relationship Type="http://schemas.openxmlformats.org/officeDocument/2006/relationships/hyperlink" Target="mailto:contact@cc-terredeau.fr" TargetMode="External" Id="rId4383" /><Relationship Type="http://schemas.openxmlformats.org/officeDocument/2006/relationships/hyperlink" Target="https://www.cc-terredeau.fr/" TargetMode="External" Id="rId4384" /><Relationship Type="http://schemas.openxmlformats.org/officeDocument/2006/relationships/hyperlink" Target="https://www.cc-terredeau.fr/fr/contact.html" TargetMode="External" Id="rId4385" /><Relationship Type="http://schemas.openxmlformats.org/officeDocument/2006/relationships/hyperlink" Target="https://lannuaire.service-public.gouv.fr/grand-est/vosges/e8a7f59c-9b57-4c8a-826c-c0d8953c20a4" TargetMode="External" Id="rId4386" /><Relationship Type="http://schemas.openxmlformats.org/officeDocument/2006/relationships/hyperlink" Target="mailto:secretariat@ccmirecourtdompaire.fr" TargetMode="External" Id="rId4387" /><Relationship Type="http://schemas.openxmlformats.org/officeDocument/2006/relationships/hyperlink" Target="https://www.ccmirecourtdompaire.fr/" TargetMode="External" Id="rId4388" /><Relationship Type="http://schemas.openxmlformats.org/officeDocument/2006/relationships/hyperlink" Target="https://www.ccmirecourtdompaire.fr/communaute-de-communes/contact/" TargetMode="External" Id="rId4389" /><Relationship Type="http://schemas.openxmlformats.org/officeDocument/2006/relationships/hyperlink" Target="https://lannuaire.service-public.gouv.fr/grand-est/vosges/a853e7aa-47e6-4b88-b946-55d799720265" TargetMode="External" Id="rId4390" /><Relationship Type="http://schemas.openxmlformats.org/officeDocument/2006/relationships/hyperlink" Target="mailto:bureaux@ccpvm.fr" TargetMode="External" Id="rId4391" /><Relationship Type="http://schemas.openxmlformats.org/officeDocument/2006/relationships/hyperlink" Target="https://www.ccpvm.fr/" TargetMode="External" Id="rId4392" /><Relationship Type="http://schemas.openxmlformats.org/officeDocument/2006/relationships/hyperlink" Target="https://www.ccpvm.fr/contactez-nous/" TargetMode="External" Id="rId4393" /><Relationship Type="http://schemas.openxmlformats.org/officeDocument/2006/relationships/hyperlink" Target="https://lannuaire.service-public.gouv.fr/grand-est/vosges/f4110c81-dbb2-4b90-8c9a-3385fc6da9b7" TargetMode="External" Id="rId4394" /><Relationship Type="http://schemas.openxmlformats.org/officeDocument/2006/relationships/hyperlink" Target="mailto:accueil@2c2r.fr" TargetMode="External" Id="rId4395" /><Relationship Type="http://schemas.openxmlformats.org/officeDocument/2006/relationships/hyperlink" Target="https://www.2c2r.fr/" TargetMode="External" Id="rId4396" /><Relationship Type="http://schemas.openxmlformats.org/officeDocument/2006/relationships/hyperlink" Target="https://www.2c2r.fr/contact/" TargetMode="External" Id="rId4397" /><Relationship Type="http://schemas.openxmlformats.org/officeDocument/2006/relationships/hyperlink" Target="https://lannuaire.service-public.gouv.fr/grand-est/vosges/e2b6d8fe-2c76-4e58-8901-0b6599ff975d" TargetMode="External" Id="rId4398" /><Relationship Type="http://schemas.openxmlformats.org/officeDocument/2006/relationships/hyperlink" Target="mailto:contact@cchautesvosges.fr" TargetMode="External" Id="rId4399" /><Relationship Type="http://schemas.openxmlformats.org/officeDocument/2006/relationships/hyperlink" Target="https://www.cchautesvosges.fr/" TargetMode="External" Id="rId4400" /><Relationship Type="http://schemas.openxmlformats.org/officeDocument/2006/relationships/hyperlink" Target="https://www.cchautesvosges.fr/contact" TargetMode="External" Id="rId4401" /><Relationship Type="http://schemas.openxmlformats.org/officeDocument/2006/relationships/hyperlink" Target="https://lannuaire.service-public.gouv.fr/grand-est/vosges/15ce96ad-bc51-4984-99fb-a1150dc0aad3" TargetMode="External" Id="rId4402" /><Relationship Type="http://schemas.openxmlformats.org/officeDocument/2006/relationships/hyperlink" Target="mailto:contact@vosgescotesudouest.fr" TargetMode="External" Id="rId4403" /><Relationship Type="http://schemas.openxmlformats.org/officeDocument/2006/relationships/hyperlink" Target="http://www.vosgescotesudouest.fr" TargetMode="External" Id="rId4404" /><Relationship Type="http://schemas.openxmlformats.org/officeDocument/2006/relationships/hyperlink" Target="http://www.vosgescotesudouest.fr/?c=contact&amp;id=8" TargetMode="External" Id="rId4405" /><Relationship Type="http://schemas.openxmlformats.org/officeDocument/2006/relationships/hyperlink" Target="https://lannuaire.service-public.gouv.fr/grand-est/vosges/f504cb0c-7dd2-4eed-b342-14d4aa7b3d04" TargetMode="External" Id="rId4406" /><Relationship Type="http://schemas.openxmlformats.org/officeDocument/2006/relationships/hyperlink" Target="mailto:contact@agglo-auxerrois.fr" TargetMode="External" Id="rId4407" /><Relationship Type="http://schemas.openxmlformats.org/officeDocument/2006/relationships/hyperlink" Target="https://www.agglo-auxerrois.fr" TargetMode="External" Id="rId4408" /><Relationship Type="http://schemas.openxmlformats.org/officeDocument/2006/relationships/hyperlink" Target="https://www.agglo-auxerrois.fr/nous-contacter-0" TargetMode="External" Id="rId4409" /><Relationship Type="http://schemas.openxmlformats.org/officeDocument/2006/relationships/hyperlink" Target="https://lannuaire.service-public.gouv.fr/bourgogne-franche-comte/yonne/a113637f-5ba3-48d7-8ea2-148d4e0099c1" TargetMode="External" Id="rId4410" /><Relationship Type="http://schemas.openxmlformats.org/officeDocument/2006/relationships/hyperlink" Target="mailto:courrier@grand-senonais.fr" TargetMode="External" Id="rId4411" /><Relationship Type="http://schemas.openxmlformats.org/officeDocument/2006/relationships/hyperlink" Target="https://www.grand-senonais.fr" TargetMode="External" Id="rId4412" /><Relationship Type="http://schemas.openxmlformats.org/officeDocument/2006/relationships/hyperlink" Target="https://www.grand-senonais.fr/contact/" TargetMode="External" Id="rId4413" /><Relationship Type="http://schemas.openxmlformats.org/officeDocument/2006/relationships/hyperlink" Target="https://lannuaire.service-public.gouv.fr/bourgogne-franche-comte/yonne/931df22e-72d8-4d50-8245-52ca90c884fc" TargetMode="External" Id="rId4414" /><Relationship Type="http://schemas.openxmlformats.org/officeDocument/2006/relationships/hyperlink" Target="mailto:contact@cc-avm.fr" TargetMode="External" Id="rId4415" /><Relationship Type="http://schemas.openxmlformats.org/officeDocument/2006/relationships/hyperlink" Target="https://cc-avm.com/" TargetMode="External" Id="rId4416" /><Relationship Type="http://schemas.openxmlformats.org/officeDocument/2006/relationships/hyperlink" Target="https://www.cc-avm.fr/contact" TargetMode="External" Id="rId4417" /><Relationship Type="http://schemas.openxmlformats.org/officeDocument/2006/relationships/hyperlink" Target="https://lannuaire.service-public.gouv.fr/bourgogne-franche-comte/yonne/b67e8260-3570-48f2-a22d-6b30d98384bf" TargetMode="External" Id="rId4418" /><Relationship Type="http://schemas.openxmlformats.org/officeDocument/2006/relationships/hyperlink" Target="mailto:secretariat.direction@3cvt.fr" TargetMode="External" Id="rId4419" /><Relationship Type="http://schemas.openxmlformats.org/officeDocument/2006/relationships/hyperlink" Target="https://www.3cvt.fr/" TargetMode="External" Id="rId4420" /><Relationship Type="http://schemas.openxmlformats.org/officeDocument/2006/relationships/hyperlink" Target="https://www.3cvt.fr/formulaire-de-saisine/" TargetMode="External" Id="rId4421" /><Relationship Type="http://schemas.openxmlformats.org/officeDocument/2006/relationships/hyperlink" Target="https://lannuaire.service-public.gouv.fr/bourgogne-franche-comte/yonne/7ffd30df-c070-4492-ab4f-bff9f42d1d0b" TargetMode="External" Id="rId4422" /><Relationship Type="http://schemas.openxmlformats.org/officeDocument/2006/relationships/hyperlink" Target="mailto:contact@ccltb.fr" TargetMode="External" Id="rId4423" /><Relationship Type="http://schemas.openxmlformats.org/officeDocument/2006/relationships/hyperlink" Target="https://www.letonnerroisenbourgogne.fr/" TargetMode="External" Id="rId4424" /><Relationship Type="http://schemas.openxmlformats.org/officeDocument/2006/relationships/hyperlink" Target="https://www.letonnerroisenbourgogne.fr/nous-contacter" TargetMode="External" Id="rId4425" /><Relationship Type="http://schemas.openxmlformats.org/officeDocument/2006/relationships/hyperlink" Target="https://lannuaire.service-public.gouv.fr/bourgogne-franche-comte/yonne/2ed681da-f374-4a7f-a3dd-9e0e8489ac85" TargetMode="External" Id="rId4426" /><Relationship Type="http://schemas.openxmlformats.org/officeDocument/2006/relationships/hyperlink" Target="mailto:contact@cc-sereinarmance.fr" TargetMode="External" Id="rId4427" /><Relationship Type="http://schemas.openxmlformats.org/officeDocument/2006/relationships/hyperlink" Target="https://cc-sereinarmance.fr/" TargetMode="External" Id="rId4428" /><Relationship Type="http://schemas.openxmlformats.org/officeDocument/2006/relationships/hyperlink" Target="https://cc-sereinarmance.fr/contacter-nos-services/" TargetMode="External" Id="rId4429" /><Relationship Type="http://schemas.openxmlformats.org/officeDocument/2006/relationships/hyperlink" Target="https://lannuaire.service-public.gouv.fr/bourgogne-franche-comte/yonne/54c1f0bb-c349-4a85-b390-23f93d3d6c06" TargetMode="External" Id="rId4430" /><Relationship Type="http://schemas.openxmlformats.org/officeDocument/2006/relationships/hyperlink" Target="mailto:ccyn@ccyn.fr" TargetMode="External" Id="rId4431" /><Relationship Type="http://schemas.openxmlformats.org/officeDocument/2006/relationships/hyperlink" Target="https://yonne-nord.fr/" TargetMode="External" Id="rId4432" /><Relationship Type="http://schemas.openxmlformats.org/officeDocument/2006/relationships/hyperlink" Target="https://yonne-nord.fr/contact/" TargetMode="External" Id="rId4433" /><Relationship Type="http://schemas.openxmlformats.org/officeDocument/2006/relationships/hyperlink" Target="https://lannuaire.service-public.gouv.fr/bourgogne-franche-comte/yonne/436403ba-e7c9-45b9-9448-8efcde0818d5" TargetMode="External" Id="rId4434" /><Relationship Type="http://schemas.openxmlformats.org/officeDocument/2006/relationships/hyperlink" Target="mailto:ccam@migennois.fr" TargetMode="External" Id="rId4435" /><Relationship Type="http://schemas.openxmlformats.org/officeDocument/2006/relationships/hyperlink" Target="https://www.migennois.fr/" TargetMode="External" Id="rId4436" /><Relationship Type="http://schemas.openxmlformats.org/officeDocument/2006/relationships/hyperlink" Target="https://www.migennois.fr/contact" TargetMode="External" Id="rId4437" /><Relationship Type="http://schemas.openxmlformats.org/officeDocument/2006/relationships/hyperlink" Target="https://lannuaire.service-public.gouv.fr/bourgogne-franche-comte/yonne/9bc86382-27cb-424b-8f60-e226d938ee48" TargetMode="External" Id="rId4438" /><Relationship Type="http://schemas.openxmlformats.org/officeDocument/2006/relationships/hyperlink" Target="mailto:contact@ccaillantais.fr" TargetMode="External" Id="rId4439" /><Relationship Type="http://schemas.openxmlformats.org/officeDocument/2006/relationships/hyperlink" Target="https://www.ccaillantais.fr/" TargetMode="External" Id="rId4440" /><Relationship Type="http://schemas.openxmlformats.org/officeDocument/2006/relationships/hyperlink" Target="https://www.ccaillantais.fr/contact/" TargetMode="External" Id="rId4441" /><Relationship Type="http://schemas.openxmlformats.org/officeDocument/2006/relationships/hyperlink" Target="https://lannuaire.service-public.gouv.fr/bourgogne-franche-comte/yonne/75ed7bbb-56fe-4e71-8504-aea4223fd04e" TargetMode="External" Id="rId4442" /><Relationship Type="http://schemas.openxmlformats.org/officeDocument/2006/relationships/hyperlink" Target="mailto:accueil@ccvpo.fr" TargetMode="External" Id="rId4443" /><Relationship Type="http://schemas.openxmlformats.org/officeDocument/2006/relationships/hyperlink" Target="https://ccvannepaysothe.fr/" TargetMode="External" Id="rId4444" /><Relationship Type="http://schemas.openxmlformats.org/officeDocument/2006/relationships/hyperlink" Target="https://lannuaire.service-public.gouv.fr/bourgogne-franche-comte/yonne/4cdec979-1d16-4e95-9f7d-0c5515fc86e9" TargetMode="External" Id="rId4445" /><Relationship Type="http://schemas.openxmlformats.org/officeDocument/2006/relationships/hyperlink" Target="mailto:contact@gatinais-bourgogne.fr" TargetMode="External" Id="rId4446" /><Relationship Type="http://schemas.openxmlformats.org/officeDocument/2006/relationships/hyperlink" Target="http://www.gatinais-bourgogne.fr" TargetMode="External" Id="rId4447" /><Relationship Type="http://schemas.openxmlformats.org/officeDocument/2006/relationships/hyperlink" Target="https://lannuaire.service-public.gouv.fr/bourgogne-franche-comte/yonne/f3215eaa-a826-4457-b36c-fd9bf6983d6f" TargetMode="External" Id="rId4448" /><Relationship Type="http://schemas.openxmlformats.org/officeDocument/2006/relationships/hyperlink" Target="mailto:accueil@ccjovinien.fr" TargetMode="External" Id="rId4449" /><Relationship Type="http://schemas.openxmlformats.org/officeDocument/2006/relationships/hyperlink" Target="https://www.ccjovinien.fr/" TargetMode="External" Id="rId4450" /><Relationship Type="http://schemas.openxmlformats.org/officeDocument/2006/relationships/hyperlink" Target="https://lannuaire.service-public.gouv.fr/bourgogne-franche-comte/yonne/fe12ee36-5e0b-4272-b755-24353d5dc66d" TargetMode="External" Id="rId4451" /><Relationship Type="http://schemas.openxmlformats.org/officeDocument/2006/relationships/hyperlink" Target="mailto:accueil@ccduserein.fr" TargetMode="External" Id="rId4452" /><Relationship Type="http://schemas.openxmlformats.org/officeDocument/2006/relationships/hyperlink" Target="https://www.ccduserein.fr/" TargetMode="External" Id="rId4453" /><Relationship Type="http://schemas.openxmlformats.org/officeDocument/2006/relationships/hyperlink" Target="https://www.ccduserein.fr/contact-cc-serein-89_fr.html" TargetMode="External" Id="rId4454" /><Relationship Type="http://schemas.openxmlformats.org/officeDocument/2006/relationships/hyperlink" Target="https://lannuaire.service-public.gouv.fr/bourgogne-franche-comte/yonne/ecb5ddb1-6fc5-49af-81d6-afa9a681bddb" TargetMode="External" Id="rId4455" /><Relationship Type="http://schemas.openxmlformats.org/officeDocument/2006/relationships/hyperlink" Target="mailto:courrier@grandbelfort.fr" TargetMode="External" Id="rId4456" /><Relationship Type="http://schemas.openxmlformats.org/officeDocument/2006/relationships/hyperlink" Target="https://www.grandbelfort.fr/" TargetMode="External" Id="rId4457" /><Relationship Type="http://schemas.openxmlformats.org/officeDocument/2006/relationships/hyperlink" Target="https://www.grandbelfort.fr/contact.html" TargetMode="External" Id="rId4458" /><Relationship Type="http://schemas.openxmlformats.org/officeDocument/2006/relationships/hyperlink" Target="https://lannuaire.service-public.gouv.fr/bourgogne-franche-comte/territoire-de-belfort/70434e10-3df2-45fe-9ec3-04c4570d03f4" TargetMode="External" Id="rId4459" /><Relationship Type="http://schemas.openxmlformats.org/officeDocument/2006/relationships/hyperlink" Target="mailto:contact@ccvosgesdusud.fr" TargetMode="External" Id="rId4460" /><Relationship Type="http://schemas.openxmlformats.org/officeDocument/2006/relationships/hyperlink" Target="https://www.ccvosgesdusud.fr/" TargetMode="External" Id="rId4461" /><Relationship Type="http://schemas.openxmlformats.org/officeDocument/2006/relationships/hyperlink" Target="https://lannuaire.service-public.gouv.fr/bourgogne-franche-comte/territoire-de-belfort/dce39bac-5cd1-4595-9cf9-bb7e1d707c34" TargetMode="External" Id="rId4462" /><Relationship Type="http://schemas.openxmlformats.org/officeDocument/2006/relationships/hyperlink" Target="mailto:ccst90@cc-sud-territoire.fr" TargetMode="External" Id="rId4463" /><Relationship Type="http://schemas.openxmlformats.org/officeDocument/2006/relationships/hyperlink" Target="https://www.cc-sud-territoire.fr/" TargetMode="External" Id="rId4464" /><Relationship Type="http://schemas.openxmlformats.org/officeDocument/2006/relationships/hyperlink" Target="https://www.cc-sud-territoire.fr/contact.htm" TargetMode="External" Id="rId4465" /><Relationship Type="http://schemas.openxmlformats.org/officeDocument/2006/relationships/hyperlink" Target="https://lannuaire.service-public.gouv.fr/bourgogne-franche-comte/territoire-de-belfort/c7530b17-24e5-4333-ab12-0a0bd2d7946f" TargetMode="External" Id="rId4466" /><Relationship Type="http://schemas.openxmlformats.org/officeDocument/2006/relationships/hyperlink" Target="mailto:communaute@coeuressonne.fr" TargetMode="External" Id="rId4467" /><Relationship Type="http://schemas.openxmlformats.org/officeDocument/2006/relationships/hyperlink" Target="https://www.coeuressonne.fr/" TargetMode="External" Id="rId4468" /><Relationship Type="http://schemas.openxmlformats.org/officeDocument/2006/relationships/hyperlink" Target="https://www.coeuressonne.fr/nous-contacter/" TargetMode="External" Id="rId4469" /><Relationship Type="http://schemas.openxmlformats.org/officeDocument/2006/relationships/hyperlink" Target="https://lannuaire.service-public.gouv.fr/ile-de-france/essonne/7a59e3bb-f911-48b8-abc3-29a576caf321" TargetMode="External" Id="rId4470" /><Relationship Type="http://schemas.openxmlformats.org/officeDocument/2006/relationships/hyperlink" Target="mailto:contact@paris-saclay.com" TargetMode="External" Id="rId4471" /><Relationship Type="http://schemas.openxmlformats.org/officeDocument/2006/relationships/hyperlink" Target="https://www.paris-saclay.com/accueil-3.html" TargetMode="External" Id="rId4472" /><Relationship Type="http://schemas.openxmlformats.org/officeDocument/2006/relationships/hyperlink" Target="https://www.paris-saclay.com/contact-9.html" TargetMode="External" Id="rId4473" /><Relationship Type="http://schemas.openxmlformats.org/officeDocument/2006/relationships/hyperlink" Target="https://lannuaire.service-public.gouv.fr/ile-de-france/essonne/1cf28bfe-a8f1-4340-83b4-d3bd46acf644" TargetMode="External" Id="rId4474" /><Relationship Type="http://schemas.openxmlformats.org/officeDocument/2006/relationships/hyperlink" Target="mailto:accueil@vyvs.fr" TargetMode="External" Id="rId4475" /><Relationship Type="http://schemas.openxmlformats.org/officeDocument/2006/relationships/hyperlink" Target="https://www.vyvs.fr/" TargetMode="External" Id="rId4476" /><Relationship Type="http://schemas.openxmlformats.org/officeDocument/2006/relationships/hyperlink" Target="https://lannuaire.service-public.gouv.fr/ile-de-france/essonne/a2294a3e-a979-45ea-b8f7-75910e11ea67" TargetMode="External" Id="rId4477" /><Relationship Type="http://schemas.openxmlformats.org/officeDocument/2006/relationships/hyperlink" Target="mailto:contact@caese.fr" TargetMode="External" Id="rId4478" /><Relationship Type="http://schemas.openxmlformats.org/officeDocument/2006/relationships/hyperlink" Target="https://www.caese.fr/" TargetMode="External" Id="rId4479" /><Relationship Type="http://schemas.openxmlformats.org/officeDocument/2006/relationships/hyperlink" Target="https://www.caese.fr/nous-contacter/" TargetMode="External" Id="rId4480" /><Relationship Type="http://schemas.openxmlformats.org/officeDocument/2006/relationships/hyperlink" Target="https://lannuaire.service-public.gouv.fr/ile-de-france/essonne/e1a0f770-0bb1-4543-b787-8df2a511781a" TargetMode="External" Id="rId4481" /><Relationship Type="http://schemas.openxmlformats.org/officeDocument/2006/relationships/hyperlink" Target="mailto:accueil@ccejr.org" TargetMode="External" Id="rId4482" /><Relationship Type="http://schemas.openxmlformats.org/officeDocument/2006/relationships/hyperlink" Target="https://www.entrejuineetrenarde.org/" TargetMode="External" Id="rId4483" /><Relationship Type="http://schemas.openxmlformats.org/officeDocument/2006/relationships/hyperlink" Target="https://www.entrejuineetrenarde.org/contacter-la-ccejr" TargetMode="External" Id="rId4484" /><Relationship Type="http://schemas.openxmlformats.org/officeDocument/2006/relationships/hyperlink" Target="https://lannuaire.service-public.gouv.fr/ile-de-france/essonne/b26b7247-ef84-4783-b487-30ad4e1a78cf" TargetMode="External" Id="rId4485" /><Relationship Type="http://schemas.openxmlformats.org/officeDocument/2006/relationships/hyperlink" Target="mailto:cc2v@cc2v91.fr" TargetMode="External" Id="rId4486" /><Relationship Type="http://schemas.openxmlformats.org/officeDocument/2006/relationships/hyperlink" Target="https://cc2v91.fr/fr/" TargetMode="External" Id="rId4487" /><Relationship Type="http://schemas.openxmlformats.org/officeDocument/2006/relationships/hyperlink" Target="https://cc2v91.fr/fr/" TargetMode="External" Id="rId4488" /><Relationship Type="http://schemas.openxmlformats.org/officeDocument/2006/relationships/hyperlink" Target="https://lannuaire.service-public.gouv.fr/ile-de-france/essonne/6bb5e8ee-12d5-44c1-b0e6-ce3179bc682a" TargetMode="External" Id="rId4489" /><Relationship Type="http://schemas.openxmlformats.org/officeDocument/2006/relationships/hyperlink" Target="mailto:accueil@cc-paysdelimours.fr" TargetMode="External" Id="rId4490" /><Relationship Type="http://schemas.openxmlformats.org/officeDocument/2006/relationships/hyperlink" Target="https://www.cc-paysdelimours.fr/" TargetMode="External" Id="rId4491" /><Relationship Type="http://schemas.openxmlformats.org/officeDocument/2006/relationships/hyperlink" Target="https://www.cc-paysdelimours.fr/contact" TargetMode="External" Id="rId4492" /><Relationship Type="http://schemas.openxmlformats.org/officeDocument/2006/relationships/hyperlink" Target="https://lannuaire.service-public.gouv.fr/ile-de-france/essonne/9b8c9bc2-a523-4d97-8ab2-b550196270f5" TargetMode="External" Id="rId4493" /><Relationship Type="http://schemas.openxmlformats.org/officeDocument/2006/relationships/hyperlink" Target="mailto:ccve@ccvalessonne.com" TargetMode="External" Id="rId4494" /><Relationship Type="http://schemas.openxmlformats.org/officeDocument/2006/relationships/hyperlink" Target="https://valessonne.fr/" TargetMode="External" Id="rId4495" /><Relationship Type="http://schemas.openxmlformats.org/officeDocument/2006/relationships/hyperlink" Target="https://lannuaire.service-public.gouv.fr/ile-de-france/essonne/2717b775-fd05-4756-b130-c43f246ba8a7" TargetMode="External" Id="rId4496" /><Relationship Type="http://schemas.openxmlformats.org/officeDocument/2006/relationships/hyperlink" Target="mailto:contact@ccdourdannais.com" TargetMode="External" Id="rId4497" /><Relationship Type="http://schemas.openxmlformats.org/officeDocument/2006/relationships/hyperlink" Target="https://www.ccdourdannais.com/" TargetMode="External" Id="rId4498" /><Relationship Type="http://schemas.openxmlformats.org/officeDocument/2006/relationships/hyperlink" Target="https://www.ccdourdannais.com/contactez-nous/" TargetMode="External" Id="rId4499" /><Relationship Type="http://schemas.openxmlformats.org/officeDocument/2006/relationships/hyperlink" Target="https://lannuaire.service-public.gouv.fr/ile-de-france/essonne/60658850-d285-4f05-8510-f17a3711c5d3" TargetMode="External" Id="rId4500" /><Relationship Type="http://schemas.openxmlformats.org/officeDocument/2006/relationships/hyperlink" Target="mailto:contact@agglo-plainevallee.fr" TargetMode="External" Id="rId4501" /><Relationship Type="http://schemas.openxmlformats.org/officeDocument/2006/relationships/hyperlink" Target="https://www.agglo-plainevallee.fr" TargetMode="External" Id="rId4502" /><Relationship Type="http://schemas.openxmlformats.org/officeDocument/2006/relationships/hyperlink" Target="https://www.agglo-plainevallee.fr/nous-contacter/" TargetMode="External" Id="rId4503" /><Relationship Type="http://schemas.openxmlformats.org/officeDocument/2006/relationships/hyperlink" Target="https://lannuaire.service-public.gouv.fr/ile-de-france/val-d-oise/8c33ac93-a890-4ce7-8faf-65e0d09c9634" TargetMode="External" Id="rId4504" /><Relationship Type="http://schemas.openxmlformats.org/officeDocument/2006/relationships/hyperlink" Target="mailto:communication@valparisis.fr" TargetMode="External" Id="rId4505" /><Relationship Type="http://schemas.openxmlformats.org/officeDocument/2006/relationships/hyperlink" Target="https://valparisis.fr/" TargetMode="External" Id="rId4506" /><Relationship Type="http://schemas.openxmlformats.org/officeDocument/2006/relationships/hyperlink" Target="https://valparisis.fr/contact" TargetMode="External" Id="rId4507" /><Relationship Type="http://schemas.openxmlformats.org/officeDocument/2006/relationships/hyperlink" Target="https://lannuaire.service-public.gouv.fr/ile-de-france/val-d-oise/a0c620c2-2687-4f3f-b06d-6ead390d41d0" TargetMode="External" Id="rId4508" /><Relationship Type="http://schemas.openxmlformats.org/officeDocument/2006/relationships/hyperlink" Target="mailto:contact@c3pf.fr" TargetMode="External" Id="rId4509" /><Relationship Type="http://schemas.openxmlformats.org/officeDocument/2006/relationships/hyperlink" Target="https://carnelle-pays-de-france.fr/" TargetMode="External" Id="rId4510" /><Relationship Type="http://schemas.openxmlformats.org/officeDocument/2006/relationships/hyperlink" Target="https://carnelle-pays-de-france.fr/contactez-nous/" TargetMode="External" Id="rId4511" /><Relationship Type="http://schemas.openxmlformats.org/officeDocument/2006/relationships/hyperlink" Target="https://lannuaire.service-public.gouv.fr/ile-de-france/val-d-oise/2f584dfe-1d35-4a11-a390-a9ce74e0d6ee" TargetMode="External" Id="rId4512" /><Relationship Type="http://schemas.openxmlformats.org/officeDocument/2006/relationships/hyperlink" Target="mailto:secretariat@sausseron-impressionnistes.fr" TargetMode="External" Id="rId4513" /><Relationship Type="http://schemas.openxmlformats.org/officeDocument/2006/relationships/hyperlink" Target="http://www.sausseron-impressionnistes.fr" TargetMode="External" Id="rId4514" /><Relationship Type="http://schemas.openxmlformats.org/officeDocument/2006/relationships/hyperlink" Target="https://lannuaire.service-public.gouv.fr/ile-de-france/val-d-oise/0c63942b-b5a0-40dc-9111-78e93e55543c" TargetMode="External" Id="rId4515" /><Relationship Type="http://schemas.openxmlformats.org/officeDocument/2006/relationships/hyperlink" Target="mailto:administration@ccvexincentre.fr" TargetMode="External" Id="rId4516" /><Relationship Type="http://schemas.openxmlformats.org/officeDocument/2006/relationships/hyperlink" Target="https://ccvexincentre.fr/" TargetMode="External" Id="rId4517" /><Relationship Type="http://schemas.openxmlformats.org/officeDocument/2006/relationships/hyperlink" Target="https://ccvexincentre.fr/" TargetMode="External" Id="rId4518" /><Relationship Type="http://schemas.openxmlformats.org/officeDocument/2006/relationships/hyperlink" Target="https://lannuaire.service-public.gouv.fr/ile-de-france/val-d-oise/7fbccef9-cd26-465f-82d0-771156eee9e6" TargetMode="External" Id="rId4519" /><Relationship Type="http://schemas.openxmlformats.org/officeDocument/2006/relationships/hyperlink" Target="mailto:contact@ccvo3f.fr" TargetMode="External" Id="rId4520" /><Relationship Type="http://schemas.openxmlformats.org/officeDocument/2006/relationships/hyperlink" Target="https://www.ccvo3f.fr/fr/" TargetMode="External" Id="rId4521" /><Relationship Type="http://schemas.openxmlformats.org/officeDocument/2006/relationships/hyperlink" Target="https://www.ccvo3f.fr/fr/contact" TargetMode="External" Id="rId4522" /><Relationship Type="http://schemas.openxmlformats.org/officeDocument/2006/relationships/hyperlink" Target="https://lannuaire.service-public.gouv.fr/ile-de-france/val-d-oise/dfba97ae-a5f8-4f2e-b855-8fbfb8f19cbe" TargetMode="External" Id="rId4523" /><Relationship Type="http://schemas.openxmlformats.org/officeDocument/2006/relationships/hyperlink" Target="mailto:accueil@cchvo.com" TargetMode="External" Id="rId4524" /><Relationship Type="http://schemas.openxmlformats.org/officeDocument/2006/relationships/hyperlink" Target="https://cc-hautvaldoise.fr/fr/" TargetMode="External" Id="rId4525" /><Relationship Type="http://schemas.openxmlformats.org/officeDocument/2006/relationships/hyperlink" Target="https://lannuaire.service-public.gouv.fr/ile-de-france/val-d-oise/7682524d-c84d-4e47-8009-5ece035ba07c" TargetMode="External" Id="rId4526" /><Relationship Type="http://schemas.openxmlformats.org/officeDocument/2006/relationships/hyperlink" Target="mailto:secretariat@vexinvaldeseine.fr" TargetMode="External" Id="rId4527" /><Relationship Type="http://schemas.openxmlformats.org/officeDocument/2006/relationships/hyperlink" Target="https://vexinvaldeseine.fr/" TargetMode="External" Id="rId4528" /><Relationship Type="http://schemas.openxmlformats.org/officeDocument/2006/relationships/hyperlink" Target="https://vexinvaldeseine.fr/contactez-la-ccvvs/" TargetMode="External" Id="rId4529" /><Relationship Type="http://schemas.openxmlformats.org/officeDocument/2006/relationships/hyperlink" Target="https://lannuaire.service-public.gouv.fr/ile-de-france/val-d-oise/31862daa-7cdf-44ad-a4cf-911c1c97782e" TargetMode="External" Id="rId4530" /><Relationship Type="http://schemas.openxmlformats.org/officeDocument/2006/relationships/hyperlink" Target="mailto:contact@capexcellence.net" TargetMode="External" Id="rId4531" /><Relationship Type="http://schemas.openxmlformats.org/officeDocument/2006/relationships/hyperlink" Target="https://www.capexcellence.net/" TargetMode="External" Id="rId4532" /><Relationship Type="http://schemas.openxmlformats.org/officeDocument/2006/relationships/hyperlink" Target="https://lannuaire.service-public.gouv.fr/guadeloupe/guadeloupe/80e7600c-a7e6-47d3-a0b9-665f6d9e4394" TargetMode="External" Id="rId4533" /><Relationship Type="http://schemas.openxmlformats.org/officeDocument/2006/relationships/hyperlink" Target="mailto:ccsbt2@wanadoo.fr" TargetMode="External" Id="rId4534" /><Relationship Type="http://schemas.openxmlformats.org/officeDocument/2006/relationships/hyperlink" Target="https://www.grandsudcaraibe.fr/" TargetMode="External" Id="rId4535" /><Relationship Type="http://schemas.openxmlformats.org/officeDocument/2006/relationships/hyperlink" Target="https://www.grandsudcaraibe.fr/non-classe/contactez-nous/" TargetMode="External" Id="rId4536" /><Relationship Type="http://schemas.openxmlformats.org/officeDocument/2006/relationships/hyperlink" Target="https://lannuaire.service-public.gouv.fr/guadeloupe/guadeloupe/85d64ea4-9595-4f82-87c7-365285222ea8" TargetMode="External" Id="rId4537" /><Relationship Type="http://schemas.openxmlformats.org/officeDocument/2006/relationships/hyperlink" Target="mailto:carl@rivieradulevant.fr" TargetMode="External" Id="rId4538" /><Relationship Type="http://schemas.openxmlformats.org/officeDocument/2006/relationships/hyperlink" Target="https://www.rivieradulevant.fr" TargetMode="External" Id="rId4539" /><Relationship Type="http://schemas.openxmlformats.org/officeDocument/2006/relationships/hyperlink" Target="https://lannuaire.service-public.gouv.fr/guadeloupe/guadeloupe/f7fa91b0-a8d5-4fb1-b7a3-b33802927351" TargetMode="External" Id="rId4540" /><Relationship Type="http://schemas.openxmlformats.org/officeDocument/2006/relationships/hyperlink" Target="mailto:contact@canbt.fr" TargetMode="External" Id="rId4541" /><Relationship Type="http://schemas.openxmlformats.org/officeDocument/2006/relationships/hyperlink" Target="https://canbt.fr/" TargetMode="External" Id="rId4542" /><Relationship Type="http://schemas.openxmlformats.org/officeDocument/2006/relationships/hyperlink" Target="https://lannuaire.service-public.gouv.fr/guadeloupe/guadeloupe/e68a4a8d-872b-4470-a2eb-b630680d7ada" TargetMode="External" Id="rId4543" /><Relationship Type="http://schemas.openxmlformats.org/officeDocument/2006/relationships/hyperlink" Target="mailto:communaute@cangt-guadeloupe.fr" TargetMode="External" Id="rId4544" /><Relationship Type="http://schemas.openxmlformats.org/officeDocument/2006/relationships/hyperlink" Target="https://www.cangt.fr/" TargetMode="External" Id="rId4545" /><Relationship Type="http://schemas.openxmlformats.org/officeDocument/2006/relationships/hyperlink" Target="https://www.cangt.fr/contact-mairie-de-cangt/" TargetMode="External" Id="rId4546" /><Relationship Type="http://schemas.openxmlformats.org/officeDocument/2006/relationships/hyperlink" Target="https://lannuaire.service-public.gouv.fr/guadeloupe/guadeloupe/50468cee-7965-439d-831d-c76c928318a5" TargetMode="External" Id="rId4547" /><Relationship Type="http://schemas.openxmlformats.org/officeDocument/2006/relationships/hyperlink" Target="mailto:secretariat@paysmariegalante.fr" TargetMode="External" Id="rId4548" /><Relationship Type="http://schemas.openxmlformats.org/officeDocument/2006/relationships/hyperlink" Target="https://www.paysmariegalante.fr" TargetMode="External" Id="rId4549" /><Relationship Type="http://schemas.openxmlformats.org/officeDocument/2006/relationships/hyperlink" Target="https://paysmariegalante.fr/contact/" TargetMode="External" Id="rId4550" /><Relationship Type="http://schemas.openxmlformats.org/officeDocument/2006/relationships/hyperlink" Target="https://lannuaire.service-public.gouv.fr/guadeloupe/guadeloupe/fe656d4c-4103-491f-822d-788a5975e332" TargetMode="External" Id="rId4551" /><Relationship Type="http://schemas.openxmlformats.org/officeDocument/2006/relationships/hyperlink" Target="mailto:caesm@espacesud.fr" TargetMode="External" Id="rId4552" /><Relationship Type="http://schemas.openxmlformats.org/officeDocument/2006/relationships/hyperlink" Target="https://espacesud.fr/" TargetMode="External" Id="rId4553" /><Relationship Type="http://schemas.openxmlformats.org/officeDocument/2006/relationships/hyperlink" Target="https://lannuaire.service-public.gouv.fr/martinique/martinique/429a43d1-b34c-4fe6-b3f4-e67a867b03d8" TargetMode="External" Id="rId4554" /><Relationship Type="http://schemas.openxmlformats.org/officeDocument/2006/relationships/hyperlink" Target="mailto:contact@cacem-mq.org" TargetMode="External" Id="rId4555" /><Relationship Type="http://schemas.openxmlformats.org/officeDocument/2006/relationships/hyperlink" Target="https://www.cacem.org/" TargetMode="External" Id="rId4556" /><Relationship Type="http://schemas.openxmlformats.org/officeDocument/2006/relationships/hyperlink" Target="https://www.cacem.org/contact/" TargetMode="External" Id="rId4557" /><Relationship Type="http://schemas.openxmlformats.org/officeDocument/2006/relationships/hyperlink" Target="https://lannuaire.service-public.gouv.fr/martinique/martinique/3c58359a-4232-4f56-898e-d98c4c3581c4" TargetMode="External" Id="rId4558" /><Relationship Type="http://schemas.openxmlformats.org/officeDocument/2006/relationships/hyperlink" Target="mailto:contact@capnordmartinique.fr" TargetMode="External" Id="rId4559" /><Relationship Type="http://schemas.openxmlformats.org/officeDocument/2006/relationships/hyperlink" Target="http://www.capnordmartinique.fr" TargetMode="External" Id="rId4560" /><Relationship Type="http://schemas.openxmlformats.org/officeDocument/2006/relationships/hyperlink" Target="http://www.capnordmartinique.fr/contact" TargetMode="External" Id="rId4561" /><Relationship Type="http://schemas.openxmlformats.org/officeDocument/2006/relationships/hyperlink" Target="https://lannuaire.service-public.gouv.fr/martinique/martinique/b22db8ba-c4c5-4cac-8b0c-ffdc6c5209c1" TargetMode="External" Id="rId4562" /><Relationship Type="http://schemas.openxmlformats.org/officeDocument/2006/relationships/hyperlink" Target="mailto:infos@cacl-guyane.fr" TargetMode="External" Id="rId4563" /><Relationship Type="http://schemas.openxmlformats.org/officeDocument/2006/relationships/hyperlink" Target="https://www.cacl-guyane.fr/" TargetMode="External" Id="rId4564" /><Relationship Type="http://schemas.openxmlformats.org/officeDocument/2006/relationships/hyperlink" Target="https://www.cacl-guyane.fr/" TargetMode="External" Id="rId4565" /><Relationship Type="http://schemas.openxmlformats.org/officeDocument/2006/relationships/hyperlink" Target="https://lannuaire.service-public.gouv.fr/guyane/guyane/d6fc63a0-9d09-44d3-afb1-ad471694bc01" TargetMode="External" Id="rId4566" /><Relationship Type="http://schemas.openxmlformats.org/officeDocument/2006/relationships/hyperlink" Target="mailto:contact@cceg-973.fr" TargetMode="External" Id="rId4567" /><Relationship Type="http://schemas.openxmlformats.org/officeDocument/2006/relationships/hyperlink" Target="https://www.guyane-amazonie.fr/je-decouvre/territoires/est-guyanais/" TargetMode="External" Id="rId4568" /><Relationship Type="http://schemas.openxmlformats.org/officeDocument/2006/relationships/hyperlink" Target="https://ouestguyane.fr/" TargetMode="External" Id="rId4569" /><Relationship Type="http://schemas.openxmlformats.org/officeDocument/2006/relationships/hyperlink" Target="https://lannuaire.service-public.gouv.fr/guyane/guyane/acba5ff3-501c-4f27-b1bf-6b17eddb757f" TargetMode="External" Id="rId4570" /><Relationship Type="http://schemas.openxmlformats.org/officeDocument/2006/relationships/hyperlink" Target="mailto:info@ouestguyane.fr" TargetMode="External" Id="rId4571" /><Relationship Type="http://schemas.openxmlformats.org/officeDocument/2006/relationships/hyperlink" Target="https://ouestguyane.fr/" TargetMode="External" Id="rId4572" /><Relationship Type="http://schemas.openxmlformats.org/officeDocument/2006/relationships/hyperlink" Target="https://ouestguyane.fr/" TargetMode="External" Id="rId4573" /><Relationship Type="http://schemas.openxmlformats.org/officeDocument/2006/relationships/hyperlink" Target="https://lannuaire.service-public.gouv.fr/guyane/guyane/65254aa3-d0b2-40a7-a730-62896efa351e" TargetMode="External" Id="rId4574" /><Relationship Type="http://schemas.openxmlformats.org/officeDocument/2006/relationships/hyperlink" Target="mailto:info@ccdsguyane.fr" TargetMode="External" Id="rId4575" /><Relationship Type="http://schemas.openxmlformats.org/officeDocument/2006/relationships/hyperlink" Target="https://www.ccdsguyane.fr/" TargetMode="External" Id="rId4576" /><Relationship Type="http://schemas.openxmlformats.org/officeDocument/2006/relationships/hyperlink" Target="https://www.ccdsguyane.fr/contact/" TargetMode="External" Id="rId4577" /><Relationship Type="http://schemas.openxmlformats.org/officeDocument/2006/relationships/hyperlink" Target="https://lannuaire.service-public.gouv.fr/guyane/guyane/5bc85fe4-648e-4baf-8480-8ad0f3e9cca6" TargetMode="External" Id="rId4578" /><Relationship Type="http://schemas.openxmlformats.org/officeDocument/2006/relationships/hyperlink" Target="mailto:accueil@civis.re" TargetMode="External" Id="rId4579" /><Relationship Type="http://schemas.openxmlformats.org/officeDocument/2006/relationships/hyperlink" Target="https://www.civis.re/" TargetMode="External" Id="rId4580" /><Relationship Type="http://schemas.openxmlformats.org/officeDocument/2006/relationships/hyperlink" Target="https://lannuaire.service-public.gouv.fr/la-reunion/la-reunion/c4e462e5-7603-4569-9be4-a2c887951483" TargetMode="External" Id="rId4581" /><Relationship Type="http://schemas.openxmlformats.org/officeDocument/2006/relationships/hyperlink" Target="mailto:cirest@cirest.fr" TargetMode="External" Id="rId4582" /><Relationship Type="http://schemas.openxmlformats.org/officeDocument/2006/relationships/hyperlink" Target="https://www.cirest.fr/" TargetMode="External" Id="rId4583" /><Relationship Type="http://schemas.openxmlformats.org/officeDocument/2006/relationships/hyperlink" Target="https://www.cirest.fr/contact/" TargetMode="External" Id="rId4584" /><Relationship Type="http://schemas.openxmlformats.org/officeDocument/2006/relationships/hyperlink" Target="https://lannuaire.service-public.gouv.fr/la-reunion/la-reunion/629659a0-949b-445b-9004-dfe32147b5d9" TargetMode="External" Id="rId4585" /><Relationship Type="http://schemas.openxmlformats.org/officeDocument/2006/relationships/hyperlink" Target="mailto:direction.generale@cinor.org" TargetMode="External" Id="rId4586" /><Relationship Type="http://schemas.openxmlformats.org/officeDocument/2006/relationships/hyperlink" Target="https://www.cinor.re/" TargetMode="External" Id="rId4587" /><Relationship Type="http://schemas.openxmlformats.org/officeDocument/2006/relationships/hyperlink" Target="https://www.cinor.re/contact/" TargetMode="External" Id="rId4588" /><Relationship Type="http://schemas.openxmlformats.org/officeDocument/2006/relationships/hyperlink" Target="https://lannuaire.service-public.gouv.fr/la-reunion/la-reunion/4a664769-1a44-49fe-aab5-b7c4b350db34" TargetMode="External" Id="rId4589" /><Relationship Type="http://schemas.openxmlformats.org/officeDocument/2006/relationships/hyperlink" Target="mailto:courrier@tco.re" TargetMode="External" Id="rId4590" /><Relationship Type="http://schemas.openxmlformats.org/officeDocument/2006/relationships/hyperlink" Target="https://www.tco.re/" TargetMode="External" Id="rId4591" /><Relationship Type="http://schemas.openxmlformats.org/officeDocument/2006/relationships/hyperlink" Target="https://lannuaire.service-public.gouv.fr/la-reunion/la-reunion/1cd57a4f-44c8-4435-8f32-18b0cdd9e225" TargetMode="External" Id="rId4592" /><Relationship Type="http://schemas.openxmlformats.org/officeDocument/2006/relationships/hyperlink" Target="mailto:contact@casud.re" TargetMode="External" Id="rId4593" /><Relationship Type="http://schemas.openxmlformats.org/officeDocument/2006/relationships/hyperlink" Target="https://www.casud.re/" TargetMode="External" Id="rId4594" /><Relationship Type="http://schemas.openxmlformats.org/officeDocument/2006/relationships/hyperlink" Target="https://www.casud.re/contactez-nous" TargetMode="External" Id="rId4595" /><Relationship Type="http://schemas.openxmlformats.org/officeDocument/2006/relationships/hyperlink" Target="https://lannuaire.service-public.gouv.fr/la-reunion/la-reunion/72c04217-fc47-4cd8-93bf-35f9f363ad93" TargetMode="External" Id="rId4596" /><Relationship Type="http://schemas.openxmlformats.org/officeDocument/2006/relationships/hyperlink" Target="mailto:contact@cadema.yt" TargetMode="External" Id="rId4597" /><Relationship Type="http://schemas.openxmlformats.org/officeDocument/2006/relationships/hyperlink" Target="https://cadema.yt/" TargetMode="External" Id="rId4598" /><Relationship Type="http://schemas.openxmlformats.org/officeDocument/2006/relationships/hyperlink" Target="https://cadema.yt/nous-contacter/" TargetMode="External" Id="rId4599" /><Relationship Type="http://schemas.openxmlformats.org/officeDocument/2006/relationships/hyperlink" Target="https://lannuaire.service-public.gouv.fr/mayotte/mayotte/7e8faba9-b32b-4f05-b160-4f89dc64b910" TargetMode="External" Id="rId4600" /><Relationship Type="http://schemas.openxmlformats.org/officeDocument/2006/relationships/hyperlink" Target="mailto:communication.cagnm@cagnm.fr" TargetMode="External" Id="rId4601" /><Relationship Type="http://schemas.openxmlformats.org/officeDocument/2006/relationships/hyperlink" Target="https://www.cagnm.yt" TargetMode="External" Id="rId4602" /><Relationship Type="http://schemas.openxmlformats.org/officeDocument/2006/relationships/hyperlink" Target="https://www.cagnm.yt/nous-contacter/" TargetMode="External" Id="rId4603" /><Relationship Type="http://schemas.openxmlformats.org/officeDocument/2006/relationships/hyperlink" Target="https://lannuaire.service-public.gouv.fr/mayotte/mayotte/9029bd0a-5953-4aab-ab34-c592eb6d724b" TargetMode="External" Id="rId4604" /><Relationship Type="http://schemas.openxmlformats.org/officeDocument/2006/relationships/hyperlink" Target="https://lannuaire.service-public.gouv.fr/mayotte/mayotte/60c3433e-1338-4695-8d95-1e417818039e" TargetMode="External" Id="rId4605" /><Relationship Type="http://schemas.openxmlformats.org/officeDocument/2006/relationships/hyperlink" Target="mailto:accueil@3co-mayotte.fr" TargetMode="External" Id="rId4606" /><Relationship Type="http://schemas.openxmlformats.org/officeDocument/2006/relationships/hyperlink" Target="https://www.3co-mayotte.fr" TargetMode="External" Id="rId4607" /><Relationship Type="http://schemas.openxmlformats.org/officeDocument/2006/relationships/hyperlink" Target="https://www.3co-mayotte.fr/contacts/" TargetMode="External" Id="rId4608" /><Relationship Type="http://schemas.openxmlformats.org/officeDocument/2006/relationships/hyperlink" Target="https://lannuaire.service-public.gouv.fr/mayotte/mayotte/4d2e62b6-b02f-4ab1-963f-6d10f896f187" TargetMode="External" Id="rId4609" /><Relationship Type="http://schemas.openxmlformats.org/officeDocument/2006/relationships/hyperlink" Target="mailto:contact@ccsud.yt" TargetMode="External" Id="rId4610" /><Relationship Type="http://schemas.openxmlformats.org/officeDocument/2006/relationships/hyperlink" Target="https://lannuaire.service-public.gouv.fr/mayotte/mayotte/ed3cd2df-ee8e-4651-b809-6795ac6b3fe9" TargetMode="External" Id="rId4611" /></Relationships>
</file>

<file path=xl/worksheets/_rels/sheet3.xml.rels><Relationships xmlns="http://schemas.openxmlformats.org/package/2006/relationships"><Relationship Type="http://schemas.openxmlformats.org/officeDocument/2006/relationships/hyperlink" Target="mailto:accueil@ccbresseetsaone.fr" TargetMode="External" Id="rId1" /><Relationship Type="http://schemas.openxmlformats.org/officeDocument/2006/relationships/hyperlink" Target="https://www.ccbresseetsaone.fr/" TargetMode="External" Id="rId2" /><Relationship Type="http://schemas.openxmlformats.org/officeDocument/2006/relationships/hyperlink" Target="https://www.ccbresseetsaone.fr/nous-contacter/" TargetMode="External" Id="rId3" /><Relationship Type="http://schemas.openxmlformats.org/officeDocument/2006/relationships/hyperlink" Target="https://lannuaire.service-public.gouv.fr/auvergne-rhone-alpes/ain/31de1c7a-3bb6-4c7c-a672-816f2af0b87a" TargetMode="External" Id="rId4" /><Relationship Type="http://schemas.openxmlformats.org/officeDocument/2006/relationships/hyperlink" Target="mailto:accueil@ccbugeysud.com" TargetMode="External" Id="rId5" /><Relationship Type="http://schemas.openxmlformats.org/officeDocument/2006/relationships/hyperlink" Target="https://www.ccbugeysud.com/" TargetMode="External" Id="rId6" /><Relationship Type="http://schemas.openxmlformats.org/officeDocument/2006/relationships/hyperlink" Target="https://www.ccbugeysud.com/la-collectivite/contacts-et-logo/" TargetMode="External" Id="rId7" /><Relationship Type="http://schemas.openxmlformats.org/officeDocument/2006/relationships/hyperlink" Target="https://lannuaire.service-public.gouv.fr/auvergne-rhone-alpes/ain/51b6052a-73af-4c3e-bd45-5ac214ff4c71" TargetMode="External" Id="rId8" /><Relationship Type="http://schemas.openxmlformats.org/officeDocument/2006/relationships/hyperlink" Target="mailto:contact@ccdsv.fr" TargetMode="External" Id="rId9" /><Relationship Type="http://schemas.openxmlformats.org/officeDocument/2006/relationships/hyperlink" Target="https://www.ccdsv.fr/" TargetMode="External" Id="rId10" /><Relationship Type="http://schemas.openxmlformats.org/officeDocument/2006/relationships/hyperlink" Target="https://lannuaire.service-public.gouv.fr/auvergne-rhone-alpes/ain/32c18409-c830-4ba1-988f-53798fd4b9a2" TargetMode="External" Id="rId11" /><Relationship Type="http://schemas.openxmlformats.org/officeDocument/2006/relationships/hyperlink" Target="mailto:accueil@ain-cerdon.fr" TargetMode="External" Id="rId12" /><Relationship Type="http://schemas.openxmlformats.org/officeDocument/2006/relationships/hyperlink" Target="https://www.ain-cerdon.fr/" TargetMode="External" Id="rId13" /><Relationship Type="http://schemas.openxmlformats.org/officeDocument/2006/relationships/hyperlink" Target="https://www.ain-cerdon.fr/contact/" TargetMode="External" Id="rId14" /><Relationship Type="http://schemas.openxmlformats.org/officeDocument/2006/relationships/hyperlink" Target="https://lannuaire.service-public.gouv.fr/auvergne-rhone-alpes/ain/7c54a81b-bfe4-4256-8884-5fd8703fb853" TargetMode="External" Id="rId15" /><Relationship Type="http://schemas.openxmlformats.org/officeDocument/2006/relationships/hyperlink" Target="mailto:info@terrevalserhone.fr" TargetMode="External" Id="rId16" /><Relationship Type="http://schemas.openxmlformats.org/officeDocument/2006/relationships/hyperlink" Target="https://terrevalserhone.fr/" TargetMode="External" Id="rId17" /><Relationship Type="http://schemas.openxmlformats.org/officeDocument/2006/relationships/hyperlink" Target="https://lannuaire.service-public.gouv.fr/auvergne-rhone-alpes/ain/f6bc123d-9ed3-4ad9-bc18-685e4142da05" TargetMode="External" Id="rId18" /><Relationship Type="http://schemas.openxmlformats.org/officeDocument/2006/relationships/hyperlink" Target="mailto:accueil@cc-ur.fr" TargetMode="External" Id="rId19" /><Relationship Type="http://schemas.openxmlformats.org/officeDocument/2006/relationships/hyperlink" Target="https://www.usses-et-rhone.fr/" TargetMode="External" Id="rId20" /><Relationship Type="http://schemas.openxmlformats.org/officeDocument/2006/relationships/hyperlink" Target="https://lannuaire.service-public.gouv.fr/auvergne-rhone-alpes/haute-savoie/1197ee22-f148-4d3f-880f-b5373ab2b987" TargetMode="External" Id="rId21" /><Relationship Type="http://schemas.openxmlformats.org/officeDocument/2006/relationships/hyperlink" Target="mailto:accueil@ccvsc01.org" TargetMode="External" Id="rId22" /><Relationship Type="http://schemas.openxmlformats.org/officeDocument/2006/relationships/hyperlink" Target="https://www.ccvsc01.org/" TargetMode="External" Id="rId23" /><Relationship Type="http://schemas.openxmlformats.org/officeDocument/2006/relationships/hyperlink" Target="https://lannuaire.service-public.gouv.fr/auvergne-rhone-alpes/ain/85a7aa66-fdb6-469b-8274-feb81b44a106" TargetMode="External" Id="rId24" /><Relationship Type="http://schemas.openxmlformats.org/officeDocument/2006/relationships/hyperlink" Target="mailto:contact@cc-miribel.fr" TargetMode="External" Id="rId25" /><Relationship Type="http://schemas.openxmlformats.org/officeDocument/2006/relationships/hyperlink" Target="https://cc-miribel.fr/" TargetMode="External" Id="rId26" /><Relationship Type="http://schemas.openxmlformats.org/officeDocument/2006/relationships/hyperlink" Target="https://lannuaire.service-public.gouv.fr/auvergne-rhone-alpes/ain/b311e423-fcc1-41cb-bbec-067819eef761" TargetMode="External" Id="rId27" /><Relationship Type="http://schemas.openxmlformats.org/officeDocument/2006/relationships/hyperlink" Target="mailto:infos@3cm.fr" TargetMode="External" Id="rId28" /><Relationship Type="http://schemas.openxmlformats.org/officeDocument/2006/relationships/hyperlink" Target="https://www.3cm.fr/" TargetMode="External" Id="rId29" /><Relationship Type="http://schemas.openxmlformats.org/officeDocument/2006/relationships/hyperlink" Target="https://lannuaire.service-public.gouv.fr/auvergne-rhone-alpes/ain/1055a5d1-81c2-4d92-960d-5095cbffc5bf" TargetMode="External" Id="rId30" /><Relationship Type="http://schemas.openxmlformats.org/officeDocument/2006/relationships/hyperlink" Target="mailto:contact@ccdombes.fr" TargetMode="External" Id="rId31" /><Relationship Type="http://schemas.openxmlformats.org/officeDocument/2006/relationships/hyperlink" Target="https://www.ccdombes.fr" TargetMode="External" Id="rId32" /><Relationship Type="http://schemas.openxmlformats.org/officeDocument/2006/relationships/hyperlink" Target="https://www.ccdombes.fr/contact/" TargetMode="External" Id="rId33" /><Relationship Type="http://schemas.openxmlformats.org/officeDocument/2006/relationships/hyperlink" Target="https://lannuaire.service-public.gouv.fr/auvergne-rhone-alpes/ain/1c3d258e-06a9-446b-a607-c962b4232c0f" TargetMode="External" Id="rId34" /><Relationship Type="http://schemas.openxmlformats.org/officeDocument/2006/relationships/hyperlink" Target="mailto:contact@cc-plainedelain.fr" TargetMode="External" Id="rId35" /><Relationship Type="http://schemas.openxmlformats.org/officeDocument/2006/relationships/hyperlink" Target="https://cc-plainedelain.fr" TargetMode="External" Id="rId36" /><Relationship Type="http://schemas.openxmlformats.org/officeDocument/2006/relationships/hyperlink" Target="https://www.cc-plainedelain.fr/fr/contact.html" TargetMode="External" Id="rId37" /><Relationship Type="http://schemas.openxmlformats.org/officeDocument/2006/relationships/hyperlink" Target="https://lannuaire.service-public.gouv.fr/auvergne-rhone-alpes/ain/c832c350-2fb4-44f2-b465-4cab3844b8f0" TargetMode="External" Id="rId38" /><Relationship Type="http://schemas.openxmlformats.org/officeDocument/2006/relationships/hyperlink" Target="mailto:accueil@cc-laveyle.fr" TargetMode="External" Id="rId39" /><Relationship Type="http://schemas.openxmlformats.org/officeDocument/2006/relationships/hyperlink" Target="https://www.cc-laveyle.fr/" TargetMode="External" Id="rId40" /><Relationship Type="http://schemas.openxmlformats.org/officeDocument/2006/relationships/hyperlink" Target="https://lannuaire.service-public.gouv.fr/auvergne-rhone-alpes/ain/c727991c-62e6-454a-9e74-ae42f76963b9" TargetMode="External" Id="rId41" /><Relationship Type="http://schemas.openxmlformats.org/officeDocument/2006/relationships/hyperlink" Target="mailto:accueil@picardiedeschateaux.fr" TargetMode="External" Id="rId42" /><Relationship Type="http://schemas.openxmlformats.org/officeDocument/2006/relationships/hyperlink" Target="https://picardiedeschateaux.fr/" TargetMode="External" Id="rId43" /><Relationship Type="http://schemas.openxmlformats.org/officeDocument/2006/relationships/hyperlink" Target="https://lannuaire.service-public.gouv.fr/hauts-de-france/aisne/39032582-3389-4d71-b35d-c4788cfcacdb" TargetMode="External" Id="rId44" /><Relationship Type="http://schemas.openxmlformats.org/officeDocument/2006/relationships/hyperlink" Target="mailto:communautedecommunes@retzenvalois.fr" TargetMode="External" Id="rId45" /><Relationship Type="http://schemas.openxmlformats.org/officeDocument/2006/relationships/hyperlink" Target="https://www.cc-retz-en-valois.fr/" TargetMode="External" Id="rId46" /><Relationship Type="http://schemas.openxmlformats.org/officeDocument/2006/relationships/hyperlink" Target="https://www.cc-retz-en-valois.fr/contact/" TargetMode="External" Id="rId47" /><Relationship Type="http://schemas.openxmlformats.org/officeDocument/2006/relationships/hyperlink" Target="https://lannuaire.service-public.gouv.fr/hauts-de-france/aisne/8e3e9bb2-ac56-4bde-aead-1b97e57fe3ee" TargetMode="External" Id="rId48" /><Relationship Type="http://schemas.openxmlformats.org/officeDocument/2006/relationships/hyperlink" Target="mailto:contact@cctso.fr" TargetMode="External" Id="rId49" /><Relationship Type="http://schemas.openxmlformats.org/officeDocument/2006/relationships/hyperlink" Target="https://www.cctso.fr/" TargetMode="External" Id="rId50" /><Relationship Type="http://schemas.openxmlformats.org/officeDocument/2006/relationships/hyperlink" Target="https://www.cctso.fr/contact/" TargetMode="External" Id="rId51" /><Relationship Type="http://schemas.openxmlformats.org/officeDocument/2006/relationships/hyperlink" Target="https://lannuaire.service-public.gouv.fr/hauts-de-france/aisne/5576b748-5d51-41a2-8dc6-aa17041c0379" TargetMode="External" Id="rId52" /><Relationship Type="http://schemas.openxmlformats.org/officeDocument/2006/relationships/hyperlink" Target="mailto:contact@estdelasomme.fr" TargetMode="External" Id="rId53" /><Relationship Type="http://schemas.openxmlformats.org/officeDocument/2006/relationships/hyperlink" Target="https://estdelasomme.fr/" TargetMode="External" Id="rId54" /><Relationship Type="http://schemas.openxmlformats.org/officeDocument/2006/relationships/hyperlink" Target="https://lannuaire.service-public.gouv.fr/hauts-de-france/somme/889262fe-2f8f-4ed7-aae0-82633096bad4" TargetMode="External" Id="rId55" /><Relationship Type="http://schemas.openxmlformats.org/officeDocument/2006/relationships/hyperlink" Target="mailto:info@cc-champagnepicarde.fr" TargetMode="External" Id="rId56" /><Relationship Type="http://schemas.openxmlformats.org/officeDocument/2006/relationships/hyperlink" Target="https://www.cc-champagnepicarde.fr/" TargetMode="External" Id="rId57" /><Relationship Type="http://schemas.openxmlformats.org/officeDocument/2006/relationships/hyperlink" Target="https://www.cc-champagnepicarde.fr/contact" TargetMode="External" Id="rId58" /><Relationship Type="http://schemas.openxmlformats.org/officeDocument/2006/relationships/hyperlink" Target="https://lannuaire.service-public.gouv.fr/hauts-de-france/aisne/7f98afca-1ab2-44f6-9b11-ac66219b723c" TargetMode="External" Id="rId59" /><Relationship Type="http://schemas.openxmlformats.org/officeDocument/2006/relationships/hyperlink" Target="mailto:contact@thieracheducentre.fr" TargetMode="External" Id="rId60" /><Relationship Type="http://schemas.openxmlformats.org/officeDocument/2006/relationships/hyperlink" Target="https://lannuaire.service-public.gouv.fr/hauts-de-france/aisne/25f43a15-0a87-4620-8849-29b690c94af2" TargetMode="External" Id="rId61" /><Relationship Type="http://schemas.openxmlformats.org/officeDocument/2006/relationships/hyperlink" Target="mailto:contact@portes-de-thierache.fr" TargetMode="External" Id="rId62" /><Relationship Type="http://schemas.openxmlformats.org/officeDocument/2006/relationships/hyperlink" Target="https://www.portes-de-thierache.fr/" TargetMode="External" Id="rId63" /><Relationship Type="http://schemas.openxmlformats.org/officeDocument/2006/relationships/hyperlink" Target="https://www.portes-de-thierache.fr/" TargetMode="External" Id="rId64" /><Relationship Type="http://schemas.openxmlformats.org/officeDocument/2006/relationships/hyperlink" Target="https://lannuaire.service-public.gouv.fr/hauts-de-france/aisne/aaf459a6-2f1c-43f1-957e-0a766cccb1c9" TargetMode="External" Id="rId65" /><Relationship Type="http://schemas.openxmlformats.org/officeDocument/2006/relationships/hyperlink" Target="mailto:administratif@cc3r.fr" TargetMode="External" Id="rId66" /><Relationship Type="http://schemas.openxmlformats.org/officeDocument/2006/relationships/hyperlink" Target="https://cc3r.fr/" TargetMode="External" Id="rId67" /><Relationship Type="http://schemas.openxmlformats.org/officeDocument/2006/relationships/hyperlink" Target="http://www.cc3r.fr/contact.html" TargetMode="External" Id="rId68" /><Relationship Type="http://schemas.openxmlformats.org/officeDocument/2006/relationships/hyperlink" Target="https://lannuaire.service-public.gouv.fr/hauts-de-france/aisne/afc0adbf-171d-40f4-b571-dd21bdc49032" TargetMode="External" Id="rId69" /><Relationship Type="http://schemas.openxmlformats.org/officeDocument/2006/relationships/hyperlink" Target="mailto:contact@cc-oulchylechateau.fr" TargetMode="External" Id="rId70" /><Relationship Type="http://schemas.openxmlformats.org/officeDocument/2006/relationships/hyperlink" Target="https://www.cc-oulchylechateau.fr/" TargetMode="External" Id="rId71" /><Relationship Type="http://schemas.openxmlformats.org/officeDocument/2006/relationships/hyperlink" Target="https://www.cc-oulchylechateau.fr/contact/" TargetMode="External" Id="rId72" /><Relationship Type="http://schemas.openxmlformats.org/officeDocument/2006/relationships/hyperlink" Target="https://lannuaire.service-public.gouv.fr/hauts-de-france/aisne/21e42e96-f87f-484a-ae22-3992807abb25" TargetMode="External" Id="rId73" /><Relationship Type="http://schemas.openxmlformats.org/officeDocument/2006/relationships/hyperlink" Target="mailto:accueil.c4@c4charly.fr" TargetMode="External" Id="rId74" /><Relationship Type="http://schemas.openxmlformats.org/officeDocument/2006/relationships/hyperlink" Target="https://www.c4-charlysurmarne.fr/" TargetMode="External" Id="rId75" /><Relationship Type="http://schemas.openxmlformats.org/officeDocument/2006/relationships/hyperlink" Target="https://lannuaire.service-public.gouv.fr/hauts-de-france/aisne/d5dc72fc-9c23-4f46-a904-dc15bfea30b6" TargetMode="External" Id="rId76" /><Relationship Type="http://schemas.openxmlformats.org/officeDocument/2006/relationships/hyperlink" Target="mailto:administration@cc-cheminsdesdames.fr" TargetMode="External" Id="rId77" /><Relationship Type="http://schemas.openxmlformats.org/officeDocument/2006/relationships/hyperlink" Target="https://www.cc-chemindesdames.fr" TargetMode="External" Id="rId78" /><Relationship Type="http://schemas.openxmlformats.org/officeDocument/2006/relationships/hyperlink" Target="https://www.cc-chemindesdames.fr/contact" TargetMode="External" Id="rId79" /><Relationship Type="http://schemas.openxmlformats.org/officeDocument/2006/relationships/hyperlink" Target="https://lannuaire.service-public.gouv.fr/hauts-de-france/aisne/8c046bd4-3033-4345-8450-65f23b9f3c24" TargetMode="External" Id="rId80" /><Relationship Type="http://schemas.openxmlformats.org/officeDocument/2006/relationships/hyperlink" Target="mailto:contact@paysdelaserre.fr" TargetMode="External" Id="rId81" /><Relationship Type="http://schemas.openxmlformats.org/officeDocument/2006/relationships/hyperlink" Target="https://paysdelaserre.fr/" TargetMode="External" Id="rId82" /><Relationship Type="http://schemas.openxmlformats.org/officeDocument/2006/relationships/hyperlink" Target="https://paysdelaserre.fr/informations-utiles/nous-contacter/" TargetMode="External" Id="rId83" /><Relationship Type="http://schemas.openxmlformats.org/officeDocument/2006/relationships/hyperlink" Target="https://lannuaire.service-public.gouv.fr/hauts-de-france/aisne/5cb550d9-0183-4531-9094-a293f5bfe7dc" TargetMode="External" Id="rId84" /><Relationship Type="http://schemas.openxmlformats.org/officeDocument/2006/relationships/hyperlink" Target="mailto:contact@cc-vermandois.com" TargetMode="External" Id="rId85" /><Relationship Type="http://schemas.openxmlformats.org/officeDocument/2006/relationships/hyperlink" Target="https://www.cc-vermandois.com/" TargetMode="External" Id="rId86" /><Relationship Type="http://schemas.openxmlformats.org/officeDocument/2006/relationships/hyperlink" Target="https://www.cc-vermandois.com/nous-contacter" TargetMode="External" Id="rId87" /><Relationship Type="http://schemas.openxmlformats.org/officeDocument/2006/relationships/hyperlink" Target="https://lannuaire.service-public.gouv.fr/hauts-de-france/aisne/3e99c6f3-b886-476e-8687-89195cb252be" TargetMode="External" Id="rId88" /><Relationship Type="http://schemas.openxmlformats.org/officeDocument/2006/relationships/hyperlink" Target="mailto:accueil@cc-valdeaisne.fr" TargetMode="External" Id="rId89" /><Relationship Type="http://schemas.openxmlformats.org/officeDocument/2006/relationships/hyperlink" Target="http://www.cc-valdeaisne.fr" TargetMode="External" Id="rId90" /><Relationship Type="http://schemas.openxmlformats.org/officeDocument/2006/relationships/hyperlink" Target="https://lannuaire.service-public.gouv.fr/hauts-de-france/aisne/1a4ba3af-b3c2-4409-8804-6809875c1502" TargetMode="External" Id="rId91" /><Relationship Type="http://schemas.openxmlformats.org/officeDocument/2006/relationships/hyperlink" Target="mailto:contact@ccvo.fr" TargetMode="External" Id="rId92" /><Relationship Type="http://schemas.openxmlformats.org/officeDocument/2006/relationships/hyperlink" Target="https://www.ccvo.fr/" TargetMode="External" Id="rId93" /><Relationship Type="http://schemas.openxmlformats.org/officeDocument/2006/relationships/hyperlink" Target="https://lannuaire.service-public.gouv.fr/hauts-de-france/aisne/0e647563-373e-41fa-b670-06f79ca36401" TargetMode="External" Id="rId94" /><Relationship Type="http://schemas.openxmlformats.org/officeDocument/2006/relationships/hyperlink" Target="mailto:cmnc@cmnc03.fr" TargetMode="External" Id="rId95" /><Relationship Type="http://schemas.openxmlformats.org/officeDocument/2006/relationships/hyperlink" Target="https://www.cmnc03.fr/" TargetMode="External" Id="rId96" /><Relationship Type="http://schemas.openxmlformats.org/officeDocument/2006/relationships/hyperlink" Target="https://lannuaire.service-public.gouv.fr/auvergne-rhone-alpes/allier/8d068ead-d162-4dc1-a0f3-0438d5e0279a" TargetMode="External" Id="rId97" /><Relationship Type="http://schemas.openxmlformats.org/officeDocument/2006/relationships/hyperlink" Target="mailto:contact@interco-abl.fr" TargetMode="External" Id="rId98" /><Relationship Type="http://schemas.openxmlformats.org/officeDocument/2006/relationships/hyperlink" Target="https://www.interco-abl.fr/" TargetMode="External" Id="rId99" /><Relationship Type="http://schemas.openxmlformats.org/officeDocument/2006/relationships/hyperlink" Target="https://www.interco-abl.fr/index.php/territoire/contact" TargetMode="External" Id="rId100" /><Relationship Type="http://schemas.openxmlformats.org/officeDocument/2006/relationships/hyperlink" Target="https://lannuaire.service-public.gouv.fr/auvergne-rhone-alpes/allier/4ca3cd61-cb44-4afb-857e-6ca95f90d60c" TargetMode="External" Id="rId101" /><Relationship Type="http://schemas.openxmlformats.org/officeDocument/2006/relationships/hyperlink" Target="mailto:contact@legrandcharolais.fr" TargetMode="External" Id="rId102" /><Relationship Type="http://schemas.openxmlformats.org/officeDocument/2006/relationships/hyperlink" Target="https://www.legrandcharolais.fr" TargetMode="External" Id="rId103" /><Relationship Type="http://schemas.openxmlformats.org/officeDocument/2006/relationships/hyperlink" Target="https://www.legrandcharolais.fr/contact.html" TargetMode="External" Id="rId104" /><Relationship Type="http://schemas.openxmlformats.org/officeDocument/2006/relationships/hyperlink" Target="https://lannuaire.service-public.gouv.fr/bourgogne-franche-comte/saone-et-loire/b2002776-dd3e-4db2-a0b2-7b3884b70ff4" TargetMode="External" Id="rId105" /><Relationship Type="http://schemas.openxmlformats.org/officeDocument/2006/relationships/hyperlink" Target="mailto:accueil@ccspsl.fr" TargetMode="External" Id="rId106" /><Relationship Type="http://schemas.openxmlformats.org/officeDocument/2006/relationships/hyperlink" Target="https://www.comcom-ccspsl.fr/" TargetMode="External" Id="rId107" /><Relationship Type="http://schemas.openxmlformats.org/officeDocument/2006/relationships/hyperlink" Target="https://www.comcom-ccspsl.fr/nous-contacter/" TargetMode="External" Id="rId108" /><Relationship Type="http://schemas.openxmlformats.org/officeDocument/2006/relationships/hyperlink" Target="https://lannuaire.service-public.gouv.fr/auvergne-rhone-alpes/allier/85039543-6ba3-464f-944e-7b24507e2e3c" TargetMode="External" Id="rId109" /><Relationship Type="http://schemas.openxmlformats.org/officeDocument/2006/relationships/hyperlink" Target="mailto:contact@ccbb.fr" TargetMode="External" Id="rId110" /><Relationship Type="http://schemas.openxmlformats.org/officeDocument/2006/relationships/hyperlink" Target="https://www.cc-bocage-bourbonnais.com/" TargetMode="External" Id="rId111" /><Relationship Type="http://schemas.openxmlformats.org/officeDocument/2006/relationships/hyperlink" Target="https://www.cc-bocage-bourbonnais.com/contacter-ma-comcom.html" TargetMode="External" Id="rId112" /><Relationship Type="http://schemas.openxmlformats.org/officeDocument/2006/relationships/hyperlink" Target="https://lannuaire.service-public.gouv.fr/auvergne-rhone-alpes/allier/1a06c556-12c6-470d-bc74-3929fc79193f" TargetMode="External" Id="rId113" /><Relationship Type="http://schemas.openxmlformats.org/officeDocument/2006/relationships/hyperlink" Target="mailto:contact@cc-pays-huriel.com" TargetMode="External" Id="rId114" /><Relationship Type="http://schemas.openxmlformats.org/officeDocument/2006/relationships/hyperlink" Target="https://www.cc-pays-huriel.com/" TargetMode="External" Id="rId115" /><Relationship Type="http://schemas.openxmlformats.org/officeDocument/2006/relationships/hyperlink" Target="https://www.cc-pays-huriel.com/contact/" TargetMode="External" Id="rId116" /><Relationship Type="http://schemas.openxmlformats.org/officeDocument/2006/relationships/hyperlink" Target="https://lannuaire.service-public.gouv.fr/auvergne-rhone-alpes/allier/4ced9a02-3ba4-4d1b-a392-25e6a5448093" TargetMode="External" Id="rId117" /><Relationship Type="http://schemas.openxmlformats.org/officeDocument/2006/relationships/hyperlink" Target="mailto:contact@cc-paysdelapalisse.fr" TargetMode="External" Id="rId118" /><Relationship Type="http://schemas.openxmlformats.org/officeDocument/2006/relationships/hyperlink" Target="https://www.cc-paysdelapalisse.fr/fr/" TargetMode="External" Id="rId119" /><Relationship Type="http://schemas.openxmlformats.org/officeDocument/2006/relationships/hyperlink" Target="https://www.cc-paysdelapalisse.fr/fr/nous-contacter.html" TargetMode="External" Id="rId120" /><Relationship Type="http://schemas.openxmlformats.org/officeDocument/2006/relationships/hyperlink" Target="https://lannuaire.service-public.gouv.fr/auvergne-rhone-alpes/allier/333ca82c-626a-4f05-a46c-74e79e0abe7e" TargetMode="External" Id="rId121" /><Relationship Type="http://schemas.openxmlformats.org/officeDocument/2006/relationships/hyperlink" Target="mailto:comcom@paysdetroncais.fr" TargetMode="External" Id="rId122" /><Relationship Type="http://schemas.openxmlformats.org/officeDocument/2006/relationships/hyperlink" Target="https://www.paysdetroncais.fr/" TargetMode="External" Id="rId123" /><Relationship Type="http://schemas.openxmlformats.org/officeDocument/2006/relationships/hyperlink" Target="https://www.paysdetroncais.fr/" TargetMode="External" Id="rId124" /><Relationship Type="http://schemas.openxmlformats.org/officeDocument/2006/relationships/hyperlink" Target="https://lannuaire.service-public.gouv.fr/auvergne-rhone-alpes/allier/5e727590-45d0-45e2-85e2-50ababa7c440" TargetMode="External" Id="rId125" /><Relationship Type="http://schemas.openxmlformats.org/officeDocument/2006/relationships/hyperlink" Target="mailto:contact@valdecher.fr" TargetMode="External" Id="rId126" /><Relationship Type="http://schemas.openxmlformats.org/officeDocument/2006/relationships/hyperlink" Target="https://www.valdecher.fr/" TargetMode="External" Id="rId127" /><Relationship Type="http://schemas.openxmlformats.org/officeDocument/2006/relationships/hyperlink" Target="https://www.valdecher.fr/contactez-nous/" TargetMode="External" Id="rId128" /><Relationship Type="http://schemas.openxmlformats.org/officeDocument/2006/relationships/hyperlink" Target="https://lannuaire.service-public.gouv.fr/auvergne-rhone-alpes/allier/6ad0d449-cd8a-4bb7-9073-8a0ab825263a" TargetMode="External" Id="rId129" /><Relationship Type="http://schemas.openxmlformats.org/officeDocument/2006/relationships/hyperlink" Target="mailto:contact@ccapv.fr" TargetMode="External" Id="rId130" /><Relationship Type="http://schemas.openxmlformats.org/officeDocument/2006/relationships/hyperlink" Target="https://ccapv.fr/" TargetMode="External" Id="rId131" /><Relationship Type="http://schemas.openxmlformats.org/officeDocument/2006/relationships/hyperlink" Target="https://ccapv.fr/alpes-provence-verdon/contact-acces" TargetMode="External" Id="rId132" /><Relationship Type="http://schemas.openxmlformats.org/officeDocument/2006/relationships/hyperlink" Target="https://lannuaire.service-public.gouv.fr/provence-alpes-cote-d-azur/alpes-de-haute-provence/69dca1ee-7bca-4c4b-80b8-41be260d4a92" TargetMode="External" Id="rId133" /><Relationship Type="http://schemas.openxmlformats.org/officeDocument/2006/relationships/hyperlink" Target="mailto:mairie@mane-en-provence.com" TargetMode="External" Id="rId134" /><Relationship Type="http://schemas.openxmlformats.org/officeDocument/2006/relationships/hyperlink" Target="https://www.cchppb.fr/" TargetMode="External" Id="rId135" /><Relationship Type="http://schemas.openxmlformats.org/officeDocument/2006/relationships/hyperlink" Target="https://www.cchppb.fr/" TargetMode="External" Id="rId136" /><Relationship Type="http://schemas.openxmlformats.org/officeDocument/2006/relationships/hyperlink" Target="https://lannuaire.service-public.gouv.fr/provence-alpes-cote-d-azur/alpes-de-haute-provence/edffaf94-792b-49ae-ab47-02c0f7b68200" TargetMode="External" Id="rId137" /><Relationship Type="http://schemas.openxmlformats.org/officeDocument/2006/relationships/hyperlink" Target="mailto:secretariat@ccjlvd.fr" TargetMode="External" Id="rId138" /><Relationship Type="http://schemas.openxmlformats.org/officeDocument/2006/relationships/hyperlink" Target="https://ccjlvd.fr" TargetMode="External" Id="rId139" /><Relationship Type="http://schemas.openxmlformats.org/officeDocument/2006/relationships/hyperlink" Target="https://lannuaire.service-public.gouv.fr/provence-alpes-cote-d-azur/alpes-de-haute-provence/d9e5c89f-2bbb-4190-ae16-9793846e3e59" TargetMode="External" Id="rId140" /><Relationship Type="http://schemas.openxmlformats.org/officeDocument/2006/relationships/hyperlink" Target="mailto:accueil@ville-forcalquier.fr" TargetMode="External" Id="rId141" /><Relationship Type="http://schemas.openxmlformats.org/officeDocument/2006/relationships/hyperlink" Target="https://www.forcalquier-lure.com/" TargetMode="External" Id="rId142" /><Relationship Type="http://schemas.openxmlformats.org/officeDocument/2006/relationships/hyperlink" Target="https://www.forcalquier-lure.com/contact/" TargetMode="External" Id="rId143" /><Relationship Type="http://schemas.openxmlformats.org/officeDocument/2006/relationships/hyperlink" Target="https://lannuaire.service-public.gouv.fr/provence-alpes-cote-d-azur/alpes-de-haute-provence/70794785-6c3e-4a49-844c-c9f52a8d9aca" TargetMode="External" Id="rId144" /><Relationship Type="http://schemas.openxmlformats.org/officeDocument/2006/relationships/hyperlink" Target="mailto:contact@paysapt-luberon.fr" TargetMode="External" Id="rId145" /><Relationship Type="http://schemas.openxmlformats.org/officeDocument/2006/relationships/hyperlink" Target="https://www.paysapt-luberon.fr/" TargetMode="External" Id="rId146" /><Relationship Type="http://schemas.openxmlformats.org/officeDocument/2006/relationships/hyperlink" Target="https://www.paysapt-luberon.fr/contactez-nous/" TargetMode="External" Id="rId147" /><Relationship Type="http://schemas.openxmlformats.org/officeDocument/2006/relationships/hyperlink" Target="https://lannuaire.service-public.gouv.fr/provence-alpes-cote-d-azur/vaucluse/6061a275-82d8-4f0f-9c13-cff637ad4437" TargetMode="External" Id="rId148" /><Relationship Type="http://schemas.openxmlformats.org/officeDocument/2006/relationships/hyperlink" Target="mailto:contact@ccserreponcon.com" TargetMode="External" Id="rId149" /><Relationship Type="http://schemas.openxmlformats.org/officeDocument/2006/relationships/hyperlink" Target="https://www.ccserreponcon.com/" TargetMode="External" Id="rId150" /><Relationship Type="http://schemas.openxmlformats.org/officeDocument/2006/relationships/hyperlink" Target="https://www.ccserreponcon.com/contacter/contacter" TargetMode="External" Id="rId151" /><Relationship Type="http://schemas.openxmlformats.org/officeDocument/2006/relationships/hyperlink" Target="https://lannuaire.service-public.gouv.fr/provence-alpes-cote-d-azur/hautes-alpes/65d93037-e3ac-4261-ab71-ec6fbec5794a" TargetMode="External" Id="rId152" /><Relationship Type="http://schemas.openxmlformats.org/officeDocument/2006/relationships/hyperlink" Target="mailto:secretariat@ccspva.com" TargetMode="External" Id="rId153" /><Relationship Type="http://schemas.openxmlformats.org/officeDocument/2006/relationships/hyperlink" Target="https://www.cc-serreponconvaldavance.com/" TargetMode="External" Id="rId154" /><Relationship Type="http://schemas.openxmlformats.org/officeDocument/2006/relationships/hyperlink" Target="https://www.cc-serreponconvaldavance.com/fr/nous-connaitre/nous-contacter.html" TargetMode="External" Id="rId155" /><Relationship Type="http://schemas.openxmlformats.org/officeDocument/2006/relationships/hyperlink" Target="https://lannuaire.service-public.gouv.fr/provence-alpes-cote-d-azur/hautes-alpes/89c4d6e8-8c05-4ef0-9779-f150f71ae27d" TargetMode="External" Id="rId156" /><Relationship Type="http://schemas.openxmlformats.org/officeDocument/2006/relationships/hyperlink" Target="mailto:info@ccvusp.fr" TargetMode="External" Id="rId157" /><Relationship Type="http://schemas.openxmlformats.org/officeDocument/2006/relationships/hyperlink" Target="https://www.ccvusp.fr/" TargetMode="External" Id="rId158" /><Relationship Type="http://schemas.openxmlformats.org/officeDocument/2006/relationships/hyperlink" Target="https://www.ccvusp.fr/contact.html" TargetMode="External" Id="rId159" /><Relationship Type="http://schemas.openxmlformats.org/officeDocument/2006/relationships/hyperlink" Target="https://lannuaire.service-public.gouv.fr/provence-alpes-cote-d-azur/alpes-de-haute-provence/b880471d-42b0-4fa1-814a-7d628b895c15" TargetMode="External" Id="rId160" /><Relationship Type="http://schemas.openxmlformats.org/officeDocument/2006/relationships/hyperlink" Target="mailto:contact.ccsb@sisteronais-buech.fr" TargetMode="External" Id="rId161" /><Relationship Type="http://schemas.openxmlformats.org/officeDocument/2006/relationships/hyperlink" Target="https://www.sisteronais-buech.fr/" TargetMode="External" Id="rId162" /><Relationship Type="http://schemas.openxmlformats.org/officeDocument/2006/relationships/hyperlink" Target="https://www.sisteronais-buech.fr/nous-contacter/" TargetMode="External" Id="rId163" /><Relationship Type="http://schemas.openxmlformats.org/officeDocument/2006/relationships/hyperlink" Target="https://lannuaire.service-public.gouv.fr/provence-alpes-cote-d-azur/alpes-de-haute-provence/1db16ee5-afe7-40e7-bbf2-196ccc4de931" TargetMode="External" Id="rId164" /><Relationship Type="http://schemas.openxmlformats.org/officeDocument/2006/relationships/hyperlink" Target="mailto:accueil@ccbd.fr" TargetMode="External" Id="rId165" /><Relationship Type="http://schemas.openxmlformats.org/officeDocument/2006/relationships/hyperlink" Target="https://www.ccbuechdevoluy.fr/" TargetMode="External" Id="rId166" /><Relationship Type="http://schemas.openxmlformats.org/officeDocument/2006/relationships/hyperlink" Target="https://www.ccbuechdevoluy.fr/contact.html" TargetMode="External" Id="rId167" /><Relationship Type="http://schemas.openxmlformats.org/officeDocument/2006/relationships/hyperlink" Target="https://lannuaire.service-public.gouv.fr/provence-alpes-cote-d-azur/hautes-alpes/79ef0a90-0e1e-45d3-9d0c-45cd81a50715" TargetMode="External" Id="rId168" /><Relationship Type="http://schemas.openxmlformats.org/officeDocument/2006/relationships/hyperlink" Target="mailto:contact@champsaur-valgaudemar.fr" TargetMode="External" Id="rId169" /><Relationship Type="http://schemas.openxmlformats.org/officeDocument/2006/relationships/hyperlink" Target="https://www.champsaur-valgaudemar.com/accueil-cccv/" TargetMode="External" Id="rId170" /><Relationship Type="http://schemas.openxmlformats.org/officeDocument/2006/relationships/hyperlink" Target="https://www.champsaur-valgaudemar.com/accueil-cccv/contact/" TargetMode="External" Id="rId171" /><Relationship Type="http://schemas.openxmlformats.org/officeDocument/2006/relationships/hyperlink" Target="https://lannuaire.service-public.gouv.fr/provence-alpes-cote-d-azur/hautes-alpes/cf887aee-b16d-4396-bb14-2da57a842ac0" TargetMode="External" Id="rId172" /><Relationship Type="http://schemas.openxmlformats.org/officeDocument/2006/relationships/hyperlink" Target="mailto:accueil@ccbrianconnais.fr" TargetMode="External" Id="rId173" /><Relationship Type="http://schemas.openxmlformats.org/officeDocument/2006/relationships/hyperlink" Target="https://www.ccbrianconnais.fr/" TargetMode="External" Id="rId174" /><Relationship Type="http://schemas.openxmlformats.org/officeDocument/2006/relationships/hyperlink" Target="https://www.ccbrianconnais.fr/nous-contacter" TargetMode="External" Id="rId175" /><Relationship Type="http://schemas.openxmlformats.org/officeDocument/2006/relationships/hyperlink" Target="https://lannuaire.service-public.gouv.fr/provence-alpes-cote-d-azur/hautes-alpes/6fa46dec-65d7-463f-b5aa-946752287124" TargetMode="External" Id="rId176" /><Relationship Type="http://schemas.openxmlformats.org/officeDocument/2006/relationships/hyperlink" Target="mailto:contact@comcomgq.com" TargetMode="External" Id="rId177" /><Relationship Type="http://schemas.openxmlformats.org/officeDocument/2006/relationships/hyperlink" Target="https://www.ccguillestroisqueyras.fr/" TargetMode="External" Id="rId178" /><Relationship Type="http://schemas.openxmlformats.org/officeDocument/2006/relationships/hyperlink" Target="https://demarches.collectivites.hautes-alpes.fr/contacter-une-collectivite/saisine-par-voie-electronique-du-territoire/" TargetMode="External" Id="rId179" /><Relationship Type="http://schemas.openxmlformats.org/officeDocument/2006/relationships/hyperlink" Target="https://lannuaire.service-public.gouv.fr/provence-alpes-cote-d-azur/hautes-alpes/f1a383e3-8ad9-4073-8fd3-3c6bf61041c0" TargetMode="External" Id="rId180" /><Relationship Type="http://schemas.openxmlformats.org/officeDocument/2006/relationships/hyperlink" Target="mailto:info@cc-paysdesecrins.com" TargetMode="External" Id="rId181" /><Relationship Type="http://schemas.openxmlformats.org/officeDocument/2006/relationships/hyperlink" Target="https://www.cc-paysdesecrins.fr/" TargetMode="External" Id="rId182" /><Relationship Type="http://schemas.openxmlformats.org/officeDocument/2006/relationships/hyperlink" Target="https://www.cc-paysdesecrins.fr/formulaire-de-contact" TargetMode="External" Id="rId183" /><Relationship Type="http://schemas.openxmlformats.org/officeDocument/2006/relationships/hyperlink" Target="https://lannuaire.service-public.gouv.fr/provence-alpes-cote-d-azur/hautes-alpes/b86879a2-252c-4810-88b3-b95922755984" TargetMode="External" Id="rId184" /><Relationship Type="http://schemas.openxmlformats.org/officeDocument/2006/relationships/hyperlink" Target="mailto:secretariat@alpesdazur.fr" TargetMode="External" Id="rId185" /><Relationship Type="http://schemas.openxmlformats.org/officeDocument/2006/relationships/hyperlink" Target="https://lannuaire.service-public.gouv.fr/provence-alpes-cote-d-azur/alpes-maritimes/cc6cd85a-0aa5-46df-b303-e8fdc3eb3349" TargetMode="External" Id="rId186" /><Relationship Type="http://schemas.openxmlformats.org/officeDocument/2006/relationships/hyperlink" Target="mailto:info@ccpp06.fr" TargetMode="External" Id="rId187" /><Relationship Type="http://schemas.openxmlformats.org/officeDocument/2006/relationships/hyperlink" Target="https://ccpp06.fr/" TargetMode="External" Id="rId188" /><Relationship Type="http://schemas.openxmlformats.org/officeDocument/2006/relationships/hyperlink" Target="https://lannuaire.service-public.gouv.fr/provence-alpes-cote-d-azur/alpes-maritimes/86e12e8e-2004-41b6-b131-b76ee96330bd" TargetMode="External" Id="rId189" /><Relationship Type="http://schemas.openxmlformats.org/officeDocument/2006/relationships/hyperlink" Target="mailto:accueil@ardecherhonecoiron.fr" TargetMode="External" Id="rId190" /><Relationship Type="http://schemas.openxmlformats.org/officeDocument/2006/relationships/hyperlink" Target="https://www.ardecherhonecoiron.fr" TargetMode="External" Id="rId191" /><Relationship Type="http://schemas.openxmlformats.org/officeDocument/2006/relationships/hyperlink" Target="https://ardecherhonecoiron.fr/arcpratique/nous-contacter/" TargetMode="External" Id="rId192" /><Relationship Type="http://schemas.openxmlformats.org/officeDocument/2006/relationships/hyperlink" Target="https://lannuaire.service-public.gouv.fr/auvergne-rhone-alpes/ardeche/4fce06f8-3da5-4757-9b93-87bdb10057ef" TargetMode="External" Id="rId193" /><Relationship Type="http://schemas.openxmlformats.org/officeDocument/2006/relationships/hyperlink" Target="mailto:cdc@asv-cdc.fr" TargetMode="External" Id="rId194" /><Relationship Type="http://schemas.openxmlformats.org/officeDocument/2006/relationships/hyperlink" Target="https://www.asv-cdc.fr/" TargetMode="External" Id="rId195" /><Relationship Type="http://schemas.openxmlformats.org/officeDocument/2006/relationships/hyperlink" Target="https://lannuaire.service-public.gouv.fr/auvergne-rhone-alpes/ardeche/6c4315a8-3d18-4506-aa15-d739552f47b7" TargetMode="External" Id="rId196" /><Relationship Type="http://schemas.openxmlformats.org/officeDocument/2006/relationships/hyperlink" Target="mailto:contact@bergetcoiron.fr" TargetMode="External" Id="rId197" /><Relationship Type="http://schemas.openxmlformats.org/officeDocument/2006/relationships/hyperlink" Target="https://www.bergetcoiron.fr/" TargetMode="External" Id="rId198" /><Relationship Type="http://schemas.openxmlformats.org/officeDocument/2006/relationships/hyperlink" Target="https://www.bergetcoiron.fr/contact/" TargetMode="External" Id="rId199" /><Relationship Type="http://schemas.openxmlformats.org/officeDocument/2006/relationships/hyperlink" Target="https://lannuaire.service-public.gouv.fr/auvergne-rhone-alpes/ardeche/43372912-993d-4d5e-92e0-2ff3d4ecfe66" TargetMode="External" Id="rId200" /><Relationship Type="http://schemas.openxmlformats.org/officeDocument/2006/relationships/hyperlink" Target="mailto:accueil@montagne-ardeche.fr" TargetMode="External" Id="rId201" /><Relationship Type="http://schemas.openxmlformats.org/officeDocument/2006/relationships/hyperlink" Target="https://cc-montagne-ardeche.fr/" TargetMode="External" Id="rId202" /><Relationship Type="http://schemas.openxmlformats.org/officeDocument/2006/relationships/hyperlink" Target="https://cc-montagne-ardeche.fr/nous-contacter/" TargetMode="External" Id="rId203" /><Relationship Type="http://schemas.openxmlformats.org/officeDocument/2006/relationships/hyperlink" Target="https://lannuaire.service-public.gouv.fr/auvergne-rhone-alpes/ardeche/2d6f6313-26f9-415e-b96c-f461c18859d7" TargetMode="External" Id="rId204" /><Relationship Type="http://schemas.openxmlformats.org/officeDocument/2006/relationships/hyperlink" Target="mailto:accueil@cdc-vansencevennes.fr" TargetMode="External" Id="rId205" /><Relationship Type="http://schemas.openxmlformats.org/officeDocument/2006/relationships/hyperlink" Target="https://www.cdc-vansencevennes.fr/" TargetMode="External" Id="rId206" /><Relationship Type="http://schemas.openxmlformats.org/officeDocument/2006/relationships/hyperlink" Target="https://www.cdc-vansencevennes.fr/contact/" TargetMode="External" Id="rId207" /><Relationship Type="http://schemas.openxmlformats.org/officeDocument/2006/relationships/hyperlink" Target="https://lannuaire.service-public.gouv.fr/auvergne-rhone-alpes/ardeche/8764b263-cb33-4251-b329-cc11a820316d" TargetMode="External" Id="rId208" /><Relationship Type="http://schemas.openxmlformats.org/officeDocument/2006/relationships/hyperlink" Target="mailto:contact@portededromardeche.fr" TargetMode="External" Id="rId209" /><Relationship Type="http://schemas.openxmlformats.org/officeDocument/2006/relationships/hyperlink" Target="https://www.portededromardeche.fr/" TargetMode="External" Id="rId210" /><Relationship Type="http://schemas.openxmlformats.org/officeDocument/2006/relationships/hyperlink" Target="https://www.portededromardeche.fr/contact/" TargetMode="External" Id="rId211" /><Relationship Type="http://schemas.openxmlformats.org/officeDocument/2006/relationships/hyperlink" Target="https://lannuaire.service-public.gouv.fr/auvergne-rhone-alpes/drome/6a25920f-2424-411a-b1c9-659963aacf39" TargetMode="External" Id="rId212" /><Relationship Type="http://schemas.openxmlformats.org/officeDocument/2006/relationships/hyperlink" Target="mailto:contact@rhone-crussol.fr" TargetMode="External" Id="rId213" /><Relationship Type="http://schemas.openxmlformats.org/officeDocument/2006/relationships/hyperlink" Target="https://www.rhone-crussol.fr/contact/" TargetMode="External" Id="rId214" /><Relationship Type="http://schemas.openxmlformats.org/officeDocument/2006/relationships/hyperlink" Target="https://lannuaire.service-public.gouv.fr/auvergne-rhone-alpes/ardeche/38b1041a-0102-4317-8e47-20608dffa8c6" TargetMode="External" Id="rId215" /><Relationship Type="http://schemas.openxmlformats.org/officeDocument/2006/relationships/hyperlink" Target="mailto:accueil@valeyrieux.fr" TargetMode="External" Id="rId216" /><Relationship Type="http://schemas.openxmlformats.org/officeDocument/2006/relationships/hyperlink" Target="https://www.valeyrieux.fr/" TargetMode="External" Id="rId217" /><Relationship Type="http://schemas.openxmlformats.org/officeDocument/2006/relationships/hyperlink" Target="https://www.valeyrieux.fr/acc%C3%A8s/contact/" TargetMode="External" Id="rId218" /><Relationship Type="http://schemas.openxmlformats.org/officeDocument/2006/relationships/hyperlink" Target="https://lannuaire.service-public.gouv.fr/auvergne-rhone-alpes/ardeche/43e86c0e-8bca-4cfa-9d23-cdf3eea71026" TargetMode="External" Id="rId219" /><Relationship Type="http://schemas.openxmlformats.org/officeDocument/2006/relationships/hyperlink" Target="mailto:secretariat@cc-valdeligne.fr" TargetMode="External" Id="rId220" /><Relationship Type="http://schemas.openxmlformats.org/officeDocument/2006/relationships/hyperlink" Target="https://cc-valdeligne.fr/" TargetMode="External" Id="rId221" /><Relationship Type="http://schemas.openxmlformats.org/officeDocument/2006/relationships/hyperlink" Target="https://lannuaire.service-public.gouv.fr/auvergne-rhone-alpes/ardeche/b09fb200-1dfa-4b18-a988-a644e92938fd" TargetMode="External" Id="rId222" /><Relationship Type="http://schemas.openxmlformats.org/officeDocument/2006/relationships/hyperlink" Target="mailto:info@ceze-cevennes.fr" TargetMode="External" Id="rId223" /><Relationship Type="http://schemas.openxmlformats.org/officeDocument/2006/relationships/hyperlink" Target="http://www.ceze-cevennes.fr" TargetMode="External" Id="rId224" /><Relationship Type="http://schemas.openxmlformats.org/officeDocument/2006/relationships/hyperlink" Target="http://www.ceze-cevennes.fr/fr/contact" TargetMode="External" Id="rId225" /><Relationship Type="http://schemas.openxmlformats.org/officeDocument/2006/relationships/hyperlink" Target="https://lannuaire.service-public.gouv.fr/occitanie/gard/f90ba09c-b30a-4323-ac10-573ec38c78e8" TargetMode="External" Id="rId226" /><Relationship Type="http://schemas.openxmlformats.org/officeDocument/2006/relationships/hyperlink" Target="mailto:info@cc-gorgesardeche.fr" TargetMode="External" Id="rId227" /><Relationship Type="http://schemas.openxmlformats.org/officeDocument/2006/relationships/hyperlink" Target="https://www.cc-gorgesardeche.fr/" TargetMode="External" Id="rId228" /><Relationship Type="http://schemas.openxmlformats.org/officeDocument/2006/relationships/hyperlink" Target="https://www.cc-gorgesardeche.fr/contact" TargetMode="External" Id="rId229" /><Relationship Type="http://schemas.openxmlformats.org/officeDocument/2006/relationships/hyperlink" Target="https://lannuaire.service-public.gouv.fr/auvergne-rhone-alpes/ardeche/b66cbf4d-bee5-4049-ae84-4230ca75b716" TargetMode="External" Id="rId230" /><Relationship Type="http://schemas.openxmlformats.org/officeDocument/2006/relationships/hyperlink" Target="mailto:contact@cdcba.fr" TargetMode="External" Id="rId231" /><Relationship Type="http://schemas.openxmlformats.org/officeDocument/2006/relationships/hyperlink" Target="https://www.bassin-aubenas.fr/" TargetMode="External" Id="rId232" /><Relationship Type="http://schemas.openxmlformats.org/officeDocument/2006/relationships/hyperlink" Target="https://www.bassin-aubenas.fr/en-un-clic/contact/" TargetMode="External" Id="rId233" /><Relationship Type="http://schemas.openxmlformats.org/officeDocument/2006/relationships/hyperlink" Target="https://lannuaire.service-public.gouv.fr/auvergne-rhone-alpes/ardeche/dfe75db7-153f-4726-b87f-ad01db701ca2" TargetMode="External" Id="rId234" /><Relationship Type="http://schemas.openxmlformats.org/officeDocument/2006/relationships/hyperlink" Target="mailto:comcom@pays-beaumedrobie.com" TargetMode="External" Id="rId235" /><Relationship Type="http://schemas.openxmlformats.org/officeDocument/2006/relationships/hyperlink" Target="https://www.pays-beaumedrobie.com/" TargetMode="External" Id="rId236" /><Relationship Type="http://schemas.openxmlformats.org/officeDocument/2006/relationships/hyperlink" Target="https://www.pays-beaumedrobie.com/contact-horaires-ouverture/" TargetMode="External" Id="rId237" /><Relationship Type="http://schemas.openxmlformats.org/officeDocument/2006/relationships/hyperlink" Target="https://lannuaire.service-public.gouv.fr/auvergne-rhone-alpes/ardeche/25967d35-8b32-4719-8dfd-3399c4306b5a" TargetMode="External" Id="rId238" /><Relationship Type="http://schemas.openxmlformats.org/officeDocument/2006/relationships/hyperlink" Target="mailto:cdclamastre@gmail.com" TargetMode="External" Id="rId239" /><Relationship Type="http://schemas.openxmlformats.org/officeDocument/2006/relationships/hyperlink" Target="https://comcompaysdelamastre.fr/" TargetMode="External" Id="rId240" /><Relationship Type="http://schemas.openxmlformats.org/officeDocument/2006/relationships/hyperlink" Target="https://comcompaysdelamastre.fr/contact" TargetMode="External" Id="rId241" /><Relationship Type="http://schemas.openxmlformats.org/officeDocument/2006/relationships/hyperlink" Target="https://lannuaire.service-public.gouv.fr/auvergne-rhone-alpes/ardeche/743f3c34-ac7b-4793-aa56-9c05ec6c1a99" TargetMode="External" Id="rId242" /><Relationship Type="http://schemas.openxmlformats.org/officeDocument/2006/relationships/hyperlink" Target="mailto:contact@ccdraga.fr" TargetMode="External" Id="rId243" /><Relationship Type="http://schemas.openxmlformats.org/officeDocument/2006/relationships/hyperlink" Target="https://www.ccdraga.fr/" TargetMode="External" Id="rId244" /><Relationship Type="http://schemas.openxmlformats.org/officeDocument/2006/relationships/hyperlink" Target="https://www.ccdraga.fr/contact" TargetMode="External" Id="rId245" /><Relationship Type="http://schemas.openxmlformats.org/officeDocument/2006/relationships/hyperlink" Target="https://lannuaire.service-public.gouv.fr/auvergne-rhone-alpes/ardeche/dbacef72-03b4-4e52-aec7-ad17767b71a9" TargetMode="External" Id="rId246" /><Relationship Type="http://schemas.openxmlformats.org/officeDocument/2006/relationships/hyperlink" Target="mailto:secretariat@val-d-ay.fr" TargetMode="External" Id="rId247" /><Relationship Type="http://schemas.openxmlformats.org/officeDocument/2006/relationships/hyperlink" Target="https://www.val-d-ay.fr/" TargetMode="External" Id="rId248" /><Relationship Type="http://schemas.openxmlformats.org/officeDocument/2006/relationships/hyperlink" Target="https://lannuaire.service-public.gouv.fr/auvergne-rhone-alpes/ardeche/d38ee1a0-474d-4333-b3d5-207d3b9f7d71" TargetMode="External" Id="rId249" /><Relationship Type="http://schemas.openxmlformats.org/officeDocument/2006/relationships/hyperlink" Target="mailto:president@ardennerivesdemeuse.com" TargetMode="External" Id="rId250" /><Relationship Type="http://schemas.openxmlformats.org/officeDocument/2006/relationships/hyperlink" Target="https://www.ccarm.fr/" TargetMode="External" Id="rId251" /><Relationship Type="http://schemas.openxmlformats.org/officeDocument/2006/relationships/hyperlink" Target="https://lannuaire.service-public.gouv.fr/grand-est/ardennes/77cee0dc-45af-4325-b11e-bbd31ab41804" TargetMode="External" Id="rId252" /><Relationship Type="http://schemas.openxmlformats.org/officeDocument/2006/relationships/hyperlink" Target="mailto:contact@ardennesthierache.fr" TargetMode="External" Id="rId253" /><Relationship Type="http://schemas.openxmlformats.org/officeDocument/2006/relationships/hyperlink" Target="https://www.ardennes-thierache.com/fr/" TargetMode="External" Id="rId254" /><Relationship Type="http://schemas.openxmlformats.org/officeDocument/2006/relationships/hyperlink" Target="https://lannuaire.service-public.gouv.fr/grand-est/ardennes/7e2db839-ccc4-4d2d-a904-3f6d1bd8d7fb" TargetMode="External" Id="rId255" /><Relationship Type="http://schemas.openxmlformats.org/officeDocument/2006/relationships/hyperlink" Target="mailto:contact@ccvpa.fr" TargetMode="External" Id="rId256" /><Relationship Type="http://schemas.openxmlformats.org/officeDocument/2006/relationships/hyperlink" Target="https://www.cc-valleesetplateaudardenne.fr/" TargetMode="External" Id="rId257" /><Relationship Type="http://schemas.openxmlformats.org/officeDocument/2006/relationships/hyperlink" Target="https://www.cc-valleesetplateaudardenne.fr/contact/" TargetMode="External" Id="rId258" /><Relationship Type="http://schemas.openxmlformats.org/officeDocument/2006/relationships/hyperlink" Target="https://lannuaire.service-public.gouv.fr/grand-est/ardennes/9104cefb-5e49-442d-b7c8-e9442d61b37c" TargetMode="External" Id="rId259" /><Relationship Type="http://schemas.openxmlformats.org/officeDocument/2006/relationships/hyperlink" Target="mailto:secretariat@argonne-ardennaise.fr" TargetMode="External" Id="rId260" /><Relationship Type="http://schemas.openxmlformats.org/officeDocument/2006/relationships/hyperlink" Target="https://www.argonne-ardennaise.fr/" TargetMode="External" Id="rId261" /><Relationship Type="http://schemas.openxmlformats.org/officeDocument/2006/relationships/hyperlink" Target="https://www.argonne-ardennaise.fr/contact" TargetMode="External" Id="rId262" /><Relationship Type="http://schemas.openxmlformats.org/officeDocument/2006/relationships/hyperlink" Target="https://lannuaire.service-public.gouv.fr/grand-est/ardennes/8985942b-ac12-4984-8602-da95a5422777" TargetMode="External" Id="rId263" /><Relationship Type="http://schemas.openxmlformats.org/officeDocument/2006/relationships/hyperlink" Target="mailto:communaute@lescretes.fr" TargetMode="External" Id="rId264" /><Relationship Type="http://schemas.openxmlformats.org/officeDocument/2006/relationships/hyperlink" Target="https://www.cretespreardennaises.fr/" TargetMode="External" Id="rId265" /><Relationship Type="http://schemas.openxmlformats.org/officeDocument/2006/relationships/hyperlink" Target="https://www.cretespreardennaises.fr/contact" TargetMode="External" Id="rId266" /><Relationship Type="http://schemas.openxmlformats.org/officeDocument/2006/relationships/hyperlink" Target="https://lannuaire.service-public.gouv.fr/grand-est/ardennes/dfd9b999-0d68-4512-a263-74a0d1c55606" TargetMode="External" Id="rId267" /><Relationship Type="http://schemas.openxmlformats.org/officeDocument/2006/relationships/hyperlink" Target="mailto:contact@portesduluxembourg.fr" TargetMode="External" Id="rId268" /><Relationship Type="http://schemas.openxmlformats.org/officeDocument/2006/relationships/hyperlink" Target="https://www.portesduluxembourg.fr/" TargetMode="External" Id="rId269" /><Relationship Type="http://schemas.openxmlformats.org/officeDocument/2006/relationships/hyperlink" Target="https://www.portesduluxembourg.fr/contact" TargetMode="External" Id="rId270" /><Relationship Type="http://schemas.openxmlformats.org/officeDocument/2006/relationships/hyperlink" Target="https://lannuaire.service-public.gouv.fr/grand-est/ardennes/68883a3a-2f54-4ad1-841c-7c57294e4e4a" TargetMode="External" Id="rId271" /><Relationship Type="http://schemas.openxmlformats.org/officeDocument/2006/relationships/hyperlink" Target="mailto:accueil@cc-paysrethelois.fr" TargetMode="External" Id="rId272" /><Relationship Type="http://schemas.openxmlformats.org/officeDocument/2006/relationships/hyperlink" Target="https://www.paysrethelois.fr/" TargetMode="External" Id="rId273" /><Relationship Type="http://schemas.openxmlformats.org/officeDocument/2006/relationships/hyperlink" Target="https://www.paysrethelois.fr/fr/contact.html" TargetMode="External" Id="rId274" /><Relationship Type="http://schemas.openxmlformats.org/officeDocument/2006/relationships/hyperlink" Target="https://lannuaire.service-public.gouv.fr/grand-est/ardennes/68db4071-884a-4992-8208-53648b268775" TargetMode="External" Id="rId275" /><Relationship Type="http://schemas.openxmlformats.org/officeDocument/2006/relationships/hyperlink" Target="mailto:accueil@arize-leze.fr" TargetMode="External" Id="rId276" /><Relationship Type="http://schemas.openxmlformats.org/officeDocument/2006/relationships/hyperlink" Target="https://www.arize-leze.fr/" TargetMode="External" Id="rId277" /><Relationship Type="http://schemas.openxmlformats.org/officeDocument/2006/relationships/hyperlink" Target="https://lannuaire.service-public.gouv.fr/occitanie/ariege/2287290a-bed6-4da4-b92a-977289c5c76b" TargetMode="External" Id="rId278" /><Relationship Type="http://schemas.openxmlformats.org/officeDocument/2006/relationships/hyperlink" Target="mailto:communaute.communes@couserans-pyrenees.fr" TargetMode="External" Id="rId279" /><Relationship Type="http://schemas.openxmlformats.org/officeDocument/2006/relationships/hyperlink" Target="https://couserans-pyrenees.fr" TargetMode="External" Id="rId280" /><Relationship Type="http://schemas.openxmlformats.org/officeDocument/2006/relationships/hyperlink" Target="https://couserans-pyrenees.fr/" TargetMode="External" Id="rId281" /><Relationship Type="http://schemas.openxmlformats.org/officeDocument/2006/relationships/hyperlink" Target="https://lannuaire.service-public.gouv.fr/occitanie/ariege/e35d3104-4882-4ce9-838e-081903db8cae" TargetMode="External" Id="rId282" /><Relationship Type="http://schemas.openxmlformats.org/officeDocument/2006/relationships/hyperlink" Target="mailto:administration.generale@cc-hauteariege.fr" TargetMode="External" Id="rId283" /><Relationship Type="http://schemas.openxmlformats.org/officeDocument/2006/relationships/hyperlink" Target="https://cc-hauteariege.fr/" TargetMode="External" Id="rId284" /><Relationship Type="http://schemas.openxmlformats.org/officeDocument/2006/relationships/hyperlink" Target="https://cc-hauteariege.fr/@@contact" TargetMode="External" Id="rId285" /><Relationship Type="http://schemas.openxmlformats.org/officeDocument/2006/relationships/hyperlink" Target="https://lannuaire.service-public.gouv.fr/occitanie/ariege/856f3b71-e25a-4475-ba32-0d2e1156bf4e" TargetMode="External" Id="rId286" /><Relationship Type="http://schemas.openxmlformats.org/officeDocument/2006/relationships/hyperlink" Target="mailto:contact@ccpap.fr" TargetMode="External" Id="rId287" /><Relationship Type="http://schemas.openxmlformats.org/officeDocument/2006/relationships/hyperlink" Target="https://ccpap.fr/" TargetMode="External" Id="rId288" /><Relationship Type="http://schemas.openxmlformats.org/officeDocument/2006/relationships/hyperlink" Target="https://ccpap.fr/contactez-nous/" TargetMode="External" Id="rId289" /><Relationship Type="http://schemas.openxmlformats.org/officeDocument/2006/relationships/hyperlink" Target="https://lannuaire.service-public.gouv.fr/occitanie/ariege/f4533902-27a9-462f-a272-2926a5a11289" TargetMode="External" Id="rId290" /><Relationship Type="http://schemas.openxmlformats.org/officeDocument/2006/relationships/hyperlink" Target="mailto:a.chacon@paysdolmes.org" TargetMode="External" Id="rId291" /><Relationship Type="http://schemas.openxmlformats.org/officeDocument/2006/relationships/hyperlink" Target="https://paysdolmes.org/fr/" TargetMode="External" Id="rId292" /><Relationship Type="http://schemas.openxmlformats.org/officeDocument/2006/relationships/hyperlink" Target="https://lannuaire.service-public.gouv.fr/occitanie/ariege/5cdee43c-e61a-42c9-8038-658952fed55e" TargetMode="External" Id="rId293" /><Relationship Type="http://schemas.openxmlformats.org/officeDocument/2006/relationships/hyperlink" Target="mailto:contact@cc-paysdemirepoix.fr" TargetMode="External" Id="rId294" /><Relationship Type="http://schemas.openxmlformats.org/officeDocument/2006/relationships/hyperlink" Target="https://www.cc-paysdemirepoix.fr/" TargetMode="External" Id="rId295" /><Relationship Type="http://schemas.openxmlformats.org/officeDocument/2006/relationships/hyperlink" Target="https://www.cc-paysdemirepoix.fr/systeme/nous-contacter/" TargetMode="External" Id="rId296" /><Relationship Type="http://schemas.openxmlformats.org/officeDocument/2006/relationships/hyperlink" Target="https://lannuaire.service-public.gouv.fr/occitanie/ariege/2e58671c-5f19-4796-9c0b-415965e3f4fe" TargetMode="External" Id="rId297" /><Relationship Type="http://schemas.openxmlformats.org/officeDocument/2006/relationships/hyperlink" Target="mailto:contact@cc-paysdetarascon.fr" TargetMode="External" Id="rId298" /><Relationship Type="http://schemas.openxmlformats.org/officeDocument/2006/relationships/hyperlink" Target="https://www.cc-paysdetarascon.fr/" TargetMode="External" Id="rId299" /><Relationship Type="http://schemas.openxmlformats.org/officeDocument/2006/relationships/hyperlink" Target="https://www.cc-paysdetarascon.fr/contact/" TargetMode="External" Id="rId300" /><Relationship Type="http://schemas.openxmlformats.org/officeDocument/2006/relationships/hyperlink" Target="https://lannuaire.service-public.gouv.fr/occitanie/ariege/96a070e2-b832-435b-b43f-e01d9742073b" TargetMode="External" Id="rId301" /><Relationship Type="http://schemas.openxmlformats.org/officeDocument/2006/relationships/hyperlink" Target="mailto:cdc.piney@ccpiney.fr" TargetMode="External" Id="rId302" /><Relationship Type="http://schemas.openxmlformats.org/officeDocument/2006/relationships/hyperlink" Target="https://www.foretslacsterresenchampagne.fr/index.php/fr/" TargetMode="External" Id="rId303" /><Relationship Type="http://schemas.openxmlformats.org/officeDocument/2006/relationships/hyperlink" Target="https://www.foretslacsterresenchampagne.fr/index.php/fr/" TargetMode="External" Id="rId304" /><Relationship Type="http://schemas.openxmlformats.org/officeDocument/2006/relationships/hyperlink" Target="https://lannuaire.service-public.gouv.fr/grand-est/aube/2e65c2cd-39a2-48e1-810b-ef10b649df14" TargetMode="External" Id="rId305" /><Relationship Type="http://schemas.openxmlformats.org/officeDocument/2006/relationships/hyperlink" Target="mailto:contact@comcomsa.fr" TargetMode="External" Id="rId306" /><Relationship Type="http://schemas.openxmlformats.org/officeDocument/2006/relationships/hyperlink" Target="https://www.ccseineetaube.fr/" TargetMode="External" Id="rId307" /><Relationship Type="http://schemas.openxmlformats.org/officeDocument/2006/relationships/hyperlink" Target="https://www.ccseineetaube.fr/contactez-nous" TargetMode="External" Id="rId308" /><Relationship Type="http://schemas.openxmlformats.org/officeDocument/2006/relationships/hyperlink" Target="https://lannuaire.service-public.gouv.fr/grand-est/aube/3b4f9e82-7efd-4770-ab96-3e3cbfa03eb3" TargetMode="External" Id="rId309" /><Relationship Type="http://schemas.openxmlformats.org/officeDocument/2006/relationships/hyperlink" Target="mailto:contact@ccamr.fr" TargetMode="External" Id="rId310" /><Relationship Type="http://schemas.openxmlformats.org/officeDocument/2006/relationships/hyperlink" Target="https://www.arcismaillyramerupt.fr/" TargetMode="External" Id="rId311" /><Relationship Type="http://schemas.openxmlformats.org/officeDocument/2006/relationships/hyperlink" Target="https://www.arcismaillyramerupt.fr/contact/" TargetMode="External" Id="rId312" /><Relationship Type="http://schemas.openxmlformats.org/officeDocument/2006/relationships/hyperlink" Target="https://lannuaire.service-public.gouv.fr/grand-est/aube/0620de02-57a9-48f3-9794-dc71f660d2a6" TargetMode="External" Id="rId313" /><Relationship Type="http://schemas.openxmlformats.org/officeDocument/2006/relationships/hyperlink" Target="mailto:secretariat@ccvendeuvresoulaines.fr" TargetMode="External" Id="rId314" /><Relationship Type="http://schemas.openxmlformats.org/officeDocument/2006/relationships/hyperlink" Target="https://www.ccvendeuvresoulaines.fr/" TargetMode="External" Id="rId315" /><Relationship Type="http://schemas.openxmlformats.org/officeDocument/2006/relationships/hyperlink" Target="https://lannuaire.service-public.gouv.fr/grand-est/aube/0dd59bdb-9349-4b46-b934-1c7ff8995942" TargetMode="External" Id="rId316" /><Relationship Type="http://schemas.openxmlformats.org/officeDocument/2006/relationships/hyperlink" Target="mailto:secretariat@ccoa-aube.fr" TargetMode="External" Id="rId317" /><Relationship Type="http://schemas.openxmlformats.org/officeDocument/2006/relationships/hyperlink" Target="https://lannuaire.service-public.gouv.fr/grand-est/aube/f18d345c-6e9c-4e77-a86d-b2fef65e7fae" TargetMode="External" Id="rId318" /><Relationship Type="http://schemas.openxmlformats.org/officeDocument/2006/relationships/hyperlink" Target="mailto:contact.ccrb@barsuraube.org" TargetMode="External" Id="rId319" /><Relationship Type="http://schemas.openxmlformats.org/officeDocument/2006/relationships/hyperlink" Target="https://www.barsuraube.org/" TargetMode="External" Id="rId320" /><Relationship Type="http://schemas.openxmlformats.org/officeDocument/2006/relationships/hyperlink" Target="https://www.barsuraube.org/contact" TargetMode="External" Id="rId321" /><Relationship Type="http://schemas.openxmlformats.org/officeDocument/2006/relationships/hyperlink" Target="https://lannuaire.service-public.gouv.fr/grand-est/aube/343b8090-2b8a-40e7-97ac-63f7a2740b61" TargetMode="External" Id="rId322" /><Relationship Type="http://schemas.openxmlformats.org/officeDocument/2006/relationships/hyperlink" Target="mailto:secretariat@cclacsdechampagne.fr" TargetMode="External" Id="rId323" /><Relationship Type="http://schemas.openxmlformats.org/officeDocument/2006/relationships/hyperlink" Target="https://www.cclacsdechampagne.fr" TargetMode="External" Id="rId324" /><Relationship Type="http://schemas.openxmlformats.org/officeDocument/2006/relationships/hyperlink" Target="https://lannuaire.service-public.gouv.fr/grand-est/aube/08b1af14-18a6-4c52-800d-3fd76b369775" TargetMode="External" Id="rId325" /><Relationship Type="http://schemas.openxmlformats.org/officeDocument/2006/relationships/hyperlink" Target="mailto:cc.portesderomilly@ccprs.fr" TargetMode="External" Id="rId326" /><Relationship Type="http://schemas.openxmlformats.org/officeDocument/2006/relationships/hyperlink" Target="https://ccprs.fr/" TargetMode="External" Id="rId327" /><Relationship Type="http://schemas.openxmlformats.org/officeDocument/2006/relationships/hyperlink" Target="https://ccprs.fr/contact" TargetMode="External" Id="rId328" /><Relationship Type="http://schemas.openxmlformats.org/officeDocument/2006/relationships/hyperlink" Target="https://lannuaire.service-public.gouv.fr/grand-est/aube/417c9f91-99bf-4e17-add4-18d8c1729f97" TargetMode="External" Id="rId329" /><Relationship Type="http://schemas.openxmlformats.org/officeDocument/2006/relationships/hyperlink" Target="mailto:contact@cc-barsequanais.fr" TargetMode="External" Id="rId330" /><Relationship Type="http://schemas.openxmlformats.org/officeDocument/2006/relationships/hyperlink" Target="https://www.cc-barsequanais.fr" TargetMode="External" Id="rId331" /><Relationship Type="http://schemas.openxmlformats.org/officeDocument/2006/relationships/hyperlink" Target="https://www.cc-barsequanais.fr/contact/" TargetMode="External" Id="rId332" /><Relationship Type="http://schemas.openxmlformats.org/officeDocument/2006/relationships/hyperlink" Target="https://lannuaire.service-public.gouv.fr/grand-est/aube/9e3c0e6b-34a2-45be-b283-f9559a02c128" TargetMode="External" Id="rId333" /><Relationship Type="http://schemas.openxmlformats.org/officeDocument/2006/relationships/hyperlink" Target="mailto:contact@cccva10.fr" TargetMode="External" Id="rId334" /><Relationship Type="http://schemas.openxmlformats.org/officeDocument/2006/relationships/hyperlink" Target="https://cc-chaourcois-val-armance.fr/" TargetMode="External" Id="rId335" /><Relationship Type="http://schemas.openxmlformats.org/officeDocument/2006/relationships/hyperlink" Target="https://cc-chaourcois-val-armance.fr/nous-contacter/" TargetMode="External" Id="rId336" /><Relationship Type="http://schemas.openxmlformats.org/officeDocument/2006/relationships/hyperlink" Target="https://lannuaire.service-public.gouv.fr/grand-est/aube/f3c75f31-d1aa-4d9e-9a87-6ae1259af2b6" TargetMode="External" Id="rId337" /><Relationship Type="http://schemas.openxmlformats.org/officeDocument/2006/relationships/hyperlink" Target="mailto:contact@ccdunogentais.fr" TargetMode="External" Id="rId338" /><Relationship Type="http://schemas.openxmlformats.org/officeDocument/2006/relationships/hyperlink" Target="http://www.ccdunogentais.fr" TargetMode="External" Id="rId339" /><Relationship Type="http://schemas.openxmlformats.org/officeDocument/2006/relationships/hyperlink" Target="http://www.ccdunogentais.fr/contact" TargetMode="External" Id="rId340" /><Relationship Type="http://schemas.openxmlformats.org/officeDocument/2006/relationships/hyperlink" Target="https://lannuaire.service-public.gouv.fr/grand-est/aube/20e5ad00-c053-4514-a0af-3210bf4d1b5c" TargetMode="External" Id="rId341" /><Relationship Type="http://schemas.openxmlformats.org/officeDocument/2006/relationships/hyperlink" Target="mailto:contact@cc-po.fr" TargetMode="External" Id="rId342" /><Relationship Type="http://schemas.openxmlformats.org/officeDocument/2006/relationships/hyperlink" Target="https://www.cdc-pays-othe.fr" TargetMode="External" Id="rId343" /><Relationship Type="http://schemas.openxmlformats.org/officeDocument/2006/relationships/hyperlink" Target="https://lannuaire.service-public.gouv.fr/grand-est/aube/ab35d5db-7ddc-49a6-819b-8a69dc5e9e6a" TargetMode="External" Id="rId344" /><Relationship Type="http://schemas.openxmlformats.org/officeDocument/2006/relationships/hyperlink" Target="mailto:accueil@revel-lauragais.com" TargetMode="External" Id="rId345" /><Relationship Type="http://schemas.openxmlformats.org/officeDocument/2006/relationships/hyperlink" Target="https://www.revel-lauragais.com/" TargetMode="External" Id="rId346" /><Relationship Type="http://schemas.openxmlformats.org/officeDocument/2006/relationships/hyperlink" Target="https://www.revel-lauragais.com/contactez-nous/" TargetMode="External" Id="rId347" /><Relationship Type="http://schemas.openxmlformats.org/officeDocument/2006/relationships/hyperlink" Target="https://lannuaire.service-public.gouv.fr/occitanie/haute-garonne/ee1cd0d2-3ba1-4b8b-824c-6a56373f9929" TargetMode="External" Id="rId348" /><Relationship Type="http://schemas.openxmlformats.org/officeDocument/2006/relationships/hyperlink" Target="mailto:contact@cccla.fr" TargetMode="External" Id="rId349" /><Relationship Type="http://schemas.openxmlformats.org/officeDocument/2006/relationships/hyperlink" Target="https://www.cccla.fr/" TargetMode="External" Id="rId350" /><Relationship Type="http://schemas.openxmlformats.org/officeDocument/2006/relationships/hyperlink" Target="https://www.cccla.fr/contactez-la-cccla/page-6-accueil" TargetMode="External" Id="rId351" /><Relationship Type="http://schemas.openxmlformats.org/officeDocument/2006/relationships/hyperlink" Target="https://lannuaire.service-public.gouv.fr/occitanie/aude/726d47fb-7ab9-4ca8-abbf-3923b6e73242" TargetMode="External" Id="rId352" /><Relationship Type="http://schemas.openxmlformats.org/officeDocument/2006/relationships/hyperlink" Target="mailto:accueil@c3sm.fr" TargetMode="External" Id="rId353" /><Relationship Type="http://schemas.openxmlformats.org/officeDocument/2006/relationships/hyperlink" Target="https://www.c3sm.fr/" TargetMode="External" Id="rId354" /><Relationship Type="http://schemas.openxmlformats.org/officeDocument/2006/relationships/hyperlink" Target="https://lannuaire.service-public.gouv.fr/occitanie/pyrenees-orientales/69c22875-1407-4377-b729-ba132253e010" TargetMode="External" Id="rId355" /><Relationship Type="http://schemas.openxmlformats.org/officeDocument/2006/relationships/hyperlink" Target="mailto:contact@ccplm.fr" TargetMode="External" Id="rId356" /><Relationship Type="http://schemas.openxmlformats.org/officeDocument/2006/relationships/hyperlink" Target="https://ccplm.fr/" TargetMode="External" Id="rId357" /><Relationship Type="http://schemas.openxmlformats.org/officeDocument/2006/relationships/hyperlink" Target="https://lannuaire.service-public.gouv.fr/occitanie/aude/3d50fc89-0d1d-4f82-a010-c1ce31f5e6e0" TargetMode="External" Id="rId358" /><Relationship Type="http://schemas.openxmlformats.org/officeDocument/2006/relationships/hyperlink" Target="mailto:accueil@pyreneesaudoises.fr" TargetMode="External" Id="rId359" /><Relationship Type="http://schemas.openxmlformats.org/officeDocument/2006/relationships/hyperlink" Target="https://www.pyreneesaudoises.fr/" TargetMode="External" Id="rId360" /><Relationship Type="http://schemas.openxmlformats.org/officeDocument/2006/relationships/hyperlink" Target="https://www.pyreneesaudoises.fr/contacts/" TargetMode="External" Id="rId361" /><Relationship Type="http://schemas.openxmlformats.org/officeDocument/2006/relationships/hyperlink" Target="https://lannuaire.service-public.gouv.fr/occitanie/aude/5ec4fde1-7eff-45a0-a36e-6174050f917a" TargetMode="External" Id="rId362" /><Relationship Type="http://schemas.openxmlformats.org/officeDocument/2006/relationships/hyperlink" Target="mailto:contact@ccrlcm.fr" TargetMode="External" Id="rId363" /><Relationship Type="http://schemas.openxmlformats.org/officeDocument/2006/relationships/hyperlink" Target="https://www.ccrlcm.fr/" TargetMode="External" Id="rId364" /><Relationship Type="http://schemas.openxmlformats.org/officeDocument/2006/relationships/hyperlink" Target="https://www.ccrlcm.fr/nous-contacter" TargetMode="External" Id="rId365" /><Relationship Type="http://schemas.openxmlformats.org/officeDocument/2006/relationships/hyperlink" Target="https://lannuaire.service-public.gouv.fr/occitanie/aude/b4e864ba-3f03-4c67-ac0f-218c26760981" TargetMode="External" Id="rId366" /><Relationship Type="http://schemas.openxmlformats.org/officeDocument/2006/relationships/hyperlink" Target="mailto:contact@cdcmontagnenoire.fr" TargetMode="External" Id="rId367" /><Relationship Type="http://schemas.openxmlformats.org/officeDocument/2006/relationships/hyperlink" Target="https://www.cdcmontagnenoire.fr/" TargetMode="External" Id="rId368" /><Relationship Type="http://schemas.openxmlformats.org/officeDocument/2006/relationships/hyperlink" Target="https://www.cdcmontagnenoire.fr/contactez-nous" TargetMode="External" Id="rId369" /><Relationship Type="http://schemas.openxmlformats.org/officeDocument/2006/relationships/hyperlink" Target="https://lannuaire.service-public.gouv.fr/occitanie/aude/78174971-4645-4030-9f8e-4ca4ec35d49d" TargetMode="External" Id="rId370" /><Relationship Type="http://schemas.openxmlformats.org/officeDocument/2006/relationships/hyperlink" Target="mailto:accueil@cc-limouxin.fr" TargetMode="External" Id="rId371" /><Relationship Type="http://schemas.openxmlformats.org/officeDocument/2006/relationships/hyperlink" Target="https://cc-limouxin.com/" TargetMode="External" Id="rId372" /><Relationship Type="http://schemas.openxmlformats.org/officeDocument/2006/relationships/hyperlink" Target="https://lannuaire.service-public.gouv.fr/occitanie/aude/141a61ee-960e-4f72-82ed-28666a94277f" TargetMode="External" Id="rId373" /><Relationship Type="http://schemas.openxmlformats.org/officeDocument/2006/relationships/hyperlink" Target="mailto:contact@ccacv.fr" TargetMode="External" Id="rId374" /><Relationship Type="http://schemas.openxmlformats.org/officeDocument/2006/relationships/hyperlink" Target="https://www.ccacv.fr/" TargetMode="External" Id="rId375" /><Relationship Type="http://schemas.openxmlformats.org/officeDocument/2006/relationships/hyperlink" Target="https://www.ccacv.fr/contact/" TargetMode="External" Id="rId376" /><Relationship Type="http://schemas.openxmlformats.org/officeDocument/2006/relationships/hyperlink" Target="https://lannuaire.service-public.gouv.fr/occitanie/aveyron/a52840bc-48ac-455f-bba0-e1dd5632dca7" TargetMode="External" Id="rId377" /><Relationship Type="http://schemas.openxmlformats.org/officeDocument/2006/relationships/hyperlink" Target="mailto:administration@ccabsv.fr" TargetMode="External" Id="rId378" /><Relationship Type="http://schemas.openxmlformats.org/officeDocument/2006/relationships/hyperlink" Target="https://aveyronbassegalaviaur.fr" TargetMode="External" Id="rId379" /><Relationship Type="http://schemas.openxmlformats.org/officeDocument/2006/relationships/hyperlink" Target="https://aveyronbassegalaviaur.fr/contact-ccabsv" TargetMode="External" Id="rId380" /><Relationship Type="http://schemas.openxmlformats.org/officeDocument/2006/relationships/hyperlink" Target="https://lannuaire.service-public.gouv.fr/occitanie/aveyron/9dd2bd6d-3237-4fc2-b287-660a30e60dd7" TargetMode="External" Id="rId381" /><Relationship Type="http://schemas.openxmlformats.org/officeDocument/2006/relationships/hyperlink" Target="mailto:secretariat@3clt.fr" TargetMode="External" Id="rId382" /><Relationship Type="http://schemas.openxmlformats.org/officeDocument/2006/relationships/hyperlink" Target="https://comtal-lot-truyere.fr/" TargetMode="External" Id="rId383" /><Relationship Type="http://schemas.openxmlformats.org/officeDocument/2006/relationships/hyperlink" Target="https://comtal-lot-truyere.fr/contact" TargetMode="External" Id="rId384" /><Relationship Type="http://schemas.openxmlformats.org/officeDocument/2006/relationships/hyperlink" Target="https://lannuaire.service-public.gouv.fr/occitanie/aveyron/2bbbfc9b-931d-4ae1-a49b-ecfd245f29eb" TargetMode="External" Id="rId385" /><Relationship Type="http://schemas.openxmlformats.org/officeDocument/2006/relationships/hyperlink" Target="mailto:contact@cc-conques-marcillac.fr" TargetMode="External" Id="rId386" /><Relationship Type="http://schemas.openxmlformats.org/officeDocument/2006/relationships/hyperlink" Target="https://cc-conques-marcillac.fr/" TargetMode="External" Id="rId387" /><Relationship Type="http://schemas.openxmlformats.org/officeDocument/2006/relationships/hyperlink" Target="https://lannuaire.service-public.gouv.fr/occitanie/aveyron/138d9e89-3bd7-470b-9fab-ec5a560db4ee" TargetMode="External" Id="rId388" /><Relationship Type="http://schemas.openxmlformats.org/officeDocument/2006/relationships/hyperlink" Target="mailto:contact@decazeville-communaute.fr" TargetMode="External" Id="rId389" /><Relationship Type="http://schemas.openxmlformats.org/officeDocument/2006/relationships/hyperlink" Target="https://www.decazeville-communaute.fr" TargetMode="External" Id="rId390" /><Relationship Type="http://schemas.openxmlformats.org/officeDocument/2006/relationships/hyperlink" Target="https://www.decazeville-communaute.fr/systeme/contact/" TargetMode="External" Id="rId391" /><Relationship Type="http://schemas.openxmlformats.org/officeDocument/2006/relationships/hyperlink" Target="https://lannuaire.service-public.gouv.fr/occitanie/aveyron/51d2b461-3cf1-4dc1-90cf-3d5a9056154e" TargetMode="External" Id="rId392" /><Relationship Type="http://schemas.openxmlformats.org/officeDocument/2006/relationships/hyperlink" Target="mailto:secretariat.general@grand-figeac.fr" TargetMode="External" Id="rId393" /><Relationship Type="http://schemas.openxmlformats.org/officeDocument/2006/relationships/hyperlink" Target="https://www.grand-figeac.fr/" TargetMode="External" Id="rId394" /><Relationship Type="http://schemas.openxmlformats.org/officeDocument/2006/relationships/hyperlink" Target="https://www.grand-figeac.fr/formulaire-de-contact/" TargetMode="External" Id="rId395" /><Relationship Type="http://schemas.openxmlformats.org/officeDocument/2006/relationships/hyperlink" Target="https://lannuaire.service-public.gouv.fr/occitanie/lot/741673e5-20b9-4b45-9fcf-8df07e2bc25e" TargetMode="External" Id="rId396" /><Relationship Type="http://schemas.openxmlformats.org/officeDocument/2006/relationships/hyperlink" Target="mailto:contact@cc-larzacvallees.fr" TargetMode="External" Id="rId397" /><Relationship Type="http://schemas.openxmlformats.org/officeDocument/2006/relationships/hyperlink" Target="https://www.cc-larzacvallees.fr" TargetMode="External" Id="rId398" /><Relationship Type="http://schemas.openxmlformats.org/officeDocument/2006/relationships/hyperlink" Target="https://www.cc-larzacvallees.fr/fr/contactez-nous" TargetMode="External" Id="rId399" /><Relationship Type="http://schemas.openxmlformats.org/officeDocument/2006/relationships/hyperlink" Target="https://lannuaire.service-public.gouv.fr/occitanie/aveyron/2c1813e4-52f6-4b92-bbf7-a3ac7208bf2d" TargetMode="External" Id="rId400" /><Relationship Type="http://schemas.openxmlformats.org/officeDocument/2006/relationships/hyperlink" Target="mailto:contact@ccmrr.fr" TargetMode="External" Id="rId401" /><Relationship Type="http://schemas.openxmlformats.org/officeDocument/2006/relationships/hyperlink" Target="https://www.ccmrr.fr/" TargetMode="External" Id="rId402" /><Relationship Type="http://schemas.openxmlformats.org/officeDocument/2006/relationships/hyperlink" Target="https://lannuaire.service-public.gouv.fr/occitanie/aveyron/768501d1-236f-4178-9d10-95938f6c9082" TargetMode="External" Id="rId403" /><Relationship Type="http://schemas.openxmlformats.org/officeDocument/2006/relationships/hyperlink" Target="mailto:contact@ouestaveyron.fr" TargetMode="External" Id="rId404" /><Relationship Type="http://schemas.openxmlformats.org/officeDocument/2006/relationships/hyperlink" Target="https://www.ouestaveyron.fr/" TargetMode="External" Id="rId405" /><Relationship Type="http://schemas.openxmlformats.org/officeDocument/2006/relationships/hyperlink" Target="https://www.ouestaveyron.fr/nous-contacter/" TargetMode="External" Id="rId406" /><Relationship Type="http://schemas.openxmlformats.org/officeDocument/2006/relationships/hyperlink" Target="https://lannuaire.service-public.gouv.fr/occitanie/aveyron/be748184-7a4f-40a9-859f-16b6c21bf84e" TargetMode="External" Id="rId407" /><Relationship Type="http://schemas.openxmlformats.org/officeDocument/2006/relationships/hyperlink" Target="mailto:accueil@payssegali.fr" TargetMode="External" Id="rId408" /><Relationship Type="http://schemas.openxmlformats.org/officeDocument/2006/relationships/hyperlink" Target="https://www.payssegali.fr" TargetMode="External" Id="rId409" /><Relationship Type="http://schemas.openxmlformats.org/officeDocument/2006/relationships/hyperlink" Target="https://www.payssegali.fr/contact/" TargetMode="External" Id="rId410" /><Relationship Type="http://schemas.openxmlformats.org/officeDocument/2006/relationships/hyperlink" Target="https://lannuaire.service-public.gouv.fr/occitanie/aveyron/7277d212-d6d3-44bf-b1b5-75385ff3e0e5" TargetMode="External" Id="rId411" /><Relationship Type="http://schemas.openxmlformats.org/officeDocument/2006/relationships/hyperlink" Target="mailto:accueil@cc-saintaffricain.fr" TargetMode="External" Id="rId412" /><Relationship Type="http://schemas.openxmlformats.org/officeDocument/2006/relationships/hyperlink" Target="https://www.comcom-sar7v.fr/" TargetMode="External" Id="rId413" /><Relationship Type="http://schemas.openxmlformats.org/officeDocument/2006/relationships/hyperlink" Target="https://www.comcom-sar7v.fr/?th=6801" TargetMode="External" Id="rId414" /><Relationship Type="http://schemas.openxmlformats.org/officeDocument/2006/relationships/hyperlink" Target="https://lannuaire.service-public.gouv.fr/occitanie/aveyron/5f4de389-cdb5-4bd9-b16e-202ce2c626c8" TargetMode="External" Id="rId415" /><Relationship Type="http://schemas.openxmlformats.org/officeDocument/2006/relationships/hyperlink" Target="mailto:contact@cc-millaugrandscausses.fr" TargetMode="External" Id="rId416" /><Relationship Type="http://schemas.openxmlformats.org/officeDocument/2006/relationships/hyperlink" Target="https://www.cc-millaugrandscausses.fr/" TargetMode="External" Id="rId417" /><Relationship Type="http://schemas.openxmlformats.org/officeDocument/2006/relationships/hyperlink" Target="https://www.cc-millaugrandscausses.fr/pages-pratiques/contact" TargetMode="External" Id="rId418" /><Relationship Type="http://schemas.openxmlformats.org/officeDocument/2006/relationships/hyperlink" Target="https://lannuaire.service-public.gouv.fr/occitanie/aveyron/d36fd525-141c-44fc-81f5-5842a1bff2a7" TargetMode="External" Id="rId419" /><Relationship Type="http://schemas.openxmlformats.org/officeDocument/2006/relationships/hyperlink" Target="mailto:cc.museetraspesdutarn@orange.fr" TargetMode="External" Id="rId420" /><Relationship Type="http://schemas.openxmlformats.org/officeDocument/2006/relationships/hyperlink" Target="https://www.cc-museetraspesdutarn.fr/" TargetMode="External" Id="rId421" /><Relationship Type="http://schemas.openxmlformats.org/officeDocument/2006/relationships/hyperlink" Target="https://lannuaire.service-public.gouv.fr/occitanie/aveyron/741bd574-1707-4aca-b9d6-f110597db96a" TargetMode="External" Id="rId422" /><Relationship Type="http://schemas.openxmlformats.org/officeDocument/2006/relationships/hyperlink" Target="mailto:contact@caussesaubrac.fr" TargetMode="External" Id="rId423" /><Relationship Type="http://schemas.openxmlformats.org/officeDocument/2006/relationships/hyperlink" Target="http://www.caussesaubrac.fr" TargetMode="External" Id="rId424" /><Relationship Type="http://schemas.openxmlformats.org/officeDocument/2006/relationships/hyperlink" Target="https://lannuaire.service-public.gouv.fr/occitanie/aveyron/4245cf90-5df1-49fb-9ff8-97d4398d6fc1" TargetMode="External" Id="rId425" /><Relationship Type="http://schemas.openxmlformats.org/officeDocument/2006/relationships/hyperlink" Target="mailto:communautedecommunes@pays-rignacois.fr" TargetMode="External" Id="rId426" /><Relationship Type="http://schemas.openxmlformats.org/officeDocument/2006/relationships/hyperlink" Target="https://www.pays-rignacois.fr/" TargetMode="External" Id="rId427" /><Relationship Type="http://schemas.openxmlformats.org/officeDocument/2006/relationships/hyperlink" Target="https://www.pays-rignacois.fr/contact/" TargetMode="External" Id="rId428" /><Relationship Type="http://schemas.openxmlformats.org/officeDocument/2006/relationships/hyperlink" Target="https://lannuaire.service-public.gouv.fr/occitanie/aveyron/cdb9521d-42ef-48c4-83d8-81a97f91f96d" TargetMode="External" Id="rId429" /><Relationship Type="http://schemas.openxmlformats.org/officeDocument/2006/relationships/hyperlink" Target="mailto:com.cnes.montbazens@wanadoo.fr" TargetMode="External" Id="rId430" /><Relationship Type="http://schemas.openxmlformats.org/officeDocument/2006/relationships/hyperlink" Target="https://plateau-de-montbazens.com/" TargetMode="External" Id="rId431" /><Relationship Type="http://schemas.openxmlformats.org/officeDocument/2006/relationships/hyperlink" Target="https://plateau-de-montbazens.com/accueil-comunaute-de-communes/contact/" TargetMode="External" Id="rId432" /><Relationship Type="http://schemas.openxmlformats.org/officeDocument/2006/relationships/hyperlink" Target="https://lannuaire.service-public.gouv.fr/occitanie/aveyron/a60c65ee-2dea-4797-ad64-afe713acef61" TargetMode="External" Id="rId433" /><Relationship Type="http://schemas.openxmlformats.org/officeDocument/2006/relationships/hyperlink" Target="mailto:secretariat@requistanais.fr" TargetMode="External" Id="rId434" /><Relationship Type="http://schemas.openxmlformats.org/officeDocument/2006/relationships/hyperlink" Target="https://requistanais.fr/" TargetMode="External" Id="rId435" /><Relationship Type="http://schemas.openxmlformats.org/officeDocument/2006/relationships/hyperlink" Target="https://formulaires.mesdemarches.cap-atlantique.fr/une-infos-une-remarque-une-idee/contact/" TargetMode="External" Id="rId436" /><Relationship Type="http://schemas.openxmlformats.org/officeDocument/2006/relationships/hyperlink" Target="https://lannuaire.service-public.gouv.fr/occitanie/aveyron/5aa9b1a2-cedc-4f12-8440-159662a3cb5c" TargetMode="External" Id="rId437" /><Relationship Type="http://schemas.openxmlformats.org/officeDocument/2006/relationships/hyperlink" Target="mailto:bienvenue@ccvba.fr" TargetMode="External" Id="rId438" /><Relationship Type="http://schemas.openxmlformats.org/officeDocument/2006/relationships/hyperlink" Target="https://www.vallee-des-baux-alpilles.fr/" TargetMode="External" Id="rId439" /><Relationship Type="http://schemas.openxmlformats.org/officeDocument/2006/relationships/hyperlink" Target="https://www.vallee-des-baux-alpilles.fr/contactez-nous/" TargetMode="External" Id="rId440" /><Relationship Type="http://schemas.openxmlformats.org/officeDocument/2006/relationships/hyperlink" Target="https://lannuaire.service-public.gouv.fr/provence-alpes-cote-d-azur/bouches-du-rhone/73f09749-0063-4339-8369-ee180e77ed85" TargetMode="External" Id="rId441" /><Relationship Type="http://schemas.openxmlformats.org/officeDocument/2006/relationships/hyperlink" Target="mailto:cdc@cingal-suissenormande.fr" TargetMode="External" Id="rId442" /><Relationship Type="http://schemas.openxmlformats.org/officeDocument/2006/relationships/hyperlink" Target="https://www.suisse-normande.com/" TargetMode="External" Id="rId443" /><Relationship Type="http://schemas.openxmlformats.org/officeDocument/2006/relationships/hyperlink" Target="https://www.suisse-normande.com/contactez-nous/" TargetMode="External" Id="rId444" /><Relationship Type="http://schemas.openxmlformats.org/officeDocument/2006/relationships/hyperlink" Target="https://lannuaire.service-public.gouv.fr/normandie/calvados/301a9d4a-3b3c-4f7e-ad6c-a48c018f76fe" TargetMode="External" Id="rId445" /><Relationship Type="http://schemas.openxmlformats.org/officeDocument/2006/relationships/hyperlink" Target="mailto:info@coeurcotefleurie.org" TargetMode="External" Id="rId446" /><Relationship Type="http://schemas.openxmlformats.org/officeDocument/2006/relationships/hyperlink" Target="https://www.coeurcotefleurie.org/" TargetMode="External" Id="rId447" /><Relationship Type="http://schemas.openxmlformats.org/officeDocument/2006/relationships/hyperlink" Target="https://www.coeurcotefleurie.org/contact/" TargetMode="External" Id="rId448" /><Relationship Type="http://schemas.openxmlformats.org/officeDocument/2006/relationships/hyperlink" Target="https://lannuaire.service-public.gouv.fr/normandie/calvados/4dd72523-f656-4b6b-82e6-7693dd451106" TargetMode="External" Id="rId449" /><Relationship Type="http://schemas.openxmlformats.org/officeDocument/2006/relationships/hyperlink" Target="mailto:contact@coeurdenacre.fr" TargetMode="External" Id="rId450" /><Relationship Type="http://schemas.openxmlformats.org/officeDocument/2006/relationships/hyperlink" Target="https://www.coeurdenacre.fr/web/index.php" TargetMode="External" Id="rId451" /><Relationship Type="http://schemas.openxmlformats.org/officeDocument/2006/relationships/hyperlink" Target="https://www.coeurdenacre.fr/contact.html" TargetMode="External" Id="rId452" /><Relationship Type="http://schemas.openxmlformats.org/officeDocument/2006/relationships/hyperlink" Target="https://lannuaire.service-public.gouv.fr/normandie/calvados/2d6b02bd-b9fc-467b-a94b-a737596fa647" TargetMode="External" Id="rId453" /><Relationship Type="http://schemas.openxmlformats.org/officeDocument/2006/relationships/hyperlink" Target="mailto:accueil.ivn@vireaunoireau.fr" TargetMode="External" Id="rId454" /><Relationship Type="http://schemas.openxmlformats.org/officeDocument/2006/relationships/hyperlink" Target="https://www.vireaunoireau.fr/" TargetMode="External" Id="rId455" /><Relationship Type="http://schemas.openxmlformats.org/officeDocument/2006/relationships/hyperlink" Target="https://lannuaire.service-public.gouv.fr/normandie/calvados/7d836e95-d9fa-49c3-b60d-d4efc9d33203" TargetMode="External" Id="rId456" /><Relationship Type="http://schemas.openxmlformats.org/officeDocument/2006/relationships/hyperlink" Target="mailto:accueil@isigny-omaha-intercom.fr" TargetMode="External" Id="rId457" /><Relationship Type="http://schemas.openxmlformats.org/officeDocument/2006/relationships/hyperlink" Target="https://isigny-omaha-intercom.fr/" TargetMode="External" Id="rId458" /><Relationship Type="http://schemas.openxmlformats.org/officeDocument/2006/relationships/hyperlink" Target="https://isigny-omaha-intercom.fr/contact/" TargetMode="External" Id="rId459" /><Relationship Type="http://schemas.openxmlformats.org/officeDocument/2006/relationships/hyperlink" Target="https://lannuaire.service-public.gouv.fr/normandie/calvados/d6f33c2e-5f65-482f-8bed-9393253d3da0" TargetMode="External" Id="rId460" /><Relationship Type="http://schemas.openxmlformats.org/officeDocument/2006/relationships/hyperlink" Target="mailto:accueil@normandiecabourgpaysdauge.fr" TargetMode="External" Id="rId461" /><Relationship Type="http://schemas.openxmlformats.org/officeDocument/2006/relationships/hyperlink" Target="https://www.normandiecabourgpaysdauge.fr/#modal" TargetMode="External" Id="rId462" /><Relationship Type="http://schemas.openxmlformats.org/officeDocument/2006/relationships/hyperlink" Target="https://www.normandiecabourgpaysdauge.fr/contact/" TargetMode="External" Id="rId463" /><Relationship Type="http://schemas.openxmlformats.org/officeDocument/2006/relationships/hyperlink" Target="https://lannuaire.service-public.gouv.fr/normandie/calvados/b09f9e02-def0-46c3-919b-2b5e37aebbd5" TargetMode="External" Id="rId464" /><Relationship Type="http://schemas.openxmlformats.org/officeDocument/2006/relationships/hyperlink" Target="mailto:contact@pbi14.fr" TargetMode="External" Id="rId465" /><Relationship Type="http://schemas.openxmlformats.org/officeDocument/2006/relationships/hyperlink" Target="https://prebocageintercom.fr" TargetMode="External" Id="rId466" /><Relationship Type="http://schemas.openxmlformats.org/officeDocument/2006/relationships/hyperlink" Target="https://lannuaire.service-public.gouv.fr/normandie/calvados/14d1674b-92d5-44c2-8f22-6c07c0406f7c" TargetMode="External" Id="rId467" /><Relationship Type="http://schemas.openxmlformats.org/officeDocument/2006/relationships/hyperlink" Target="mailto:contact@cdc-stm.fr" TargetMode="External" Id="rId468" /><Relationship Type="http://schemas.openxmlformats.org/officeDocument/2006/relationships/hyperlink" Target="https://www.seulles-terre-mer.fr" TargetMode="External" Id="rId469" /><Relationship Type="http://schemas.openxmlformats.org/officeDocument/2006/relationships/hyperlink" Target="https://seulles-terre-mer.fr/contact/" TargetMode="External" Id="rId470" /><Relationship Type="http://schemas.openxmlformats.org/officeDocument/2006/relationships/hyperlink" Target="https://lannuaire.service-public.gouv.fr/normandie/calvados/87b7a1ae-638a-45a1-8d98-d14488371d14" TargetMode="External" Id="rId471" /><Relationship Type="http://schemas.openxmlformats.org/officeDocument/2006/relationships/hyperlink" Target="mailto:accueil@terredauge.fr" TargetMode="External" Id="rId472" /><Relationship Type="http://schemas.openxmlformats.org/officeDocument/2006/relationships/hyperlink" Target="https://www.terredauge.fr/" TargetMode="External" Id="rId473" /><Relationship Type="http://schemas.openxmlformats.org/officeDocument/2006/relationships/hyperlink" Target="https://www.terredauge.fr/contact/" TargetMode="External" Id="rId474" /><Relationship Type="http://schemas.openxmlformats.org/officeDocument/2006/relationships/hyperlink" Target="https://lannuaire.service-public.gouv.fr/normandie/calvados/f7754cf2-bbe4-4e33-bd3d-f89c723b9877" TargetMode="External" Id="rId475" /><Relationship Type="http://schemas.openxmlformats.org/officeDocument/2006/relationships/hyperlink" Target="mailto:cdc@valesdunes.fr" TargetMode="External" Id="rId476" /><Relationship Type="http://schemas.openxmlformats.org/officeDocument/2006/relationships/hyperlink" Target="https://www.valesdunes.fr/" TargetMode="External" Id="rId477" /><Relationship Type="http://schemas.openxmlformats.org/officeDocument/2006/relationships/hyperlink" Target="https://www.valesdunes.fr/contact/" TargetMode="External" Id="rId478" /><Relationship Type="http://schemas.openxmlformats.org/officeDocument/2006/relationships/hyperlink" Target="https://lannuaire.service-public.gouv.fr/normandie/calvados/37f77977-5027-4527-8ff1-d27d53bfdce7" TargetMode="External" Id="rId479" /><Relationship Type="http://schemas.openxmlformats.org/officeDocument/2006/relationships/hyperlink" Target="mailto:contact@vallees-orne-odon.fr" TargetMode="External" Id="rId480" /><Relationship Type="http://schemas.openxmlformats.org/officeDocument/2006/relationships/hyperlink" Target="https://cdc.vallees-orne-odon.fr/" TargetMode="External" Id="rId481" /><Relationship Type="http://schemas.openxmlformats.org/officeDocument/2006/relationships/hyperlink" Target="https://cdc.vallees-orne-odon.fr/contacts/" TargetMode="External" Id="rId482" /><Relationship Type="http://schemas.openxmlformats.org/officeDocument/2006/relationships/hyperlink" Target="https://lannuaire.service-public.gouv.fr/normandie/calvados/42b1e277-6e97-4327-9b01-77e72570390a" TargetMode="External" Id="rId483" /><Relationship Type="http://schemas.openxmlformats.org/officeDocument/2006/relationships/hyperlink" Target="mailto:siege@bayeux-intercom.fr" TargetMode="External" Id="rId484" /><Relationship Type="http://schemas.openxmlformats.org/officeDocument/2006/relationships/hyperlink" Target="https://www.bayeux-intercom.fr/" TargetMode="External" Id="rId485" /><Relationship Type="http://schemas.openxmlformats.org/officeDocument/2006/relationships/hyperlink" Target="https://www.bayeux-intercom.fr/infos/contact/" TargetMode="External" Id="rId486" /><Relationship Type="http://schemas.openxmlformats.org/officeDocument/2006/relationships/hyperlink" Target="https://lannuaire.service-public.gouv.fr/normandie/calvados/8687d9bd-03c6-44ba-a679-fe8c86ce8717" TargetMode="External" Id="rId487" /><Relationship Type="http://schemas.openxmlformats.org/officeDocument/2006/relationships/hyperlink" Target="mailto:accueil@paysdefalaise.fr" TargetMode="External" Id="rId488" /><Relationship Type="http://schemas.openxmlformats.org/officeDocument/2006/relationships/hyperlink" Target="https://www.paysdefalaise.fr/" TargetMode="External" Id="rId489" /><Relationship Type="http://schemas.openxmlformats.org/officeDocument/2006/relationships/hyperlink" Target="https://www.paysdefalaise.fr/communaute-de-communes/notre-fonctionnement/contact/" TargetMode="External" Id="rId490" /><Relationship Type="http://schemas.openxmlformats.org/officeDocument/2006/relationships/hyperlink" Target="https://lannuaire.service-public.gouv.fr/normandie/calvados/96e52221-71b0-4e5f-b25f-f7beed394447" TargetMode="External" Id="rId491" /><Relationship Type="http://schemas.openxmlformats.org/officeDocument/2006/relationships/hyperlink" Target="mailto:contact@ccphb.fr" TargetMode="External" Id="rId492" /><Relationship Type="http://schemas.openxmlformats.org/officeDocument/2006/relationships/hyperlink" Target="https://www.ccphb.fr/" TargetMode="External" Id="rId493" /><Relationship Type="http://schemas.openxmlformats.org/officeDocument/2006/relationships/hyperlink" Target="https://www.ccphb.fr/contact/" TargetMode="External" Id="rId494" /><Relationship Type="http://schemas.openxmlformats.org/officeDocument/2006/relationships/hyperlink" Target="https://lannuaire.service-public.gouv.fr/normandie/calvados/bd821f66-9c8a-47b5-bc80-1c72331aaf45" TargetMode="External" Id="rId495" /><Relationship Type="http://schemas.openxmlformats.org/officeDocument/2006/relationships/hyperlink" Target="mailto:secretariat@carlades.fr" TargetMode="External" Id="rId496" /><Relationship Type="http://schemas.openxmlformats.org/officeDocument/2006/relationships/hyperlink" Target="https://www.carlades.com/" TargetMode="External" Id="rId497" /><Relationship Type="http://schemas.openxmlformats.org/officeDocument/2006/relationships/hyperlink" Target="https://www.carlades.com/nous-joindre/" TargetMode="External" Id="rId498" /><Relationship Type="http://schemas.openxmlformats.org/officeDocument/2006/relationships/hyperlink" Target="https://lannuaire.service-public.gouv.fr/auvergne-rhone-alpes/cantal/4b15dd65-2ec4-4f19-9780-5a318eabaf9d" TargetMode="External" Id="rId499" /><Relationship Type="http://schemas.openxmlformats.org/officeDocument/2006/relationships/hyperlink" Target="mailto:contact@hautesterres.fr" TargetMode="External" Id="rId500" /><Relationship Type="http://schemas.openxmlformats.org/officeDocument/2006/relationships/hyperlink" Target="https://www.hautesterres.fr/" TargetMode="External" Id="rId501" /><Relationship Type="http://schemas.openxmlformats.org/officeDocument/2006/relationships/hyperlink" Target="https://lannuaire.service-public.gouv.fr/auvergne-rhone-alpes/cantal/13bb3803-022e-4d86-85b7-016b0c2e98a0" TargetMode="External" Id="rId502" /><Relationship Type="http://schemas.openxmlformats.org/officeDocument/2006/relationships/hyperlink" Target="mailto:contact@sumene-artense.com" TargetMode="External" Id="rId503" /><Relationship Type="http://schemas.openxmlformats.org/officeDocument/2006/relationships/hyperlink" Target="https://www.sumene-artense.com/" TargetMode="External" Id="rId504" /><Relationship Type="http://schemas.openxmlformats.org/officeDocument/2006/relationships/hyperlink" Target="https://www.sumene-artense.com/contact-communaute-communes-sumene-artense_fr.html" TargetMode="External" Id="rId505" /><Relationship Type="http://schemas.openxmlformats.org/officeDocument/2006/relationships/hyperlink" Target="https://lannuaire.service-public.gouv.fr/auvergne-rhone-alpes/cantal/d8fcef57-aee0-485c-bd42-d49fee79f5c1" TargetMode="External" Id="rId506" /><Relationship Type="http://schemas.openxmlformats.org/officeDocument/2006/relationships/hyperlink" Target="mailto:contact@saintflourco.fr" TargetMode="External" Id="rId507" /><Relationship Type="http://schemas.openxmlformats.org/officeDocument/2006/relationships/hyperlink" Target="https://saint-flour-communaute.fr/" TargetMode="External" Id="rId508" /><Relationship Type="http://schemas.openxmlformats.org/officeDocument/2006/relationships/hyperlink" Target="https://lannuaire.service-public.gouv.fr/auvergne-rhone-alpes/cantal/d2c6efd3-5c1b-4bc1-b82c-117d04be7e0c" TargetMode="External" Id="rId509" /><Relationship Type="http://schemas.openxmlformats.org/officeDocument/2006/relationships/hyperlink" Target="mailto:accueil@chataigneraie15.fr" TargetMode="External" Id="rId510" /><Relationship Type="http://schemas.openxmlformats.org/officeDocument/2006/relationships/hyperlink" Target="https://www.chataigneraie15.fr/" TargetMode="External" Id="rId511" /><Relationship Type="http://schemas.openxmlformats.org/officeDocument/2006/relationships/hyperlink" Target="https://www.chataigneraie15.fr/rdv-contact-communaute-communes-cantalienne-cantal_fr.html" TargetMode="External" Id="rId512" /><Relationship Type="http://schemas.openxmlformats.org/officeDocument/2006/relationships/hyperlink" Target="https://lannuaire.service-public.gouv.fr/auvergne-rhone-alpes/cantal/54e352a3-71d2-40f8-8001-ed3bd723b35d" TargetMode="External" Id="rId513" /><Relationship Type="http://schemas.openxmlformats.org/officeDocument/2006/relationships/hyperlink" Target="mailto:ccms@cc-massifdusancy.fr" TargetMode="External" Id="rId514" /><Relationship Type="http://schemas.openxmlformats.org/officeDocument/2006/relationships/hyperlink" Target="https://www.cc-massifdusancy.fr/" TargetMode="External" Id="rId515" /><Relationship Type="http://schemas.openxmlformats.org/officeDocument/2006/relationships/hyperlink" Target="https://www.cc-massifdusancy.fr/contact/" TargetMode="External" Id="rId516" /><Relationship Type="http://schemas.openxmlformats.org/officeDocument/2006/relationships/hyperlink" Target="https://lannuaire.service-public.gouv.fr/auvergne-rhone-alpes/puy-de-dome/c53b0361-48b2-4b2b-a982-14d65c55a646" TargetMode="External" Id="rId517" /><Relationship Type="http://schemas.openxmlformats.org/officeDocument/2006/relationships/hyperlink" Target="mailto:efs@pays-gentiane.com;secretariat@pays-gentiane.com" TargetMode="External" Id="rId518" /><Relationship Type="http://schemas.openxmlformats.org/officeDocument/2006/relationships/hyperlink" Target="https://www.pays-gentiane.fr" TargetMode="External" Id="rId519" /><Relationship Type="http://schemas.openxmlformats.org/officeDocument/2006/relationships/hyperlink" Target="https://lannuaire.service-public.gouv.fr/auvergne-rhone-alpes/cantal/7c1f734d-d6da-4502-b0df-53a9ca4a6fd4" TargetMode="External" Id="rId520" /><Relationship Type="http://schemas.openxmlformats.org/officeDocument/2006/relationships/hyperlink" Target="mailto:administration@paysdemauriac.fr" TargetMode="External" Id="rId521" /><Relationship Type="http://schemas.openxmlformats.org/officeDocument/2006/relationships/hyperlink" Target="http://www.paysdemauriac.fr/" TargetMode="External" Id="rId522" /><Relationship Type="http://schemas.openxmlformats.org/officeDocument/2006/relationships/hyperlink" Target="https://lannuaire.service-public.gouv.fr/auvergne-rhone-alpes/cantal/958767ad-6a4a-4cb3-9c83-df08035bb9be" TargetMode="External" Id="rId523" /><Relationship Type="http://schemas.openxmlformats.org/officeDocument/2006/relationships/hyperlink" Target="mailto:contact@pays-salers.fr" TargetMode="External" Id="rId524" /><Relationship Type="http://schemas.openxmlformats.org/officeDocument/2006/relationships/hyperlink" Target="https://www.pays-salers.fr/" TargetMode="External" Id="rId525" /><Relationship Type="http://schemas.openxmlformats.org/officeDocument/2006/relationships/hyperlink" Target="https://www.pays-salers.fr/contact" TargetMode="External" Id="rId526" /><Relationship Type="http://schemas.openxmlformats.org/officeDocument/2006/relationships/hyperlink" Target="https://lannuaire.service-public.gouv.fr/auvergne-rhone-alpes/cantal/d3fff799-32bd-4422-a7a5-418a3ef1584f" TargetMode="External" Id="rId527" /><Relationship Type="http://schemas.openxmlformats.org/officeDocument/2006/relationships/hyperlink" Target="mailto:secretariat@coeurdecharente.fr" TargetMode="External" Id="rId528" /><Relationship Type="http://schemas.openxmlformats.org/officeDocument/2006/relationships/hyperlink" Target="https://www.coeurdecharente.fr/" TargetMode="External" Id="rId529" /><Relationship Type="http://schemas.openxmlformats.org/officeDocument/2006/relationships/hyperlink" Target="https://www.coeurdecharente.fr/contact/" TargetMode="External" Id="rId530" /><Relationship Type="http://schemas.openxmlformats.org/officeDocument/2006/relationships/hyperlink" Target="https://lannuaire.service-public.gouv.fr/nouvelle-aquitaine/charente/db456363-6ebe-4e0b-990c-160746cc1885" TargetMode="External" Id="rId531" /><Relationship Type="http://schemas.openxmlformats.org/officeDocument/2006/relationships/hyperlink" Target="mailto:accueil@rochefoucauld-perigord.fr" TargetMode="External" Id="rId532" /><Relationship Type="http://schemas.openxmlformats.org/officeDocument/2006/relationships/hyperlink" Target="https://www.rochefoucauld-perigord.fr/" TargetMode="External" Id="rId533" /><Relationship Type="http://schemas.openxmlformats.org/officeDocument/2006/relationships/hyperlink" Target="https://lannuaire.service-public.gouv.fr/nouvelle-aquitaine/charente/cfef3744-484d-425b-bc79-69ab23b19c18" TargetMode="External" Id="rId534" /><Relationship Type="http://schemas.openxmlformats.org/officeDocument/2006/relationships/hyperlink" Target="mailto:accueil@ccltd.fr" TargetMode="External" Id="rId535" /><Relationship Type="http://schemas.openxmlformats.org/officeDocument/2006/relationships/hyperlink" Target="https://www.lavalette-tude-dronne.fr/" TargetMode="External" Id="rId536" /><Relationship Type="http://schemas.openxmlformats.org/officeDocument/2006/relationships/hyperlink" Target="https://www.lavalette-tude-dronne.fr/contact/" TargetMode="External" Id="rId537" /><Relationship Type="http://schemas.openxmlformats.org/officeDocument/2006/relationships/hyperlink" Target="https://lannuaire.service-public.gouv.fr/nouvelle-aquitaine/charente/ca3c3e66-3c7c-48db-b44d-ec727300aac5" TargetMode="External" Id="rId538" /><Relationship Type="http://schemas.openxmlformats.org/officeDocument/2006/relationships/hyperlink" Target="mailto:president@ccvaldecharente.fr" TargetMode="External" Id="rId539" /><Relationship Type="http://schemas.openxmlformats.org/officeDocument/2006/relationships/hyperlink" Target="https://www.ccvaldecharente.fr/" TargetMode="External" Id="rId540" /><Relationship Type="http://schemas.openxmlformats.org/officeDocument/2006/relationships/hyperlink" Target="https://www.ccvaldecharente.fr/intercommunalite/cc-val-de-charente/nous-contacter" TargetMode="External" Id="rId541" /><Relationship Type="http://schemas.openxmlformats.org/officeDocument/2006/relationships/hyperlink" Target="https://lannuaire.service-public.gouv.fr/nouvelle-aquitaine/charente/9aa3d0c6-94a0-4545-84c0-31075edbb81b" TargetMode="External" Id="rId542" /><Relationship Type="http://schemas.openxmlformats.org/officeDocument/2006/relationships/hyperlink" Target="mailto:contact@charente-limousine.fr" TargetMode="External" Id="rId543" /><Relationship Type="http://schemas.openxmlformats.org/officeDocument/2006/relationships/hyperlink" Target="https://charente-limousine.fr/" TargetMode="External" Id="rId544" /><Relationship Type="http://schemas.openxmlformats.org/officeDocument/2006/relationships/hyperlink" Target="https://charente-limousine.fr/contact/" TargetMode="External" Id="rId545" /><Relationship Type="http://schemas.openxmlformats.org/officeDocument/2006/relationships/hyperlink" Target="https://lannuaire.service-public.gouv.fr/nouvelle-aquitaine/charente/284acdc4-c744-4631-a458-c1383236aa1b" TargetMode="External" Id="rId546" /><Relationship Type="http://schemas.openxmlformats.org/officeDocument/2006/relationships/hyperlink" Target="mailto:accueil@cdc4b.com" TargetMode="External" Id="rId547" /><Relationship Type="http://schemas.openxmlformats.org/officeDocument/2006/relationships/hyperlink" Target="https://www.cdc4b.com/" TargetMode="External" Id="rId548" /><Relationship Type="http://schemas.openxmlformats.org/officeDocument/2006/relationships/hyperlink" Target="https://www.cdc4b.com/systeme/nous-contacter/" TargetMode="External" Id="rId549" /><Relationship Type="http://schemas.openxmlformats.org/officeDocument/2006/relationships/hyperlink" Target="https://lannuaire.service-public.gouv.fr/nouvelle-aquitaine/charente/80c37675-5942-488e-8fb7-a1a8ad62ae25" TargetMode="External" Id="rId550" /><Relationship Type="http://schemas.openxmlformats.org/officeDocument/2006/relationships/hyperlink" Target="mailto:administration@ccrouillacais.fr" TargetMode="External" Id="rId551" /><Relationship Type="http://schemas.openxmlformats.org/officeDocument/2006/relationships/hyperlink" Target="https://www.lerouillacais.fr/" TargetMode="External" Id="rId552" /><Relationship Type="http://schemas.openxmlformats.org/officeDocument/2006/relationships/hyperlink" Target="https://www.lerouillacais.fr/" TargetMode="External" Id="rId553" /><Relationship Type="http://schemas.openxmlformats.org/officeDocument/2006/relationships/hyperlink" Target="https://lannuaire.service-public.gouv.fr/nouvelle-aquitaine/charente/462a446d-1e0d-461c-b707-8952dcce090d" TargetMode="External" Id="rId554" /><Relationship Type="http://schemas.openxmlformats.org/officeDocument/2006/relationships/hyperlink" Target="mailto:contact@aunisatlantique.fr" TargetMode="External" Id="rId555" /><Relationship Type="http://schemas.openxmlformats.org/officeDocument/2006/relationships/hyperlink" Target="https://www.aunisatlantique.fr/" TargetMode="External" Id="rId556" /><Relationship Type="http://schemas.openxmlformats.org/officeDocument/2006/relationships/hyperlink" Target="https://lannuaire.service-public.gouv.fr/nouvelle-aquitaine/charente-maritime/c79e4812-43e2-4dc5-b38e-5f98fac78595" TargetMode="External" Id="rId557" /><Relationship Type="http://schemas.openxmlformats.org/officeDocument/2006/relationships/hyperlink" Target="mailto:contact@aunis-sud.fr" TargetMode="External" Id="rId558" /><Relationship Type="http://schemas.openxmlformats.org/officeDocument/2006/relationships/hyperlink" Target="https://aunis-sud.fr/" TargetMode="External" Id="rId559" /><Relationship Type="http://schemas.openxmlformats.org/officeDocument/2006/relationships/hyperlink" Target="https://aunis-sud.fr/contactez-nous/" TargetMode="External" Id="rId560" /><Relationship Type="http://schemas.openxmlformats.org/officeDocument/2006/relationships/hyperlink" Target="https://lannuaire.service-public.gouv.fr/nouvelle-aquitaine/charente-maritime/f6ee470a-4309-4f69-8027-94fbf56e60c8" TargetMode="External" Id="rId561" /><Relationship Type="http://schemas.openxmlformats.org/officeDocument/2006/relationships/hyperlink" Target="mailto:accueil@coeurdesaintonge.fr" TargetMode="External" Id="rId562" /><Relationship Type="http://schemas.openxmlformats.org/officeDocument/2006/relationships/hyperlink" Target="https://www.coeurdesaintonge.fr/" TargetMode="External" Id="rId563" /><Relationship Type="http://schemas.openxmlformats.org/officeDocument/2006/relationships/hyperlink" Target="https://www.coeurdesaintonge.fr/index.php/contact-cdc-coeur-de-saintonge" TargetMode="External" Id="rId564" /><Relationship Type="http://schemas.openxmlformats.org/officeDocument/2006/relationships/hyperlink" Target="https://lannuaire.service-public.gouv.fr/nouvelle-aquitaine/charente-maritime/5319df97-61e3-4769-97fb-519ba9f2a174" TargetMode="External" Id="rId565" /><Relationship Type="http://schemas.openxmlformats.org/officeDocument/2006/relationships/hyperlink" Target="mailto:info@valsdesaintonge.fr" TargetMode="External" Id="rId566" /><Relationship Type="http://schemas.openxmlformats.org/officeDocument/2006/relationships/hyperlink" Target="https://www.valsdesaintonge.fr/" TargetMode="External" Id="rId567" /><Relationship Type="http://schemas.openxmlformats.org/officeDocument/2006/relationships/hyperlink" Target="https://www.valsdesaintonge.fr/nous-contacter/" TargetMode="External" Id="rId568" /><Relationship Type="http://schemas.openxmlformats.org/officeDocument/2006/relationships/hyperlink" Target="https://lannuaire.service-public.gouv.fr/nouvelle-aquitaine/charente-maritime/37d7cf93-bb14-47d9-bb2e-54cad061115a" TargetMode="External" Id="rId569" /><Relationship Type="http://schemas.openxmlformats.org/officeDocument/2006/relationships/hyperlink" Target="mailto:contact@cdcgemozac.fr" TargetMode="External" Id="rId570" /><Relationship Type="http://schemas.openxmlformats.org/officeDocument/2006/relationships/hyperlink" Target="https://cdc-gemozac.fr/" TargetMode="External" Id="rId571" /><Relationship Type="http://schemas.openxmlformats.org/officeDocument/2006/relationships/hyperlink" Target="https://lannuaire.service-public.gouv.fr/nouvelle-aquitaine/charente-maritime/c71fd38b-c808-41e9-8a12-60274705a498" TargetMode="External" Id="rId572" /><Relationship Type="http://schemas.openxmlformats.org/officeDocument/2006/relationships/hyperlink" Target="mailto:accueil@cdc-oleron.fr" TargetMode="External" Id="rId573" /><Relationship Type="http://schemas.openxmlformats.org/officeDocument/2006/relationships/hyperlink" Target="https://www.cdc-oleron.com/" TargetMode="External" Id="rId574" /><Relationship Type="http://schemas.openxmlformats.org/officeDocument/2006/relationships/hyperlink" Target="https://www.cdc-oleron.com/liens-divers/contactez-nous/" TargetMode="External" Id="rId575" /><Relationship Type="http://schemas.openxmlformats.org/officeDocument/2006/relationships/hyperlink" Target="https://lannuaire.service-public.gouv.fr/nouvelle-aquitaine/charente-maritime/d2f556e3-8ebc-41a8-8403-6b0857408e7b" TargetMode="External" Id="rId576" /><Relationship Type="http://schemas.openxmlformats.org/officeDocument/2006/relationships/hyperlink" Target="mailto:accueil@cc-iledere.fr" TargetMode="External" Id="rId577" /><Relationship Type="http://schemas.openxmlformats.org/officeDocument/2006/relationships/hyperlink" Target="https://cdciledere.fr/" TargetMode="External" Id="rId578" /><Relationship Type="http://schemas.openxmlformats.org/officeDocument/2006/relationships/hyperlink" Target="https://cdciledere.fr/contact/" TargetMode="External" Id="rId579" /><Relationship Type="http://schemas.openxmlformats.org/officeDocument/2006/relationships/hyperlink" Target="https://lannuaire.service-public.gouv.fr/nouvelle-aquitaine/charente-maritime/97bd0422-4286-4966-8b5d-c509bf85270c" TargetMode="External" Id="rId580" /><Relationship Type="http://schemas.openxmlformats.org/officeDocument/2006/relationships/hyperlink" Target="mailto:contact@haute-saintonge.org" TargetMode="External" Id="rId581" /><Relationship Type="http://schemas.openxmlformats.org/officeDocument/2006/relationships/hyperlink" Target="https://www.haute-saintonge.org/" TargetMode="External" Id="rId582" /><Relationship Type="http://schemas.openxmlformats.org/officeDocument/2006/relationships/hyperlink" Target="https://lannuaire.service-public.gouv.fr/nouvelle-aquitaine/charente-maritime/c0834af6-918e-4d9e-a753-d012409a58a4" TargetMode="External" Id="rId583" /><Relationship Type="http://schemas.openxmlformats.org/officeDocument/2006/relationships/hyperlink" Target="mailto:contact@bassin-de-marennes.com" TargetMode="External" Id="rId584" /><Relationship Type="http://schemas.openxmlformats.org/officeDocument/2006/relationships/hyperlink" Target="https://www.bassin-de-marennes.com/" TargetMode="External" Id="rId585" /><Relationship Type="http://schemas.openxmlformats.org/officeDocument/2006/relationships/hyperlink" Target="https://www.bassin-de-marennes.com/contactez-nous/" TargetMode="External" Id="rId586" /><Relationship Type="http://schemas.openxmlformats.org/officeDocument/2006/relationships/hyperlink" Target="https://lannuaire.service-public.gouv.fr/nouvelle-aquitaine/charente-maritime/bf573ece-2428-4193-adce-35c1dee29c24" TargetMode="External" Id="rId587" /><Relationship Type="http://schemas.openxmlformats.org/officeDocument/2006/relationships/hyperlink" Target="mailto:contact@comcomabc.fr" TargetMode="External" Id="rId588" /><Relationship Type="http://schemas.openxmlformats.org/officeDocument/2006/relationships/hyperlink" Target="https://www.comcomabc.fr/" TargetMode="External" Id="rId589" /><Relationship Type="http://schemas.openxmlformats.org/officeDocument/2006/relationships/hyperlink" Target="https://www.comcomabc.fr/contact/" TargetMode="External" Id="rId590" /><Relationship Type="http://schemas.openxmlformats.org/officeDocument/2006/relationships/hyperlink" Target="https://lannuaire.service-public.gouv.fr/centre-val-de-loire/cher/66080191-8942-4bec-bf50-44cd8c6185a6" TargetMode="External" Id="rId591" /><Relationship Type="http://schemas.openxmlformats.org/officeDocument/2006/relationships/hyperlink" Target="mailto:contact@cdc-berry-grand-sud.fr" TargetMode="External" Id="rId592" /><Relationship Type="http://schemas.openxmlformats.org/officeDocument/2006/relationships/hyperlink" Target="https://cdc-berry-grand-sud.fr/" TargetMode="External" Id="rId593" /><Relationship Type="http://schemas.openxmlformats.org/officeDocument/2006/relationships/hyperlink" Target="https://cdc-berry-grand-sud.fr/contact/" TargetMode="External" Id="rId594" /><Relationship Type="http://schemas.openxmlformats.org/officeDocument/2006/relationships/hyperlink" Target="https://lannuaire.service-public.gouv.fr/centre-val-de-loire/cher/46eace04-0ff0-4fa3-8806-b2eb1b7794ae" TargetMode="External" Id="rId595" /><Relationship Type="http://schemas.openxmlformats.org/officeDocument/2006/relationships/hyperlink" Target="mailto:cdc.berryloirevauvise@gmail.com" TargetMode="External" Id="rId596" /><Relationship Type="http://schemas.openxmlformats.org/officeDocument/2006/relationships/hyperlink" Target="http://www.cdc-berryloirevauvise.fr" TargetMode="External" Id="rId597" /><Relationship Type="http://schemas.openxmlformats.org/officeDocument/2006/relationships/hyperlink" Target="https://lannuaire.service-public.gouv.fr/centre-val-de-loire/cher/12c37d3d-2b60-4e70-a5fc-6814174295aa" TargetMode="External" Id="rId598" /><Relationship Type="http://schemas.openxmlformats.org/officeDocument/2006/relationships/hyperlink" Target="mailto:coeurdeberry@orange.fr" TargetMode="External" Id="rId599" /><Relationship Type="http://schemas.openxmlformats.org/officeDocument/2006/relationships/hyperlink" Target="https://www.coeurdeberry.fr/" TargetMode="External" Id="rId600" /><Relationship Type="http://schemas.openxmlformats.org/officeDocument/2006/relationships/hyperlink" Target="https://www.coeurdeberry.fr/contact-cc-coeur-de-berry-18_fr.html" TargetMode="External" Id="rId601" /><Relationship Type="http://schemas.openxmlformats.org/officeDocument/2006/relationships/hyperlink" Target="https://lannuaire.service-public.gouv.fr/centre-val-de-loire/cher/a90d2785-ace4-42f2-8142-891ec1387b8e" TargetMode="External" Id="rId602" /><Relationship Type="http://schemas.openxmlformats.org/officeDocument/2006/relationships/hyperlink" Target="mailto:contact@cc-coeurdefrance.fr" TargetMode="External" Id="rId603" /><Relationship Type="http://schemas.openxmlformats.org/officeDocument/2006/relationships/hyperlink" Target="https://cc-coeurdefrance.fr/" TargetMode="External" Id="rId604" /><Relationship Type="http://schemas.openxmlformats.org/officeDocument/2006/relationships/hyperlink" Target="https://cc-coeurdefrance.fr/contact/" TargetMode="External" Id="rId605" /><Relationship Type="http://schemas.openxmlformats.org/officeDocument/2006/relationships/hyperlink" Target="https://lannuaire.service-public.gouv.fr/centre-val-de-loire/cher/89b4843f-2621-4872-9219-5e069e3c5d4f" TargetMode="External" Id="rId606" /><Relationship Type="http://schemas.openxmlformats.org/officeDocument/2006/relationships/hyperlink" Target="mailto:paysflorentais@cc-fercher.fr" TargetMode="External" Id="rId607" /><Relationship Type="http://schemas.openxmlformats.org/officeDocument/2006/relationships/hyperlink" Target="https://www.ccfercher.fr/" TargetMode="External" Id="rId608" /><Relationship Type="http://schemas.openxmlformats.org/officeDocument/2006/relationships/hyperlink" Target="https://www.ccfercher.fr/nous-contacter/" TargetMode="External" Id="rId609" /><Relationship Type="http://schemas.openxmlformats.org/officeDocument/2006/relationships/hyperlink" Target="https://lannuaire.service-public.gouv.fr/centre-val-de-loire/cher/90e97dce-f69e-4dbe-89f3-f7f85c29d8c0" TargetMode="External" Id="rId610" /><Relationship Type="http://schemas.openxmlformats.org/officeDocument/2006/relationships/hyperlink" Target="mailto:mathilde.adrien@lesbertranges.fr" TargetMode="External" Id="rId611" /><Relationship Type="http://schemas.openxmlformats.org/officeDocument/2006/relationships/hyperlink" Target="https://www.lesbertranges.fr" TargetMode="External" Id="rId612" /><Relationship Type="http://schemas.openxmlformats.org/officeDocument/2006/relationships/hyperlink" Target="https://www.lesbertranges.fr/index.php/contact/" TargetMode="External" Id="rId613" /><Relationship Type="http://schemas.openxmlformats.org/officeDocument/2006/relationships/hyperlink" Target="https://lannuaire.service-public.gouv.fr/bourgogne-franche-comte/nievre/8b336b0c-a53b-4157-b45c-47e404f35b1e" TargetMode="External" Id="rId614" /><Relationship Type="http://schemas.openxmlformats.org/officeDocument/2006/relationships/hyperlink" Target="mailto:secretariat@cdc-du-sancerrois.fr" TargetMode="External" Id="rId615" /><Relationship Type="http://schemas.openxmlformats.org/officeDocument/2006/relationships/hyperlink" Target="https://www.comcompsv.fr/" TargetMode="External" Id="rId616" /><Relationship Type="http://schemas.openxmlformats.org/officeDocument/2006/relationships/hyperlink" Target="https://www.comcompsv.fr/contact-pays-fort-sancerrois-valdeloire_fr.html" TargetMode="External" Id="rId617" /><Relationship Type="http://schemas.openxmlformats.org/officeDocument/2006/relationships/hyperlink" Target="https://lannuaire.service-public.gouv.fr/centre-val-de-loire/cher/e2b89a70-4ec8-482e-94fb-dd6a23d8cf11" TargetMode="External" Id="rId618" /><Relationship Type="http://schemas.openxmlformats.org/officeDocument/2006/relationships/hyperlink" Target="mailto:accueil@cdcpaysnerondes.com" TargetMode="External" Id="rId619" /><Relationship Type="http://schemas.openxmlformats.org/officeDocument/2006/relationships/hyperlink" Target="https://cdcpaysnerondes.com/" TargetMode="External" Id="rId620" /><Relationship Type="http://schemas.openxmlformats.org/officeDocument/2006/relationships/hyperlink" Target="https://cdcpaysnerondes.com/contact/" TargetMode="External" Id="rId621" /><Relationship Type="http://schemas.openxmlformats.org/officeDocument/2006/relationships/hyperlink" Target="https://lannuaire.service-public.gouv.fr/centre-val-de-loire/cher/3369c1f9-70e6-4998-9198-560dc67be1c3" TargetMode="External" Id="rId622" /><Relationship Type="http://schemas.openxmlformats.org/officeDocument/2006/relationships/hyperlink" Target="mailto:cdcportesduberry@orange.fr" TargetMode="External" Id="rId623" /><Relationship Type="http://schemas.openxmlformats.org/officeDocument/2006/relationships/hyperlink" Target="https://www.cdc-portesduberry.fr/" TargetMode="External" Id="rId624" /><Relationship Type="http://schemas.openxmlformats.org/officeDocument/2006/relationships/hyperlink" Target="https://lannuaire.service-public.gouv.fr/centre-val-de-loire/cher/93d007d2-03af-444c-a879-1fa24bc5b533" TargetMode="External" Id="rId625" /><Relationship Type="http://schemas.openxmlformats.org/officeDocument/2006/relationships/hyperlink" Target="mailto:contact@sauldre-sologne.fr" TargetMode="External" Id="rId626" /><Relationship Type="http://schemas.openxmlformats.org/officeDocument/2006/relationships/hyperlink" Target="https://www.sauldre-sologne.fr/" TargetMode="External" Id="rId627" /><Relationship Type="http://schemas.openxmlformats.org/officeDocument/2006/relationships/hyperlink" Target="https://www.sauldre-sologne.fr/contact-cdc-sauldre-sologne_fr.html" TargetMode="External" Id="rId628" /><Relationship Type="http://schemas.openxmlformats.org/officeDocument/2006/relationships/hyperlink" Target="https://lannuaire.service-public.gouv.fr/centre-val-de-loire/cher/98664bfd-73fe-4874-a2c4-67a75a48b2f3" TargetMode="External" Id="rId629" /><Relationship Type="http://schemas.openxmlformats.org/officeDocument/2006/relationships/hyperlink" Target="mailto:contact@terresduhautberry.fr" TargetMode="External" Id="rId630" /><Relationship Type="http://schemas.openxmlformats.org/officeDocument/2006/relationships/hyperlink" Target="https://terresduhautberry.fr/" TargetMode="External" Id="rId631" /><Relationship Type="http://schemas.openxmlformats.org/officeDocument/2006/relationships/hyperlink" Target="https://lannuaire.service-public.gouv.fr/centre-val-de-loire/cher/c7ae270d-3b00-46ba-828a-db0fc7934e97" TargetMode="External" Id="rId632" /><Relationship Type="http://schemas.openxmlformats.org/officeDocument/2006/relationships/hyperlink" Target="mailto:contact@cc-vierzon.fr" TargetMode="External" Id="rId633" /><Relationship Type="http://schemas.openxmlformats.org/officeDocument/2006/relationships/hyperlink" Target="https://www.cc-vierzon.fr/" TargetMode="External" Id="rId634" /><Relationship Type="http://schemas.openxmlformats.org/officeDocument/2006/relationships/hyperlink" Target="https://www.cc-vierzon.fr/contact/" TargetMode="External" Id="rId635" /><Relationship Type="http://schemas.openxmlformats.org/officeDocument/2006/relationships/hyperlink" Target="https://lannuaire.service-public.gouv.fr/centre-val-de-loire/cher/c40b9076-b5d3-4d52-9ec6-0aa4f4ac8e03" TargetMode="External" Id="rId636" /><Relationship Type="http://schemas.openxmlformats.org/officeDocument/2006/relationships/hyperlink" Target="mailto:ccpi@issoudun.fr" TargetMode="External" Id="rId637" /><Relationship Type="http://schemas.openxmlformats.org/officeDocument/2006/relationships/hyperlink" Target="https://www.issoudun.fr/vivre-a-issoudun/ccpi/" TargetMode="External" Id="rId638" /><Relationship Type="http://schemas.openxmlformats.org/officeDocument/2006/relationships/hyperlink" Target="https://lannuaire.service-public.gouv.fr/centre-val-de-loire/indre/4b9575d2-70d4-470a-a622-0b79613ca1fa" TargetMode="External" Id="rId639" /><Relationship Type="http://schemas.openxmlformats.org/officeDocument/2006/relationships/hyperlink" Target="mailto:cclaseptaine@cc-laseptaine.fr" TargetMode="External" Id="rId640" /><Relationship Type="http://schemas.openxmlformats.org/officeDocument/2006/relationships/hyperlink" Target="http://cc-laseptaine.fr" TargetMode="External" Id="rId641" /><Relationship Type="http://schemas.openxmlformats.org/officeDocument/2006/relationships/hyperlink" Target="https://lannuaire.service-public.gouv.fr/centre-val-de-loire/cher/6367e3f6-0f95-4398-a7c8-1cc55104be3d" TargetMode="External" Id="rId642" /><Relationship Type="http://schemas.openxmlformats.org/officeDocument/2006/relationships/hyperlink" Target="mailto:contact@cdcledunois.fr" TargetMode="External" Id="rId643" /><Relationship Type="http://schemas.openxmlformats.org/officeDocument/2006/relationships/hyperlink" Target="https://lannuaire.service-public.gouv.fr/centre-val-de-loire/cher/10cb3b9b-928f-4d2c-b14b-42c8ba2d83e3" TargetMode="External" Id="rId644" /><Relationship Type="http://schemas.openxmlformats.org/officeDocument/2006/relationships/hyperlink" Target="mailto:contact@cc3p.fr" TargetMode="External" Id="rId645" /><Relationship Type="http://schemas.openxmlformats.org/officeDocument/2006/relationships/hyperlink" Target="https://www.cc3p.fr/" TargetMode="External" Id="rId646" /><Relationship Type="http://schemas.openxmlformats.org/officeDocument/2006/relationships/hyperlink" Target="https://www.cc3p.fr/contact/" TargetMode="External" Id="rId647" /><Relationship Type="http://schemas.openxmlformats.org/officeDocument/2006/relationships/hyperlink" Target="https://lannuaire.service-public.gouv.fr/centre-val-de-loire/cher/7ca0ed72-f637-4f65-9029-88f9af27ade0" TargetMode="External" Id="rId648" /><Relationship Type="http://schemas.openxmlformats.org/officeDocument/2006/relationships/hyperlink" Target="mailto:contact@hautecorrezecommunaute.fr" TargetMode="External" Id="rId649" /><Relationship Type="http://schemas.openxmlformats.org/officeDocument/2006/relationships/hyperlink" Target="https://hautecorreze.fr/" TargetMode="External" Id="rId650" /><Relationship Type="http://schemas.openxmlformats.org/officeDocument/2006/relationships/hyperlink" Target="https://hautecorreze.fr/contactez-nous/" TargetMode="External" Id="rId651" /><Relationship Type="http://schemas.openxmlformats.org/officeDocument/2006/relationships/hyperlink" Target="https://lannuaire.service-public.gouv.fr/nouvelle-aquitaine/correze/672fa7df-c23d-41c7-8552-f30be823f513" TargetMode="External" Id="rId652" /><Relationship Type="http://schemas.openxmlformats.org/officeDocument/2006/relationships/hyperlink" Target="mailto:contact@midicorrezien.com" TargetMode="External" Id="rId653" /><Relationship Type="http://schemas.openxmlformats.org/officeDocument/2006/relationships/hyperlink" Target="https://www.midicorrezien.com/" TargetMode="External" Id="rId654" /><Relationship Type="http://schemas.openxmlformats.org/officeDocument/2006/relationships/hyperlink" Target="https://www.midicorrezien.com/contact" TargetMode="External" Id="rId655" /><Relationship Type="http://schemas.openxmlformats.org/officeDocument/2006/relationships/hyperlink" Target="https://lannuaire.service-public.gouv.fr/nouvelle-aquitaine/correze/e6618186-0738-48e0-9ee2-184519ec5a6d" TargetMode="External" Id="rId656" /><Relationship Type="http://schemas.openxmlformats.org/officeDocument/2006/relationships/hyperlink" Target="mailto:contact@ccv2m.fr" TargetMode="External" Id="rId657" /><Relationship Type="http://schemas.openxmlformats.org/officeDocument/2006/relationships/hyperlink" Target="http://ccv2m.fr/" TargetMode="External" Id="rId658" /><Relationship Type="http://schemas.openxmlformats.org/officeDocument/2006/relationships/hyperlink" Target="http://ccv2m.fr/contact/" TargetMode="External" Id="rId659" /><Relationship Type="http://schemas.openxmlformats.org/officeDocument/2006/relationships/hyperlink" Target="https://lannuaire.service-public.gouv.fr/nouvelle-aquitaine/correze/6f9bc01a-452f-4f63-bf91-7aa4f7445d47" TargetMode="External" Id="rId660" /><Relationship Type="http://schemas.openxmlformats.org/officeDocument/2006/relationships/hyperlink" Target="mailto:accueil@xaintrie-val-dordogne.fr" TargetMode="External" Id="rId661" /><Relationship Type="http://schemas.openxmlformats.org/officeDocument/2006/relationships/hyperlink" Target="https://www.xaintrie-val-dordogne.fr/" TargetMode="External" Id="rId662" /><Relationship Type="http://schemas.openxmlformats.org/officeDocument/2006/relationships/hyperlink" Target="https://lannuaire.service-public.gouv.fr/nouvelle-aquitaine/correze/117669f4-baf0-47b4-8ea0-32ca912b3fcf" TargetMode="External" Id="rId663" /><Relationship Type="http://schemas.openxmlformats.org/officeDocument/2006/relationships/hyperlink" Target="mailto:accueil@cc-ventadour.fr" TargetMode="External" Id="rId664" /><Relationship Type="http://schemas.openxmlformats.org/officeDocument/2006/relationships/hyperlink" Target="http://www.cc-ventadour.fr" TargetMode="External" Id="rId665" /><Relationship Type="http://schemas.openxmlformats.org/officeDocument/2006/relationships/hyperlink" Target="https://lannuaire.service-public.gouv.fr/nouvelle-aquitaine/correze/d9a08b45-e751-492b-a60c-0d6973d3b0d9" TargetMode="External" Id="rId666" /><Relationship Type="http://schemas.openxmlformats.org/officeDocument/2006/relationships/hyperlink" Target="mailto:contact@paysduzerche.fr" TargetMode="External" Id="rId667" /><Relationship Type="http://schemas.openxmlformats.org/officeDocument/2006/relationships/hyperlink" Target="https://www.paysduzerche.fr/" TargetMode="External" Id="rId668" /><Relationship Type="http://schemas.openxmlformats.org/officeDocument/2006/relationships/hyperlink" Target="https://www.paysduzerche.fr/" TargetMode="External" Id="rId669" /><Relationship Type="http://schemas.openxmlformats.org/officeDocument/2006/relationships/hyperlink" Target="https://lannuaire.service-public.gouv.fr/nouvelle-aquitaine/correze/45c397ce-fbc9-45b9-b373-b9a27f9a9a02" TargetMode="External" Id="rId670" /><Relationship Type="http://schemas.openxmlformats.org/officeDocument/2006/relationships/hyperlink" Target="mailto:secretariat@lubersacpompadour.fr" TargetMode="External" Id="rId671" /><Relationship Type="http://schemas.openxmlformats.org/officeDocument/2006/relationships/hyperlink" Target="https://lubersacpompadour.fr/" TargetMode="External" Id="rId672" /><Relationship Type="http://schemas.openxmlformats.org/officeDocument/2006/relationships/hyperlink" Target="https://lubersacpompadour.fr/contact" TargetMode="External" Id="rId673" /><Relationship Type="http://schemas.openxmlformats.org/officeDocument/2006/relationships/hyperlink" Target="https://lannuaire.service-public.gouv.fr/nouvelle-aquitaine/correze/8ed42b46-edd0-419b-8283-d9b4bd370526" TargetMode="External" Id="rId674" /><Relationship Type="http://schemas.openxmlformats.org/officeDocument/2006/relationships/hyperlink" Target="mailto:info@communaute-saint-yrieix.fr" TargetMode="External" Id="rId675" /><Relationship Type="http://schemas.openxmlformats.org/officeDocument/2006/relationships/hyperlink" Target="https://www.communaute-saint-yrieix.fr/" TargetMode="External" Id="rId676" /><Relationship Type="http://schemas.openxmlformats.org/officeDocument/2006/relationships/hyperlink" Target="https://www.communaute-saint-yrieix.fr/nous-contacter/" TargetMode="External" Id="rId677" /><Relationship Type="http://schemas.openxmlformats.org/officeDocument/2006/relationships/hyperlink" Target="https://lannuaire.service-public.gouv.fr/nouvelle-aquitaine/haute-vienne/415a9e87-843e-4ee1-ac13-e3fdb1b2b5b7" TargetMode="External" Id="rId678" /><Relationship Type="http://schemas.openxmlformats.org/officeDocument/2006/relationships/hyperlink" Target="mailto:contact@capvaldesaone.fr" TargetMode="External" Id="rId679" /><Relationship Type="http://schemas.openxmlformats.org/officeDocument/2006/relationships/hyperlink" Target="https://www.capvaldesaone.fr" TargetMode="External" Id="rId680" /><Relationship Type="http://schemas.openxmlformats.org/officeDocument/2006/relationships/hyperlink" Target="https://www.capvaldesaone.fr/contact" TargetMode="External" Id="rId681" /><Relationship Type="http://schemas.openxmlformats.org/officeDocument/2006/relationships/hyperlink" Target="https://lannuaire.service-public.gouv.fr/bourgogne-franche-comte/cote-d-or/839ea5de-7eb9-4319-8f1c-95d3cf469a67" TargetMode="External" Id="rId682" /><Relationship Type="http://schemas.openxmlformats.org/officeDocument/2006/relationships/hyperlink" Target="mailto:ccfss@ccfss.fr" TargetMode="External" Id="rId683" /><Relationship Type="http://schemas.openxmlformats.org/officeDocument/2006/relationships/hyperlink" Target="https://cc-forets-seine-suzon.fr/" TargetMode="External" Id="rId684" /><Relationship Type="http://schemas.openxmlformats.org/officeDocument/2006/relationships/hyperlink" Target="https://cc-forets-seine-suzon.fr/contact/" TargetMode="External" Id="rId685" /><Relationship Type="http://schemas.openxmlformats.org/officeDocument/2006/relationships/hyperlink" Target="https://lannuaire.service-public.gouv.fr/bourgogne-franche-comte/cote-d-or/412b03f1-7991-4da3-9fab-d7aa4f6ce927" TargetMode="External" Id="rId686" /><Relationship Type="http://schemas.openxmlformats.org/officeDocument/2006/relationships/hyperlink" Target="mailto:contact@mfcc.fr" TargetMode="External" Id="rId687" /><Relationship Type="http://schemas.openxmlformats.org/officeDocument/2006/relationships/hyperlink" Target="https://www.mfcc.fr/" TargetMode="External" Id="rId688" /><Relationship Type="http://schemas.openxmlformats.org/officeDocument/2006/relationships/hyperlink" Target="https://www.mfcc.fr/contact.htm" TargetMode="External" Id="rId689" /><Relationship Type="http://schemas.openxmlformats.org/officeDocument/2006/relationships/hyperlink" Target="https://lannuaire.service-public.gouv.fr/bourgogne-franche-comte/cote-d-or/dc823169-a7e5-47bb-813a-c41a18b5d50d" TargetMode="External" Id="rId690" /><Relationship Type="http://schemas.openxmlformats.org/officeDocument/2006/relationships/hyperlink" Target="mailto:contact@norgeettille.fr" TargetMode="External" Id="rId691" /><Relationship Type="http://schemas.openxmlformats.org/officeDocument/2006/relationships/hyperlink" Target="https://www.norgeettille.fr/" TargetMode="External" Id="rId692" /><Relationship Type="http://schemas.openxmlformats.org/officeDocument/2006/relationships/hyperlink" Target="https://www.norgeettille.fr/contact/" TargetMode="External" Id="rId693" /><Relationship Type="http://schemas.openxmlformats.org/officeDocument/2006/relationships/hyperlink" Target="https://lannuaire.service-public.gouv.fr/bourgogne-franche-comte/cote-d-or/b9c4fe2e-d80c-48b9-8cbd-5416133b925b" TargetMode="External" Id="rId694" /><Relationship Type="http://schemas.openxmlformats.org/officeDocument/2006/relationships/hyperlink" Target="mailto:accueil@ouche-montagne.fr" TargetMode="External" Id="rId695" /><Relationship Type="http://schemas.openxmlformats.org/officeDocument/2006/relationships/hyperlink" Target="https://ouche-montagne.fr/" TargetMode="External" Id="rId696" /><Relationship Type="http://schemas.openxmlformats.org/officeDocument/2006/relationships/hyperlink" Target="https://ouche-montagne.fr/nous-contacter/" TargetMode="External" Id="rId697" /><Relationship Type="http://schemas.openxmlformats.org/officeDocument/2006/relationships/hyperlink" Target="https://lannuaire.service-public.gouv.fr/bourgogne-franche-comte/cote-d-or/22135d97-cf72-4e4a-856b-c2f4392799c4" TargetMode="External" Id="rId698" /><Relationship Type="http://schemas.openxmlformats.org/officeDocument/2006/relationships/hyperlink" Target="mailto:secretariat@rivesdesaone.fr" TargetMode="External" Id="rId699" /><Relationship Type="http://schemas.openxmlformats.org/officeDocument/2006/relationships/hyperlink" Target="https://www.rivesdesaone.fr/" TargetMode="External" Id="rId700" /><Relationship Type="http://schemas.openxmlformats.org/officeDocument/2006/relationships/hyperlink" Target="https://lannuaire.service-public.gouv.fr/bourgogne-franche-comte/cote-d-or/bf6fcc3b-1b3a-4ec2-8810-c14a4c65ba55" TargetMode="External" Id="rId701" /><Relationship Type="http://schemas.openxmlformats.org/officeDocument/2006/relationships/hyperlink" Target="mailto:bonjour@tille-venelle.fr" TargetMode="External" Id="rId702" /><Relationship Type="http://schemas.openxmlformats.org/officeDocument/2006/relationships/hyperlink" Target="https://www.tille-venelle.fr" TargetMode="External" Id="rId703" /><Relationship Type="http://schemas.openxmlformats.org/officeDocument/2006/relationships/hyperlink" Target="https://lannuaire.service-public.gouv.fr/bourgogne-franche-comte/cote-d-or/0a1e53da-ee35-4e08-8448-81b79a49c68f" TargetMode="External" Id="rId704" /><Relationship Type="http://schemas.openxmlformats.org/officeDocument/2006/relationships/hyperlink" Target="mailto:contact@ccgevrey-nuits.com" TargetMode="External" Id="rId705" /><Relationship Type="http://schemas.openxmlformats.org/officeDocument/2006/relationships/hyperlink" Target="https://www.ccgevrey-chambertin-et-nuits-saint-georges.com/" TargetMode="External" Id="rId706" /><Relationship Type="http://schemas.openxmlformats.org/officeDocument/2006/relationships/hyperlink" Target="https://www.ccgevrey-chambertin-et-nuits-saint-georges.com/contact/" TargetMode="External" Id="rId707" /><Relationship Type="http://schemas.openxmlformats.org/officeDocument/2006/relationships/hyperlink" Target="https://lannuaire.service-public.gouv.fr/bourgogne-franche-comte/cote-d-or/c96458e1-76c9-42d6-8a64-bc89ef9909b4" TargetMode="External" Id="rId708" /><Relationship Type="http://schemas.openxmlformats.org/officeDocument/2006/relationships/hyperlink" Target="mailto:contact@ccpouillybligny.fr" TargetMode="External" Id="rId709" /><Relationship Type="http://schemas.openxmlformats.org/officeDocument/2006/relationships/hyperlink" Target="https://ccpouillybligny.fr/" TargetMode="External" Id="rId710" /><Relationship Type="http://schemas.openxmlformats.org/officeDocument/2006/relationships/hyperlink" Target="https://ccpouillybligny.fr/contact/" TargetMode="External" Id="rId711" /><Relationship Type="http://schemas.openxmlformats.org/officeDocument/2006/relationships/hyperlink" Target="https://lannuaire.service-public.gouv.fr/bourgogne-franche-comte/cote-d-or/3b7a2119-c361-4b2c-a217-6256e7d01772" TargetMode="External" Id="rId712" /><Relationship Type="http://schemas.openxmlformats.org/officeDocument/2006/relationships/hyperlink" Target="mailto:contact@saulieu-morvan.fr" TargetMode="External" Id="rId713" /><Relationship Type="http://schemas.openxmlformats.org/officeDocument/2006/relationships/hyperlink" Target="https://www.saulieu-morvan.fr" TargetMode="External" Id="rId714" /><Relationship Type="http://schemas.openxmlformats.org/officeDocument/2006/relationships/hyperlink" Target="https://lannuaire.service-public.gouv.fr/bourgogne-franche-comte/cote-d-or/9674baa7-3f42-43b9-92ad-4eea18168bb0" TargetMode="External" Id="rId715" /><Relationship Type="http://schemas.openxmlformats.org/officeDocument/2006/relationships/hyperlink" Target="mailto:accueil@plainedijonnaise.fr" TargetMode="External" Id="rId716" /><Relationship Type="http://schemas.openxmlformats.org/officeDocument/2006/relationships/hyperlink" Target="https://www.plainedijonnaise.fr" TargetMode="External" Id="rId717" /><Relationship Type="http://schemas.openxmlformats.org/officeDocument/2006/relationships/hyperlink" Target="https://lannuaire.service-public.gouv.fr/bourgogne-franche-comte/cote-d-or/30fb735e-e19f-40eb-9e19-012413ceb864" TargetMode="External" Id="rId718" /><Relationship Type="http://schemas.openxmlformats.org/officeDocument/2006/relationships/hyperlink" Target="mailto:contact@ccterres-auxois.fr" TargetMode="External" Id="rId719" /><Relationship Type="http://schemas.openxmlformats.org/officeDocument/2006/relationships/hyperlink" Target="https://ccterres-auxois.fr/" TargetMode="External" Id="rId720" /><Relationship Type="http://schemas.openxmlformats.org/officeDocument/2006/relationships/hyperlink" Target="https://lannuaire.service-public.gouv.fr/bourgogne-franche-comte/cote-d-or/e1ad3cd8-f32f-4a27-94ad-c133e473971d" TargetMode="External" Id="rId721" /><Relationship Type="http://schemas.openxmlformats.org/officeDocument/2006/relationships/hyperlink" Target="mailto:covati@covati.fr" TargetMode="External" Id="rId722" /><Relationship Type="http://schemas.openxmlformats.org/officeDocument/2006/relationships/hyperlink" Target="https://www.covati.fr/" TargetMode="External" Id="rId723" /><Relationship Type="http://schemas.openxmlformats.org/officeDocument/2006/relationships/hyperlink" Target="https://lannuaire.service-public.gouv.fr/bourgogne-franche-comte/cote-d-or/1014f99d-9607-40f3-9fdb-b2e85ed9b77e" TargetMode="External" Id="rId724" /><Relationship Type="http://schemas.openxmlformats.org/officeDocument/2006/relationships/hyperlink" Target="mailto:contact@cc-montbardois.fr" TargetMode="External" Id="rId725" /><Relationship Type="http://schemas.openxmlformats.org/officeDocument/2006/relationships/hyperlink" Target="https://www.cc-montbardois.fr/" TargetMode="External" Id="rId726" /><Relationship Type="http://schemas.openxmlformats.org/officeDocument/2006/relationships/hyperlink" Target="https://www.cc-montbardois.fr/contact/" TargetMode="External" Id="rId727" /><Relationship Type="http://schemas.openxmlformats.org/officeDocument/2006/relationships/hyperlink" Target="https://lannuaire.service-public.gouv.fr/bourgogne-franche-comte/cote-d-or/f3742968-1ee4-4a84-a6ee-a5c72cee9182" TargetMode="External" Id="rId728" /><Relationship Type="http://schemas.openxmlformats.org/officeDocument/2006/relationships/hyperlink" Target="mailto:cc.arnay-liernais@ccarnayliernais.fr" TargetMode="External" Id="rId729" /><Relationship Type="http://schemas.openxmlformats.org/officeDocument/2006/relationships/hyperlink" Target="https://cc-pays-arnay.fr/" TargetMode="External" Id="rId730" /><Relationship Type="http://schemas.openxmlformats.org/officeDocument/2006/relationships/hyperlink" Target="https://cc-pays-arnay.fr/contact/" TargetMode="External" Id="rId731" /><Relationship Type="http://schemas.openxmlformats.org/officeDocument/2006/relationships/hyperlink" Target="https://lannuaire.service-public.gouv.fr/bourgogne-franche-comte/cote-d-or/f1243926-74a5-4ae3-811f-9f1033bbf784" TargetMode="External" Id="rId732" /><Relationship Type="http://schemas.openxmlformats.org/officeDocument/2006/relationships/hyperlink" Target="mailto:contact@cc-chatillonnais.fr" TargetMode="External" Id="rId733" /><Relationship Type="http://schemas.openxmlformats.org/officeDocument/2006/relationships/hyperlink" Target="https://www.chatillonnais.fr/" TargetMode="External" Id="rId734" /><Relationship Type="http://schemas.openxmlformats.org/officeDocument/2006/relationships/hyperlink" Target="https://www.chatillonnais.fr/contact" TargetMode="External" Id="rId735" /><Relationship Type="http://schemas.openxmlformats.org/officeDocument/2006/relationships/hyperlink" Target="https://lannuaire.service-public.gouv.fr/bourgogne-franche-comte/cote-d-or/c11e35d9-a820-4d49-90da-b17efedd36a7" TargetMode="External" Id="rId736" /><Relationship Type="http://schemas.openxmlformats.org/officeDocument/2006/relationships/hyperlink" Target="mailto:contact@cc-alesia-seine.fr" TargetMode="External" Id="rId737" /><Relationship Type="http://schemas.openxmlformats.org/officeDocument/2006/relationships/hyperlink" Target="https://www.cc-alesia-seine.fr/" TargetMode="External" Id="rId738" /><Relationship Type="http://schemas.openxmlformats.org/officeDocument/2006/relationships/hyperlink" Target="https://lannuaire.service-public.gouv.fr/bourgogne-franche-comte/cote-d-or/bdd94f38-5772-466c-9cfc-baaaf1bd74a1" TargetMode="External" Id="rId739" /><Relationship Type="http://schemas.openxmlformats.org/officeDocument/2006/relationships/hyperlink" Target="mailto:accueil@cote-emeraude.fr" TargetMode="External" Id="rId740" /><Relationship Type="http://schemas.openxmlformats.org/officeDocument/2006/relationships/hyperlink" Target="http://www.cote-emeraude.fr" TargetMode="External" Id="rId741" /><Relationship Type="http://schemas.openxmlformats.org/officeDocument/2006/relationships/hyperlink" Target="https://lannuaire.service-public.gouv.fr/bretagne/ille-et-vilaine/04a79dc2-838c-4a79-b3fa-b0bc8efab3a3" TargetMode="External" Id="rId742" /><Relationship Type="http://schemas.openxmlformats.org/officeDocument/2006/relationships/hyperlink" Target="mailto:accueil@leffarmor.fr" TargetMode="External" Id="rId743" /><Relationship Type="http://schemas.openxmlformats.org/officeDocument/2006/relationships/hyperlink" Target="https://www.leffarmor.fr" TargetMode="External" Id="rId744" /><Relationship Type="http://schemas.openxmlformats.org/officeDocument/2006/relationships/hyperlink" Target="https://www.leffarmor.fr/systeme/contact/" TargetMode="External" Id="rId745" /><Relationship Type="http://schemas.openxmlformats.org/officeDocument/2006/relationships/hyperlink" Target="https://lannuaire.service-public.gouv.fr/bretagne/cotes-d-armor/fc665dac-214b-4c00-bb07-ee6554a40221" TargetMode="External" Id="rId746" /><Relationship Type="http://schemas.openxmlformats.org/officeDocument/2006/relationships/hyperlink" Target="mailto:standard@loudeac-communaute.bzh" TargetMode="External" Id="rId747" /><Relationship Type="http://schemas.openxmlformats.org/officeDocument/2006/relationships/hyperlink" Target="https://www.bretagnecentre.bzh/" TargetMode="External" Id="rId748" /><Relationship Type="http://schemas.openxmlformats.org/officeDocument/2006/relationships/hyperlink" Target="https://www.bretagnecentre.bzh/pages-pratiques/contact" TargetMode="External" Id="rId749" /><Relationship Type="http://schemas.openxmlformats.org/officeDocument/2006/relationships/hyperlink" Target="https://lannuaire.service-public.gouv.fr/bretagne/cotes-d-armor/b3471481-51de-407f-aacb-794abc6ae014" TargetMode="External" Id="rId750" /><Relationship Type="http://schemas.openxmlformats.org/officeDocument/2006/relationships/hyperlink" Target="mailto:poher@poher.bzh" TargetMode="External" Id="rId751" /><Relationship Type="http://schemas.openxmlformats.org/officeDocument/2006/relationships/hyperlink" Target="https://www.poher.bzh/accueil_poher" TargetMode="External" Id="rId752" /><Relationship Type="http://schemas.openxmlformats.org/officeDocument/2006/relationships/hyperlink" Target="https://lannuaire.service-public.gouv.fr/bretagne/finistere/adc98035-5c0a-431b-b852-0e9593fae53b" TargetMode="External" Id="rId753" /><Relationship Type="http://schemas.openxmlformats.org/officeDocument/2006/relationships/hyperlink" Target="mailto:info@pontivy-communaute.bzh" TargetMode="External" Id="rId754" /><Relationship Type="http://schemas.openxmlformats.org/officeDocument/2006/relationships/hyperlink" Target="https://www.pontivy-communaute.bzh/" TargetMode="External" Id="rId755" /><Relationship Type="http://schemas.openxmlformats.org/officeDocument/2006/relationships/hyperlink" Target="https://lannuaire.service-public.gouv.fr/bretagne/morbihan/7fe5982f-c685-4acc-baa0-4a789b1d7daf" TargetMode="External" Id="rId756" /><Relationship Type="http://schemas.openxmlformats.org/officeDocument/2006/relationships/hyperlink" Target="https://www.kreiz-breizh.fr/" TargetMode="External" Id="rId757" /><Relationship Type="http://schemas.openxmlformats.org/officeDocument/2006/relationships/hyperlink" Target="https://www.kreiz-breizh.fr/systeme/nous-contacter/" TargetMode="External" Id="rId758" /><Relationship Type="http://schemas.openxmlformats.org/officeDocument/2006/relationships/hyperlink" Target="https://lannuaire.service-public.gouv.fr/bretagne/cotes-d-armor/fa35a782-071e-4cc4-b361-90ba7b87e677" TargetMode="External" Id="rId759" /><Relationship Type="http://schemas.openxmlformats.org/officeDocument/2006/relationships/hyperlink" Target="mailto:contact@creuseconfluence.com" TargetMode="External" Id="rId760" /><Relationship Type="http://schemas.openxmlformats.org/officeDocument/2006/relationships/hyperlink" Target="https://www.creuseconfluence.com/" TargetMode="External" Id="rId761" /><Relationship Type="http://schemas.openxmlformats.org/officeDocument/2006/relationships/hyperlink" Target="https://www.creuseconfluence.com/contact/" TargetMode="External" Id="rId762" /><Relationship Type="http://schemas.openxmlformats.org/officeDocument/2006/relationships/hyperlink" Target="https://lannuaire.service-public.gouv.fr/nouvelle-aquitaine/creuse/bdf4be8a-aa7a-49a4-ad2c-1f51001014c6" TargetMode="External" Id="rId763" /><Relationship Type="http://schemas.openxmlformats.org/officeDocument/2006/relationships/hyperlink" Target="mailto:contact@creuse-grand-sud.fr" TargetMode="External" Id="rId764" /><Relationship Type="http://schemas.openxmlformats.org/officeDocument/2006/relationships/hyperlink" Target="https://creuse-grand-sud.fr/" TargetMode="External" Id="rId765" /><Relationship Type="http://schemas.openxmlformats.org/officeDocument/2006/relationships/hyperlink" Target="https://lannuaire.service-public.gouv.fr/nouvelle-aquitaine/creuse/ffa560f6-26e1-40c8-8204-01ed05d7c060" TargetMode="External" Id="rId766" /><Relationship Type="http://schemas.openxmlformats.org/officeDocument/2006/relationships/hyperlink" Target="mailto:accueil@creusesudouest.fr" TargetMode="External" Id="rId767" /><Relationship Type="http://schemas.openxmlformats.org/officeDocument/2006/relationships/hyperlink" Target="https://www.creusesudouest.fr/" TargetMode="External" Id="rId768" /><Relationship Type="http://schemas.openxmlformats.org/officeDocument/2006/relationships/hyperlink" Target="https://www.creusesudouest.fr/communaute-communes/ecoute/contact/" TargetMode="External" Id="rId769" /><Relationship Type="http://schemas.openxmlformats.org/officeDocument/2006/relationships/hyperlink" Target="https://lannuaire.service-public.gouv.fr/nouvelle-aquitaine/creuse/23c8e72b-2e5a-48ff-9ada-bc3546fbcae6" TargetMode="External" Id="rId770" /><Relationship Type="http://schemas.openxmlformats.org/officeDocument/2006/relationships/hyperlink" Target="mailto:accueil@marcheetcombraille.fr" TargetMode="External" Id="rId771" /><Relationship Type="http://schemas.openxmlformats.org/officeDocument/2006/relationships/hyperlink" Target="https://marcheetcombraille.fr/" TargetMode="External" Id="rId772" /><Relationship Type="http://schemas.openxmlformats.org/officeDocument/2006/relationships/hyperlink" Target="https://marcheetcombraille.fr/contact/" TargetMode="External" Id="rId773" /><Relationship Type="http://schemas.openxmlformats.org/officeDocument/2006/relationships/hyperlink" Target="https://lannuaire.service-public.gouv.fr/nouvelle-aquitaine/creuse/429e91a1-9595-4493-b2b1-2703191d3e5c" TargetMode="External" Id="rId774" /><Relationship Type="http://schemas.openxmlformats.org/officeDocument/2006/relationships/hyperlink" Target="mailto:accueil@portesdelacreuseenmarche.fr" TargetMode="External" Id="rId775" /><Relationship Type="http://schemas.openxmlformats.org/officeDocument/2006/relationships/hyperlink" Target="https://www.portesdelacreuseenmarche.fr/" TargetMode="External" Id="rId776" /><Relationship Type="http://schemas.openxmlformats.org/officeDocument/2006/relationships/hyperlink" Target="https://lannuaire.service-public.gouv.fr/nouvelle-aquitaine/creuse/d9c52379-4406-41d4-a17b-473fca6ffed5" TargetMode="External" Id="rId777" /><Relationship Type="http://schemas.openxmlformats.org/officeDocument/2006/relationships/hyperlink" Target="mailto:accueil@ccbgb.fr" TargetMode="External" Id="rId778" /><Relationship Type="http://schemas.openxmlformats.org/officeDocument/2006/relationships/hyperlink" Target="https://benevent-legrandbourg.fr" TargetMode="External" Id="rId779" /><Relationship Type="http://schemas.openxmlformats.org/officeDocument/2006/relationships/hyperlink" Target="https://benevent-legrandbourg.fr/fr/rb/980241/contacts-24" TargetMode="External" Id="rId780" /><Relationship Type="http://schemas.openxmlformats.org/officeDocument/2006/relationships/hyperlink" Target="https://lannuaire.service-public.gouv.fr/nouvelle-aquitaine/creuse/8ace3ce4-6837-4831-bdf6-08f3e9e3e803" TargetMode="External" Id="rId781" /><Relationship Type="http://schemas.openxmlformats.org/officeDocument/2006/relationships/hyperlink" Target="mailto:accueil@ccpaysdunois.fr" TargetMode="External" Id="rId782" /><Relationship Type="http://schemas.openxmlformats.org/officeDocument/2006/relationships/hyperlink" Target="https://www.paysdunois.fr" TargetMode="External" Id="rId783" /><Relationship Type="http://schemas.openxmlformats.org/officeDocument/2006/relationships/hyperlink" Target="https://www.paysdunois.fr/spip.php?article162" TargetMode="External" Id="rId784" /><Relationship Type="http://schemas.openxmlformats.org/officeDocument/2006/relationships/hyperlink" Target="https://lannuaire.service-public.gouv.fr/nouvelle-aquitaine/creuse/485773dd-6a34-41c8-92ea-b37a5253099f" TargetMode="External" Id="rId785" /><Relationship Type="http://schemas.openxmlformats.org/officeDocument/2006/relationships/hyperlink" Target="mailto:infos@cco23.fr" TargetMode="External" Id="rId786" /><Relationship Type="http://schemas.openxmlformats.org/officeDocument/2006/relationships/hyperlink" Target="https://www.pays-sostranien.fr" TargetMode="External" Id="rId787" /><Relationship Type="http://schemas.openxmlformats.org/officeDocument/2006/relationships/hyperlink" Target="https://lannuaire.service-public.gouv.fr/nouvelle-aquitaine/creuse/1141f74f-0a09-406b-a982-ca24ceb0e687" TargetMode="External" Id="rId788" /><Relationship Type="http://schemas.openxmlformats.org/officeDocument/2006/relationships/hyperlink" Target="mailto:secretariat@castillonpujols.fr" TargetMode="External" Id="rId789" /><Relationship Type="http://schemas.openxmlformats.org/officeDocument/2006/relationships/hyperlink" Target="https://www.castillonpujols.fr/" TargetMode="External" Id="rId790" /><Relationship Type="http://schemas.openxmlformats.org/officeDocument/2006/relationships/hyperlink" Target="https://www.castillonpujols.fr/contactez-nous/" TargetMode="External" Id="rId791" /><Relationship Type="http://schemas.openxmlformats.org/officeDocument/2006/relationships/hyperlink" Target="https://lannuaire.service-public.gouv.fr/nouvelle-aquitaine/gironde/938d7116-e8ed-4bfb-b47f-663d55aea58e" TargetMode="External" Id="rId792" /><Relationship Type="http://schemas.openxmlformats.org/officeDocument/2006/relationships/hyperlink" Target="mailto:accueil@dronneetbelle.fr" TargetMode="External" Id="rId793" /><Relationship Type="http://schemas.openxmlformats.org/officeDocument/2006/relationships/hyperlink" Target="https://dronneetbelle.fr/" TargetMode="External" Id="rId794" /><Relationship Type="http://schemas.openxmlformats.org/officeDocument/2006/relationships/hyperlink" Target="https://dronneetbelle.fr/contacts/" TargetMode="External" Id="rId795" /><Relationship Type="http://schemas.openxmlformats.org/officeDocument/2006/relationships/hyperlink" Target="https://lannuaire.service-public.gouv.fr/nouvelle-aquitaine/dordogne/6bc8d36a-6761-40ea-ba44-db904bdfb6e7" TargetMode="External" Id="rId796" /><Relationship Type="http://schemas.openxmlformats.org/officeDocument/2006/relationships/hyperlink" Target="mailto:accueil@ccidl.fr" TargetMode="External" Id="rId797" /><Relationship Type="http://schemas.openxmlformats.org/officeDocument/2006/relationships/hyperlink" Target="https://ccidl.fr/" TargetMode="External" Id="rId798" /><Relationship Type="http://schemas.openxmlformats.org/officeDocument/2006/relationships/hyperlink" Target="https://ccidl.fr/contactez-nous/" TargetMode="External" Id="rId799" /><Relationship Type="http://schemas.openxmlformats.org/officeDocument/2006/relationships/hyperlink" Target="https://lannuaire.service-public.gouv.fr/nouvelle-aquitaine/dordogne/1dbfa22b-03f5-437e-b404-f62e60ebbd3e" TargetMode="External" Id="rId800" /><Relationship Type="http://schemas.openxmlformats.org/officeDocument/2006/relationships/hyperlink" Target="mailto:contact@ccivs.fr" TargetMode="External" Id="rId801" /><Relationship Type="http://schemas.openxmlformats.org/officeDocument/2006/relationships/hyperlink" Target="https://www.ccivs.fr/" TargetMode="External" Id="rId802" /><Relationship Type="http://schemas.openxmlformats.org/officeDocument/2006/relationships/hyperlink" Target="https://www.ccivs.fr/contactez-nous" TargetMode="External" Id="rId803" /><Relationship Type="http://schemas.openxmlformats.org/officeDocument/2006/relationships/hyperlink" Target="https://lannuaire.service-public.gouv.fr/nouvelle-aquitaine/dordogne/c8fdc588-fa83-4a31-84a9-020a33290c0e" TargetMode="External" Id="rId804" /><Relationship Type="http://schemas.openxmlformats.org/officeDocument/2006/relationships/hyperlink" Target="mailto:ccicp@ccicp.fr" TargetMode="External" Id="rId805" /><Relationship Type="http://schemas.openxmlformats.org/officeDocument/2006/relationships/hyperlink" Target="https://isle-et-crempse-en-perigord.fr/" TargetMode="External" Id="rId806" /><Relationship Type="http://schemas.openxmlformats.org/officeDocument/2006/relationships/hyperlink" Target="https://isle-et-crempse-en-perigord.fr/contact/" TargetMode="External" Id="rId807" /><Relationship Type="http://schemas.openxmlformats.org/officeDocument/2006/relationships/hyperlink" Target="https://lannuaire.service-public.gouv.fr/nouvelle-aquitaine/dordogne/9bd923fc-dc25-4b31-9ece-61eb80ddc778" TargetMode="External" Id="rId808" /><Relationship Type="http://schemas.openxmlformats.org/officeDocument/2006/relationships/hyperlink" Target="mailto:contact@ccilap.fr" TargetMode="External" Id="rId809" /><Relationship Type="http://schemas.openxmlformats.org/officeDocument/2006/relationships/hyperlink" Target="https://www.ccilap.fr/" TargetMode="External" Id="rId810" /><Relationship Type="http://schemas.openxmlformats.org/officeDocument/2006/relationships/hyperlink" Target="https://lannuaire.service-public.gouv.fr/nouvelle-aquitaine/dordogne/57d9fc64-223b-44da-9f49-ffabb663372e" TargetMode="External" Id="rId811" /><Relationship Type="http://schemas.openxmlformats.org/officeDocument/2006/relationships/hyperlink" Target="mailto:contact@perigord-limousin.fr" TargetMode="External" Id="rId812" /><Relationship Type="http://schemas.openxmlformats.org/officeDocument/2006/relationships/hyperlink" Target="https://www.perigord-limousin.fr/" TargetMode="External" Id="rId813" /><Relationship Type="http://schemas.openxmlformats.org/officeDocument/2006/relationships/hyperlink" Target="https://www.facebook.com/communautedecommunesperigordlimousin/" TargetMode="External" Id="rId814" /><Relationship Type="http://schemas.openxmlformats.org/officeDocument/2006/relationships/hyperlink" Target="https://lannuaire.service-public.gouv.fr/nouvelle-aquitaine/dordogne/dc0d7a05-78bd-406e-b684-7842ce9b0c31" TargetMode="External" Id="rId815" /><Relationship Type="http://schemas.openxmlformats.org/officeDocument/2006/relationships/hyperlink" Target="mailto:accueil.ccspn@sarlat.fr" TargetMode="External" Id="rId816" /><Relationship Type="http://schemas.openxmlformats.org/officeDocument/2006/relationships/hyperlink" Target="https://www.cc-sarlatperigordnoir.fr/" TargetMode="External" Id="rId817" /><Relationship Type="http://schemas.openxmlformats.org/officeDocument/2006/relationships/hyperlink" Target="https://www.cc-sarlatperigordnoir.fr/contact/" TargetMode="External" Id="rId818" /><Relationship Type="http://schemas.openxmlformats.org/officeDocument/2006/relationships/hyperlink" Target="https://lannuaire.service-public.gouv.fr/nouvelle-aquitaine/dordogne/a8161d3e-c749-4dd4-b8d4-bbcf553bd5e6" TargetMode="External" Id="rId819" /><Relationship Type="http://schemas.openxmlformats.org/officeDocument/2006/relationships/hyperlink" Target="mailto:contact@ccthpn.fr" TargetMode="External" Id="rId820" /><Relationship Type="http://schemas.openxmlformats.org/officeDocument/2006/relationships/hyperlink" Target="https://ccthpn.fr/" TargetMode="External" Id="rId821" /><Relationship Type="http://schemas.openxmlformats.org/officeDocument/2006/relationships/hyperlink" Target="https://ccthpn.fr/formulaire-de-contact/" TargetMode="External" Id="rId822" /><Relationship Type="http://schemas.openxmlformats.org/officeDocument/2006/relationships/hyperlink" Target="https://lannuaire.service-public.gouv.fr/nouvelle-aquitaine/dordogne/3eadc106-7981-44a1-83ab-9961e03a1ddf" TargetMode="External" Id="rId823" /><Relationship Type="http://schemas.openxmlformats.org/officeDocument/2006/relationships/hyperlink" Target="mailto:contact@ccvdfb.fr" TargetMode="External" Id="rId824" /><Relationship Type="http://schemas.openxmlformats.org/officeDocument/2006/relationships/hyperlink" Target="https://www.ccdordogne-bessede.fr/" TargetMode="External" Id="rId825" /><Relationship Type="http://schemas.openxmlformats.org/officeDocument/2006/relationships/hyperlink" Target="https://ccdordogne-bessede.fr/contact/" TargetMode="External" Id="rId826" /><Relationship Type="http://schemas.openxmlformats.org/officeDocument/2006/relationships/hyperlink" Target="https://lannuaire.service-public.gouv.fr/nouvelle-aquitaine/dordogne/2248afa7-4f03-4f4a-ac50-bb42e1633c26" TargetMode="External" Id="rId827" /><Relationship Type="http://schemas.openxmlformats.org/officeDocument/2006/relationships/hyperlink" Target="mailto:contact@comcomdv.fr" TargetMode="External" Id="rId828" /><Relationship Type="http://schemas.openxmlformats.org/officeDocument/2006/relationships/hyperlink" Target="https://domme-villefranche-du-perigord.fr/" TargetMode="External" Id="rId829" /><Relationship Type="http://schemas.openxmlformats.org/officeDocument/2006/relationships/hyperlink" Target="https://lannuaire.service-public.gouv.fr/nouvelle-aquitaine/dordogne/7fd40a17-6ef7-42a1-a528-9f32c7e49123" TargetMode="External" Id="rId830" /><Relationship Type="http://schemas.openxmlformats.org/officeDocument/2006/relationships/hyperlink" Target="mailto:direction@cdcmmg.fr" TargetMode="External" Id="rId831" /><Relationship Type="http://schemas.openxmlformats.org/officeDocument/2006/relationships/hyperlink" Target="https://www.cdcmontaignemontravelgurson.fr" TargetMode="External" Id="rId832" /><Relationship Type="http://schemas.openxmlformats.org/officeDocument/2006/relationships/hyperlink" Target="https://www.cdcmontaignemontravelgurson.fr/contacts.html" TargetMode="External" Id="rId833" /><Relationship Type="http://schemas.openxmlformats.org/officeDocument/2006/relationships/hyperlink" Target="https://lannuaire.service-public.gouv.fr/nouvelle-aquitaine/dordogne/b0f592c1-153d-46fa-acbf-e4518f1790ec" TargetMode="External" Id="rId834" /><Relationship Type="http://schemas.openxmlformats.org/officeDocument/2006/relationships/hyperlink" Target="mailto:accueil@ccpsp24.fr" TargetMode="External" Id="rId835" /><Relationship Type="http://schemas.openxmlformats.org/officeDocument/2006/relationships/hyperlink" Target="https://www.ccpsp24.fr" TargetMode="External" Id="rId836" /><Relationship Type="http://schemas.openxmlformats.org/officeDocument/2006/relationships/hyperlink" Target="https://www.ccpsp24.fr/fr/nous-contacter" TargetMode="External" Id="rId837" /><Relationship Type="http://schemas.openxmlformats.org/officeDocument/2006/relationships/hyperlink" Target="https://lannuaire.service-public.gouv.fr/nouvelle-aquitaine/dordogne/5b025aea-1a13-45b2-82f6-6dbef818020a" TargetMode="External" Id="rId838" /><Relationship Type="http://schemas.openxmlformats.org/officeDocument/2006/relationships/hyperlink" Target="mailto:contact@cc-vh.fr" TargetMode="External" Id="rId839" /><Relationship Type="http://schemas.openxmlformats.org/officeDocument/2006/relationships/hyperlink" Target="https://www.cc-valleedelhomme.fr" TargetMode="External" Id="rId840" /><Relationship Type="http://schemas.openxmlformats.org/officeDocument/2006/relationships/hyperlink" Target="https://www.cc-valleedelhomme.fr/contacts/" TargetMode="External" Id="rId841" /><Relationship Type="http://schemas.openxmlformats.org/officeDocument/2006/relationships/hyperlink" Target="https://lannuaire.service-public.gouv.fr/nouvelle-aquitaine/dordogne/e948bb90-935a-428d-8a46-f1bf083c3201" TargetMode="External" Id="rId842" /><Relationship Type="http://schemas.openxmlformats.org/officeDocument/2006/relationships/hyperlink" Target="mailto:ccbdp@ccbdp.fr" TargetMode="External" Id="rId843" /><Relationship Type="http://schemas.openxmlformats.org/officeDocument/2006/relationships/hyperlink" Target="https://ccbdp.fr/" TargetMode="External" Id="rId844" /><Relationship Type="http://schemas.openxmlformats.org/officeDocument/2006/relationships/hyperlink" Target="https://lannuaire.service-public.gouv.fr/nouvelle-aquitaine/dordogne/13e33b66-605e-4952-a164-83fa14ac5b14" TargetMode="External" Id="rId845" /><Relationship Type="http://schemas.openxmlformats.org/officeDocument/2006/relationships/hyperlink" Target="mailto:contact@paysfoyen.fr" TargetMode="External" Id="rId846" /><Relationship Type="http://schemas.openxmlformats.org/officeDocument/2006/relationships/hyperlink" Target="https://www.paysfoyen.fr/" TargetMode="External" Id="rId847" /><Relationship Type="http://schemas.openxmlformats.org/officeDocument/2006/relationships/hyperlink" Target="https://www.paysfoyen.fr/contact-pays-foyen-nouvelle-aquitaine_fr.html" TargetMode="External" Id="rId848" /><Relationship Type="http://schemas.openxmlformats.org/officeDocument/2006/relationships/hyperlink" Target="https://lannuaire.service-public.gouv.fr/nouvelle-aquitaine/gironde/a107cb3e-964b-4fea-8077-fb4d1790228d" TargetMode="External" Id="rId849" /><Relationship Type="http://schemas.openxmlformats.org/officeDocument/2006/relationships/hyperlink" Target="mailto:accueil@paysdefenelon.fr" TargetMode="External" Id="rId850" /><Relationship Type="http://schemas.openxmlformats.org/officeDocument/2006/relationships/hyperlink" Target="https://www.paysdefenelon.fr/" TargetMode="External" Id="rId851" /><Relationship Type="http://schemas.openxmlformats.org/officeDocument/2006/relationships/hyperlink" Target="https://www.paysdefenelon.fr/contact/" TargetMode="External" Id="rId852" /><Relationship Type="http://schemas.openxmlformats.org/officeDocument/2006/relationships/hyperlink" Target="https://lannuaire.service-public.gouv.fr/nouvelle-aquitaine/dordogne/315da0f8-ace8-46da-8f7b-7a4965a99a53" TargetMode="External" Id="rId853" /><Relationship Type="http://schemas.openxmlformats.org/officeDocument/2006/relationships/hyperlink" Target="mailto:cdc-staulaye@orange.fr" TargetMode="External" Id="rId854" /><Relationship Type="http://schemas.openxmlformats.org/officeDocument/2006/relationships/hyperlink" Target="http://www.cc-paysdesaintaulaye.fr" TargetMode="External" Id="rId855" /><Relationship Type="http://schemas.openxmlformats.org/officeDocument/2006/relationships/hyperlink" Target="https://lannuaire.service-public.gouv.fr/nouvelle-aquitaine/dordogne/0db38f84-ee88-48b9-84b3-fb3c193497d9" TargetMode="External" Id="rId856" /><Relationship Type="http://schemas.openxmlformats.org/officeDocument/2006/relationships/hyperlink" Target="mailto:accueil@ccpn.fr" TargetMode="External" Id="rId857" /><Relationship Type="http://schemas.openxmlformats.org/officeDocument/2006/relationships/hyperlink" Target="https://www.perigord-nontronnais.fr/" TargetMode="External" Id="rId858" /><Relationship Type="http://schemas.openxmlformats.org/officeDocument/2006/relationships/hyperlink" Target="https://www.perigord-nontronnais.fr/contact/" TargetMode="External" Id="rId859" /><Relationship Type="http://schemas.openxmlformats.org/officeDocument/2006/relationships/hyperlink" Target="https://lannuaire.service-public.gouv.fr/nouvelle-aquitaine/dordogne/ffd7c770-41f3-4e0b-b73a-0fd731748f72" TargetMode="External" Id="rId860" /><Relationship Type="http://schemas.openxmlformats.org/officeDocument/2006/relationships/hyperlink" Target="mailto:contact@ccpr24.fr" TargetMode="External" Id="rId861" /><Relationship Type="http://schemas.openxmlformats.org/officeDocument/2006/relationships/hyperlink" Target="https://ccpr24.fr/" TargetMode="External" Id="rId862" /><Relationship Type="http://schemas.openxmlformats.org/officeDocument/2006/relationships/hyperlink" Target="https://ccpr24.fr/contactez-nous/" TargetMode="External" Id="rId863" /><Relationship Type="http://schemas.openxmlformats.org/officeDocument/2006/relationships/hyperlink" Target="https://lannuaire.service-public.gouv.fr/nouvelle-aquitaine/dordogne/1f2b8e0d-8d61-49a9-bf42-b073f9c62aa9" TargetMode="External" Id="rId864" /><Relationship Type="http://schemas.openxmlformats.org/officeDocument/2006/relationships/hyperlink" Target="mailto:cca@cca800.fr" TargetMode="External" Id="rId865" /><Relationship Type="http://schemas.openxmlformats.org/officeDocument/2006/relationships/hyperlink" Target="https://cca800.fr/fr/" TargetMode="External" Id="rId866" /><Relationship Type="http://schemas.openxmlformats.org/officeDocument/2006/relationships/hyperlink" Target="https://cca800.fr/fr/" TargetMode="External" Id="rId867" /><Relationship Type="http://schemas.openxmlformats.org/officeDocument/2006/relationships/hyperlink" Target="https://lannuaire.service-public.gouv.fr/bourgogne-franche-comte/doubs/5bffaaa9-0d3a-4452-bdcb-78ba38d7a5a0" TargetMode="External" Id="rId868" /><Relationship Type="http://schemas.openxmlformats.org/officeDocument/2006/relationships/hyperlink" Target="mailto:contact@doubs-loue.fr" TargetMode="External" Id="rId869" /><Relationship Type="http://schemas.openxmlformats.org/officeDocument/2006/relationships/hyperlink" Target="https://www.cc-montbenoit.fr/" TargetMode="External" Id="rId870" /><Relationship Type="http://schemas.openxmlformats.org/officeDocument/2006/relationships/hyperlink" Target="https://www.cc-montbenoit.fr/contact" TargetMode="External" Id="rId871" /><Relationship Type="http://schemas.openxmlformats.org/officeDocument/2006/relationships/hyperlink" Target="https://lannuaire.service-public.gouv.fr/bourgogne-franche-comte/doubs/362a5337-b2f8-43a4-98bc-b02d973bc152" TargetMode="External" Id="rId872" /><Relationship Type="http://schemas.openxmlformats.org/officeDocument/2006/relationships/hyperlink" Target="mailto:contact@cclouelison.fr" TargetMode="External" Id="rId873" /><Relationship Type="http://schemas.openxmlformats.org/officeDocument/2006/relationships/hyperlink" Target="https://cclouelison.fr/fr/" TargetMode="External" Id="rId874" /><Relationship Type="http://schemas.openxmlformats.org/officeDocument/2006/relationships/hyperlink" Target="https://cclouelison.fr/fr/rb/384373/le-territoire-4" TargetMode="External" Id="rId875" /><Relationship Type="http://schemas.openxmlformats.org/officeDocument/2006/relationships/hyperlink" Target="https://lannuaire.service-public.gouv.fr/bourgogne-franche-comte/doubs/2d1e88bf-eabe-4dce-a43e-2d2639037784" TargetMode="External" Id="rId876" /><Relationship Type="http://schemas.openxmlformats.org/officeDocument/2006/relationships/hyperlink" Target="mailto:contact@cc2vv.fr" TargetMode="External" Id="rId877" /><Relationship Type="http://schemas.openxmlformats.org/officeDocument/2006/relationships/hyperlink" Target="https://www.cc2vv.fr/" TargetMode="External" Id="rId878" /><Relationship Type="http://schemas.openxmlformats.org/officeDocument/2006/relationships/hyperlink" Target="https://lannuaire.service-public.gouv.fr/bourgogne-franche-comte/doubs/10ba482e-6f1a-45dc-9fc1-ea2acb236d70" TargetMode="External" Id="rId879" /><Relationship Type="http://schemas.openxmlformats.org/officeDocument/2006/relationships/hyperlink" Target="mailto:accueil@cclmhd.fr" TargetMode="External" Id="rId880" /><Relationship Type="http://schemas.openxmlformats.org/officeDocument/2006/relationships/hyperlink" Target="https://www.cclmhd.fr/" TargetMode="External" Id="rId881" /><Relationship Type="http://schemas.openxmlformats.org/officeDocument/2006/relationships/hyperlink" Target="https://cclmhd.fr/contact/" TargetMode="External" Id="rId882" /><Relationship Type="http://schemas.openxmlformats.org/officeDocument/2006/relationships/hyperlink" Target="https://lannuaire.service-public.gouv.fr/bourgogne-franche-comte/doubs/d77da0b8-ec15-4493-bb14-8af1c2e53e6e" TargetMode="External" Id="rId883" /><Relationship Type="http://schemas.openxmlformats.org/officeDocument/2006/relationships/hyperlink" Target="mailto:contact@portes-haut-doubs.fr" TargetMode="External" Id="rId884" /><Relationship Type="http://schemas.openxmlformats.org/officeDocument/2006/relationships/hyperlink" Target="https://www.portes-haut-doubs.com/" TargetMode="External" Id="rId885" /><Relationship Type="http://schemas.openxmlformats.org/officeDocument/2006/relationships/hyperlink" Target="https://www.portes-haut-doubs.com/contact" TargetMode="External" Id="rId886" /><Relationship Type="http://schemas.openxmlformats.org/officeDocument/2006/relationships/hyperlink" Target="https://lannuaire.service-public.gouv.fr/bourgogne-franche-comte/doubs/91d35ecd-d694-4758-a28c-1496caff22d6" TargetMode="External" Id="rId887" /><Relationship Type="http://schemas.openxmlformats.org/officeDocument/2006/relationships/hyperlink" Target="mailto:contact@doubsbaumois.org" TargetMode="External" Id="rId888" /><Relationship Type="http://schemas.openxmlformats.org/officeDocument/2006/relationships/hyperlink" Target="https://doubsbaumois.org/" TargetMode="External" Id="rId889" /><Relationship Type="http://schemas.openxmlformats.org/officeDocument/2006/relationships/hyperlink" Target="https://doubsbaumois.org/nous-contacter/" TargetMode="External" Id="rId890" /><Relationship Type="http://schemas.openxmlformats.org/officeDocument/2006/relationships/hyperlink" Target="https://lannuaire.service-public.gouv.fr/bourgogne-franche-comte/doubs/52eb697d-7755-415b-af00-205b8b98f8af" TargetMode="External" Id="rId891" /><Relationship Type="http://schemas.openxmlformats.org/officeDocument/2006/relationships/hyperlink" Target="mailto:contact@grandpontarlier.fr" TargetMode="External" Id="rId892" /><Relationship Type="http://schemas.openxmlformats.org/officeDocument/2006/relationships/hyperlink" Target="https://www.grandpontarlier.fr/" TargetMode="External" Id="rId893" /><Relationship Type="http://schemas.openxmlformats.org/officeDocument/2006/relationships/hyperlink" Target="https://lannuaire.service-public.gouv.fr/bourgogne-franche-comte/doubs/8a77d268-8902-4b1a-9ac2-12e93a0e5e6e" TargetMode="External" Id="rId894" /><Relationship Type="http://schemas.openxmlformats.org/officeDocument/2006/relationships/hyperlink" Target="mailto:contact@payshericourt.fr" TargetMode="External" Id="rId895" /><Relationship Type="http://schemas.openxmlformats.org/officeDocument/2006/relationships/hyperlink" Target="https://www.payshericourt.fr/" TargetMode="External" Id="rId896" /><Relationship Type="http://schemas.openxmlformats.org/officeDocument/2006/relationships/hyperlink" Target="https://www.payshericourt.fr/rubrique.php?id=249#RubEnCours" TargetMode="External" Id="rId897" /><Relationship Type="http://schemas.openxmlformats.org/officeDocument/2006/relationships/hyperlink" Target="https://lannuaire.service-public.gouv.fr/bourgogne-franche-comte/haute-saone/c6b3c529-d97b-43e7-a8f6-db70d290ce34" TargetMode="External" Id="rId898" /><Relationship Type="http://schemas.openxmlformats.org/officeDocument/2006/relationships/hyperlink" Target="mailto:contact@ccpm-maiche.com" TargetMode="External" Id="rId899" /><Relationship Type="http://schemas.openxmlformats.org/officeDocument/2006/relationships/hyperlink" Target="http://www.ccpaysmaiche.fr" TargetMode="External" Id="rId900" /><Relationship Type="http://schemas.openxmlformats.org/officeDocument/2006/relationships/hyperlink" Target="http://www.ccpaysmaiche.fr/fr/contact" TargetMode="External" Id="rId901" /><Relationship Type="http://schemas.openxmlformats.org/officeDocument/2006/relationships/hyperlink" Target="https://lannuaire.service-public.gouv.fr/bourgogne-franche-comte/doubs/b7785555-3f4e-44ee-8f41-ea944ddeedd8" TargetMode="External" Id="rId902" /><Relationship Type="http://schemas.openxmlformats.org/officeDocument/2006/relationships/hyperlink" Target="mailto:accueil@cc-villersexel.fr" TargetMode="External" Id="rId903" /><Relationship Type="http://schemas.openxmlformats.org/officeDocument/2006/relationships/hyperlink" Target="https://cc-villersexel.fr/" TargetMode="External" Id="rId904" /><Relationship Type="http://schemas.openxmlformats.org/officeDocument/2006/relationships/hyperlink" Target="https://lannuaire.service-public.gouv.fr/bourgogne-franche-comte/haute-saone/fff137ad-a7e5-4c3c-8c8a-934c41293b5b" TargetMode="External" Id="rId905" /><Relationship Type="http://schemas.openxmlformats.org/officeDocument/2006/relationships/hyperlink" Target="mailto:secretariat@frasnedrugeon-cfd.fr" TargetMode="External" Id="rId906" /><Relationship Type="http://schemas.openxmlformats.org/officeDocument/2006/relationships/hyperlink" Target="https://www.frasnedrugeon-cfd.fr/" TargetMode="External" Id="rId907" /><Relationship Type="http://schemas.openxmlformats.org/officeDocument/2006/relationships/hyperlink" Target="https://www.frasnedrugeon-cfd.fr/contact/" TargetMode="External" Id="rId908" /><Relationship Type="http://schemas.openxmlformats.org/officeDocument/2006/relationships/hyperlink" Target="https://lannuaire.service-public.gouv.fr/bourgogne-franche-comte/doubs/69b3ebf7-b06d-466f-b028-d6bd38b0c6a1" TargetMode="External" Id="rId909" /><Relationship Type="http://schemas.openxmlformats.org/officeDocument/2006/relationships/hyperlink" Target="mailto:contact@cc-russey.fr" TargetMode="External" Id="rId910" /><Relationship Type="http://schemas.openxmlformats.org/officeDocument/2006/relationships/hyperlink" Target="https://cc-russey.fr/fr/" TargetMode="External" Id="rId911" /><Relationship Type="http://schemas.openxmlformats.org/officeDocument/2006/relationships/hyperlink" Target="https://lannuaire.service-public.gouv.fr/bourgogne-franche-comte/doubs/9c948202-41df-475c-ac8b-36e0f583e4ef" TargetMode="External" Id="rId912" /><Relationship Type="http://schemas.openxmlformats.org/officeDocument/2006/relationships/hyperlink" Target="mailto:cc@valmarnaysien.com" TargetMode="External" Id="rId913" /><Relationship Type="http://schemas.openxmlformats.org/officeDocument/2006/relationships/hyperlink" Target="https://valmarnaysien.com/" TargetMode="External" Id="rId914" /><Relationship Type="http://schemas.openxmlformats.org/officeDocument/2006/relationships/hyperlink" Target="https://valmarnaysien.com/contact--1632138199.html" TargetMode="External" Id="rId915" /><Relationship Type="http://schemas.openxmlformats.org/officeDocument/2006/relationships/hyperlink" Target="https://lannuaire.service-public.gouv.fr/bourgogne-franche-comte/haute-saone/2aa73826-fc01-43f2-9498-b4d69019ce55" TargetMode="External" Id="rId916" /><Relationship Type="http://schemas.openxmlformats.org/officeDocument/2006/relationships/hyperlink" Target="mailto:morteau@morteau.org" TargetMode="External" Id="rId917" /><Relationship Type="http://schemas.openxmlformats.org/officeDocument/2006/relationships/hyperlink" Target="https://www.cc-valdemorteau.fr/" TargetMode="External" Id="rId918" /><Relationship Type="http://schemas.openxmlformats.org/officeDocument/2006/relationships/hyperlink" Target="https://www.cc-valdemorteau.fr/votre-communaute-de-communes/infos-pratiques/contact/" TargetMode="External" Id="rId919" /><Relationship Type="http://schemas.openxmlformats.org/officeDocument/2006/relationships/hyperlink" Target="https://lannuaire.service-public.gouv.fr/bourgogne-franche-comte/doubs/dc5467e4-8e34-407b-b254-35dc3f0c7228" TargetMode="External" Id="rId920" /><Relationship Type="http://schemas.openxmlformats.org/officeDocument/2006/relationships/hyperlink" Target="mailto:ccpd.courrier@orange.fr" TargetMode="External" Id="rId921" /><Relationship Type="http://schemas.openxmlformats.org/officeDocument/2006/relationships/hyperlink" Target="https://www.ccdb26.fr/" TargetMode="External" Id="rId922" /><Relationship Type="http://schemas.openxmlformats.org/officeDocument/2006/relationships/hyperlink" Target="https://www.ccdb26.fr/contacts/" TargetMode="External" Id="rId923" /><Relationship Type="http://schemas.openxmlformats.org/officeDocument/2006/relationships/hyperlink" Target="https://lannuaire.service-public.gouv.fr/auvergne-rhone-alpes/drome/4cf23729-29ea-4838-8e81-32c28fda680f" TargetMode="External" Id="rId924" /><Relationship Type="http://schemas.openxmlformats.org/officeDocument/2006/relationships/hyperlink" Target="mailto:secretariat@ccdsp.fr" TargetMode="External" Id="rId925" /><Relationship Type="http://schemas.openxmlformats.org/officeDocument/2006/relationships/hyperlink" Target="https://www.ccdsp.fr/" TargetMode="External" Id="rId926" /><Relationship Type="http://schemas.openxmlformats.org/officeDocument/2006/relationships/hyperlink" Target="https://www.ccdsp.fr/contact" TargetMode="External" Id="rId927" /><Relationship Type="http://schemas.openxmlformats.org/officeDocument/2006/relationships/hyperlink" Target="https://lannuaire.service-public.gouv.fr/auvergne-rhone-alpes/drome/4ed2aa08-9486-4143-8ef4-8f765305cf15" TargetMode="External" Id="rId928" /><Relationship Type="http://schemas.openxmlformats.org/officeDocument/2006/relationships/hyperlink" Target="mailto:infos@cceppg.fr" TargetMode="External" Id="rId929" /><Relationship Type="http://schemas.openxmlformats.org/officeDocument/2006/relationships/hyperlink" Target="http://www.cceppg.fr" TargetMode="External" Id="rId930" /><Relationship Type="http://schemas.openxmlformats.org/officeDocument/2006/relationships/hyperlink" Target="http://www.cceppg.fr/nous-contacter" TargetMode="External" Id="rId931" /><Relationship Type="http://schemas.openxmlformats.org/officeDocument/2006/relationships/hyperlink" Target="https://lannuaire.service-public.gouv.fr/provence-alpes-cote-d-azur/vaucluse/f044792b-b622-4cf0-9ebe-2b73dcd29c6d" TargetMode="External" Id="rId932" /><Relationship Type="http://schemas.openxmlformats.org/officeDocument/2006/relationships/hyperlink" Target="mailto:direction-generale@vaison-ventoux.fr" TargetMode="External" Id="rId933" /><Relationship Type="http://schemas.openxmlformats.org/officeDocument/2006/relationships/hyperlink" Target="https://www.vaison-ventoux.fr/" TargetMode="External" Id="rId934" /><Relationship Type="http://schemas.openxmlformats.org/officeDocument/2006/relationships/hyperlink" Target="https://rdv.vaison-ventoux.fr/contact/" TargetMode="External" Id="rId935" /><Relationship Type="http://schemas.openxmlformats.org/officeDocument/2006/relationships/hyperlink" Target="https://lannuaire.service-public.gouv.fr/provence-alpes-cote-d-azur/vaucluse/70246917-8ca2-4e24-9d28-64e24e27415d" TargetMode="External" Id="rId936" /><Relationship Type="http://schemas.openxmlformats.org/officeDocument/2006/relationships/hyperlink" Target="mailto:accueilsault@ccvs84.fr" TargetMode="External" Id="rId937" /><Relationship Type="http://schemas.openxmlformats.org/officeDocument/2006/relationships/hyperlink" Target="https://ccvs84.fr/accueil.html" TargetMode="External" Id="rId938" /><Relationship Type="http://schemas.openxmlformats.org/officeDocument/2006/relationships/hyperlink" Target="https://ccvs84.fr/nous-contacter.html" TargetMode="External" Id="rId939" /><Relationship Type="http://schemas.openxmlformats.org/officeDocument/2006/relationships/hyperlink" Target="https://lannuaire.service-public.gouv.fr/provence-alpes-cote-d-azur/vaucluse/cddf522a-fdbe-451c-98bf-b7002db17928" TargetMode="External" Id="rId940" /><Relationship Type="http://schemas.openxmlformats.org/officeDocument/2006/relationships/hyperlink" Target="mailto:ccbdp@cc-bdp.fr" TargetMode="External" Id="rId941" /><Relationship Type="http://schemas.openxmlformats.org/officeDocument/2006/relationships/hyperlink" Target="https://www.cc-bdp.fr/" TargetMode="External" Id="rId942" /><Relationship Type="http://schemas.openxmlformats.org/officeDocument/2006/relationships/hyperlink" Target="https://lannuaire.service-public.gouv.fr/auvergne-rhone-alpes/drome/bfe37c02-431b-4a4d-9165-6f951b7fe4f9" TargetMode="External" Id="rId943" /><Relationship Type="http://schemas.openxmlformats.org/officeDocument/2006/relationships/hyperlink" Target="mailto:accueil@cccps.fr" TargetMode="External" Id="rId944" /><Relationship Type="http://schemas.openxmlformats.org/officeDocument/2006/relationships/hyperlink" Target="https://www.cccps.fr" TargetMode="External" Id="rId945" /><Relationship Type="http://schemas.openxmlformats.org/officeDocument/2006/relationships/hyperlink" Target="https://www.cccps.fr/contact/" TargetMode="External" Id="rId946" /><Relationship Type="http://schemas.openxmlformats.org/officeDocument/2006/relationships/hyperlink" Target="https://lannuaire.service-public.gouv.fr/auvergne-rhone-alpes/drome/822292b2-e5e2-4a4a-8be3-a605d02fc95d" TargetMode="External" Id="rId947" /><Relationship Type="http://schemas.openxmlformats.org/officeDocument/2006/relationships/hyperlink" Target="mailto:contact@paysdiois.fr" TargetMode="External" Id="rId948" /><Relationship Type="http://schemas.openxmlformats.org/officeDocument/2006/relationships/hyperlink" Target="https://www.paysdiois.fr/" TargetMode="External" Id="rId949" /><Relationship Type="http://schemas.openxmlformats.org/officeDocument/2006/relationships/hyperlink" Target="https://www.paysdiois.fr/contact/" TargetMode="External" Id="rId950" /><Relationship Type="http://schemas.openxmlformats.org/officeDocument/2006/relationships/hyperlink" Target="https://lannuaire.service-public.gouv.fr/auvergne-rhone-alpes/drome/1c9c9c76-088d-4fa9-b94d-4f80d3910e05" TargetMode="External" Id="rId951" /><Relationship Type="http://schemas.openxmlformats.org/officeDocument/2006/relationships/hyperlink" Target="mailto:contact@cc-royans-vercors.org" TargetMode="External" Id="rId952" /><Relationship Type="http://schemas.openxmlformats.org/officeDocument/2006/relationships/hyperlink" Target="http://www.cc-royans-vercors.org/fr_FR/index.php" TargetMode="External" Id="rId953" /><Relationship Type="http://schemas.openxmlformats.org/officeDocument/2006/relationships/hyperlink" Target="https://lannuaire.service-public.gouv.fr/auvergne-rhone-alpes/drome/22e97e83-777f-41a4-8283-8d46d57be547" TargetMode="External" Id="rId954" /><Relationship Type="http://schemas.openxmlformats.org/officeDocument/2006/relationships/hyperlink" Target="mailto:ccvd@val-de-drome.com" TargetMode="External" Id="rId955" /><Relationship Type="http://schemas.openxmlformats.org/officeDocument/2006/relationships/hyperlink" Target="https://www.valdedrome.com/" TargetMode="External" Id="rId956" /><Relationship Type="http://schemas.openxmlformats.org/officeDocument/2006/relationships/hyperlink" Target="https://www.valdedrome.com/5404-contact.htm" TargetMode="External" Id="rId957" /><Relationship Type="http://schemas.openxmlformats.org/officeDocument/2006/relationships/hyperlink" Target="https://lannuaire.service-public.gouv.fr/auvergne-rhone-alpes/drome/ca756fd0-fe35-4b0c-a2a7-c29fe95b6bb8" TargetMode="External" Id="rId958" /><Relationship Type="http://schemas.openxmlformats.org/officeDocument/2006/relationships/hyperlink" Target="mailto:communication@inse27.fr" TargetMode="External" Id="rId959" /><Relationship Type="http://schemas.openxmlformats.org/officeDocument/2006/relationships/hyperlink" Target="https://www.inse27.fr/" TargetMode="External" Id="rId960" /><Relationship Type="http://schemas.openxmlformats.org/officeDocument/2006/relationships/hyperlink" Target="https://www.inse27.fr/systeme/contact/" TargetMode="External" Id="rId961" /><Relationship Type="http://schemas.openxmlformats.org/officeDocument/2006/relationships/hyperlink" Target="https://lannuaire.service-public.gouv.fr/normandie/eure/d28bbe90-f972-46a7-b329-3c97d168fa8a" TargetMode="External" Id="rId962" /><Relationship Type="http://schemas.openxmlformats.org/officeDocument/2006/relationships/hyperlink" Target="mailto:accueil@bernaynormandie.fr" TargetMode="External" Id="rId963" /><Relationship Type="http://schemas.openxmlformats.org/officeDocument/2006/relationships/hyperlink" Target="https://bernaynormandie.fr/" TargetMode="External" Id="rId964" /><Relationship Type="http://schemas.openxmlformats.org/officeDocument/2006/relationships/hyperlink" Target="https://lannuaire.service-public.gouv.fr/normandie/eure/103df6a6-cc46-466a-92e8-d957b10b39ce" TargetMode="External" Id="rId965" /><Relationship Type="http://schemas.openxmlformats.org/officeDocument/2006/relationships/hyperlink" Target="mailto:accueil@lieuvinpaysdauge.fr" TargetMode="External" Id="rId966" /><Relationship Type="http://schemas.openxmlformats.org/officeDocument/2006/relationships/hyperlink" Target="https://www.lieuvinpaysdauge.fr/" TargetMode="External" Id="rId967" /><Relationship Type="http://schemas.openxmlformats.org/officeDocument/2006/relationships/hyperlink" Target="https://www.lieuvinpaysdauge.fr/contact/" TargetMode="External" Id="rId968" /><Relationship Type="http://schemas.openxmlformats.org/officeDocument/2006/relationships/hyperlink" Target="https://lannuaire.service-public.gouv.fr/normandie/eure/31b3d4b7-02c7-4344-a092-921bbcbbca4c" TargetMode="External" Id="rId969" /><Relationship Type="http://schemas.openxmlformats.org/officeDocument/2006/relationships/hyperlink" Target="mailto:contact@cdcla.fr" TargetMode="External" Id="rId970" /><Relationship Type="http://schemas.openxmlformats.org/officeDocument/2006/relationships/hyperlink" Target="https://www.cdcla.fr/" TargetMode="External" Id="rId971" /><Relationship Type="http://schemas.openxmlformats.org/officeDocument/2006/relationships/hyperlink" Target="https://www.cdcla.fr/contact/" TargetMode="External" Id="rId972" /><Relationship Type="http://schemas.openxmlformats.org/officeDocument/2006/relationships/hyperlink" Target="https://lannuaire.service-public.gouv.fr/normandie/eure/a5d41f46-eabd-40a3-a739-0e0652fd6144" TargetMode="External" Id="rId973" /><Relationship Type="http://schemas.openxmlformats.org/officeDocument/2006/relationships/hyperlink" Target="mailto:contact@roumoiseine.fr" TargetMode="External" Id="rId974" /><Relationship Type="http://schemas.openxmlformats.org/officeDocument/2006/relationships/hyperlink" Target="https://www.roumoiseine.fr/" TargetMode="External" Id="rId975" /><Relationship Type="http://schemas.openxmlformats.org/officeDocument/2006/relationships/hyperlink" Target="https://www.roumoiseine.fr/contact/" TargetMode="External" Id="rId976" /><Relationship Type="http://schemas.openxmlformats.org/officeDocument/2006/relationships/hyperlink" Target="https://lannuaire.service-public.gouv.fr/normandie/eure/e6a0bbae-eb2a-40f1-a539-c9ad04a08039" TargetMode="External" Id="rId977" /><Relationship Type="http://schemas.openxmlformats.org/officeDocument/2006/relationships/hyperlink" Target="mailto:info@cc-pont-audemer.fr" TargetMode="External" Id="rId978" /><Relationship Type="http://schemas.openxmlformats.org/officeDocument/2006/relationships/hyperlink" Target="https://www.ville-pont-audemer.fr/votre-territoire/communaute-de-communes/" TargetMode="External" Id="rId979" /><Relationship Type="http://schemas.openxmlformats.org/officeDocument/2006/relationships/hyperlink" Target="https://lannuaire.service-public.gouv.fr/normandie/eure/4d583b2c-e57b-4944-a471-583cb88648cc" TargetMode="External" Id="rId980" /><Relationship Type="http://schemas.openxmlformats.org/officeDocument/2006/relationships/hyperlink" Target="mailto:contact@cc4rivieres.com" TargetMode="External" Id="rId981" /><Relationship Type="http://schemas.openxmlformats.org/officeDocument/2006/relationships/hyperlink" Target="https://cc4rivieres.com/" TargetMode="External" Id="rId982" /><Relationship Type="http://schemas.openxmlformats.org/officeDocument/2006/relationships/hyperlink" Target="https://cc4rivieres.com/" TargetMode="External" Id="rId983" /><Relationship Type="http://schemas.openxmlformats.org/officeDocument/2006/relationships/hyperlink" Target="https://lannuaire.service-public.gouv.fr/normandie/seine-maritime/0b461098-0a5b-45b2-b830-6e58c763d88e" TargetMode="External" Id="rId984" /><Relationship Type="http://schemas.openxmlformats.org/officeDocument/2006/relationships/hyperlink" Target="mailto:angelique.fontaine@conchesenouche.com" TargetMode="External" Id="rId985" /><Relationship Type="http://schemas.openxmlformats.org/officeDocument/2006/relationships/hyperlink" Target="https://www.conches-en-ouche.fr/" TargetMode="External" Id="rId986" /><Relationship Type="http://schemas.openxmlformats.org/officeDocument/2006/relationships/hyperlink" Target="https://www.conches-en-ouche.fr/contact" TargetMode="External" Id="rId987" /><Relationship Type="http://schemas.openxmlformats.org/officeDocument/2006/relationships/hyperlink" Target="https://lannuaire.service-public.gouv.fr/normandie/eure/dcb48c18-0bdf-431f-8273-cf3d555e4abe" TargetMode="External" Id="rId988" /><Relationship Type="http://schemas.openxmlformats.org/officeDocument/2006/relationships/hyperlink" Target="mailto:contact@paysduneubourg.fr" TargetMode="External" Id="rId989" /><Relationship Type="http://schemas.openxmlformats.org/officeDocument/2006/relationships/hyperlink" Target="https://www.paysduneubourg.fr/" TargetMode="External" Id="rId990" /><Relationship Type="http://schemas.openxmlformats.org/officeDocument/2006/relationships/hyperlink" Target="https://www.paysduneubourg.fr/contact/" TargetMode="External" Id="rId991" /><Relationship Type="http://schemas.openxmlformats.org/officeDocument/2006/relationships/hyperlink" Target="https://lannuaire.service-public.gouv.fr/normandie/eure/9ec0042c-4567-44c9-a1b2-3445c99f82d5" TargetMode="External" Id="rId992" /><Relationship Type="http://schemas.openxmlformats.org/officeDocument/2006/relationships/hyperlink" Target="mailto:contact@ccvexin-normand.fr" TargetMode="External" Id="rId993" /><Relationship Type="http://schemas.openxmlformats.org/officeDocument/2006/relationships/hyperlink" Target="https://www.cdc-vexin-normand.fr/" TargetMode="External" Id="rId994" /><Relationship Type="http://schemas.openxmlformats.org/officeDocument/2006/relationships/hyperlink" Target="https://www.cdc-vexin-normand.fr/contactez-nous.html" TargetMode="External" Id="rId995" /><Relationship Type="http://schemas.openxmlformats.org/officeDocument/2006/relationships/hyperlink" Target="https://lannuaire.service-public.gouv.fr/normandie/eure/283770cd-91b0-43a4-8ed3-190b0de82e12" TargetMode="External" Id="rId996" /><Relationship Type="http://schemas.openxmlformats.org/officeDocument/2006/relationships/hyperlink" Target="mailto:contact@coeurdebeauce.fr" TargetMode="External" Id="rId997" /><Relationship Type="http://schemas.openxmlformats.org/officeDocument/2006/relationships/hyperlink" Target="https://www.coeurdebeauce.fr/" TargetMode="External" Id="rId998" /><Relationship Type="http://schemas.openxmlformats.org/officeDocument/2006/relationships/hyperlink" Target="https://www.coeurdebeauce.fr/coeur-de-beauce/nous-ecrire/" TargetMode="External" Id="rId999" /><Relationship Type="http://schemas.openxmlformats.org/officeDocument/2006/relationships/hyperlink" Target="https://lannuaire.service-public.gouv.fr/centre-val-de-loire/eure-et-loir/2f603f8d-0d05-4352-be94-7c2dc3863cd0" TargetMode="External" Id="rId1000" /><Relationship Type="http://schemas.openxmlformats.org/officeDocument/2006/relationships/hyperlink" Target="mailto:contact@entrebeauceetperche.fr" TargetMode="External" Id="rId1001" /><Relationship Type="http://schemas.openxmlformats.org/officeDocument/2006/relationships/hyperlink" Target="https://entrebeauceetperche.fr/" TargetMode="External" Id="rId1002" /><Relationship Type="http://schemas.openxmlformats.org/officeDocument/2006/relationships/hyperlink" Target="https://entrebeauceetperche.fr/contact/" TargetMode="External" Id="rId1003" /><Relationship Type="http://schemas.openxmlformats.org/officeDocument/2006/relationships/hyperlink" Target="https://lannuaire.service-public.gouv.fr/centre-val-de-loire/eure-et-loir/3b7bd96f-42a6-4e80-bd12-690db6c49991" TargetMode="External" Id="rId1004" /><Relationship Type="http://schemas.openxmlformats.org/officeDocument/2006/relationships/hyperlink" Target="mailto:cdc@terresdeperche.fr" TargetMode="External" Id="rId1005" /><Relationship Type="http://schemas.openxmlformats.org/officeDocument/2006/relationships/hyperlink" Target="https://www.terresdeperche.fr/" TargetMode="External" Id="rId1006" /><Relationship Type="http://schemas.openxmlformats.org/officeDocument/2006/relationships/hyperlink" Target="https://www.terresdeperche.fr/" TargetMode="External" Id="rId1007" /><Relationship Type="http://schemas.openxmlformats.org/officeDocument/2006/relationships/hyperlink" Target="https://lannuaire.service-public.gouv.fr/centre-val-de-loire/eure-et-loir/9d0b7414-fca0-4419-a998-22df8e738bd0" TargetMode="External" Id="rId1008" /><Relationship Type="http://schemas.openxmlformats.org/officeDocument/2006/relationships/hyperlink" Target="mailto:contact@foretsduperche.fr" TargetMode="External" Id="rId1009" /><Relationship Type="http://schemas.openxmlformats.org/officeDocument/2006/relationships/hyperlink" Target="https://mairielafertevidame.fr/la-communaute-de-communes-des-forets-du-perche/" TargetMode="External" Id="rId1010" /><Relationship Type="http://schemas.openxmlformats.org/officeDocument/2006/relationships/hyperlink" Target="https://lannuaire.service-public.gouv.fr/centre-val-de-loire/eure-et-loir/8ba81e2e-2e5c-4133-b1f3-5fd6153acb7a" TargetMode="External" Id="rId1011" /><Relationship Type="http://schemas.openxmlformats.org/officeDocument/2006/relationships/hyperlink" Target="mailto:contact@porteseureliennesidf.fr" TargetMode="External" Id="rId1012" /><Relationship Type="http://schemas.openxmlformats.org/officeDocument/2006/relationships/hyperlink" Target="https://www.porteseureliennesidf.fr/" TargetMode="External" Id="rId1013" /><Relationship Type="http://schemas.openxmlformats.org/officeDocument/2006/relationships/hyperlink" Target="https://www.porteseureliennesidf.fr/pages/contact-123.html" TargetMode="External" Id="rId1014" /><Relationship Type="http://schemas.openxmlformats.org/officeDocument/2006/relationships/hyperlink" Target="https://lannuaire.service-public.gouv.fr/centre-val-de-loire/eure-et-loir/de59be2a-5052-4f01-acb5-cc302ec7a33a" TargetMode="External" Id="rId1015" /><Relationship Type="http://schemas.openxmlformats.org/officeDocument/2006/relationships/hyperlink" Target="mailto:accueil@cdcdubonnevalais.fr" TargetMode="External" Id="rId1016" /><Relationship Type="http://schemas.openxmlformats.org/officeDocument/2006/relationships/hyperlink" Target="https://www.comcomdubonnevalais.com/" TargetMode="External" Id="rId1017" /><Relationship Type="http://schemas.openxmlformats.org/officeDocument/2006/relationships/hyperlink" Target="https://lannuaire.service-public.gouv.fr/centre-val-de-loire/eure-et-loir/2647a571-faf0-49ee-a84f-d018ce45499f" TargetMode="External" Id="rId1018" /><Relationship Type="http://schemas.openxmlformats.org/officeDocument/2006/relationships/hyperlink" Target="mailto:contact@grandchateaudun.fr" TargetMode="External" Id="rId1019" /><Relationship Type="http://schemas.openxmlformats.org/officeDocument/2006/relationships/hyperlink" Target="https://www.grandchateaudun.fr/" TargetMode="External" Id="rId1020" /><Relationship Type="http://schemas.openxmlformats.org/officeDocument/2006/relationships/hyperlink" Target="https://www.grandchateaudun.fr/" TargetMode="External" Id="rId1021" /><Relationship Type="http://schemas.openxmlformats.org/officeDocument/2006/relationships/hyperlink" Target="https://lannuaire.service-public.gouv.fr/centre-val-de-loire/eure-et-loir/3d22665f-7143-4f2e-8bc4-7e13064efc13" TargetMode="External" Id="rId1022" /><Relationship Type="http://schemas.openxmlformats.org/officeDocument/2006/relationships/hyperlink" Target="mailto:ccph@cc-payshoudanais.fr" TargetMode="External" Id="rId1023" /><Relationship Type="http://schemas.openxmlformats.org/officeDocument/2006/relationships/hyperlink" Target="https://www.cc-payshoudanais.fr/" TargetMode="External" Id="rId1024" /><Relationship Type="http://schemas.openxmlformats.org/officeDocument/2006/relationships/hyperlink" Target="https://lannuaire.service-public.gouv.fr/ile-de-france/yvelines/e46b86f5-aa86-477d-9839-0965492089c4" TargetMode="External" Id="rId1025" /><Relationship Type="http://schemas.openxmlformats.org/officeDocument/2006/relationships/hyperlink" Target="mailto:contact@cc-perche.fr" TargetMode="External" Id="rId1026" /><Relationship Type="http://schemas.openxmlformats.org/officeDocument/2006/relationships/hyperlink" Target="https://www.cc-perche.fr/" TargetMode="External" Id="rId1027" /><Relationship Type="http://schemas.openxmlformats.org/officeDocument/2006/relationships/hyperlink" Target="https://lannuaire.service-public.gouv.fr/centre-val-de-loire/eure-et-loir/ff4cca9c-0bed-466d-90a3-b2e166e2f897" TargetMode="External" Id="rId1028" /><Relationship Type="http://schemas.openxmlformats.org/officeDocument/2006/relationships/hyperlink" Target="mailto:contactcc@cap-sizun.fr" TargetMode="External" Id="rId1029" /><Relationship Type="http://schemas.openxmlformats.org/officeDocument/2006/relationships/hyperlink" Target="http://www.cap-sizun.fr" TargetMode="External" Id="rId1030" /><Relationship Type="http://schemas.openxmlformats.org/officeDocument/2006/relationships/hyperlink" Target="https://lannuaire.service-public.gouv.fr/bretagne/finistere/475aec14-8f6b-4acb-9122-f9f9494fef00" TargetMode="External" Id="rId1031" /><Relationship Type="http://schemas.openxmlformats.org/officeDocument/2006/relationships/hyperlink" Target="mailto:contact@clcl.bzh" TargetMode="External" Id="rId1032" /><Relationship Type="http://schemas.openxmlformats.org/officeDocument/2006/relationships/hyperlink" Target="https://www.clcl.bzh/" TargetMode="External" Id="rId1033" /><Relationship Type="http://schemas.openxmlformats.org/officeDocument/2006/relationships/hyperlink" Target="https://www.clcl.bzh/pratique/formulaire-de-contact" TargetMode="External" Id="rId1034" /><Relationship Type="http://schemas.openxmlformats.org/officeDocument/2006/relationships/hyperlink" Target="https://lannuaire.service-public.gouv.fr/bretagne/finistere/3d0bafeb-c328-4370-83a3-c755751bbbb4" TargetMode="External" Id="rId1035" /><Relationship Type="http://schemas.openxmlformats.org/officeDocument/2006/relationships/hyperlink" Target="mailto:accueil@douarnenez-communaute.fr" TargetMode="External" Id="rId1036" /><Relationship Type="http://schemas.openxmlformats.org/officeDocument/2006/relationships/hyperlink" Target="https://www.douarnenez-communaute.fr/" TargetMode="External" Id="rId1037" /><Relationship Type="http://schemas.openxmlformats.org/officeDocument/2006/relationships/hyperlink" Target="https://www.douarnenez-communaute.fr/contact/" TargetMode="External" Id="rId1038" /><Relationship Type="http://schemas.openxmlformats.org/officeDocument/2006/relationships/hyperlink" Target="https://lannuaire.service-public.gouv.fr/bretagne/finistere/b68e511c-1ab0-4c88-aaa6-4f6ff638e07b" TargetMode="External" Id="rId1039" /><Relationship Type="http://schemas.openxmlformats.org/officeDocument/2006/relationships/hyperlink" Target="mailto:contact@hlc.bzh" TargetMode="External" Id="rId1040" /><Relationship Type="http://schemas.openxmlformats.org/officeDocument/2006/relationships/hyperlink" Target="https://www.hautleoncommunaute.bzh/" TargetMode="External" Id="rId1041" /><Relationship Type="http://schemas.openxmlformats.org/officeDocument/2006/relationships/hyperlink" Target="https://www.hautleoncommunaute.bzh/contact/" TargetMode="External" Id="rId1042" /><Relationship Type="http://schemas.openxmlformats.org/officeDocument/2006/relationships/hyperlink" Target="https://lannuaire.service-public.gouv.fr/bretagne/finistere/e3ba5e5d-ccf1-43c6-b4cb-71f75301b007" TargetMode="External" Id="rId1043" /><Relationship Type="http://schemas.openxmlformats.org/officeDocument/2006/relationships/hyperlink" Target="mailto:contact@lesmontsdarre.bzh" TargetMode="External" Id="rId1044" /><Relationship Type="http://schemas.openxmlformats.org/officeDocument/2006/relationships/hyperlink" Target="https://www.lesmontsdarree.fr/" TargetMode="External" Id="rId1045" /><Relationship Type="http://schemas.openxmlformats.org/officeDocument/2006/relationships/hyperlink" Target="https://www.lesmontsdarree.fr/contact/" TargetMode="External" Id="rId1046" /><Relationship Type="http://schemas.openxmlformats.org/officeDocument/2006/relationships/hyperlink" Target="https://lannuaire.service-public.gouv.fr/bretagne/finistere/a3823fde-810b-4600-b939-b6050c8df83a" TargetMode="External" Id="rId1047" /><Relationship Type="http://schemas.openxmlformats.org/officeDocument/2006/relationships/hyperlink" Target="mailto:accueil@ccpcp.bzh" TargetMode="External" Id="rId1048" /><Relationship Type="http://schemas.openxmlformats.org/officeDocument/2006/relationships/hyperlink" Target="https://www.ccpcp.bzh/" TargetMode="External" Id="rId1049" /><Relationship Type="http://schemas.openxmlformats.org/officeDocument/2006/relationships/hyperlink" Target="https://www.ccpcp.bzh/nous-contacter/" TargetMode="External" Id="rId1050" /><Relationship Type="http://schemas.openxmlformats.org/officeDocument/2006/relationships/hyperlink" Target="https://lannuaire.service-public.gouv.fr/bretagne/finistere/3ddb8b8d-998e-42cd-9fcf-ec89844d312d" TargetMode="External" Id="rId1051" /><Relationship Type="http://schemas.openxmlformats.org/officeDocument/2006/relationships/hyperlink" Target="mailto:contact@comcom-crozon.bzh" TargetMode="External" Id="rId1052" /><Relationship Type="http://schemas.openxmlformats.org/officeDocument/2006/relationships/hyperlink" Target="https://www.comcom-crozon.com/" TargetMode="External" Id="rId1053" /><Relationship Type="http://schemas.openxmlformats.org/officeDocument/2006/relationships/hyperlink" Target="https://www.comcom-crozon.com/contact/" TargetMode="External" Id="rId1054" /><Relationship Type="http://schemas.openxmlformats.org/officeDocument/2006/relationships/hyperlink" Target="https://lannuaire.service-public.gouv.fr/bretagne/finistere/42576b57-5900-48fc-a903-9a05f981eb78" TargetMode="External" Id="rId1055" /><Relationship Type="http://schemas.openxmlformats.org/officeDocument/2006/relationships/hyperlink" Target="mailto:contact@haute-cornouaille.bzh" TargetMode="External" Id="rId1056" /><Relationship Type="http://schemas.openxmlformats.org/officeDocument/2006/relationships/hyperlink" Target="https://haute-cornouaille.bzh/" TargetMode="External" Id="rId1057" /><Relationship Type="http://schemas.openxmlformats.org/officeDocument/2006/relationships/hyperlink" Target="https://haute-cornouaille.bzh/contactez-nous/" TargetMode="External" Id="rId1058" /><Relationship Type="http://schemas.openxmlformats.org/officeDocument/2006/relationships/hyperlink" Target="https://lannuaire.service-public.gouv.fr/bretagne/finistere/61fd5fe4-8b25-4e58-b850-cf13a9e1c68e" TargetMode="External" Id="rId1059" /><Relationship Type="http://schemas.openxmlformats.org/officeDocument/2006/relationships/hyperlink" Target="mailto:info@cchpb.com" TargetMode="External" Id="rId1060" /><Relationship Type="http://schemas.openxmlformats.org/officeDocument/2006/relationships/hyperlink" Target="https://www.cchpb.bzh/" TargetMode="External" Id="rId1061" /><Relationship Type="http://schemas.openxmlformats.org/officeDocument/2006/relationships/hyperlink" Target="https://lannuaire.service-public.gouv.fr/bretagne/finistere/cd3d6ae5-b973-404f-83bb-126822020b3d" TargetMode="External" Id="rId1062" /><Relationship Type="http://schemas.openxmlformats.org/officeDocument/2006/relationships/hyperlink" Target="mailto:contact@ccpbs.fr" TargetMode="External" Id="rId1063" /><Relationship Type="http://schemas.openxmlformats.org/officeDocument/2006/relationships/hyperlink" Target="https://www.ccpbs.fr/" TargetMode="External" Id="rId1064" /><Relationship Type="http://schemas.openxmlformats.org/officeDocument/2006/relationships/hyperlink" Target="https://www.ccpbs.fr/contact/" TargetMode="External" Id="rId1065" /><Relationship Type="http://schemas.openxmlformats.org/officeDocument/2006/relationships/hyperlink" Target="https://lannuaire.service-public.gouv.fr/bretagne/finistere/e92faed0-6868-441a-90e6-b4bc91e6e5e2" TargetMode="External" Id="rId1066" /><Relationship Type="http://schemas.openxmlformats.org/officeDocument/2006/relationships/hyperlink" Target="mailto:contact@cc-paysfouesnantais.fr" TargetMode="External" Id="rId1067" /><Relationship Type="http://schemas.openxmlformats.org/officeDocument/2006/relationships/hyperlink" Target="https://www.cc-paysfouesnantais.fr/" TargetMode="External" Id="rId1068" /><Relationship Type="http://schemas.openxmlformats.org/officeDocument/2006/relationships/hyperlink" Target="https://www.cc-paysfouesnantais.fr/systeme/contact/" TargetMode="External" Id="rId1069" /><Relationship Type="http://schemas.openxmlformats.org/officeDocument/2006/relationships/hyperlink" Target="https://lannuaire.service-public.gouv.fr/bretagne/finistere/3ad0e9c5-1ecd-4fae-85d4-ab66c38857c1" TargetMode="External" Id="rId1070" /><Relationship Type="http://schemas.openxmlformats.org/officeDocument/2006/relationships/hyperlink" Target="mailto:accueil@ccpi.bzh" TargetMode="External" Id="rId1071" /><Relationship Type="http://schemas.openxmlformats.org/officeDocument/2006/relationships/hyperlink" Target="https://www.pays-iroise.bzh/" TargetMode="External" Id="rId1072" /><Relationship Type="http://schemas.openxmlformats.org/officeDocument/2006/relationships/hyperlink" Target="https://www.pays-iroise.bzh/contact/" TargetMode="External" Id="rId1073" /><Relationship Type="http://schemas.openxmlformats.org/officeDocument/2006/relationships/hyperlink" Target="https://lannuaire.service-public.gouv.fr/bretagne/finistere/c65b4648-b116-407c-9bca-559bd4d021f0" TargetMode="External" Id="rId1074" /><Relationship Type="http://schemas.openxmlformats.org/officeDocument/2006/relationships/hyperlink" Target="mailto:contact@paysdelandi.com" TargetMode="External" Id="rId1075" /><Relationship Type="http://schemas.openxmlformats.org/officeDocument/2006/relationships/hyperlink" Target="https://www.paysdelandi.com/" TargetMode="External" Id="rId1076" /><Relationship Type="http://schemas.openxmlformats.org/officeDocument/2006/relationships/hyperlink" Target="https://www.paysdelandi.com/contact/" TargetMode="External" Id="rId1077" /><Relationship Type="http://schemas.openxmlformats.org/officeDocument/2006/relationships/hyperlink" Target="https://lannuaire.service-public.gouv.fr/bretagne/finistere/04041aa2-4bc8-4955-ac5b-e58a74a8c2ef" TargetMode="External" Id="rId1078" /><Relationship Type="http://schemas.openxmlformats.org/officeDocument/2006/relationships/hyperlink" Target="mailto:accueil@pays-des-abers.fr" TargetMode="External" Id="rId1079" /><Relationship Type="http://schemas.openxmlformats.org/officeDocument/2006/relationships/hyperlink" Target="https://www.paysdesabers.bzh/" TargetMode="External" Id="rId1080" /><Relationship Type="http://schemas.openxmlformats.org/officeDocument/2006/relationships/hyperlink" Target="https://www.paysdesabers.bzh/nous-contacter/" TargetMode="External" Id="rId1081" /><Relationship Type="http://schemas.openxmlformats.org/officeDocument/2006/relationships/hyperlink" Target="https://lannuaire.service-public.gouv.fr/bretagne/finistere/208fa09e-2745-4d85-9c4a-92d799f0982f" TargetMode="External" Id="rId1082" /><Relationship Type="http://schemas.openxmlformats.org/officeDocument/2006/relationships/hyperlink" Target="mailto:contact@celavu-prunelli.fr" TargetMode="External" Id="rId1083" /><Relationship Type="http://schemas.openxmlformats.org/officeDocument/2006/relationships/hyperlink" Target="https://celavu-prunelli.fr/" TargetMode="External" Id="rId1084" /><Relationship Type="http://schemas.openxmlformats.org/officeDocument/2006/relationships/hyperlink" Target="https://lannuaire.service-public.gouv.fr/corse/corse-du-sud/b764278d-67b6-4e7e-8061-efb9f8670b51" TargetMode="External" Id="rId1085" /><Relationship Type="http://schemas.openxmlformats.org/officeDocument/2006/relationships/hyperlink" Target="mailto:contact@spelunca-liamone.corsica" TargetMode="External" Id="rId1086" /><Relationship Type="http://schemas.openxmlformats.org/officeDocument/2006/relationships/hyperlink" Target="https://spelunca-liamone.corsica/" TargetMode="External" Id="rId1087" /><Relationship Type="http://schemas.openxmlformats.org/officeDocument/2006/relationships/hyperlink" Target="https://spelunca-liamone.corsica/contact/" TargetMode="External" Id="rId1088" /><Relationship Type="http://schemas.openxmlformats.org/officeDocument/2006/relationships/hyperlink" Target="https://lannuaire.service-public.gouv.fr/corse/corse-du-sud/b720ee0f-73aa-49ac-b317-c8a4a5f75fdc" TargetMode="External" Id="rId1089" /><Relationship Type="http://schemas.openxmlformats.org/officeDocument/2006/relationships/hyperlink" Target="mailto:secretariat@alta-rocca.com" TargetMode="External" Id="rId1090" /><Relationship Type="http://schemas.openxmlformats.org/officeDocument/2006/relationships/hyperlink" Target="https://www.alta-rocca.com/" TargetMode="External" Id="rId1091" /><Relationship Type="http://schemas.openxmlformats.org/officeDocument/2006/relationships/hyperlink" Target="https://www.alta-rocca.com/alta-rocca-corse/102-alta-rocca-contact.html" TargetMode="External" Id="rId1092" /><Relationship Type="http://schemas.openxmlformats.org/officeDocument/2006/relationships/hyperlink" Target="https://lannuaire.service-public.gouv.fr/corse/corse-du-sud/00b4106d-21c4-4544-a4e8-2cd16e80491e" TargetMode="External" Id="rId1093" /><Relationship Type="http://schemas.openxmlformats.org/officeDocument/2006/relationships/hyperlink" Target="mailto:contact@pieveornano.com" TargetMode="External" Id="rId1094" /><Relationship Type="http://schemas.openxmlformats.org/officeDocument/2006/relationships/hyperlink" Target="http://www.pieveornano.fr" TargetMode="External" Id="rId1095" /><Relationship Type="http://schemas.openxmlformats.org/officeDocument/2006/relationships/hyperlink" Target="https://lannuaire.service-public.gouv.fr/corse/corse-du-sud/18dd9f65-b530-4234-ad37-d05777b788e0" TargetMode="External" Id="rId1096" /><Relationship Type="http://schemas.openxmlformats.org/officeDocument/2006/relationships/hyperlink" Target="mailto:contact@sartenaisvalinco.fr" TargetMode="External" Id="rId1097" /><Relationship Type="http://schemas.openxmlformats.org/officeDocument/2006/relationships/hyperlink" Target="https://ccsvt.fr/" TargetMode="External" Id="rId1098" /><Relationship Type="http://schemas.openxmlformats.org/officeDocument/2006/relationships/hyperlink" Target="https://ccsvt.fr/contact/" TargetMode="External" Id="rId1099" /><Relationship Type="http://schemas.openxmlformats.org/officeDocument/2006/relationships/hyperlink" Target="https://lannuaire.service-public.gouv.fr/corse/corse-du-sud/e81b8541-ddc0-4427-bf10-c6e28460368f" TargetMode="External" Id="rId1100" /><Relationship Type="http://schemas.openxmlformats.org/officeDocument/2006/relationships/hyperlink" Target="mailto:secretariat.general@cc-sudcorse.fr" TargetMode="External" Id="rId1101" /><Relationship Type="http://schemas.openxmlformats.org/officeDocument/2006/relationships/hyperlink" Target="https://www.cc-sudcorse.fr" TargetMode="External" Id="rId1102" /><Relationship Type="http://schemas.openxmlformats.org/officeDocument/2006/relationships/hyperlink" Target="https://cc-sudcorse.fr/contactez-nous/" TargetMode="External" Id="rId1103" /><Relationship Type="http://schemas.openxmlformats.org/officeDocument/2006/relationships/hyperlink" Target="https://lannuaire.service-public.gouv.fr/corse/corse-du-sud/e18ba497-a79c-4387-b84d-cb47dfec32b3" TargetMode="External" Id="rId1104" /><Relationship Type="http://schemas.openxmlformats.org/officeDocument/2006/relationships/hyperlink" Target="mailto:ccnebbiuconcadoru@orange.fr" TargetMode="External" Id="rId1105" /><Relationship Type="http://schemas.openxmlformats.org/officeDocument/2006/relationships/hyperlink" Target="https://www.ccnebbiuconcadoru.com/" TargetMode="External" Id="rId1106" /><Relationship Type="http://schemas.openxmlformats.org/officeDocument/2006/relationships/hyperlink" Target="https://www.ccnebbiuconcadoru.com/fr/contact" TargetMode="External" Id="rId1107" /><Relationship Type="http://schemas.openxmlformats.org/officeDocument/2006/relationships/hyperlink" Target="https://lannuaire.service-public.gouv.fr/corse/haute-corse/32c1cb96-ff43-4796-9165-0e2826247bf0" TargetMode="External" Id="rId1108" /><Relationship Type="http://schemas.openxmlformats.org/officeDocument/2006/relationships/hyperlink" Target="mailto:secretariat@cc-pasquale-paoli.corsica" TargetMode="External" Id="rId1109" /><Relationship Type="http://schemas.openxmlformats.org/officeDocument/2006/relationships/hyperlink" Target="https://cc-pasquale-paoli.com/" TargetMode="External" Id="rId1110" /><Relationship Type="http://schemas.openxmlformats.org/officeDocument/2006/relationships/hyperlink" Target="https://lannuaire.service-public.gouv.fr/corse/haute-corse/cf033f3c-ffbb-49bc-a1c3-ac85f0d15059" TargetMode="External" Id="rId1111" /><Relationship Type="http://schemas.openxmlformats.org/officeDocument/2006/relationships/hyperlink" Target="mailto:accueil@cc-calvi-balagne.fr" TargetMode="External" Id="rId1112" /><Relationship Type="http://schemas.openxmlformats.org/officeDocument/2006/relationships/hyperlink" Target="http://www.cc-calvi-balagne.fr" TargetMode="External" Id="rId1113" /><Relationship Type="http://schemas.openxmlformats.org/officeDocument/2006/relationships/hyperlink" Target="https://lannuaire.service-public.gouv.fr/corse/haute-corse/32a788ac-44bc-4eeb-b724-0e271ff220d0" TargetMode="External" Id="rId1114" /><Relationship Type="http://schemas.openxmlformats.org/officeDocument/2006/relationships/hyperlink" Target="mailto:accueil@ccfc.corsica" TargetMode="External" Id="rId1115" /><Relationship Type="http://schemas.openxmlformats.org/officeDocument/2006/relationships/hyperlink" Target="https://www.ccfiumorbucastellu.corsica/" TargetMode="External" Id="rId1116" /><Relationship Type="http://schemas.openxmlformats.org/officeDocument/2006/relationships/hyperlink" Target="https://lannuaire.service-public.gouv.fr/corse/haute-corse/a114e5df-17fa-4e20-acc2-7554cac94d8d" TargetMode="External" Id="rId1117" /><Relationship Type="http://schemas.openxmlformats.org/officeDocument/2006/relationships/hyperlink" Target="mailto:contact@maranagolo.org" TargetMode="External" Id="rId1118" /><Relationship Type="http://schemas.openxmlformats.org/officeDocument/2006/relationships/hyperlink" Target="https://maranagolo.org" TargetMode="External" Id="rId1119" /><Relationship Type="http://schemas.openxmlformats.org/officeDocument/2006/relationships/hyperlink" Target="https://lannuaire.service-public.gouv.fr/corse/haute-corse/32a84c9a-b6c6-4406-bbb8-cfed4b0d2526" TargetMode="External" Id="rId1120" /><Relationship Type="http://schemas.openxmlformats.org/officeDocument/2006/relationships/hyperlink" Target="mailto:contact@ccirb.fr" TargetMode="External" Id="rId1121" /><Relationship Type="http://schemas.openxmlformats.org/officeDocument/2006/relationships/hyperlink" Target="https://www.lisula-balagna.fr/" TargetMode="External" Id="rId1122" /><Relationship Type="http://schemas.openxmlformats.org/officeDocument/2006/relationships/hyperlink" Target="https://www.lisula-balagna.fr/contact/" TargetMode="External" Id="rId1123" /><Relationship Type="http://schemas.openxmlformats.org/officeDocument/2006/relationships/hyperlink" Target="https://lannuaire.service-public.gouv.fr/corse/haute-corse/6fa48813-8b77-40fe-856a-0e577a814cc0" TargetMode="External" Id="rId1124" /><Relationship Type="http://schemas.openxmlformats.org/officeDocument/2006/relationships/hyperlink" Target="mailto:comcomoriente@orange.fr" TargetMode="External" Id="rId1125" /><Relationship Type="http://schemas.openxmlformats.org/officeDocument/2006/relationships/hyperlink" Target="https://oriente.fr/contact-us.html" TargetMode="External" Id="rId1126" /><Relationship Type="http://schemas.openxmlformats.org/officeDocument/2006/relationships/hyperlink" Target="https://lannuaire.service-public.gouv.fr/corse/haute-corse/386a0331-ef71-42a2-a361-3dd3e6c1498e" TargetMode="External" Id="rId1127" /><Relationship Type="http://schemas.openxmlformats.org/officeDocument/2006/relationships/hyperlink" Target="mailto:contact@castagnicciacasinca.fr" TargetMode="External" Id="rId1128" /><Relationship Type="http://schemas.openxmlformats.org/officeDocument/2006/relationships/hyperlink" Target="https://www.castagnicciacasinca.fr/" TargetMode="External" Id="rId1129" /><Relationship Type="http://schemas.openxmlformats.org/officeDocument/2006/relationships/hyperlink" Target="https://www.castagnicciacasinca.fr/fr/contact" TargetMode="External" Id="rId1130" /><Relationship Type="http://schemas.openxmlformats.org/officeDocument/2006/relationships/hyperlink" Target="https://lannuaire.service-public.gouv.fr/corse/haute-corse/9c532bbb-6022-49b7-9b78-0ef18c4ca944" TargetMode="External" Id="rId1131" /><Relationship Type="http://schemas.openxmlformats.org/officeDocument/2006/relationships/hyperlink" Target="mailto:contact@costa-verde.fr" TargetMode="External" Id="rId1132" /><Relationship Type="http://schemas.openxmlformats.org/officeDocument/2006/relationships/hyperlink" Target="https://www.costa-verde.fr/" TargetMode="External" Id="rId1133" /><Relationship Type="http://schemas.openxmlformats.org/officeDocument/2006/relationships/hyperlink" Target="https://www.costa-verde.fr/contact/" TargetMode="External" Id="rId1134" /><Relationship Type="http://schemas.openxmlformats.org/officeDocument/2006/relationships/hyperlink" Target="https://lannuaire.service-public.gouv.fr/corse/haute-corse/bb923067-a595-4667-8806-92071602554b" TargetMode="External" Id="rId1135" /><Relationship Type="http://schemas.openxmlformats.org/officeDocument/2006/relationships/hyperlink" Target="mailto:contact@cc-capcorse.corsica" TargetMode="External" Id="rId1136" /><Relationship Type="http://schemas.openxmlformats.org/officeDocument/2006/relationships/hyperlink" Target="https://destination-cap-corse.corsica/" TargetMode="External" Id="rId1137" /><Relationship Type="http://schemas.openxmlformats.org/officeDocument/2006/relationships/hyperlink" Target="https://destination-cap-corse.corsica/contact/" TargetMode="External" Id="rId1138" /><Relationship Type="http://schemas.openxmlformats.org/officeDocument/2006/relationships/hyperlink" Target="https://lannuaire.service-public.gouv.fr/corse/haute-corse/48580546-1e0c-43df-b7ac-1d2c13b2175e" TargetMode="External" Id="rId1139" /><Relationship Type="http://schemas.openxmlformats.org/officeDocument/2006/relationships/hyperlink" Target="mailto:accueil@cccentre-corse.fr" TargetMode="External" Id="rId1140" /><Relationship Type="http://schemas.openxmlformats.org/officeDocument/2006/relationships/hyperlink" Target="https://www.centre-corse.com/" TargetMode="External" Id="rId1141" /><Relationship Type="http://schemas.openxmlformats.org/officeDocument/2006/relationships/hyperlink" Target="https://lannuaire.service-public.gouv.fr/corse/haute-corse/3b92c86f-db67-49c1-bf92-7ac679c7482e" TargetMode="External" Id="rId1142" /><Relationship Type="http://schemas.openxmlformats.org/officeDocument/2006/relationships/hyperlink" Target="mailto:contact@laterredargence.fr" TargetMode="External" Id="rId1143" /><Relationship Type="http://schemas.openxmlformats.org/officeDocument/2006/relationships/hyperlink" Target="http://www.laterredargence.fr" TargetMode="External" Id="rId1144" /><Relationship Type="http://schemas.openxmlformats.org/officeDocument/2006/relationships/hyperlink" Target="https://lannuaire.service-public.gouv.fr/occitanie/gard/5c55bac6-ee9d-4bbd-9eff-86a1c2ef4670" TargetMode="External" Id="rId1145" /><Relationship Type="http://schemas.openxmlformats.org/officeDocument/2006/relationships/hyperlink" Target="mailto:c.c@cac-ts.com" TargetMode="External" Id="rId1146" /><Relationship Type="http://schemas.openxmlformats.org/officeDocument/2006/relationships/hyperlink" Target="https://caussesaigoualcevennes.fr/" TargetMode="External" Id="rId1147" /><Relationship Type="http://schemas.openxmlformats.org/officeDocument/2006/relationships/hyperlink" Target="https://caussesaigoualcevennes.fr/contact/" TargetMode="External" Id="rId1148" /><Relationship Type="http://schemas.openxmlformats.org/officeDocument/2006/relationships/hyperlink" Target="https://lannuaire.service-public.gouv.fr/occitanie/gard/9392a24e-eebc-4b6e-baf2-96825e537609" TargetMode="External" Id="rId1149" /><Relationship Type="http://schemas.openxmlformats.org/officeDocument/2006/relationships/hyperlink" Target="mailto:accueil@ccmontlozere.fr" TargetMode="External" Id="rId1150" /><Relationship Type="http://schemas.openxmlformats.org/officeDocument/2006/relationships/hyperlink" Target="https://www.ccmontlozere.fr/" TargetMode="External" Id="rId1151" /><Relationship Type="http://schemas.openxmlformats.org/officeDocument/2006/relationships/hyperlink" Target="https://www.ccmontlozere.fr/contact/" TargetMode="External" Id="rId1152" /><Relationship Type="http://schemas.openxmlformats.org/officeDocument/2006/relationships/hyperlink" Target="https://lannuaire.service-public.gouv.fr/occitanie/lozere/881ce777-a883-4b9c-b56d-517dc7df4eaf" TargetMode="External" Id="rId1153" /><Relationship Type="http://schemas.openxmlformats.org/officeDocument/2006/relationships/hyperlink" Target="mailto:contact@ccpaysduzes.fr" TargetMode="External" Id="rId1154" /><Relationship Type="http://schemas.openxmlformats.org/officeDocument/2006/relationships/hyperlink" Target="https://www.ccpaysduzes.fr/" TargetMode="External" Id="rId1155" /><Relationship Type="http://schemas.openxmlformats.org/officeDocument/2006/relationships/hyperlink" Target="https://www.ccpaysduzes.fr/contact.html" TargetMode="External" Id="rId1156" /><Relationship Type="http://schemas.openxmlformats.org/officeDocument/2006/relationships/hyperlink" Target="https://lannuaire.service-public.gouv.fr/occitanie/gard/32caa9c3-622e-4b2c-bbf9-c8d0772b872d" TargetMode="External" Id="rId1157" /><Relationship Type="http://schemas.openxmlformats.org/officeDocument/2006/relationships/hyperlink" Target="mailto:accueil@ccrvv.fr" TargetMode="External" Id="rId1158" /><Relationship Type="http://schemas.openxmlformats.org/officeDocument/2006/relationships/hyperlink" Target="https://www.ccrvv.fr/" TargetMode="External" Id="rId1159" /><Relationship Type="http://schemas.openxmlformats.org/officeDocument/2006/relationships/hyperlink" Target="https://www.ccrvv.fr/communaute-de-communes/restons-connectes/contact-horaires?view=form&amp;id=1" TargetMode="External" Id="rId1160" /><Relationship Type="http://schemas.openxmlformats.org/officeDocument/2006/relationships/hyperlink" Target="https://lannuaire.service-public.gouv.fr/occitanie/gard/724f08cd-8fbf-4a00-ae4b-f1f47c0e5693" TargetMode="External" Id="rId1161" /><Relationship Type="http://schemas.openxmlformats.org/officeDocument/2006/relationships/hyperlink" Target="mailto:cc@terredecamargue.fr" TargetMode="External" Id="rId1162" /><Relationship Type="http://schemas.openxmlformats.org/officeDocument/2006/relationships/hyperlink" Target="https://www.terredecamargue.fr/" TargetMode="External" Id="rId1163" /><Relationship Type="http://schemas.openxmlformats.org/officeDocument/2006/relationships/hyperlink" Target="https://lannuaire.service-public.gouv.fr/occitanie/gard/d2bfa47d-3329-4587-a232-93226240b517" TargetMode="External" Id="rId1164" /><Relationship Type="http://schemas.openxmlformats.org/officeDocument/2006/relationships/hyperlink" Target="mailto:contact@petitecamargue.fr" TargetMode="External" Id="rId1165" /><Relationship Type="http://schemas.openxmlformats.org/officeDocument/2006/relationships/hyperlink" Target="https://www.petitecamargue.fr/" TargetMode="External" Id="rId1166" /><Relationship Type="http://schemas.openxmlformats.org/officeDocument/2006/relationships/hyperlink" Target="https://www.petitecamargue.fr/contact-communaute-communes-camargue/" TargetMode="External" Id="rId1167" /><Relationship Type="http://schemas.openxmlformats.org/officeDocument/2006/relationships/hyperlink" Target="https://lannuaire.service-public.gouv.fr/occitanie/gard/c73843a4-cadb-4255-b368-5b2df92128ca" TargetMode="External" Id="rId1168" /><Relationship Type="http://schemas.openxmlformats.org/officeDocument/2006/relationships/hyperlink" Target="mailto:contact@cdcgangesumene.fr" TargetMode="External" Id="rId1169" /><Relationship Type="http://schemas.openxmlformats.org/officeDocument/2006/relationships/hyperlink" Target="https://cdcgangesumene.fr/" TargetMode="External" Id="rId1170" /><Relationship Type="http://schemas.openxmlformats.org/officeDocument/2006/relationships/hyperlink" Target="https://cdcgangesumene.fr/contact/" TargetMode="External" Id="rId1171" /><Relationship Type="http://schemas.openxmlformats.org/officeDocument/2006/relationships/hyperlink" Target="https://lannuaire.service-public.gouv.fr/occitanie/herault/28c61c1e-960c-43c5-bd17-bc2381c887a8" TargetMode="External" Id="rId1172" /><Relationship Type="http://schemas.openxmlformats.org/officeDocument/2006/relationships/hyperlink" Target="mailto:infos@cc-paysviganais.fr" TargetMode="External" Id="rId1173" /><Relationship Type="http://schemas.openxmlformats.org/officeDocument/2006/relationships/hyperlink" Target="https://www.cc-paysviganais.fr/" TargetMode="External" Id="rId1174" /><Relationship Type="http://schemas.openxmlformats.org/officeDocument/2006/relationships/hyperlink" Target="https://www.cc-paysviganais.fr/systeme/nous-contacter/" TargetMode="External" Id="rId1175" /><Relationship Type="http://schemas.openxmlformats.org/officeDocument/2006/relationships/hyperlink" Target="https://lannuaire.service-public.gouv.fr/occitanie/gard/56d9ca2f-e68d-4ffb-b7a8-26460657dead" TargetMode="External" Id="rId1176" /><Relationship Type="http://schemas.openxmlformats.org/officeDocument/2006/relationships/hyperlink" Target="mailto:contact@ccpaysdesommieres.fr" TargetMode="External" Id="rId1177" /><Relationship Type="http://schemas.openxmlformats.org/officeDocument/2006/relationships/hyperlink" Target="https://www.ccpaysdesommieres.fr/" TargetMode="External" Id="rId1178" /><Relationship Type="http://schemas.openxmlformats.org/officeDocument/2006/relationships/hyperlink" Target="https://www.ccpaysdesommieres.fr/nous-contacter/" TargetMode="External" Id="rId1179" /><Relationship Type="http://schemas.openxmlformats.org/officeDocument/2006/relationships/hyperlink" Target="https://lannuaire.service-public.gouv.fr/occitanie/gard/8c6f29cf-8310-4b06-a149-aa6497210883" TargetMode="External" Id="rId1180" /><Relationship Type="http://schemas.openxmlformats.org/officeDocument/2006/relationships/hyperlink" Target="mailto:contact@piemont-cevenol.fr" TargetMode="External" Id="rId1181" /><Relationship Type="http://schemas.openxmlformats.org/officeDocument/2006/relationships/hyperlink" Target="https://www.piemont-cevenol.fr/" TargetMode="External" Id="rId1182" /><Relationship Type="http://schemas.openxmlformats.org/officeDocument/2006/relationships/hyperlink" Target="https://www.piemont-cevenol.fr/nous-contacter/" TargetMode="External" Id="rId1183" /><Relationship Type="http://schemas.openxmlformats.org/officeDocument/2006/relationships/hyperlink" Target="https://lannuaire.service-public.gouv.fr/occitanie/gard/c66e3edd-50ad-4a6a-9929-f8b983fe6a4f" TargetMode="External" Id="rId1184" /><Relationship Type="http://schemas.openxmlformats.org/officeDocument/2006/relationships/hyperlink" Target="mailto:contact@cc-pontdugard.fr" TargetMode="External" Id="rId1185" /><Relationship Type="http://schemas.openxmlformats.org/officeDocument/2006/relationships/hyperlink" Target="https://www.cc-pontdugard.fr/" TargetMode="External" Id="rId1186" /><Relationship Type="http://schemas.openxmlformats.org/officeDocument/2006/relationships/hyperlink" Target="https://www.cc-pontdugard.fr/90-contacts.htm" TargetMode="External" Id="rId1187" /><Relationship Type="http://schemas.openxmlformats.org/officeDocument/2006/relationships/hyperlink" Target="https://lannuaire.service-public.gouv.fr/occitanie/gard/a0ccf4d8-2230-487e-beee-54b64c6da782" TargetMode="External" Id="rId1188" /><Relationship Type="http://schemas.openxmlformats.org/officeDocument/2006/relationships/hyperlink" Target="mailto:secretariat@cagiregaronnesalat.fr" TargetMode="External" Id="rId1189" /><Relationship Type="http://schemas.openxmlformats.org/officeDocument/2006/relationships/hyperlink" Target="https://www.cagiregaronnesalat.fr" TargetMode="External" Id="rId1190" /><Relationship Type="http://schemas.openxmlformats.org/officeDocument/2006/relationships/hyperlink" Target="https://lannuaire.service-public.gouv.fr/occitanie/haute-garonne/c8782446-abc9-4fe1-a2e7-23f4de1030a0" TargetMode="External" Id="rId1191" /><Relationship Type="http://schemas.openxmlformats.org/officeDocument/2006/relationships/hyperlink" Target="mailto:accueil@cc-coeurdegaronne.fr" TargetMode="External" Id="rId1192" /><Relationship Type="http://schemas.openxmlformats.org/officeDocument/2006/relationships/hyperlink" Target="https://www.cc-coeurdegaronne.fr/" TargetMode="External" Id="rId1193" /><Relationship Type="http://schemas.openxmlformats.org/officeDocument/2006/relationships/hyperlink" Target="https://www.cc-coeurdegaronne.fr/contact" TargetMode="External" Id="rId1194" /><Relationship Type="http://schemas.openxmlformats.org/officeDocument/2006/relationships/hyperlink" Target="https://lannuaire.service-public.gouv.fr/occitanie/haute-garonne/87007078-0dc2-463f-bec9-5dd831265ff3" TargetMode="External" Id="rId1195" /><Relationship Type="http://schemas.openxmlformats.org/officeDocument/2006/relationships/hyperlink" Target="mailto:contact@la5c.fr" TargetMode="External" Id="rId1196" /><Relationship Type="http://schemas.openxmlformats.org/officeDocument/2006/relationships/hyperlink" Target="https://www.coeurcoteaux-comminges.fr/" TargetMode="External" Id="rId1197" /><Relationship Type="http://schemas.openxmlformats.org/officeDocument/2006/relationships/hyperlink" Target="https://www.coeurcoteaux-comminges.fr/contact-9" TargetMode="External" Id="rId1198" /><Relationship Type="http://schemas.openxmlformats.org/officeDocument/2006/relationships/hyperlink" Target="https://lannuaire.service-public.gouv.fr/occitanie/haute-garonne/add6a920-f99d-447f-a4dc-1aa2f838e522" TargetMode="External" Id="rId1199" /><Relationship Type="http://schemas.openxmlformats.org/officeDocument/2006/relationships/hyperlink" Target="mailto:contact@grandouesttoulousain.fr" TargetMode="External" Id="rId1200" /><Relationship Type="http://schemas.openxmlformats.org/officeDocument/2006/relationships/hyperlink" Target="https://www.grandouesttoulousain.fr/" TargetMode="External" Id="rId1201" /><Relationship Type="http://schemas.openxmlformats.org/officeDocument/2006/relationships/hyperlink" Target="https://www.grandouesttoulousain.fr/contact/contactez-nous" TargetMode="External" Id="rId1202" /><Relationship Type="http://schemas.openxmlformats.org/officeDocument/2006/relationships/hyperlink" Target="https://lannuaire.service-public.gouv.fr/occitanie/haute-garonne/c4ecc858-a65f-4304-8145-a1b07755a970" TargetMode="External" Id="rId1203" /><Relationship Type="http://schemas.openxmlformats.org/officeDocument/2006/relationships/hyperlink" Target="mailto:secretariat@ccphg.fr" TargetMode="External" Id="rId1204" /><Relationship Type="http://schemas.openxmlformats.org/officeDocument/2006/relationships/hyperlink" Target="https://cc-pyreneeshautgaronnaises.fr/" TargetMode="External" Id="rId1205" /><Relationship Type="http://schemas.openxmlformats.org/officeDocument/2006/relationships/hyperlink" Target="https://lannuaire.service-public.gouv.fr/occitanie/haute-garonne/8afd9139-3d65-4fe4-ba40-f8b5879da947" TargetMode="External" Id="rId1206" /><Relationship Type="http://schemas.openxmlformats.org/officeDocument/2006/relationships/hyperlink" Target="mailto:accueil@cc-tarnagout.fr" TargetMode="External" Id="rId1207" /><Relationship Type="http://schemas.openxmlformats.org/officeDocument/2006/relationships/hyperlink" Target="https://www.cc-tarnagout.fr/" TargetMode="External" Id="rId1208" /><Relationship Type="http://schemas.openxmlformats.org/officeDocument/2006/relationships/hyperlink" Target="https://lannuaire.service-public.gouv.fr/occitanie/tarn/8a507949-c336-46fc-b344-589110d12e54" TargetMode="External" Id="rId1209" /><Relationship Type="http://schemas.openxmlformats.org/officeDocument/2006/relationships/hyperlink" Target="mailto:contact@valaigo.fr" TargetMode="External" Id="rId1210" /><Relationship Type="http://schemas.openxmlformats.org/officeDocument/2006/relationships/hyperlink" Target="https://valaigo.com/" TargetMode="External" Id="rId1211" /><Relationship Type="http://schemas.openxmlformats.org/officeDocument/2006/relationships/hyperlink" Target="https://lannuaire.service-public.gouv.fr/occitanie/haute-garonne/5b469453-f428-4a6f-b290-cde189fcc0e5" TargetMode="External" Id="rId1212" /><Relationship Type="http://schemas.openxmlformats.org/officeDocument/2006/relationships/hyperlink" Target="mailto:coteauxbellevue@cc-coteauxbellevue.fr" TargetMode="External" Id="rId1213" /><Relationship Type="http://schemas.openxmlformats.org/officeDocument/2006/relationships/hyperlink" Target="https://cc-coteauxbellevue.fr/" TargetMode="External" Id="rId1214" /><Relationship Type="http://schemas.openxmlformats.org/officeDocument/2006/relationships/hyperlink" Target="https://cc-coteauxbellevue.fr/contact/" TargetMode="External" Id="rId1215" /><Relationship Type="http://schemas.openxmlformats.org/officeDocument/2006/relationships/hyperlink" Target="https://lannuaire.service-public.gouv.fr/occitanie/haute-garonne/27eb554a-578f-4f77-a4cb-91683bfb9275" TargetMode="External" Id="rId1216" /><Relationship Type="http://schemas.openxmlformats.org/officeDocument/2006/relationships/hyperlink" Target="mailto:contact@coteauxdugirou.fr" TargetMode="External" Id="rId1217" /><Relationship Type="http://schemas.openxmlformats.org/officeDocument/2006/relationships/hyperlink" Target="https://www.cc-coteaux-du-girou.fr/" TargetMode="External" Id="rId1218" /><Relationship Type="http://schemas.openxmlformats.org/officeDocument/2006/relationships/hyperlink" Target="https://www.cc-coteaux-du-girou.fr/contact" TargetMode="External" Id="rId1219" /><Relationship Type="http://schemas.openxmlformats.org/officeDocument/2006/relationships/hyperlink" Target="https://lannuaire.service-public.gouv.fr/occitanie/haute-garonne/50262b8c-86cb-4e19-b3ac-a32bfc15601f" TargetMode="External" Id="rId1220" /><Relationship Type="http://schemas.openxmlformats.org/officeDocument/2006/relationships/hyperlink" Target="mailto:contact@hautstolosans.fr" TargetMode="External" Id="rId1221" /><Relationship Type="http://schemas.openxmlformats.org/officeDocument/2006/relationships/hyperlink" Target="https://www.hautstolosans.fr/" TargetMode="External" Id="rId1222" /><Relationship Type="http://schemas.openxmlformats.org/officeDocument/2006/relationships/hyperlink" Target="https://www.hautstolosans.fr/demarche-administrative/nous-contacter/" TargetMode="External" Id="rId1223" /><Relationship Type="http://schemas.openxmlformats.org/officeDocument/2006/relationships/hyperlink" Target="https://lannuaire.service-public.gouv.fr/occitanie/haute-garonne/14a72b61-2422-4d9e-99ef-fa0dd9ec6129" TargetMode="External" Id="rId1224" /><Relationship Type="http://schemas.openxmlformats.org/officeDocument/2006/relationships/hyperlink" Target="mailto:accueil@terres-du-lauragais.fr" TargetMode="External" Id="rId1225" /><Relationship Type="http://schemas.openxmlformats.org/officeDocument/2006/relationships/hyperlink" Target="https://www.terres-du-lauragais.fr/fr/index.html" TargetMode="External" Id="rId1226" /><Relationship Type="http://schemas.openxmlformats.org/officeDocument/2006/relationships/hyperlink" Target="https://lannuaire.service-public.gouv.fr/occitanie/haute-garonne/107a6b55-17e7-4160-bac9-f9747b74c154" TargetMode="External" Id="rId1227" /><Relationship Type="http://schemas.openxmlformats.org/officeDocument/2006/relationships/hyperlink" Target="mailto:accueil@ccba31.fr" TargetMode="External" Id="rId1228" /><Relationship Type="http://schemas.openxmlformats.org/officeDocument/2006/relationships/hyperlink" Target="https://www.ccba31.fr/" TargetMode="External" Id="rId1229" /><Relationship Type="http://schemas.openxmlformats.org/officeDocument/2006/relationships/hyperlink" Target="https://lannuaire.service-public.gouv.fr/occitanie/haute-garonne/4eef5706-bce9-4cb4-9105-33b0923dfb80" TargetMode="External" Id="rId1230" /><Relationship Type="http://schemas.openxmlformats.org/officeDocument/2006/relationships/hyperlink" Target="mailto:contact@cc-dufrontonnais.fr" TargetMode="External" Id="rId1231" /><Relationship Type="http://schemas.openxmlformats.org/officeDocument/2006/relationships/hyperlink" Target="https://www.cc-dufrontonnais.fr/" TargetMode="External" Id="rId1232" /><Relationship Type="http://schemas.openxmlformats.org/officeDocument/2006/relationships/hyperlink" Target="https://lannuaire.service-public.gouv.fr/occitanie/haute-garonne/9ba033fc-5feb-4830-ad35-5a373fbe032a" TargetMode="External" Id="rId1233" /><Relationship Type="http://schemas.openxmlformats.org/officeDocument/2006/relationships/hyperlink" Target="mailto:contact@cc-volvestre.fr" TargetMode="External" Id="rId1234" /><Relationship Type="http://schemas.openxmlformats.org/officeDocument/2006/relationships/hyperlink" Target="https://volvestre.fr/" TargetMode="External" Id="rId1235" /><Relationship Type="http://schemas.openxmlformats.org/officeDocument/2006/relationships/hyperlink" Target="https://volvestre.fr/contactez-nous/" TargetMode="External" Id="rId1236" /><Relationship Type="http://schemas.openxmlformats.org/officeDocument/2006/relationships/hyperlink" Target="https://lannuaire.service-public.gouv.fr/occitanie/haute-garonne/46f6ee70-306e-4e28-9383-304714e0bc16" TargetMode="External" Id="rId1237" /><Relationship Type="http://schemas.openxmlformats.org/officeDocument/2006/relationships/hyperlink" Target="mailto:ccaa@armagnacadour.fr" TargetMode="External" Id="rId1238" /><Relationship Type="http://schemas.openxmlformats.org/officeDocument/2006/relationships/hyperlink" Target="http://www.armagnacadour.fr" TargetMode="External" Id="rId1239" /><Relationship Type="http://schemas.openxmlformats.org/officeDocument/2006/relationships/hyperlink" Target="https://lannuaire.service-public.gouv.fr/occitanie/gers/e0e62423-119a-4c94-8c47-0ccdf5d43ba3" TargetMode="External" Id="rId1240" /><Relationship Type="http://schemas.openxmlformats.org/officeDocument/2006/relationships/hyperlink" Target="mailto:accueil@dartagnanenfezensac.com" TargetMode="External" Id="rId1241" /><Relationship Type="http://schemas.openxmlformats.org/officeDocument/2006/relationships/hyperlink" Target="https://www.dartagnanenfezensac.com/" TargetMode="External" Id="rId1242" /><Relationship Type="http://schemas.openxmlformats.org/officeDocument/2006/relationships/hyperlink" Target="https://lannuaire.service-public.gouv.fr/occitanie/gers/730ce44f-d282-4569-9da4-0d69ce78f68f" TargetMode="External" Id="rId1243" /><Relationship Type="http://schemas.openxmlformats.org/officeDocument/2006/relationships/hyperlink" Target="mailto:contact@cdcaag.fr" TargetMode="External" Id="rId1244" /><Relationship Type="http://schemas.openxmlformats.org/officeDocument/2006/relationships/hyperlink" Target="https://www.cdcaag.fr/" TargetMode="External" Id="rId1245" /><Relationship Type="http://schemas.openxmlformats.org/officeDocument/2006/relationships/hyperlink" Target="https://www.cdcaag.fr/nous-contacter/" TargetMode="External" Id="rId1246" /><Relationship Type="http://schemas.openxmlformats.org/officeDocument/2006/relationships/hyperlink" Target="https://lannuaire.service-public.gouv.fr/occitanie/gers/2c1fbf3a-780b-40ef-a45a-a70705ee2006" TargetMode="External" Id="rId1247" /><Relationship Type="http://schemas.openxmlformats.org/officeDocument/2006/relationships/hyperlink" Target="mailto:contact@ccbl32.fr" TargetMode="External" Id="rId1248" /><Relationship Type="http://schemas.openxmlformats.org/officeDocument/2006/relationships/hyperlink" Target="https://www.ccbl32.fr/ccbl/index.php" TargetMode="External" Id="rId1249" /><Relationship Type="http://schemas.openxmlformats.org/officeDocument/2006/relationships/hyperlink" Target="https://lannuaire.service-public.gouv.fr/occitanie/gers/a9b33bed-72fc-4be3-8432-bce2d52a51c4" TargetMode="External" Id="rId1250" /><Relationship Type="http://schemas.openxmlformats.org/officeDocument/2006/relationships/hyperlink" Target="mailto:accueil@ccbvg.fr" TargetMode="External" Id="rId1251" /><Relationship Type="http://schemas.openxmlformats.org/officeDocument/2006/relationships/hyperlink" Target="https://www.ccbvg.fr/" TargetMode="External" Id="rId1252" /><Relationship Type="http://schemas.openxmlformats.org/officeDocument/2006/relationships/hyperlink" Target="https://www.ccbvg.fr/contact/" TargetMode="External" Id="rId1253" /><Relationship Type="http://schemas.openxmlformats.org/officeDocument/2006/relationships/hyperlink" Target="https://lannuaire.service-public.gouv.fr/occitanie/gers/c294f1e4-0874-4933-9f7a-c54bf885c0e0" TargetMode="External" Id="rId1254" /><Relationship Type="http://schemas.openxmlformats.org/officeDocument/2006/relationships/hyperlink" Target="mailto:contact@coeur-dastarac.fr" TargetMode="External" Id="rId1255" /><Relationship Type="http://schemas.openxmlformats.org/officeDocument/2006/relationships/hyperlink" Target="https://coeur-dastarac.fr/fr/" TargetMode="External" Id="rId1256" /><Relationship Type="http://schemas.openxmlformats.org/officeDocument/2006/relationships/hyperlink" Target="https://coeur-dastarac.fr/fr/" TargetMode="External" Id="rId1257" /><Relationship Type="http://schemas.openxmlformats.org/officeDocument/2006/relationships/hyperlink" Target="https://lannuaire.service-public.gouv.fr/occitanie/gers/b01fa094-c53a-4397-8225-fcc7870629fe" TargetMode="External" Id="rId1258" /><Relationship Type="http://schemas.openxmlformats.org/officeDocument/2006/relationships/hyperlink" Target="mailto:accueil@cc-valdegers.fr" TargetMode="External" Id="rId1259" /><Relationship Type="http://schemas.openxmlformats.org/officeDocument/2006/relationships/hyperlink" Target="https://www.cc-valdegers.fr/" TargetMode="External" Id="rId1260" /><Relationship Type="http://schemas.openxmlformats.org/officeDocument/2006/relationships/hyperlink" Target="https://lannuaire.service-public.gouv.fr/occitanie/gers/ac3e3bab-2126-4483-bcf9-5d23bc81829b" TargetMode="External" Id="rId1261" /><Relationship Type="http://schemas.openxmlformats.org/officeDocument/2006/relationships/hyperlink" Target="mailto:cdc@cdcaire.org" TargetMode="External" Id="rId1262" /><Relationship Type="http://schemas.openxmlformats.org/officeDocument/2006/relationships/hyperlink" Target="https://www.cdcaire.org/" TargetMode="External" Id="rId1263" /><Relationship Type="http://schemas.openxmlformats.org/officeDocument/2006/relationships/hyperlink" Target="https://lannuaire.service-public.gouv.fr/nouvelle-aquitaine/landes/5777a985-8940-418f-8498-73dd1a51ae6e" TargetMode="External" Id="rId1264" /><Relationship Type="http://schemas.openxmlformats.org/officeDocument/2006/relationships/hyperlink" Target="mailto:accueil@ccgascognetoulousaine.com" TargetMode="External" Id="rId1265" /><Relationship Type="http://schemas.openxmlformats.org/officeDocument/2006/relationships/hyperlink" Target="https://www.ccgascognetoulousaine.com/" TargetMode="External" Id="rId1266" /><Relationship Type="http://schemas.openxmlformats.org/officeDocument/2006/relationships/hyperlink" Target="https://www.ccgascognetoulousaine.com/contactez-nous/" TargetMode="External" Id="rId1267" /><Relationship Type="http://schemas.openxmlformats.org/officeDocument/2006/relationships/hyperlink" Target="https://lannuaire.service-public.gouv.fr/occitanie/gers/a46e7c9e-2ca4-493f-a5cb-a08607e07bc8" TargetMode="External" Id="rId1268" /><Relationship Type="http://schemas.openxmlformats.org/officeDocument/2006/relationships/hyperlink" Target="mailto:communaute-de-communes@lomagne-gersoise.com" TargetMode="External" Id="rId1269" /><Relationship Type="http://schemas.openxmlformats.org/officeDocument/2006/relationships/hyperlink" Target="https://www.lomagne-gersoise.com" TargetMode="External" Id="rId1270" /><Relationship Type="http://schemas.openxmlformats.org/officeDocument/2006/relationships/hyperlink" Target="https://lannuaire.service-public.gouv.fr/occitanie/gers/ea8ac1f7-0304-4b46-8f3b-729de79ceb6a" TargetMode="External" Id="rId1271" /><Relationship Type="http://schemas.openxmlformats.org/officeDocument/2006/relationships/hyperlink" Target="mailto:contact@cc-tenareze.fr" TargetMode="External" Id="rId1272" /><Relationship Type="http://schemas.openxmlformats.org/officeDocument/2006/relationships/hyperlink" Target="http://www.cc-tenareze.fr" TargetMode="External" Id="rId1273" /><Relationship Type="http://schemas.openxmlformats.org/officeDocument/2006/relationships/hyperlink" Target="http://cc-tenareze.fr/contact" TargetMode="External" Id="rId1274" /><Relationship Type="http://schemas.openxmlformats.org/officeDocument/2006/relationships/hyperlink" Target="https://lannuaire.service-public.gouv.fr/occitanie/gers/37e34749-e073-4ef7-a930-67a887e0065a" TargetMode="External" Id="rId1275" /><Relationship Type="http://schemas.openxmlformats.org/officeDocument/2006/relationships/hyperlink" Target="mailto:secretariat@3cag.fr" TargetMode="External" Id="rId1276" /><Relationship Type="http://schemas.openxmlformats.org/officeDocument/2006/relationships/hyperlink" Target="https://3cag.fr/" TargetMode="External" Id="rId1277" /><Relationship Type="http://schemas.openxmlformats.org/officeDocument/2006/relationships/hyperlink" Target="https://lannuaire.service-public.gouv.fr/occitanie/gers/b45a8efe-42ce-4088-ad47-47a46666a460" TargetMode="External" Id="rId1278" /><Relationship Type="http://schemas.openxmlformats.org/officeDocument/2006/relationships/hyperlink" Target="mailto:info@cc-deuxrives.fr" TargetMode="External" Id="rId1279" /><Relationship Type="http://schemas.openxmlformats.org/officeDocument/2006/relationships/hyperlink" Target="https://www.cc-deuxrives.fr" TargetMode="External" Id="rId1280" /><Relationship Type="http://schemas.openxmlformats.org/officeDocument/2006/relationships/hyperlink" Target="https://lannuaire.service-public.gouv.fr/occitanie/tarn-et-garonne/6ca6ff4d-8306-448c-a87a-8fff38c74dee" TargetMode="External" Id="rId1281" /><Relationship Type="http://schemas.openxmlformats.org/officeDocument/2006/relationships/hyperlink" Target="mailto:info@cc-basarmagnac.fr" TargetMode="External" Id="rId1282" /><Relationship Type="http://schemas.openxmlformats.org/officeDocument/2006/relationships/hyperlink" Target="https://cc-basarmagnac.fr/" TargetMode="External" Id="rId1283" /><Relationship Type="http://schemas.openxmlformats.org/officeDocument/2006/relationships/hyperlink" Target="https://cc-basarmagnac.fr/contact/" TargetMode="External" Id="rId1284" /><Relationship Type="http://schemas.openxmlformats.org/officeDocument/2006/relationships/hyperlink" Target="https://lannuaire.service-public.gouv.fr/occitanie/gers/876fcb46-6243-4c8f-8211-d3dd4dcfb30b" TargetMode="External" Id="rId1285" /><Relationship Type="http://schemas.openxmlformats.org/officeDocument/2006/relationships/hyperlink" Target="mailto:dgs@grand-armagnac.fr" TargetMode="External" Id="rId1286" /><Relationship Type="http://schemas.openxmlformats.org/officeDocument/2006/relationships/hyperlink" Target="https://grand-armagnac.fr/accueil" TargetMode="External" Id="rId1287" /><Relationship Type="http://schemas.openxmlformats.org/officeDocument/2006/relationships/hyperlink" Target="https://lannuaire.service-public.gouv.fr/occitanie/gers/4e7ba475-f0a5-4a8c-9e95-79a5d3c7e247" TargetMode="External" Id="rId1288" /><Relationship Type="http://schemas.openxmlformats.org/officeDocument/2006/relationships/hyperlink" Target="mailto:contact@ccsaves32.fr" TargetMode="External" Id="rId1289" /><Relationship Type="http://schemas.openxmlformats.org/officeDocument/2006/relationships/hyperlink" Target="https://www.ccsaves32.fr/" TargetMode="External" Id="rId1290" /><Relationship Type="http://schemas.openxmlformats.org/officeDocument/2006/relationships/hyperlink" Target="https://www.ccsaves32.fr/contact/" TargetMode="External" Id="rId1291" /><Relationship Type="http://schemas.openxmlformats.org/officeDocument/2006/relationships/hyperlink" Target="https://lannuaire.service-public.gouv.fr/occitanie/gers/2d85dc3c-6719-4e99-9a2e-15904cccf1b8" TargetMode="External" Id="rId1292" /><Relationship Type="http://schemas.openxmlformats.org/officeDocument/2006/relationships/hyperlink" Target="mailto:contact@convergence-garonne.fr" TargetMode="External" Id="rId1293" /><Relationship Type="http://schemas.openxmlformats.org/officeDocument/2006/relationships/hyperlink" Target="https://convergence-garonne.fr/" TargetMode="External" Id="rId1294" /><Relationship Type="http://schemas.openxmlformats.org/officeDocument/2006/relationships/hyperlink" Target="https://lannuaire.service-public.gouv.fr/nouvelle-aquitaine/gironde/5e51b301-4f57-4723-b1e8-9ab7d54b962a" TargetMode="External" Id="rId1295" /><Relationship Type="http://schemas.openxmlformats.org/officeDocument/2006/relationships/hyperlink" Target="mailto:cdc@jalleeaubourde.fr" TargetMode="External" Id="rId1296" /><Relationship Type="http://schemas.openxmlformats.org/officeDocument/2006/relationships/hyperlink" Target="https://jalleeaubourde.fr/" TargetMode="External" Id="rId1297" /><Relationship Type="http://schemas.openxmlformats.org/officeDocument/2006/relationships/hyperlink" Target="https://jalleeaubourde.fr/contacter/" TargetMode="External" Id="rId1298" /><Relationship Type="http://schemas.openxmlformats.org/officeDocument/2006/relationships/hyperlink" Target="https://lannuaire.service-public.gouv.fr/nouvelle-aquitaine/gironde/289175a4-20e7-42a3-8b2b-8a2dfbdbb0f1" TargetMode="External" Id="rId1299" /><Relationship Type="http://schemas.openxmlformats.org/officeDocument/2006/relationships/hyperlink" Target="mailto:contact@latitude-nord-gironde.fr" TargetMode="External" Id="rId1300" /><Relationship Type="http://schemas.openxmlformats.org/officeDocument/2006/relationships/hyperlink" Target="https://www.latitude-nord-gironde.fr/" TargetMode="External" Id="rId1301" /><Relationship Type="http://schemas.openxmlformats.org/officeDocument/2006/relationships/hyperlink" Target="https://lannuaire.service-public.gouv.fr/nouvelle-aquitaine/gironde/3781c4f7-13f1-4a71-82fc-c3423b208cc0" TargetMode="External" Id="rId1302" /><Relationship Type="http://schemas.openxmlformats.org/officeDocument/2006/relationships/hyperlink" Target="mailto:cdc.saintloubes@free.fr" TargetMode="External" Id="rId1303" /><Relationship Type="http://schemas.openxmlformats.org/officeDocument/2006/relationships/hyperlink" Target="https://www.rivesdelalaurence.fr/" TargetMode="External" Id="rId1304" /><Relationship Type="http://schemas.openxmlformats.org/officeDocument/2006/relationships/hyperlink" Target="https://www.rivesdelalaurence.fr/nous-contacter/" TargetMode="External" Id="rId1305" /><Relationship Type="http://schemas.openxmlformats.org/officeDocument/2006/relationships/hyperlink" Target="https://lannuaire.service-public.gouv.fr/nouvelle-aquitaine/gironde/4bfe7ae6-b0f2-4fbc-84fb-bdd340525708" TargetMode="External" Id="rId1306" /><Relationship Type="http://schemas.openxmlformats.org/officeDocument/2006/relationships/hyperlink" Target="mailto:sg@ccmedocatlantique.fr" TargetMode="External" Id="rId1307" /><Relationship Type="http://schemas.openxmlformats.org/officeDocument/2006/relationships/hyperlink" Target="https://www.ccmedocatlantique.fr/" TargetMode="External" Id="rId1308" /><Relationship Type="http://schemas.openxmlformats.org/officeDocument/2006/relationships/hyperlink" Target="https://www.ccmedocatlantique.fr/nouscontacter/" TargetMode="External" Id="rId1309" /><Relationship Type="http://schemas.openxmlformats.org/officeDocument/2006/relationships/hyperlink" Target="https://lannuaire.service-public.gouv.fr/nouvelle-aquitaine/gironde/2a175a13-ef96-4c84-a1a3-386c0a12cad3" TargetMode="External" Id="rId1310" /><Relationship Type="http://schemas.openxmlformats.org/officeDocument/2006/relationships/hyperlink" Target="mailto:cdc@medoc-cpi.fr" TargetMode="External" Id="rId1311" /><Relationship Type="http://schemas.openxmlformats.org/officeDocument/2006/relationships/hyperlink" Target="http://www.medoc-cpi.fr" TargetMode="External" Id="rId1312" /><Relationship Type="http://schemas.openxmlformats.org/officeDocument/2006/relationships/hyperlink" Target="http://www.medoc-cpi.fr/Contact" TargetMode="External" Id="rId1313" /><Relationship Type="http://schemas.openxmlformats.org/officeDocument/2006/relationships/hyperlink" Target="https://lannuaire.service-public.gouv.fr/nouvelle-aquitaine/gironde/d5ac44e0-5046-4625-8e68-84ea784e9196" TargetMode="External" Id="rId1314" /><Relationship Type="http://schemas.openxmlformats.org/officeDocument/2006/relationships/hyperlink" Target="mailto:contact@medoc-estuaire.fr" TargetMode="External" Id="rId1315" /><Relationship Type="http://schemas.openxmlformats.org/officeDocument/2006/relationships/hyperlink" Target="http://www.cc-medoc-estuaire.fr" TargetMode="External" Id="rId1316" /><Relationship Type="http://schemas.openxmlformats.org/officeDocument/2006/relationships/hyperlink" Target="https://lannuaire.service-public.gouv.fr/nouvelle-aquitaine/gironde/a609c4b7-87dd-47ac-bca8-35acbfaaae28" TargetMode="External" Id="rId1317" /><Relationship Type="http://schemas.openxmlformats.org/officeDocument/2006/relationships/hyperlink" Target="mailto:medullienne@cdcmedullienne.fr" TargetMode="External" Id="rId1318" /><Relationship Type="http://schemas.openxmlformats.org/officeDocument/2006/relationships/hyperlink" Target="https://www.cdcmedullienne.com/" TargetMode="External" Id="rId1319" /><Relationship Type="http://schemas.openxmlformats.org/officeDocument/2006/relationships/hyperlink" Target="https://www.cdcmedullienne.com/contact/contacter-la-cdc.html" TargetMode="External" Id="rId1320" /><Relationship Type="http://schemas.openxmlformats.org/officeDocument/2006/relationships/hyperlink" Target="https://lannuaire.service-public.gouv.fr/nouvelle-aquitaine/gironde/ffc81e6a-117b-4eb2-b952-e6e79723381e" TargetMode="External" Id="rId1321" /><Relationship Type="http://schemas.openxmlformats.org/officeDocument/2006/relationships/hyperlink" Target="mailto:accueil@ruralesentredeuxmers.fr" TargetMode="External" Id="rId1322" /><Relationship Type="http://schemas.openxmlformats.org/officeDocument/2006/relationships/hyperlink" Target="https://www.ruralesentredeuxmers.fr/" TargetMode="External" Id="rId1323" /><Relationship Type="http://schemas.openxmlformats.org/officeDocument/2006/relationships/hyperlink" Target="https://www.ruralesentredeuxmers.fr/contact/" TargetMode="External" Id="rId1324" /><Relationship Type="http://schemas.openxmlformats.org/officeDocument/2006/relationships/hyperlink" Target="https://lannuaire.service-public.gouv.fr/nouvelle-aquitaine/gironde/9fe9623c-b24a-45de-878b-254abf045a1a" TargetMode="External" Id="rId1325" /><Relationship Type="http://schemas.openxmlformats.org/officeDocument/2006/relationships/hyperlink" Target="mailto:ccb@ccb-blaye.com" TargetMode="External" Id="rId1326" /><Relationship Type="http://schemas.openxmlformats.org/officeDocument/2006/relationships/hyperlink" Target="https://ccb-blaye.com/" TargetMode="External" Id="rId1327" /><Relationship Type="http://schemas.openxmlformats.org/officeDocument/2006/relationships/hyperlink" Target="https://ccb-blaye.com/pages-pratiques/contact/" TargetMode="External" Id="rId1328" /><Relationship Type="http://schemas.openxmlformats.org/officeDocument/2006/relationships/hyperlink" Target="https://lannuaire.service-public.gouv.fr/nouvelle-aquitaine/gironde/beb43613-3747-4f37-a927-ab02b2c9957c" TargetMode="External" Id="rId1329" /><Relationship Type="http://schemas.openxmlformats.org/officeDocument/2006/relationships/hyperlink" Target="mailto:contact@cc-montesquieu.fr" TargetMode="External" Id="rId1330" /><Relationship Type="http://schemas.openxmlformats.org/officeDocument/2006/relationships/hyperlink" Target="https://www.cc-montesquieu.fr/accueil" TargetMode="External" Id="rId1331" /><Relationship Type="http://schemas.openxmlformats.org/officeDocument/2006/relationships/hyperlink" Target="https://www.cc-montesquieu.fr/contactez-nous" TargetMode="External" Id="rId1332" /><Relationship Type="http://schemas.openxmlformats.org/officeDocument/2006/relationships/hyperlink" Target="https://lannuaire.service-public.gouv.fr/nouvelle-aquitaine/gironde/959b3e5e-05b6-49a1-893c-40e84b87fdbd" TargetMode="External" Id="rId1333" /><Relationship Type="http://schemas.openxmlformats.org/officeDocument/2006/relationships/hyperlink" Target="mailto:contact@cc-estuaire.fr" TargetMode="External" Id="rId1334" /><Relationship Type="http://schemas.openxmlformats.org/officeDocument/2006/relationships/hyperlink" Target="https://www.cc-estuaire.fr/" TargetMode="External" Id="rId1335" /><Relationship Type="http://schemas.openxmlformats.org/officeDocument/2006/relationships/hyperlink" Target="https://www.cc-estuaire.fr/nous-ecrire/" TargetMode="External" Id="rId1336" /><Relationship Type="http://schemas.openxmlformats.org/officeDocument/2006/relationships/hyperlink" Target="https://lannuaire.service-public.gouv.fr/nouvelle-aquitaine/gironde/b6910302-2502-4a63-a686-a57d6580f7ad" TargetMode="External" Id="rId1337" /><Relationship Type="http://schemas.openxmlformats.org/officeDocument/2006/relationships/hyperlink" Target="mailto:accueil@cdc-portesentredeuxmers.fr" TargetMode="External" Id="rId1338" /><Relationship Type="http://schemas.openxmlformats.org/officeDocument/2006/relationships/hyperlink" Target="http://www.cdc-portesentredeuxmers.fr" TargetMode="External" Id="rId1339" /><Relationship Type="http://schemas.openxmlformats.org/officeDocument/2006/relationships/hyperlink" Target="https://lannuaire.service-public.gouv.fr/nouvelle-aquitaine/gironde/a923a07a-5be4-4211-9deb-5f0904fddd51" TargetMode="External" Id="rId1340" /><Relationship Type="http://schemas.openxmlformats.org/officeDocument/2006/relationships/hyperlink" Target="mailto:contactbazas@cdcdubazadais.fr" TargetMode="External" Id="rId1341" /><Relationship Type="http://schemas.openxmlformats.org/officeDocument/2006/relationships/hyperlink" Target="https://cdcdubazadais.fr/" TargetMode="External" Id="rId1342" /><Relationship Type="http://schemas.openxmlformats.org/officeDocument/2006/relationships/hyperlink" Target="https://cdcdubazadais.fr/contacts/" TargetMode="External" Id="rId1343" /><Relationship Type="http://schemas.openxmlformats.org/officeDocument/2006/relationships/hyperlink" Target="https://lannuaire.service-public.gouv.fr/nouvelle-aquitaine/gironde/45b5b3f2-bd09-405e-a575-29ad94fc1403" TargetMode="External" Id="rId1344" /><Relationship Type="http://schemas.openxmlformats.org/officeDocument/2006/relationships/hyperlink" Target="mailto:contact.cdc@cc-creonnais.fr" TargetMode="External" Id="rId1345" /><Relationship Type="http://schemas.openxmlformats.org/officeDocument/2006/relationships/hyperlink" Target="http://www.cc-creonnais.fr" TargetMode="External" Id="rId1346" /><Relationship Type="http://schemas.openxmlformats.org/officeDocument/2006/relationships/hyperlink" Target="https://lannuaire.service-public.gouv.fr/nouvelle-aquitaine/gironde/d4e3da63-be44-4c59-94bd-8d7afdbab54b" TargetMode="External" Id="rId1347" /><Relationship Type="http://schemas.openxmlformats.org/officeDocument/2006/relationships/hyperlink" Target="mailto:dgs@cdc-fronsadais.com" TargetMode="External" Id="rId1348" /><Relationship Type="http://schemas.openxmlformats.org/officeDocument/2006/relationships/hyperlink" Target="https://www.cdc-fronsadais.com/" TargetMode="External" Id="rId1349" /><Relationship Type="http://schemas.openxmlformats.org/officeDocument/2006/relationships/hyperlink" Target="https://lannuaire.service-public.gouv.fr/nouvelle-aquitaine/gironde/a076c504-64f4-4605-b0a4-82c0eaa8abd9" TargetMode="External" Id="rId1350" /><Relationship Type="http://schemas.openxmlformats.org/officeDocument/2006/relationships/hyperlink" Target="mailto:accueil@grand-cubzaguais.fr" TargetMode="External" Id="rId1351" /><Relationship Type="http://schemas.openxmlformats.org/officeDocument/2006/relationships/hyperlink" Target="https://www.grand-cubzaguais.fr/" TargetMode="External" Id="rId1352" /><Relationship Type="http://schemas.openxmlformats.org/officeDocument/2006/relationships/hyperlink" Target="https://www.grand-cubzaguais.fr/contact/" TargetMode="External" Id="rId1353" /><Relationship Type="http://schemas.openxmlformats.org/officeDocument/2006/relationships/hyperlink" Target="https://lannuaire.service-public.gouv.fr/nouvelle-aquitaine/gironde/f8e36faa-7c90-4caf-b963-96df882cb1ac" TargetMode="External" Id="rId1354" /><Relationship Type="http://schemas.openxmlformats.org/officeDocument/2006/relationships/hyperlink" Target="mailto:contact@grand-st-emilionnais.org" TargetMode="External" Id="rId1355" /><Relationship Type="http://schemas.openxmlformats.org/officeDocument/2006/relationships/hyperlink" Target="https://www.grand-saint-emilionnais.fr" TargetMode="External" Id="rId1356" /><Relationship Type="http://schemas.openxmlformats.org/officeDocument/2006/relationships/hyperlink" Target="https://lannuaire.service-public.gouv.fr/nouvelle-aquitaine/gironde/0a9a9400-439f-4e5b-a615-c2d0ce13116f" TargetMode="External" Id="rId1357" /><Relationship Type="http://schemas.openxmlformats.org/officeDocument/2006/relationships/hyperlink" Target="mailto:contact@reolaisensudgironde.fr" TargetMode="External" Id="rId1358" /><Relationship Type="http://schemas.openxmlformats.org/officeDocument/2006/relationships/hyperlink" Target="https://www.reolaisensudgironde.fr/" TargetMode="External" Id="rId1359" /><Relationship Type="http://schemas.openxmlformats.org/officeDocument/2006/relationships/hyperlink" Target="https://www.reolaisensudgironde.fr/nous-contacter/" TargetMode="External" Id="rId1360" /><Relationship Type="http://schemas.openxmlformats.org/officeDocument/2006/relationships/hyperlink" Target="https://lannuaire.service-public.gouv.fr/nouvelle-aquitaine/gironde/8869c034-4b2c-458b-a6db-92a786d9a60b" TargetMode="External" Id="rId1361" /><Relationship Type="http://schemas.openxmlformats.org/officeDocument/2006/relationships/hyperlink" Target="mailto:contact@cdcsudgironde.fr" TargetMode="External" Id="rId1362" /><Relationship Type="http://schemas.openxmlformats.org/officeDocument/2006/relationships/hyperlink" Target="http://www.cdcsudgironde.fr" TargetMode="External" Id="rId1363" /><Relationship Type="http://schemas.openxmlformats.org/officeDocument/2006/relationships/hyperlink" Target="https://lannuaire.service-public.gouv.fr/nouvelle-aquitaine/gironde/138fbb08-3aa5-4bc3-b0bf-27b49b4c6e90" TargetMode="External" Id="rId1364" /><Relationship Type="http://schemas.openxmlformats.org/officeDocument/2006/relationships/hyperlink" Target="mailto:cdc@valdeleyre.fr" TargetMode="External" Id="rId1365" /><Relationship Type="http://schemas.openxmlformats.org/officeDocument/2006/relationships/hyperlink" Target="https://www.valdeleyre.fr/" TargetMode="External" Id="rId1366" /><Relationship Type="http://schemas.openxmlformats.org/officeDocument/2006/relationships/hyperlink" Target="https://www.valdeleyre.fr/contactez-nous/" TargetMode="External" Id="rId1367" /><Relationship Type="http://schemas.openxmlformats.org/officeDocument/2006/relationships/hyperlink" Target="https://lannuaire.service-public.gouv.fr/nouvelle-aquitaine/gironde/c684d1be-87fd-4fb0-96a2-6526dba38c23" TargetMode="External" Id="rId1368" /><Relationship Type="http://schemas.openxmlformats.org/officeDocument/2006/relationships/hyperlink" Target="mailto:contact@cdc-coteaux-bordelais.fr" TargetMode="External" Id="rId1369" /><Relationship Type="http://schemas.openxmlformats.org/officeDocument/2006/relationships/hyperlink" Target="https://www.coteaux-bordelais.fr/" TargetMode="External" Id="rId1370" /><Relationship Type="http://schemas.openxmlformats.org/officeDocument/2006/relationships/hyperlink" Target="https://www.coteaux-bordelais.fr/nous-contacter/" TargetMode="External" Id="rId1371" /><Relationship Type="http://schemas.openxmlformats.org/officeDocument/2006/relationships/hyperlink" Target="https://lannuaire.service-public.gouv.fr/nouvelle-aquitaine/gironde/1c36e910-c27a-4bf4-a462-3923dc86e22a" TargetMode="External" Id="rId1372" /><Relationship Type="http://schemas.openxmlformats.org/officeDocument/2006/relationships/hyperlink" Target="mailto:contact@grandorb.fr" TargetMode="External" Id="rId1373" /><Relationship Type="http://schemas.openxmlformats.org/officeDocument/2006/relationships/hyperlink" Target="https://www.grandorb.fr/" TargetMode="External" Id="rId1374" /><Relationship Type="http://schemas.openxmlformats.org/officeDocument/2006/relationships/hyperlink" Target="https://www.grandorb.fr/contact.php" TargetMode="External" Id="rId1375" /><Relationship Type="http://schemas.openxmlformats.org/officeDocument/2006/relationships/hyperlink" Target="https://lannuaire.service-public.gouv.fr/occitanie/herault/7a19f1c5-cdc3-4573-a285-5dbdd6d190fe" TargetMode="External" Id="rId1376" /><Relationship Type="http://schemas.openxmlformats.org/officeDocument/2006/relationships/hyperlink" Target="mailto:contact@avant-monts.fr" TargetMode="External" Id="rId1377" /><Relationship Type="http://schemas.openxmlformats.org/officeDocument/2006/relationships/hyperlink" Target="https://www.avant-monts.fr/" TargetMode="External" Id="rId1378" /><Relationship Type="http://schemas.openxmlformats.org/officeDocument/2006/relationships/hyperlink" Target="https://www.avant-monts.fr/contact/" TargetMode="External" Id="rId1379" /><Relationship Type="http://schemas.openxmlformats.org/officeDocument/2006/relationships/hyperlink" Target="https://lannuaire.service-public.gouv.fr/occitanie/herault/cb842c86-0841-46aa-b214-825326010b35" TargetMode="External" Id="rId1380" /><Relationship Type="http://schemas.openxmlformats.org/officeDocument/2006/relationships/hyperlink" Target="mailto:contact@lodevoisetlarzac.fr" TargetMode="External" Id="rId1381" /><Relationship Type="http://schemas.openxmlformats.org/officeDocument/2006/relationships/hyperlink" Target="https://lodevoisetlarzac.fr/" TargetMode="External" Id="rId1382" /><Relationship Type="http://schemas.openxmlformats.org/officeDocument/2006/relationships/hyperlink" Target="https://lodevoisetlarzac.fr/contact/" TargetMode="External" Id="rId1383" /><Relationship Type="http://schemas.openxmlformats.org/officeDocument/2006/relationships/hyperlink" Target="https://lannuaire.service-public.gouv.fr/occitanie/herault/4abc9373-a7d0-4d29-92a7-5447c3a1489a" TargetMode="External" Id="rId1384" /><Relationship Type="http://schemas.openxmlformats.org/officeDocument/2006/relationships/hyperlink" Target="mailto:accueil@cc-sud-herault.fr" TargetMode="External" Id="rId1385" /><Relationship Type="http://schemas.openxmlformats.org/officeDocument/2006/relationships/hyperlink" Target="https://www.cc-sud-herault.fr/" TargetMode="External" Id="rId1386" /><Relationship Type="http://schemas.openxmlformats.org/officeDocument/2006/relationships/hyperlink" Target="https://www.cc-sud-herault.fr/nous-contacter/" TargetMode="External" Id="rId1387" /><Relationship Type="http://schemas.openxmlformats.org/officeDocument/2006/relationships/hyperlink" Target="https://lannuaire.service-public.gouv.fr/occitanie/herault/ea8c3529-629e-460c-b31a-5266830cdcc6" TargetMode="External" Id="rId1388" /><Relationship Type="http://schemas.openxmlformats.org/officeDocument/2006/relationships/hyperlink" Target="mailto:contact@cc-vallee-herault.fr" TargetMode="External" Id="rId1389" /><Relationship Type="http://schemas.openxmlformats.org/officeDocument/2006/relationships/hyperlink" Target="https://www.cc-vallee-herault.fr/accueil-3.html" TargetMode="External" Id="rId1390" /><Relationship Type="http://schemas.openxmlformats.org/officeDocument/2006/relationships/hyperlink" Target="https://lannuaire.service-public.gouv.fr/occitanie/herault/129280fd-f6f3-403b-8375-348d751d4c01" TargetMode="External" Id="rId1391" /><Relationship Type="http://schemas.openxmlformats.org/officeDocument/2006/relationships/hyperlink" Target="mailto:accueil@cc-clermontais.fr" TargetMode="External" Id="rId1392" /><Relationship Type="http://schemas.openxmlformats.org/officeDocument/2006/relationships/hyperlink" Target="https://www.cc-clermontais.fr/" TargetMode="External" Id="rId1393" /><Relationship Type="http://schemas.openxmlformats.org/officeDocument/2006/relationships/hyperlink" Target="https://lannuaire.service-public.gouv.fr/occitanie/herault/29a0c231-04eb-408a-bdf0-20ffe858b1b8" TargetMode="External" Id="rId1394" /><Relationship Type="http://schemas.openxmlformats.org/officeDocument/2006/relationships/hyperlink" Target="mailto:grandpicsaintloup@ccgpsl.fr" TargetMode="External" Id="rId1395" /><Relationship Type="http://schemas.openxmlformats.org/officeDocument/2006/relationships/hyperlink" Target="https://grandpicsaintloup.fr/" TargetMode="External" Id="rId1396" /><Relationship Type="http://schemas.openxmlformats.org/officeDocument/2006/relationships/hyperlink" Target="https://grandpicsaintloup.fr/contactez-nous/" TargetMode="External" Id="rId1397" /><Relationship Type="http://schemas.openxmlformats.org/officeDocument/2006/relationships/hyperlink" Target="https://lannuaire.service-public.gouv.fr/occitanie/herault/ee2fa83d-9b36-44c0-9da9-9bd0f1a571d9" TargetMode="External" Id="rId1398" /><Relationship Type="http://schemas.openxmlformats.org/officeDocument/2006/relationships/hyperlink" Target="mailto:contact@ccmlhl.fr" TargetMode="External" Id="rId1399" /><Relationship Type="http://schemas.openxmlformats.org/officeDocument/2006/relationships/hyperlink" Target="https://www.montsdelacauneetmontagneduhautlanguedoc.fr/" TargetMode="External" Id="rId1400" /><Relationship Type="http://schemas.openxmlformats.org/officeDocument/2006/relationships/hyperlink" Target="https://www.montsdelacauneetmontagneduhautlanguedoc.fr/contact/" TargetMode="External" Id="rId1401" /><Relationship Type="http://schemas.openxmlformats.org/officeDocument/2006/relationships/hyperlink" Target="https://lannuaire.service-public.gouv.fr/occitanie/tarn/bfafffb1-3fee-4917-b243-8260e20faeb4" TargetMode="External" Id="rId1402" /><Relationship Type="http://schemas.openxmlformats.org/officeDocument/2006/relationships/hyperlink" Target="mailto:cdcmc@cdcmc.fr" TargetMode="External" Id="rId1403" /><Relationship Type="http://schemas.openxmlformats.org/officeDocument/2006/relationships/hyperlink" Target="https://www.cc-minervois-caroux.fr/" TargetMode="External" Id="rId1404" /><Relationship Type="http://schemas.openxmlformats.org/officeDocument/2006/relationships/hyperlink" Target="https://lannuaire.service-public.gouv.fr/occitanie/herault/7dfc40b1-901f-4c20-8a4c-317ad972a5b2" TargetMode="External" Id="rId1405" /><Relationship Type="http://schemas.openxmlformats.org/officeDocument/2006/relationships/hyperlink" Target="mailto:courrier@ladomitienne.com" TargetMode="External" Id="rId1406" /><Relationship Type="http://schemas.openxmlformats.org/officeDocument/2006/relationships/hyperlink" Target="https://www.ladomitienne.com/" TargetMode="External" Id="rId1407" /><Relationship Type="http://schemas.openxmlformats.org/officeDocument/2006/relationships/hyperlink" Target="https://www.ladomitienne.com/nous-contacter/" TargetMode="External" Id="rId1408" /><Relationship Type="http://schemas.openxmlformats.org/officeDocument/2006/relationships/hyperlink" Target="https://lannuaire.service-public.gouv.fr/occitanie/herault/cf89ffe0-6d73-484c-b138-a25d11140991" TargetMode="External" Id="rId1409" /><Relationship Type="http://schemas.openxmlformats.org/officeDocument/2006/relationships/hyperlink" Target="mailto:accueil@bretagneportedeloire.fr" TargetMode="External" Id="rId1410" /><Relationship Type="http://schemas.openxmlformats.org/officeDocument/2006/relationships/hyperlink" Target="https://www.bretagneportedeloire.fr/" TargetMode="External" Id="rId1411" /><Relationship Type="http://schemas.openxmlformats.org/officeDocument/2006/relationships/hyperlink" Target="https://www.bretagneportedeloire.fr/systeme/contact/" TargetMode="External" Id="rId1412" /><Relationship Type="http://schemas.openxmlformats.org/officeDocument/2006/relationships/hyperlink" Target="https://lannuaire.service-public.gouv.fr/bretagne/ille-et-vilaine/5fecb856-9da6-4488-b1df-8a3a0dca977b" TargetMode="External" Id="rId1413" /><Relationship Type="http://schemas.openxmlformats.org/officeDocument/2006/relationships/hyperlink" Target="mailto:accueil@bretagneromantique.fr" TargetMode="External" Id="rId1414" /><Relationship Type="http://schemas.openxmlformats.org/officeDocument/2006/relationships/hyperlink" Target="https://bretagneromantique.fr/" TargetMode="External" Id="rId1415" /><Relationship Type="http://schemas.openxmlformats.org/officeDocument/2006/relationships/hyperlink" Target="https://bretagneromantique.fr/formulaire-de-contact/" TargetMode="External" Id="rId1416" /><Relationship Type="http://schemas.openxmlformats.org/officeDocument/2006/relationships/hyperlink" Target="https://lannuaire.service-public.gouv.fr/bretagne/ille-et-vilaine/ba1debb3-158a-4a1f-b4d5-8c76a9fbdfc6" TargetMode="External" Id="rId1417" /><Relationship Type="http://schemas.openxmlformats.org/officeDocument/2006/relationships/hyperlink" Target="mailto:accueil@cc-broceliande.bzh" TargetMode="External" Id="rId1418" /><Relationship Type="http://schemas.openxmlformats.org/officeDocument/2006/relationships/hyperlink" Target="https://www.cc-broceliande.bzh/" TargetMode="External" Id="rId1419" /><Relationship Type="http://schemas.openxmlformats.org/officeDocument/2006/relationships/hyperlink" Target="https://www.cc-broceliande.bzh/nous-contacter/" TargetMode="External" Id="rId1420" /><Relationship Type="http://schemas.openxmlformats.org/officeDocument/2006/relationships/hyperlink" Target="https://lannuaire.service-public.gouv.fr/bretagne/ille-et-vilaine/5db04e0b-1d49-47e1-b243-1825a834572d" TargetMode="External" Id="rId1421" /><Relationship Type="http://schemas.openxmlformats.org/officeDocument/2006/relationships/hyperlink" Target="mailto:contact@couesnon-marchesdebretagne.fr" TargetMode="External" Id="rId1422" /><Relationship Type="http://schemas.openxmlformats.org/officeDocument/2006/relationships/hyperlink" Target="https://www.couesnon-marchesdebretagne.fr/" TargetMode="External" Id="rId1423" /><Relationship Type="http://schemas.openxmlformats.org/officeDocument/2006/relationships/hyperlink" Target="https://www.couesnon-marchesdebretagne.fr/nous-contacter/" TargetMode="External" Id="rId1424" /><Relationship Type="http://schemas.openxmlformats.org/officeDocument/2006/relationships/hyperlink" Target="https://lannuaire.service-public.gouv.fr/bretagne/ille-et-vilaine/836dca8e-4bb9-4207-8f7d-6ce3bf4e5926" TargetMode="External" Id="rId1425" /><Relationship Type="http://schemas.openxmlformats.org/officeDocument/2006/relationships/hyperlink" Target="mailto:contact@liffre-cormier.fr" TargetMode="External" Id="rId1426" /><Relationship Type="http://schemas.openxmlformats.org/officeDocument/2006/relationships/hyperlink" Target="https://www.liffre-cormier.fr/" TargetMode="External" Id="rId1427" /><Relationship Type="http://schemas.openxmlformats.org/officeDocument/2006/relationships/hyperlink" Target="https://www.liffre-cormier.fr/nous-contacter" TargetMode="External" Id="rId1428" /><Relationship Type="http://schemas.openxmlformats.org/officeDocument/2006/relationships/hyperlink" Target="https://lannuaire.service-public.gouv.fr/bretagne/ille-et-vilaine/2749543a-a46a-4da1-a981-dabf1d7c31ff" TargetMode="External" Id="rId1429" /><Relationship Type="http://schemas.openxmlformats.org/officeDocument/2006/relationships/hyperlink" Target="mailto:contact@montfortcommunaute.bzh" TargetMode="External" Id="rId1430" /><Relationship Type="http://schemas.openxmlformats.org/officeDocument/2006/relationships/hyperlink" Target="https://www.montfortcommunaute.bzh/" TargetMode="External" Id="rId1431" /><Relationship Type="http://schemas.openxmlformats.org/officeDocument/2006/relationships/hyperlink" Target="https://www.montfortcommunaute.bzh/mes-demarches/contacter-un-service/contacter-un-service/" TargetMode="External" Id="rId1432" /><Relationship Type="http://schemas.openxmlformats.org/officeDocument/2006/relationships/hyperlink" Target="https://lannuaire.service-public.gouv.fr/bretagne/ille-et-vilaine/a247a9c1-b89e-4e57-81a1-27255ca8b0e6" TargetMode="External" Id="rId1433" /><Relationship Type="http://schemas.openxmlformats.org/officeDocument/2006/relationships/hyperlink" Target="mailto:contact@pcc.bzh" TargetMode="External" Id="rId1434" /><Relationship Type="http://schemas.openxmlformats.org/officeDocument/2006/relationships/hyperlink" Target="https://www.communaute.paysdechateaugiron.bzh/" TargetMode="External" Id="rId1435" /><Relationship Type="http://schemas.openxmlformats.org/officeDocument/2006/relationships/hyperlink" Target="https://www.communaute.paysdechateaugiron.bzh/systeme/nous-contacter/" TargetMode="External" Id="rId1436" /><Relationship Type="http://schemas.openxmlformats.org/officeDocument/2006/relationships/hyperlink" Target="https://lannuaire.service-public.gouv.fr/bretagne/ille-et-vilaine/dee69927-f78d-482b-a80e-0860a72c2b2c" TargetMode="External" Id="rId1437" /><Relationship Type="http://schemas.openxmlformats.org/officeDocument/2006/relationships/hyperlink" Target="mailto:accueil@rafcom.bzh" TargetMode="External" Id="rId1438" /><Relationship Type="http://schemas.openxmlformats.org/officeDocument/2006/relationships/hyperlink" Target="https://www.rafcom.bzh/" TargetMode="External" Id="rId1439" /><Relationship Type="http://schemas.openxmlformats.org/officeDocument/2006/relationships/hyperlink" Target="https://www.rafcom.bzh/contact" TargetMode="External" Id="rId1440" /><Relationship Type="http://schemas.openxmlformats.org/officeDocument/2006/relationships/hyperlink" Target="https://lannuaire.service-public.gouv.fr/bretagne/ille-et-vilaine/4fb521dd-3cb0-48b1-9b7e-d45ecfa80c21" TargetMode="External" Id="rId1441" /><Relationship Type="http://schemas.openxmlformats.org/officeDocument/2006/relationships/hyperlink" Target="mailto:contact@valdille-aubigne.fr" TargetMode="External" Id="rId1442" /><Relationship Type="http://schemas.openxmlformats.org/officeDocument/2006/relationships/hyperlink" Target="https://www.valdille-aubigne.fr" TargetMode="External" Id="rId1443" /><Relationship Type="http://schemas.openxmlformats.org/officeDocument/2006/relationships/hyperlink" Target="https://lannuaire.service-public.gouv.fr/bretagne/ille-et-vilaine/da8f346b-34a1-45e8-8172-34596ba16f5c" TargetMode="External" Id="rId1444" /><Relationship Type="http://schemas.openxmlformats.org/officeDocument/2006/relationships/hyperlink" Target="mailto:accueil@vallonsdehautebretagne.fr" TargetMode="External" Id="rId1445" /><Relationship Type="http://schemas.openxmlformats.org/officeDocument/2006/relationships/hyperlink" Target="https://www.vallons-de-haute-bretagne-communaute.fr/" TargetMode="External" Id="rId1446" /><Relationship Type="http://schemas.openxmlformats.org/officeDocument/2006/relationships/hyperlink" Target="https://www.vallons-de-haute-bretagne-communaute.fr/systeme/contact/" TargetMode="External" Id="rId1447" /><Relationship Type="http://schemas.openxmlformats.org/officeDocument/2006/relationships/hyperlink" Target="https://lannuaire.service-public.gouv.fr/bretagne/ille-et-vilaine/f7614f4b-abf8-4bd6-9520-4effc9da6e68" TargetMode="External" Id="rId1448" /><Relationship Type="http://schemas.openxmlformats.org/officeDocument/2006/relationships/hyperlink" Target="mailto:accueil@stmeen-montauban.fr" TargetMode="External" Id="rId1449" /><Relationship Type="http://schemas.openxmlformats.org/officeDocument/2006/relationships/hyperlink" Target="https://www.stmeen-montauban.fr/" TargetMode="External" Id="rId1450" /><Relationship Type="http://schemas.openxmlformats.org/officeDocument/2006/relationships/hyperlink" Target="https://stmeen-montauban.fr/contact/" TargetMode="External" Id="rId1451" /><Relationship Type="http://schemas.openxmlformats.org/officeDocument/2006/relationships/hyperlink" Target="https://lannuaire.service-public.gouv.fr/bretagne/ille-et-vilaine/f412ba09-36fc-4f9d-8566-f1271abde6e0" TargetMode="External" Id="rId1452" /><Relationship Type="http://schemas.openxmlformats.org/officeDocument/2006/relationships/hyperlink" Target="mailto:info@ccdol-baiemsm.bzh" TargetMode="External" Id="rId1453" /><Relationship Type="http://schemas.openxmlformats.org/officeDocument/2006/relationships/hyperlink" Target="https://www.ccdol-baiemsm.bzh/" TargetMode="External" Id="rId1454" /><Relationship Type="http://schemas.openxmlformats.org/officeDocument/2006/relationships/hyperlink" Target="https://lannuaire.service-public.gouv.fr/bretagne/ille-et-vilaine/7c5ba5ba-9873-4991-bd0b-1e78e24a8e08" TargetMode="External" Id="rId1455" /><Relationship Type="http://schemas.openxmlformats.org/officeDocument/2006/relationships/hyperlink" Target="mailto:contact@cc-brennevaldecreuse.fr" TargetMode="External" Id="rId1456" /><Relationship Type="http://schemas.openxmlformats.org/officeDocument/2006/relationships/hyperlink" Target="https://www.cc-brennevaldecreuse.fr/" TargetMode="External" Id="rId1457" /><Relationship Type="http://schemas.openxmlformats.org/officeDocument/2006/relationships/hyperlink" Target="https://www.cc-brennevaldecreuse.fr/la-communaute-de-communes/territoire/contacts-comcom" TargetMode="External" Id="rId1458" /><Relationship Type="http://schemas.openxmlformats.org/officeDocument/2006/relationships/hyperlink" Target="https://lannuaire.service-public.gouv.fr/centre-val-de-loire/indre/1857b010-b436-4d1d-8d1f-1d4098d47aa6" TargetMode="External" Id="rId1459" /><Relationship Type="http://schemas.openxmlformats.org/officeDocument/2006/relationships/hyperlink" Target="mailto:contact@chabris-bazelle.fr" TargetMode="External" Id="rId1460" /><Relationship Type="http://schemas.openxmlformats.org/officeDocument/2006/relationships/hyperlink" Target="https://www.chabris-bazelle.fr/" TargetMode="External" Id="rId1461" /><Relationship Type="http://schemas.openxmlformats.org/officeDocument/2006/relationships/hyperlink" Target="https://lannuaire.service-public.gouv.fr/centre-val-de-loire/indre/86fded55-d7c1-4c37-9afa-ecf5a2a3ac78" TargetMode="External" Id="rId1462" /><Relationship Type="http://schemas.openxmlformats.org/officeDocument/2006/relationships/hyperlink" Target="mailto:accueil@cc-champagne-boischauts.fr" TargetMode="External" Id="rId1463" /><Relationship Type="http://schemas.openxmlformats.org/officeDocument/2006/relationships/hyperlink" Target="https://www.cc-champagne-boischauts.fr/" TargetMode="External" Id="rId1464" /><Relationship Type="http://schemas.openxmlformats.org/officeDocument/2006/relationships/hyperlink" Target="https://www.cc-champagne-boischauts.fr/contact" TargetMode="External" Id="rId1465" /><Relationship Type="http://schemas.openxmlformats.org/officeDocument/2006/relationships/hyperlink" Target="https://lannuaire.service-public.gouv.fr/centre-val-de-loire/indre/9c535081-7522-4c6d-997a-b1add2809bab" TargetMode="External" Id="rId1466" /><Relationship Type="http://schemas.openxmlformats.org/officeDocument/2006/relationships/hyperlink" Target="mailto:cdc@coeurdebrenne.fr" TargetMode="External" Id="rId1467" /><Relationship Type="http://schemas.openxmlformats.org/officeDocument/2006/relationships/hyperlink" Target="https://www.coeurdebrenne.fr/" TargetMode="External" Id="rId1468" /><Relationship Type="http://schemas.openxmlformats.org/officeDocument/2006/relationships/hyperlink" Target="https://www.coeurdebrenne.fr/fr/contacter" TargetMode="External" Id="rId1469" /><Relationship Type="http://schemas.openxmlformats.org/officeDocument/2006/relationships/hyperlink" Target="https://lannuaire.service-public.gouv.fr/centre-val-de-loire/indre/dbe4cfad-ec31-4026-9a50-5019c889c426" TargetMode="External" Id="rId1470" /><Relationship Type="http://schemas.openxmlformats.org/officeDocument/2006/relationships/hyperlink" Target="mailto:accueil@levroux.fr" TargetMode="External" Id="rId1471" /><Relationship Type="http://schemas.openxmlformats.org/officeDocument/2006/relationships/hyperlink" Target="https://www.ville-levroux.fr/interco.html" TargetMode="External" Id="rId1472" /><Relationship Type="http://schemas.openxmlformats.org/officeDocument/2006/relationships/hyperlink" Target="https://lannuaire.service-public.gouv.fr/centre-val-de-loire/indre/81a1a97c-ca46-4ce4-a380-48bc29327eb6" TargetMode="External" Id="rId1473" /><Relationship Type="http://schemas.openxmlformats.org/officeDocument/2006/relationships/hyperlink" Target="mailto:contact@cdcmova.fr" TargetMode="External" Id="rId1474" /><Relationship Type="http://schemas.openxmlformats.org/officeDocument/2006/relationships/hyperlink" Target="https://cdc-mova.fr/" TargetMode="External" Id="rId1475" /><Relationship Type="http://schemas.openxmlformats.org/officeDocument/2006/relationships/hyperlink" Target="https://cdc-mova.fr/accueil/autres/contactez-nous" TargetMode="External" Id="rId1476" /><Relationship Type="http://schemas.openxmlformats.org/officeDocument/2006/relationships/hyperlink" Target="https://lannuaire.service-public.gouv.fr/centre-val-de-loire/indre/3ec0cc7e-0cb4-4013-98fd-f4023b16cf93" TargetMode="External" Id="rId1477" /><Relationship Type="http://schemas.openxmlformats.org/officeDocument/2006/relationships/hyperlink" Target="mailto:cdc.valdelindre-brenne@wanadoo.fr" TargetMode="External" Id="rId1478" /><Relationship Type="http://schemas.openxmlformats.org/officeDocument/2006/relationships/hyperlink" Target="https://www.valdelindrebrenne.com" TargetMode="External" Id="rId1479" /><Relationship Type="http://schemas.openxmlformats.org/officeDocument/2006/relationships/hyperlink" Target="https://lannuaire.service-public.gouv.fr/centre-val-de-loire/indre/44a81c2d-0a39-4922-919b-eb96985cc907" TargetMode="External" Id="rId1480" /><Relationship Type="http://schemas.openxmlformats.org/officeDocument/2006/relationships/hyperlink" Target="mailto:s.administratif@cdc-lcss.fr" TargetMode="External" Id="rId1481" /><Relationship Type="http://schemas.openxmlformats.org/officeDocument/2006/relationships/hyperlink" Target="https://cdc-lcss.fr/" TargetMode="External" Id="rId1482" /><Relationship Type="http://schemas.openxmlformats.org/officeDocument/2006/relationships/hyperlink" Target="https://lannuaire.service-public.gouv.fr/centre-val-de-loire/indre/4b465cad-5642-4673-9e43-fb91cb0344ff" TargetMode="External" Id="rId1483" /><Relationship Type="http://schemas.openxmlformats.org/officeDocument/2006/relationships/hyperlink" Target="mailto:contact@ccmarcheberrichonne.fr" TargetMode="External" Id="rId1484" /><Relationship Type="http://schemas.openxmlformats.org/officeDocument/2006/relationships/hyperlink" Target="https://www.ccmarcheberrichonne.fr/site/" TargetMode="External" Id="rId1485" /><Relationship Type="http://schemas.openxmlformats.org/officeDocument/2006/relationships/hyperlink" Target="https://www.ccmarcheberrichonne.fr/site/contact/" TargetMode="External" Id="rId1486" /><Relationship Type="http://schemas.openxmlformats.org/officeDocument/2006/relationships/hyperlink" Target="https://lannuaire.service-public.gouv.fr/centre-val-de-loire/indre/4ecbd536-488d-466a-901f-c751f51161ad" TargetMode="External" Id="rId1487" /><Relationship Type="http://schemas.openxmlformats.org/officeDocument/2006/relationships/hyperlink" Target="mailto:accueil@chatillonnais-en-berry.fr" TargetMode="External" Id="rId1488" /><Relationship Type="http://schemas.openxmlformats.org/officeDocument/2006/relationships/hyperlink" Target="https://chatillonnais-en-berry.fr/" TargetMode="External" Id="rId1489" /><Relationship Type="http://schemas.openxmlformats.org/officeDocument/2006/relationships/hyperlink" Target="https://lannuaire.service-public.gouv.fr/centre-val-de-loire/indre/48a68787-1b62-46a2-a3cd-2590a6ede86a" TargetMode="External" Id="rId1490" /><Relationship Type="http://schemas.openxmlformats.org/officeDocument/2006/relationships/hyperlink" Target="mailto:cdsbouzanne@orange.fr" TargetMode="External" Id="rId1491" /><Relationship Type="http://schemas.openxmlformats.org/officeDocument/2006/relationships/hyperlink" Target="https://www.valdebouzanne.fr/" TargetMode="External" Id="rId1492" /><Relationship Type="http://schemas.openxmlformats.org/officeDocument/2006/relationships/hyperlink" Target="https://www.valdebouzanne.fr/contact" TargetMode="External" Id="rId1493" /><Relationship Type="http://schemas.openxmlformats.org/officeDocument/2006/relationships/hyperlink" Target="https://lannuaire.service-public.gouv.fr/centre-val-de-loire/indre/dd15c5ab-032d-4c7f-8cae-75cdd2ab1639" TargetMode="External" Id="rId1494" /><Relationship Type="http://schemas.openxmlformats.org/officeDocument/2006/relationships/hyperlink" Target="mailto:accueil@ccev.fr" TargetMode="External" Id="rId1495" /><Relationship Type="http://schemas.openxmlformats.org/officeDocument/2006/relationships/hyperlink" Target="https://cc-ecueille-valencay.fr/" TargetMode="External" Id="rId1496" /><Relationship Type="http://schemas.openxmlformats.org/officeDocument/2006/relationships/hyperlink" Target="https://lannuaire.service-public.gouv.fr/centre-val-de-loire/indre/b8f37db2-16e3-460d-ab0e-7d438ff15784" TargetMode="External" Id="rId1497" /><Relationship Type="http://schemas.openxmlformats.org/officeDocument/2006/relationships/hyperlink" Target="mailto:info@cc-valleedelacreuse.fr" TargetMode="External" Id="rId1498" /><Relationship Type="http://schemas.openxmlformats.org/officeDocument/2006/relationships/hyperlink" Target="https://lavalleedelacreuse.fr/" TargetMode="External" Id="rId1499" /><Relationship Type="http://schemas.openxmlformats.org/officeDocument/2006/relationships/hyperlink" Target="https://lavalleedelacreuse.fr/vivre/contact/" TargetMode="External" Id="rId1500" /><Relationship Type="http://schemas.openxmlformats.org/officeDocument/2006/relationships/hyperlink" Target="https://lannuaire.service-public.gouv.fr/centre-val-de-loire/indre/1c6e3600-c126-41c5-b417-bdc62a0f3de5" TargetMode="External" Id="rId1501" /><Relationship Type="http://schemas.openxmlformats.org/officeDocument/2006/relationships/hyperlink" Target="mailto:info@cc-autourdechenonceaux.fr" TargetMode="External" Id="rId1502" /><Relationship Type="http://schemas.openxmlformats.org/officeDocument/2006/relationships/hyperlink" Target="https://www.cc-autourdechenonceaux.fr/" TargetMode="External" Id="rId1503" /><Relationship Type="http://schemas.openxmlformats.org/officeDocument/2006/relationships/hyperlink" Target="https://www.cc-autourdechenonceaux.fr/non-classe/formulaire-de-contact/" TargetMode="External" Id="rId1504" /><Relationship Type="http://schemas.openxmlformats.org/officeDocument/2006/relationships/hyperlink" Target="https://lannuaire.service-public.gouv.fr/centre-val-de-loire/indre-et-loire/eb1a1b5a-6a23-47d1-a8fe-de23b56ed687" TargetMode="External" Id="rId1505" /><Relationship Type="http://schemas.openxmlformats.org/officeDocument/2006/relationships/hyperlink" Target="mailto:communication@cc-cvl.fr" TargetMode="External" Id="rId1506" /><Relationship Type="http://schemas.openxmlformats.org/officeDocument/2006/relationships/hyperlink" Target="https://www.chinon-vienne-loire.fr/" TargetMode="External" Id="rId1507" /><Relationship Type="http://schemas.openxmlformats.org/officeDocument/2006/relationships/hyperlink" Target="https://lannuaire.service-public.gouv.fr/centre-val-de-loire/indre-et-loire/a36af3ad-32b3-4010-80a7-0ce69675aef9" TargetMode="External" Id="rId1508" /><Relationship Type="http://schemas.openxmlformats.org/officeDocument/2006/relationships/hyperlink" Target="mailto:accueil@lochessudtouraine.com" TargetMode="External" Id="rId1509" /><Relationship Type="http://schemas.openxmlformats.org/officeDocument/2006/relationships/hyperlink" Target="https://www.lochessudtouraine.com/" TargetMode="External" Id="rId1510" /><Relationship Type="http://schemas.openxmlformats.org/officeDocument/2006/relationships/hyperlink" Target="https://lannuaire.service-public.gouv.fr/centre-val-de-loire/indre-et-loire/1a0a6d88-b4f2-4f16-b2b5-2c69934e06d5" TargetMode="External" Id="rId1511" /><Relationship Type="http://schemas.openxmlformats.org/officeDocument/2006/relationships/hyperlink" Target="mailto:contact@cctoval.fr" TargetMode="External" Id="rId1512" /><Relationship Type="http://schemas.openxmlformats.org/officeDocument/2006/relationships/hyperlink" Target="https://cctoval.fr/" TargetMode="External" Id="rId1513" /><Relationship Type="http://schemas.openxmlformats.org/officeDocument/2006/relationships/hyperlink" Target="https://cctoval.fr/nous-ecrire/" TargetMode="External" Id="rId1514" /><Relationship Type="http://schemas.openxmlformats.org/officeDocument/2006/relationships/hyperlink" Target="https://lannuaire.service-public.gouv.fr/centre-val-de-loire/indre-et-loire/8ee26224-c2bd-4c0a-ad3d-2586841e2fa1" TargetMode="External" Id="rId1515" /><Relationship Type="http://schemas.openxmlformats.org/officeDocument/2006/relationships/hyperlink" Target="mailto:contact@cc-tvv.fr" TargetMode="External" Id="rId1516" /><Relationship Type="http://schemas.openxmlformats.org/officeDocument/2006/relationships/hyperlink" Target="https://www.cc-tvv.fr/" TargetMode="External" Id="rId1517" /><Relationship Type="http://schemas.openxmlformats.org/officeDocument/2006/relationships/hyperlink" Target="https://lannuaire.service-public.gouv.fr/centre-val-de-loire/indre-et-loire/788ff095-f031-4dde-84bb-aec870f45f34" TargetMode="External" Id="rId1518" /><Relationship Type="http://schemas.openxmlformats.org/officeDocument/2006/relationships/hyperlink" Target="mailto:contact@tourainevalleedelindre.fr" TargetMode="External" Id="rId1519" /><Relationship Type="http://schemas.openxmlformats.org/officeDocument/2006/relationships/hyperlink" Target="https://www.tourainevalleedelindre.fr" TargetMode="External" Id="rId1520" /><Relationship Type="http://schemas.openxmlformats.org/officeDocument/2006/relationships/hyperlink" Target="https://tourainevalleedelindre.fr/entre-vous-et-nous/contact/" TargetMode="External" Id="rId1521" /><Relationship Type="http://schemas.openxmlformats.org/officeDocument/2006/relationships/hyperlink" Target="https://lannuaire.service-public.gouv.fr/centre-val-de-loire/indre-et-loire/f5a5f10f-f4f1-47ee-8150-98f5460db5a3" TargetMode="External" Id="rId1522" /><Relationship Type="http://schemas.openxmlformats.org/officeDocument/2006/relationships/hyperlink" Target="mailto:contact@touraineestvallees.fr" TargetMode="External" Id="rId1523" /><Relationship Type="http://schemas.openxmlformats.org/officeDocument/2006/relationships/hyperlink" Target="https://www.touraineestvallees.fr/" TargetMode="External" Id="rId1524" /><Relationship Type="http://schemas.openxmlformats.org/officeDocument/2006/relationships/hyperlink" Target="https://lannuaire.service-public.gouv.fr/centre-val-de-loire/indre-et-loire/130842cd-8f92-44ba-b451-f6fbcfe7037d" TargetMode="External" Id="rId1525" /><Relationship Type="http://schemas.openxmlformats.org/officeDocument/2006/relationships/hyperlink" Target="mailto:accueil@gatine-racan.fr" TargetMode="External" Id="rId1526" /><Relationship Type="http://schemas.openxmlformats.org/officeDocument/2006/relationships/hyperlink" Target="https://www.gatine-racan.fr/" TargetMode="External" Id="rId1527" /><Relationship Type="http://schemas.openxmlformats.org/officeDocument/2006/relationships/hyperlink" Target="https://www.gatine-racan.fr/contact/" TargetMode="External" Id="rId1528" /><Relationship Type="http://schemas.openxmlformats.org/officeDocument/2006/relationships/hyperlink" Target="https://lannuaire.service-public.gouv.fr/centre-val-de-loire/indre-et-loire/71f09065-1991-4510-ae71-2da9c9a4d665" TargetMode="External" Id="rId1529" /><Relationship Type="http://schemas.openxmlformats.org/officeDocument/2006/relationships/hyperlink" Target="mailto:contact@cc-castelrenaudais.fr" TargetMode="External" Id="rId1530" /><Relationship Type="http://schemas.openxmlformats.org/officeDocument/2006/relationships/hyperlink" Target="https://www.cc-castelrenaudais.fr/" TargetMode="External" Id="rId1531" /><Relationship Type="http://schemas.openxmlformats.org/officeDocument/2006/relationships/hyperlink" Target="https://www.cc-castelrenaudais.fr/nous-contacter/" TargetMode="External" Id="rId1532" /><Relationship Type="http://schemas.openxmlformats.org/officeDocument/2006/relationships/hyperlink" Target="https://lannuaire.service-public.gouv.fr/centre-val-de-loire/indre-et-loire/b581007e-68f1-4caa-b3da-40d112762f85" TargetMode="External" Id="rId1533" /><Relationship Type="http://schemas.openxmlformats.org/officeDocument/2006/relationships/hyperlink" Target="mailto:accueil@cc-valdamboise.fr" TargetMode="External" Id="rId1534" /><Relationship Type="http://schemas.openxmlformats.org/officeDocument/2006/relationships/hyperlink" Target="http://www.cc-valdamboise.fr" TargetMode="External" Id="rId1535" /><Relationship Type="http://schemas.openxmlformats.org/officeDocument/2006/relationships/hyperlink" Target="https://lannuaire.service-public.gouv.fr/centre-val-de-loire/indre-et-loire/06eced13-422f-4cd5-b815-3565870eefec" TargetMode="External" Id="rId1536" /><Relationship Type="http://schemas.openxmlformats.org/officeDocument/2006/relationships/hyperlink" Target="mailto:contact@bievre-isere.com" TargetMode="External" Id="rId1537" /><Relationship Type="http://schemas.openxmlformats.org/officeDocument/2006/relationships/hyperlink" Target="https://bievre-isere.com/" TargetMode="External" Id="rId1538" /><Relationship Type="http://schemas.openxmlformats.org/officeDocument/2006/relationships/hyperlink" Target="https://bievre-isere.com/institution/organisation/adresse-et-coordonnees/" TargetMode="External" Id="rId1539" /><Relationship Type="http://schemas.openxmlformats.org/officeDocument/2006/relationships/hyperlink" Target="https://lannuaire.service-public.gouv.fr/auvergne-rhone-alpes/isere/8d191f1a-6a6c-460a-9f7b-c25daa2bd115" TargetMode="External" Id="rId1540" /><Relationship Type="http://schemas.openxmlformats.org/officeDocument/2006/relationships/hyperlink" Target="mailto:accueil@cc-coeurdechartreuse.fr" TargetMode="External" Id="rId1541" /><Relationship Type="http://schemas.openxmlformats.org/officeDocument/2006/relationships/hyperlink" Target="https://coeurdechartreuse.fr/" TargetMode="External" Id="rId1542" /><Relationship Type="http://schemas.openxmlformats.org/officeDocument/2006/relationships/hyperlink" Target="https://lannuaire.service-public.gouv.fr/auvergne-rhone-alpes/isere/6306a198-e90d-49a5-8ee3-a174c4e9e216" TargetMode="External" Id="rId1543" /><Relationship Type="http://schemas.openxmlformats.org/officeDocument/2006/relationships/hyperlink" Target="mailto:communaute@collines.org" TargetMode="External" Id="rId1544" /><Relationship Type="http://schemas.openxmlformats.org/officeDocument/2006/relationships/hyperlink" Target="https://www.collines.org/" TargetMode="External" Id="rId1545" /><Relationship Type="http://schemas.openxmlformats.org/officeDocument/2006/relationships/hyperlink" Target="https://lannuaire.service-public.gouv.fr/auvergne-rhone-alpes/isere/9178dd69-1a83-4232-9400-d3fe812bea02" TargetMode="External" Id="rId1546" /><Relationship Type="http://schemas.openxmlformats.org/officeDocument/2006/relationships/hyperlink" Target="mailto:accueil@entre-bievreetrhone.fr" TargetMode="External" Id="rId1547" /><Relationship Type="http://schemas.openxmlformats.org/officeDocument/2006/relationships/hyperlink" Target="https://www.entre-bievreetrhone.fr/" TargetMode="External" Id="rId1548" /><Relationship Type="http://schemas.openxmlformats.org/officeDocument/2006/relationships/hyperlink" Target="https://www.entre-bievreetrhone.fr/contact" TargetMode="External" Id="rId1549" /><Relationship Type="http://schemas.openxmlformats.org/officeDocument/2006/relationships/hyperlink" Target="https://lannuaire.service-public.gouv.fr/auvergne-rhone-alpes/isere/7d889506-69c8-4a9e-b8d8-1fab21b8fa01" TargetMode="External" Id="rId1550" /><Relationship Type="http://schemas.openxmlformats.org/officeDocument/2006/relationships/hyperlink" Target="mailto:accueil@le-gresivaudan.fr" TargetMode="External" Id="rId1551" /><Relationship Type="http://schemas.openxmlformats.org/officeDocument/2006/relationships/hyperlink" Target="https://www.le-gresivaudan.fr/" TargetMode="External" Id="rId1552" /><Relationship Type="http://schemas.openxmlformats.org/officeDocument/2006/relationships/hyperlink" Target="https://www.le-gresivaudan.fr/151-contact.htm" TargetMode="External" Id="rId1553" /><Relationship Type="http://schemas.openxmlformats.org/officeDocument/2006/relationships/hyperlink" Target="https://lannuaire.service-public.gouv.fr/auvergne-rhone-alpes/isere/dbe09bdc-9ee1-49f6-a1d8-33e05b917ea7" TargetMode="External" Id="rId1554" /><Relationship Type="http://schemas.openxmlformats.org/officeDocument/2006/relationships/hyperlink" Target="mailto:contact@balconsdudauphine.fr" TargetMode="External" Id="rId1555" /><Relationship Type="http://schemas.openxmlformats.org/officeDocument/2006/relationships/hyperlink" Target="https://www.balconsdudauphine.fr/" TargetMode="External" Id="rId1556" /><Relationship Type="http://schemas.openxmlformats.org/officeDocument/2006/relationships/hyperlink" Target="https://lannuaire.service-public.gouv.fr/auvergne-rhone-alpes/isere/6903bf3e-ad98-4448-a430-26ed6ee33f84" TargetMode="External" Id="rId1557" /><Relationship Type="http://schemas.openxmlformats.org/officeDocument/2006/relationships/hyperlink" Target="mailto:contact@valsdudauphine.fr" TargetMode="External" Id="rId1558" /><Relationship Type="http://schemas.openxmlformats.org/officeDocument/2006/relationships/hyperlink" Target="https://www.valsdudauphine.fr/" TargetMode="External" Id="rId1559" /><Relationship Type="http://schemas.openxmlformats.org/officeDocument/2006/relationships/hyperlink" Target="https://www.valsdudauphine.fr/pratique/contactez-nous/vous-etes-un-particulier/" TargetMode="External" Id="rId1560" /><Relationship Type="http://schemas.openxmlformats.org/officeDocument/2006/relationships/hyperlink" Target="https://lannuaire.service-public.gouv.fr/auvergne-rhone-alpes/isere/32d6414c-1667-41c7-882f-4ab257679a58" TargetMode="External" Id="rId1561" /><Relationship Type="http://schemas.openxmlformats.org/officeDocument/2006/relationships/hyperlink" Target="mailto:accueil@lysed.fr" TargetMode="External" Id="rId1562" /><Relationship Type="http://schemas.openxmlformats.org/officeDocument/2006/relationships/hyperlink" Target="https://www.lysed.fr/" TargetMode="External" Id="rId1563" /><Relationship Type="http://schemas.openxmlformats.org/officeDocument/2006/relationships/hyperlink" Target="https://www.lysed.fr/contact/" TargetMode="External" Id="rId1564" /><Relationship Type="http://schemas.openxmlformats.org/officeDocument/2006/relationships/hyperlink" Target="https://lannuaire.service-public.gouv.fr/auvergne-rhone-alpes/isere/8fc2a400-0e3c-447b-bb33-02a7ab4b15b2" TargetMode="External" Id="rId1565" /><Relationship Type="http://schemas.openxmlformats.org/officeDocument/2006/relationships/hyperlink" Target="mailto:secretariat@smvic.fr" TargetMode="External" Id="rId1566" /><Relationship Type="http://schemas.openxmlformats.org/officeDocument/2006/relationships/hyperlink" Target="http://www.saintmarcellin-vercors-isere.fr/" TargetMode="External" Id="rId1567" /><Relationship Type="http://schemas.openxmlformats.org/officeDocument/2006/relationships/hyperlink" Target="https://saintmarcellin-vercors-isere.fr/index.php?alias=contact" TargetMode="External" Id="rId1568" /><Relationship Type="http://schemas.openxmlformats.org/officeDocument/2006/relationships/hyperlink" Target="https://lannuaire.service-public.gouv.fr/auvergne-rhone-alpes/isere/0fd7da40-9088-4adc-9c51-1b1b53519f5e" TargetMode="External" Id="rId1569" /><Relationship Type="http://schemas.openxmlformats.org/officeDocument/2006/relationships/hyperlink" Target="mailto:correspondances@cc-bievre-est.fr" TargetMode="External" Id="rId1570" /><Relationship Type="http://schemas.openxmlformats.org/officeDocument/2006/relationships/hyperlink" Target="https://www.bievre-est.fr/" TargetMode="External" Id="rId1571" /><Relationship Type="http://schemas.openxmlformats.org/officeDocument/2006/relationships/hyperlink" Target="https://lannuaire.service-public.gouv.fr/auvergne-rhone-alpes/isere/63efa973-7536-4599-92c2-dcc59341f98c" TargetMode="External" Id="rId1572" /><Relationship Type="http://schemas.openxmlformats.org/officeDocument/2006/relationships/hyperlink" Target="mailto:accueil@ccoisans.fr" TargetMode="External" Id="rId1573" /><Relationship Type="http://schemas.openxmlformats.org/officeDocument/2006/relationships/hyperlink" Target="https://www.ccoisans.fr/" TargetMode="External" Id="rId1574" /><Relationship Type="http://schemas.openxmlformats.org/officeDocument/2006/relationships/hyperlink" Target="https://www.ccoisans.fr/contactez-nous/" TargetMode="External" Id="rId1575" /><Relationship Type="http://schemas.openxmlformats.org/officeDocument/2006/relationships/hyperlink" Target="https://lannuaire.service-public.gouv.fr/auvergne-rhone-alpes/isere/5a41dab3-1ffe-479b-94a7-17e5b0747d13" TargetMode="External" Id="rId1576" /><Relationship Type="http://schemas.openxmlformats.org/officeDocument/2006/relationships/hyperlink" Target="mailto:contact@ccmatheysine.fr" TargetMode="External" Id="rId1577" /><Relationship Type="http://schemas.openxmlformats.org/officeDocument/2006/relationships/hyperlink" Target="https://www.ccmatheysine.fr/web/" TargetMode="External" Id="rId1578" /><Relationship Type="http://schemas.openxmlformats.org/officeDocument/2006/relationships/hyperlink" Target="https://www.ccmatheysine.fr/web/acces-rapides/contact/" TargetMode="External" Id="rId1579" /><Relationship Type="http://schemas.openxmlformats.org/officeDocument/2006/relationships/hyperlink" Target="https://lannuaire.service-public.gouv.fr/auvergne-rhone-alpes/isere/7c3c3cbb-1640-45bf-8a34-837554a851ec" TargetMode="External" Id="rId1580" /><Relationship Type="http://schemas.openxmlformats.org/officeDocument/2006/relationships/hyperlink" Target="mailto:cc-massifduvercors@vercors.org" TargetMode="External" Id="rId1581" /><Relationship Type="http://schemas.openxmlformats.org/officeDocument/2006/relationships/hyperlink" Target="https://www.vercors.org/fr/" TargetMode="External" Id="rId1582" /><Relationship Type="http://schemas.openxmlformats.org/officeDocument/2006/relationships/hyperlink" Target="https://www.vercors.org/fr/contact/" TargetMode="External" Id="rId1583" /><Relationship Type="http://schemas.openxmlformats.org/officeDocument/2006/relationships/hyperlink" Target="https://lannuaire.service-public.gouv.fr/auvergne-rhone-alpes/isere/a7e9fd0e-c66a-4a43-b16b-d28d4bc311eb" TargetMode="External" Id="rId1584" /><Relationship Type="http://schemas.openxmlformats.org/officeDocument/2006/relationships/hyperlink" Target="mailto:accueil@cdctrieves.fr" TargetMode="External" Id="rId1585" /><Relationship Type="http://schemas.openxmlformats.org/officeDocument/2006/relationships/hyperlink" Target="https://www.cdctrieves.fr/" TargetMode="External" Id="rId1586" /><Relationship Type="http://schemas.openxmlformats.org/officeDocument/2006/relationships/hyperlink" Target="https://lannuaire.service-public.gouv.fr/auvergne-rhone-alpes/isere/68fdef02-b5c4-471a-802e-1c3fe5e89509" TargetMode="External" Id="rId1587" /><Relationship Type="http://schemas.openxmlformats.org/officeDocument/2006/relationships/hyperlink" Target="mailto:contact@ville-poligny.fr" TargetMode="External" Id="rId1588" /><Relationship Type="http://schemas.openxmlformats.org/officeDocument/2006/relationships/hyperlink" Target="https://www.cc-coeurdujura.fr/" TargetMode="External" Id="rId1589" /><Relationship Type="http://schemas.openxmlformats.org/officeDocument/2006/relationships/hyperlink" Target="https://www.cc-coeurdujura.fr/contact" TargetMode="External" Id="rId1590" /><Relationship Type="http://schemas.openxmlformats.org/officeDocument/2006/relationships/hyperlink" Target="https://lannuaire.service-public.gouv.fr/bourgogne-franche-comte/jura/39350034-45aa-4227-8bf6-28b2a481fba8" TargetMode="External" Id="rId1591" /><Relationship Type="http://schemas.openxmlformats.org/officeDocument/2006/relationships/hyperlink" Target="mailto:accueil@bressehauteseille.fr" TargetMode="External" Id="rId1592" /><Relationship Type="http://schemas.openxmlformats.org/officeDocument/2006/relationships/hyperlink" Target="https://www.bressehauteseille.fr/" TargetMode="External" Id="rId1593" /><Relationship Type="http://schemas.openxmlformats.org/officeDocument/2006/relationships/hyperlink" Target="https://lannuaire.service-public.gouv.fr/bourgogne-franche-comte/jura/2009d45f-40ad-42ce-a70e-f62aeb66d950" TargetMode="External" Id="rId1594" /><Relationship Type="http://schemas.openxmlformats.org/officeDocument/2006/relationships/hyperlink" Target="mailto:contact@champagnolenozeroyjura.fr" TargetMode="External" Id="rId1595" /><Relationship Type="http://schemas.openxmlformats.org/officeDocument/2006/relationships/hyperlink" Target="https://www.champagnolenozeroyjura.fr/" TargetMode="External" Id="rId1596" /><Relationship Type="http://schemas.openxmlformats.org/officeDocument/2006/relationships/hyperlink" Target="https://www.champagnolenozeroyjura.fr/contact/" TargetMode="External" Id="rId1597" /><Relationship Type="http://schemas.openxmlformats.org/officeDocument/2006/relationships/hyperlink" Target="https://lannuaire.service-public.gouv.fr/bourgogne-franche-comte/jura/df7f979f-d349-4ca6-b54a-98a5dcac9a7e" TargetMode="External" Id="rId1598" /><Relationship Type="http://schemas.openxmlformats.org/officeDocument/2006/relationships/hyperlink" Target="mailto:secretariat@arcade-cchj.fr" TargetMode="External" Id="rId1599" /><Relationship Type="http://schemas.openxmlformats.org/officeDocument/2006/relationships/hyperlink" Target="https://www.hautjura-arcade.com/" TargetMode="External" Id="rId1600" /><Relationship Type="http://schemas.openxmlformats.org/officeDocument/2006/relationships/hyperlink" Target="https://www.hautjura-arcade.com/contact" TargetMode="External" Id="rId1601" /><Relationship Type="http://schemas.openxmlformats.org/officeDocument/2006/relationships/hyperlink" Target="https://lannuaire.service-public.gouv.fr/bourgogne-franche-comte/jura/dc6c092d-05eb-437a-b078-e7e48874b523" TargetMode="External" Id="rId1602" /><Relationship Type="http://schemas.openxmlformats.org/officeDocument/2006/relationships/hyperlink" Target="mailto:contact@hautjurasaintclaude.fr" TargetMode="External" Id="rId1603" /><Relationship Type="http://schemas.openxmlformats.org/officeDocument/2006/relationships/hyperlink" Target="https://www.hautjurasaintclaude.fr/" TargetMode="External" Id="rId1604" /><Relationship Type="http://schemas.openxmlformats.org/officeDocument/2006/relationships/hyperlink" Target="https://lannuaire.service-public.gouv.fr/bourgogne-franche-comte/jura/e8c0a63e-106b-4f39-8d82-213179176b6f" TargetMode="External" Id="rId1605" /><Relationship Type="http://schemas.openxmlformats.org/officeDocument/2006/relationships/hyperlink" Target="mailto:contact@jura-nord.com" TargetMode="External" Id="rId1606" /><Relationship Type="http://schemas.openxmlformats.org/officeDocument/2006/relationships/hyperlink" Target="https://www.jura-nord.com/" TargetMode="External" Id="rId1607" /><Relationship Type="http://schemas.openxmlformats.org/officeDocument/2006/relationships/hyperlink" Target="https://lannuaire.service-public.gouv.fr/bourgogne-franche-comte/jura/05e2ff87-9b59-44ba-b7a5-6d5439dbcd5b" TargetMode="External" Id="rId1608" /><Relationship Type="http://schemas.openxmlformats.org/officeDocument/2006/relationships/hyperlink" Target="mailto:accueil@ccportedujura.fr" TargetMode="External" Id="rId1609" /><Relationship Type="http://schemas.openxmlformats.org/officeDocument/2006/relationships/hyperlink" Target="https://www.ccportedujura.fr/" TargetMode="External" Id="rId1610" /><Relationship Type="http://schemas.openxmlformats.org/officeDocument/2006/relationships/hyperlink" Target="https://www.ccportedujura.fr/contact/" TargetMode="External" Id="rId1611" /><Relationship Type="http://schemas.openxmlformats.org/officeDocument/2006/relationships/hyperlink" Target="https://lannuaire.service-public.gouv.fr/bourgogne-franche-comte/jura/38b74bec-9779-433b-82d5-ed15d44a7e8c" TargetMode="External" Id="rId1612" /><Relationship Type="http://schemas.openxmlformats.org/officeDocument/2006/relationships/hyperlink" Target="mailto:contact@terredemeraude.fr" TargetMode="External" Id="rId1613" /><Relationship Type="http://schemas.openxmlformats.org/officeDocument/2006/relationships/hyperlink" Target="https://www.terredemeraude.fr" TargetMode="External" Id="rId1614" /><Relationship Type="http://schemas.openxmlformats.org/officeDocument/2006/relationships/hyperlink" Target="https://www.terredemeraude.fr/nous-contacter/" TargetMode="External" Id="rId1615" /><Relationship Type="http://schemas.openxmlformats.org/officeDocument/2006/relationships/hyperlink" Target="https://lannuaire.service-public.gouv.fr/bourgogne-franche-comte/jura/9a91597d-92a6-4e94-99ad-5a5ba2c7a089" TargetMode="External" Id="rId1616" /><Relationship Type="http://schemas.openxmlformats.org/officeDocument/2006/relationships/hyperlink" Target="mailto:administration@cc-laplaine-jurassienne.com" TargetMode="External" Id="rId1617" /><Relationship Type="http://schemas.openxmlformats.org/officeDocument/2006/relationships/hyperlink" Target="https://www.cc-laplaine-jurassienne.fr/" TargetMode="External" Id="rId1618" /><Relationship Type="http://schemas.openxmlformats.org/officeDocument/2006/relationships/hyperlink" Target="https://www.cc-laplaine-jurassienne.fr/index.php/contact/" TargetMode="External" Id="rId1619" /><Relationship Type="http://schemas.openxmlformats.org/officeDocument/2006/relationships/hyperlink" Target="https://lannuaire.service-public.gouv.fr/bourgogne-franche-comte/jura/210060a0-4c1f-4fd8-9663-0821c7c20f47" TargetMode="External" Id="rId1620" /><Relationship Type="http://schemas.openxmlformats.org/officeDocument/2006/relationships/hyperlink" Target="mailto:contact@cc-stationdesrousses.fr" TargetMode="External" Id="rId1621" /><Relationship Type="http://schemas.openxmlformats.org/officeDocument/2006/relationships/hyperlink" Target="https://www.cc-stationdesrousses.fr/" TargetMode="External" Id="rId1622" /><Relationship Type="http://schemas.openxmlformats.org/officeDocument/2006/relationships/hyperlink" Target="https://www.cc-stationdesrousses.fr/contact/" TargetMode="External" Id="rId1623" /><Relationship Type="http://schemas.openxmlformats.org/officeDocument/2006/relationships/hyperlink" Target="https://lannuaire.service-public.gouv.fr/bourgogne-franche-comte/jura/0f10504b-5482-4e73-83d0-e1aede2b228f" TargetMode="External" Id="rId1624" /><Relationship Type="http://schemas.openxmlformats.org/officeDocument/2006/relationships/hyperlink" Target="mailto:contact@valdamour.com" TargetMode="External" Id="rId1625" /><Relationship Type="http://schemas.openxmlformats.org/officeDocument/2006/relationships/hyperlink" Target="https://www.valdamour.com/" TargetMode="External" Id="rId1626" /><Relationship Type="http://schemas.openxmlformats.org/officeDocument/2006/relationships/hyperlink" Target="https://www.valdamour.com/nous-contacter.htm" TargetMode="External" Id="rId1627" /><Relationship Type="http://schemas.openxmlformats.org/officeDocument/2006/relationships/hyperlink" Target="https://lannuaire.service-public.gouv.fr/bourgogne-franche-comte/jura/1b3563e3-a2cd-46cd-bf75-09fadaa41d29" TargetMode="External" Id="rId1628" /><Relationship Type="http://schemas.openxmlformats.org/officeDocument/2006/relationships/hyperlink" Target="mailto:secretariat@lagrandvalliere.fr" TargetMode="External" Id="rId1629" /><Relationship Type="http://schemas.openxmlformats.org/officeDocument/2006/relationships/hyperlink" Target="http://www.lagrandvalliere.fr" TargetMode="External" Id="rId1630" /><Relationship Type="http://schemas.openxmlformats.org/officeDocument/2006/relationships/hyperlink" Target="https://lannuaire.service-public.gouv.fr/bourgogne-franche-comte/jura/1f3d682e-6ffb-4855-be70-34752026b549" TargetMode="External" Id="rId1631" /><Relationship Type="http://schemas.openxmlformats.org/officeDocument/2006/relationships/hyperlink" Target="mailto:cias@chalossetursan.fr" TargetMode="External" Id="rId1632" /><Relationship Type="http://schemas.openxmlformats.org/officeDocument/2006/relationships/hyperlink" Target="https://www.chalossetursan.fr/" TargetMode="External" Id="rId1633" /><Relationship Type="http://schemas.openxmlformats.org/officeDocument/2006/relationships/hyperlink" Target="https://lannuaire.service-public.gouv.fr/nouvelle-aquitaine/landes/5ced6950-d266-4e9e-9d64-ae2c85cf1db4" TargetMode="External" Id="rId1634" /><Relationship Type="http://schemas.openxmlformats.org/officeDocument/2006/relationships/hyperlink" Target="mailto:accueil.chl@coeurhautelande.fr" TargetMode="External" Id="rId1635" /><Relationship Type="http://schemas.openxmlformats.org/officeDocument/2006/relationships/hyperlink" Target="https://www.coeurhautelande.fr/" TargetMode="External" Id="rId1636" /><Relationship Type="http://schemas.openxmlformats.org/officeDocument/2006/relationships/hyperlink" Target="https://www.coeurhautelande.fr/Communaute-de-communes/Coeur-Haute-Lande/Contacter-la-Communaute-de-Communes" TargetMode="External" Id="rId1637" /><Relationship Type="http://schemas.openxmlformats.org/officeDocument/2006/relationships/hyperlink" Target="https://lannuaire.service-public.gouv.fr/nouvelle-aquitaine/landes/03f19b56-01e1-4d56-9fd1-4e76039783b1" TargetMode="External" Id="rId1638" /><Relationship Type="http://schemas.openxmlformats.org/officeDocument/2006/relationships/hyperlink" Target="mailto:contact@cc-luys.fr" TargetMode="External" Id="rId1639" /><Relationship Type="http://schemas.openxmlformats.org/officeDocument/2006/relationships/hyperlink" Target="https://www.cc-luys.fr/" TargetMode="External" Id="rId1640" /><Relationship Type="http://schemas.openxmlformats.org/officeDocument/2006/relationships/hyperlink" Target="https://lannuaire.service-public.gouv.fr/nouvelle-aquitaine/landes/23d8004f-e45b-4a3d-be96-4afff5d82f52" TargetMode="External" Id="rId1641" /><Relationship Type="http://schemas.openxmlformats.org/officeDocument/2006/relationships/hyperlink" Target="mailto:secretariat@cc-cln.fr" TargetMode="External" Id="rId1642" /><Relationship Type="http://schemas.openxmlformats.org/officeDocument/2006/relationships/hyperlink" Target="https://www.cc-cln.fr/" TargetMode="External" Id="rId1643" /><Relationship Type="http://schemas.openxmlformats.org/officeDocument/2006/relationships/hyperlink" Target="https://www.cc-cln.fr/communaute-de-communes/contact" TargetMode="External" Id="rId1644" /><Relationship Type="http://schemas.openxmlformats.org/officeDocument/2006/relationships/hyperlink" Target="https://lannuaire.service-public.gouv.fr/nouvelle-aquitaine/landes/d45a48a5-111b-45c9-9d4e-73ce623f4cb4" TargetMode="External" Id="rId1645" /><Relationship Type="http://schemas.openxmlformats.org/officeDocument/2006/relationships/hyperlink" Target="mailto:contact@cc-macs.org" TargetMode="External" Id="rId1646" /><Relationship Type="http://schemas.openxmlformats.org/officeDocument/2006/relationships/hyperlink" Target="https://www.cc-macs.org/" TargetMode="External" Id="rId1647" /><Relationship Type="http://schemas.openxmlformats.org/officeDocument/2006/relationships/hyperlink" Target="https://lannuaire.service-public.gouv.fr/nouvelle-aquitaine/landes/04d10a79-1573-4e01-9279-22ba46ff80ef" TargetMode="External" Id="rId1648" /><Relationship Type="http://schemas.openxmlformats.org/officeDocument/2006/relationships/hyperlink" Target="mailto:contact@orthe-arrigans.fr" TargetMode="External" Id="rId1649" /><Relationship Type="http://schemas.openxmlformats.org/officeDocument/2006/relationships/hyperlink" Target="https://www.pays-orthe-arrigans.fr/" TargetMode="External" Id="rId1650" /><Relationship Type="http://schemas.openxmlformats.org/officeDocument/2006/relationships/hyperlink" Target="https://www.pays-orthe-arrigans.fr/contact.html" TargetMode="External" Id="rId1651" /><Relationship Type="http://schemas.openxmlformats.org/officeDocument/2006/relationships/hyperlink" Target="https://lannuaire.service-public.gouv.fr/nouvelle-aquitaine/landes/23ce6b07-68a0-40e7-bf15-54dc32d8f07c" TargetMode="External" Id="rId1652" /><Relationship Type="http://schemas.openxmlformats.org/officeDocument/2006/relationships/hyperlink" Target="mailto:contact@terresdechalosse.fr" TargetMode="External" Id="rId1653" /><Relationship Type="http://schemas.openxmlformats.org/officeDocument/2006/relationships/hyperlink" Target="https://www.terresdechalosse.fr/" TargetMode="External" Id="rId1654" /><Relationship Type="http://schemas.openxmlformats.org/officeDocument/2006/relationships/hyperlink" Target="https://www.terresdechalosse.fr/Communaute-de-communes/Terres-de-Chalosse/Contactez-nous" TargetMode="External" Id="rId1655" /><Relationship Type="http://schemas.openxmlformats.org/officeDocument/2006/relationships/hyperlink" Target="https://lannuaire.service-public.gouv.fr/nouvelle-aquitaine/landes/c56a0986-6bfe-49f1-b795-9e0ca967cea2" TargetMode="External" Id="rId1656" /><Relationship Type="http://schemas.openxmlformats.org/officeDocument/2006/relationships/hyperlink" Target="mailto:contact@mimizan.net" TargetMode="External" Id="rId1657" /><Relationship Type="http://schemas.openxmlformats.org/officeDocument/2006/relationships/hyperlink" Target="https://www.cc-mimizan.fr/" TargetMode="External" Id="rId1658" /><Relationship Type="http://schemas.openxmlformats.org/officeDocument/2006/relationships/hyperlink" Target="https://lannuaire.service-public.gouv.fr/nouvelle-aquitaine/landes/ceef7e34-3c83-4dfa-ba66-b61d58412db7" TargetMode="External" Id="rId1659" /><Relationship Type="http://schemas.openxmlformats.org/officeDocument/2006/relationships/hyperlink" Target="mailto:secretariat.general@ccgrandslacs.fr" TargetMode="External" Id="rId1660" /><Relationship Type="http://schemas.openxmlformats.org/officeDocument/2006/relationships/hyperlink" Target="https://www.ccgrandslacs.fr/" TargetMode="External" Id="rId1661" /><Relationship Type="http://schemas.openxmlformats.org/officeDocument/2006/relationships/hyperlink" Target="https://lannuaire.service-public.gouv.fr/nouvelle-aquitaine/landes/4c3cce19-076f-49df-b890-af92a3fd7f34" TargetMode="External" Id="rId1662" /><Relationship Type="http://schemas.openxmlformats.org/officeDocument/2006/relationships/hyperlink" Target="mailto:contact@ccla40.fr" TargetMode="External" Id="rId1663" /><Relationship Type="http://schemas.openxmlformats.org/officeDocument/2006/relationships/hyperlink" Target="https://www.landesdarmagnac.fr/" TargetMode="External" Id="rId1664" /><Relationship Type="http://schemas.openxmlformats.org/officeDocument/2006/relationships/hyperlink" Target="https://lannuaire.service-public.gouv.fr/nouvelle-aquitaine/landes/c3476eaa-4cee-4812-a45b-3da879670f71" TargetMode="External" Id="rId1665" /><Relationship Type="http://schemas.openxmlformats.org/officeDocument/2006/relationships/hyperlink" Target="mailto:secretariat@cc-paysgrenadois.fr" TargetMode="External" Id="rId1666" /><Relationship Type="http://schemas.openxmlformats.org/officeDocument/2006/relationships/hyperlink" Target="https://www.cc-paysgrenadois.fr" TargetMode="External" Id="rId1667" /><Relationship Type="http://schemas.openxmlformats.org/officeDocument/2006/relationships/hyperlink" Target="https://lannuaire.service-public.gouv.fr/nouvelle-aquitaine/landes/be3612dc-6b96-4d92-a00a-b95f22f1ce8e" TargetMode="External" Id="rId1668" /><Relationship Type="http://schemas.openxmlformats.org/officeDocument/2006/relationships/hyperlink" Target="mailto:contact@paysmorcenais.fr" TargetMode="External" Id="rId1669" /><Relationship Type="http://schemas.openxmlformats.org/officeDocument/2006/relationships/hyperlink" Target="https://www.paysmorcenais.fr/" TargetMode="External" Id="rId1670" /><Relationship Type="http://schemas.openxmlformats.org/officeDocument/2006/relationships/hyperlink" Target="https://www.paysmorcenais.fr/communaute-de-communes/contact" TargetMode="External" Id="rId1671" /><Relationship Type="http://schemas.openxmlformats.org/officeDocument/2006/relationships/hyperlink" Target="https://lannuaire.service-public.gouv.fr/nouvelle-aquitaine/landes/22ee9784-f723-4d87-9d5f-619d71aefe90" TargetMode="External" Id="rId1672" /><Relationship Type="http://schemas.openxmlformats.org/officeDocument/2006/relationships/hyperlink" Target="mailto:accueil@pays-tarusate.fr" TargetMode="External" Id="rId1673" /><Relationship Type="http://schemas.openxmlformats.org/officeDocument/2006/relationships/hyperlink" Target="https://www.pays-tarusate.fr/" TargetMode="External" Id="rId1674" /><Relationship Type="http://schemas.openxmlformats.org/officeDocument/2006/relationships/hyperlink" Target="https://www.facebook.com/paystarusate/" TargetMode="External" Id="rId1675" /><Relationship Type="http://schemas.openxmlformats.org/officeDocument/2006/relationships/hyperlink" Target="https://lannuaire.service-public.gouv.fr/nouvelle-aquitaine/landes/c69718a1-0a9c-4094-bfe0-9922eb508d99" TargetMode="External" Id="rId1676" /><Relationship Type="http://schemas.openxmlformats.org/officeDocument/2006/relationships/hyperlink" Target="mailto:accueil@cc-vdm.com" TargetMode="External" Id="rId1677" /><Relationship Type="http://schemas.openxmlformats.org/officeDocument/2006/relationships/hyperlink" Target="https://www.cc-vdm.com/" TargetMode="External" Id="rId1678" /><Relationship Type="http://schemas.openxmlformats.org/officeDocument/2006/relationships/hyperlink" Target="https://www.cc-vdm.com/CDC-Pays-de-Villeneuve/La-Communaute-de-Communes/Nous-contacter" TargetMode="External" Id="rId1679" /><Relationship Type="http://schemas.openxmlformats.org/officeDocument/2006/relationships/hyperlink" Target="https://lannuaire.service-public.gouv.fr/nouvelle-aquitaine/landes/ed61e58d-b3d6-44aa-8875-c651b808526e" TargetMode="External" Id="rId1680" /><Relationship Type="http://schemas.openxmlformats.org/officeDocument/2006/relationships/hyperlink" Target="mailto:accueil@cc-seignanx.fr" TargetMode="External" Id="rId1681" /><Relationship Type="http://schemas.openxmlformats.org/officeDocument/2006/relationships/hyperlink" Target="https://www.cc-seignanx.fr/" TargetMode="External" Id="rId1682" /><Relationship Type="http://schemas.openxmlformats.org/officeDocument/2006/relationships/hyperlink" Target="https://www.cc-seignanx.fr/Communaute-de-Communes/Votre-Communaute/Nous-contacter" TargetMode="External" Id="rId1683" /><Relationship Type="http://schemas.openxmlformats.org/officeDocument/2006/relationships/hyperlink" Target="https://lannuaire.service-public.gouv.fr/nouvelle-aquitaine/landes/d3a5d630-81bb-466c-9e52-0af25638c816" TargetMode="External" Id="rId1684" /><Relationship Type="http://schemas.openxmlformats.org/officeDocument/2006/relationships/hyperlink" Target="mailto:contact@beaucevaldeloire.fr" TargetMode="External" Id="rId1685" /><Relationship Type="http://schemas.openxmlformats.org/officeDocument/2006/relationships/hyperlink" Target="https://www.beaucevaldeloire.fr/" TargetMode="External" Id="rId1686" /><Relationship Type="http://schemas.openxmlformats.org/officeDocument/2006/relationships/hyperlink" Target="https://www.beaucevaldeloire.fr/contact/" TargetMode="External" Id="rId1687" /><Relationship Type="http://schemas.openxmlformats.org/officeDocument/2006/relationships/hyperlink" Target="https://lannuaire.service-public.gouv.fr/centre-val-de-loire/loir-et-cher/f5646667-ab43-497e-b222-2dc572278cea" TargetMode="External" Id="rId1688" /><Relationship Type="http://schemas.openxmlformats.org/officeDocument/2006/relationships/hyperlink" Target="mailto:contact@coeurdesologne.com" TargetMode="External" Id="rId1689" /><Relationship Type="http://schemas.openxmlformats.org/officeDocument/2006/relationships/hyperlink" Target="https://lannuaire.service-public.gouv.fr/centre-val-de-loire/loir-et-cher/47f5514b-2401-49dc-94d3-cd14c4eece86" TargetMode="External" Id="rId1690" /><Relationship Type="http://schemas.openxmlformats.org/officeDocument/2006/relationships/hyperlink" Target="mailto:contact@val2c.fr" TargetMode="External" Id="rId1691" /><Relationship Type="http://schemas.openxmlformats.org/officeDocument/2006/relationships/hyperlink" Target="https://www.val2c.fr/" TargetMode="External" Id="rId1692" /><Relationship Type="http://schemas.openxmlformats.org/officeDocument/2006/relationships/hyperlink" Target="https://www.val2c.fr/contact/" TargetMode="External" Id="rId1693" /><Relationship Type="http://schemas.openxmlformats.org/officeDocument/2006/relationships/hyperlink" Target="https://lannuaire.service-public.gouv.fr/centre-val-de-loire/loir-et-cher/8ee96140-871c-4db8-8edf-e5223bd24bf6" TargetMode="External" Id="rId1694" /><Relationship Type="http://schemas.openxmlformats.org/officeDocument/2006/relationships/hyperlink" Target="mailto:contact@sologne-des-etangs.fr" TargetMode="External" Id="rId1695" /><Relationship Type="http://schemas.openxmlformats.org/officeDocument/2006/relationships/hyperlink" Target="https://www.sologne-des-etangs.fr" TargetMode="External" Id="rId1696" /><Relationship Type="http://schemas.openxmlformats.org/officeDocument/2006/relationships/hyperlink" Target="https://lannuaire.service-public.gouv.fr/centre-val-de-loire/loir-et-cher/0f8bded0-705c-44ba-9290-032087f1504c" TargetMode="External" Id="rId1697" /><Relationship Type="http://schemas.openxmlformats.org/officeDocument/2006/relationships/hyperlink" Target="mailto:solognedesrivieres@ccsr.fr" TargetMode="External" Id="rId1698" /><Relationship Type="http://schemas.openxmlformats.org/officeDocument/2006/relationships/hyperlink" Target="https://sologne-des-rivieres.fr/" TargetMode="External" Id="rId1699" /><Relationship Type="http://schemas.openxmlformats.org/officeDocument/2006/relationships/hyperlink" Target="https://lannuaire.service-public.gouv.fr/centre-val-de-loire/loir-et-cher/86399de6-2317-47e7-80fc-dc72d64a8f7c" TargetMode="External" Id="rId1700" /><Relationship Type="http://schemas.openxmlformats.org/officeDocument/2006/relationships/hyperlink" Target="mailto:dgs@cc-collinesperche.fr" TargetMode="External" Id="rId1701" /><Relationship Type="http://schemas.openxmlformats.org/officeDocument/2006/relationships/hyperlink" Target="https://www.cc-collinesperche.fr/" TargetMode="External" Id="rId1702" /><Relationship Type="http://schemas.openxmlformats.org/officeDocument/2006/relationships/hyperlink" Target="https://www.cc-collinesperche.fr/contact" TargetMode="External" Id="rId1703" /><Relationship Type="http://schemas.openxmlformats.org/officeDocument/2006/relationships/hyperlink" Target="https://lannuaire.service-public.gouv.fr/centre-val-de-loire/loir-et-cher/2b2f19e4-aa7a-44c8-95b8-64d3613d77cc" TargetMode="External" Id="rId1704" /><Relationship Type="http://schemas.openxmlformats.org/officeDocument/2006/relationships/hyperlink" Target="mailto:accueil@ccterresduvaldeloire.fr" TargetMode="External" Id="rId1705" /><Relationship Type="http://schemas.openxmlformats.org/officeDocument/2006/relationships/hyperlink" Target="https://www.ccterresduvaldeloire.fr/" TargetMode="External" Id="rId1706" /><Relationship Type="http://schemas.openxmlformats.org/officeDocument/2006/relationships/hyperlink" Target="https://www.ccterresduvaldeloire.fr/systeme/contact/" TargetMode="External" Id="rId1707" /><Relationship Type="http://schemas.openxmlformats.org/officeDocument/2006/relationships/hyperlink" Target="https://lannuaire.service-public.gouv.fr/centre-val-de-loire/loiret/aca18a15-0241-4886-81f7-c048e4b5846f" TargetMode="External" Id="rId1708" /><Relationship Type="http://schemas.openxmlformats.org/officeDocument/2006/relationships/hyperlink" Target="mailto:contact@grandchambord.fr" TargetMode="External" Id="rId1709" /><Relationship Type="http://schemas.openxmlformats.org/officeDocument/2006/relationships/hyperlink" Target="https://www.grandchambord.fr/" TargetMode="External" Id="rId1710" /><Relationship Type="http://schemas.openxmlformats.org/officeDocument/2006/relationships/hyperlink" Target="https://www.grandchambord.fr/nous-contacter/" TargetMode="External" Id="rId1711" /><Relationship Type="http://schemas.openxmlformats.org/officeDocument/2006/relationships/hyperlink" Target="https://lannuaire.service-public.gouv.fr/centre-val-de-loire/loir-et-cher/0746a14a-affb-43f7-a6db-92cd10ff06bb" TargetMode="External" Id="rId1712" /><Relationship Type="http://schemas.openxmlformats.org/officeDocument/2006/relationships/hyperlink" Target="mailto:cchv@cchv41.fr" TargetMode="External" Id="rId1713" /><Relationship Type="http://schemas.openxmlformats.org/officeDocument/2006/relationships/hyperlink" Target="https://cphv41.fr/" TargetMode="External" Id="rId1714" /><Relationship Type="http://schemas.openxmlformats.org/officeDocument/2006/relationships/hyperlink" Target="https://cphv41.fr/fr/" TargetMode="External" Id="rId1715" /><Relationship Type="http://schemas.openxmlformats.org/officeDocument/2006/relationships/hyperlink" Target="https://lannuaire.service-public.gouv.fr/centre-val-de-loire/loir-et-cher/48f284d1-650a-41ab-b5ef-287623247236" TargetMode="External" Id="rId1716" /><Relationship Type="http://schemas.openxmlformats.org/officeDocument/2006/relationships/hyperlink" Target="mailto:direction.generale@ccrm41.fr" TargetMode="External" Id="rId1717" /><Relationship Type="http://schemas.openxmlformats.org/officeDocument/2006/relationships/hyperlink" Target="https://ccrm41.fr/" TargetMode="External" Id="rId1718" /><Relationship Type="http://schemas.openxmlformats.org/officeDocument/2006/relationships/hyperlink" Target="https://ccrm41.fr/contact/" TargetMode="External" Id="rId1719" /><Relationship Type="http://schemas.openxmlformats.org/officeDocument/2006/relationships/hyperlink" Target="https://lannuaire.service-public.gouv.fr/centre-val-de-loire/loir-et-cher/dc6b0502-a130-430f-8e68-b89ec96cb0dc" TargetMode="External" Id="rId1720" /><Relationship Type="http://schemas.openxmlformats.org/officeDocument/2006/relationships/hyperlink" Target="mailto:contact@charlieubelmont.com" TargetMode="External" Id="rId1721" /><Relationship Type="http://schemas.openxmlformats.org/officeDocument/2006/relationships/hyperlink" Target="https://www.charlieubelmont.com/" TargetMode="External" Id="rId1722" /><Relationship Type="http://schemas.openxmlformats.org/officeDocument/2006/relationships/hyperlink" Target="https://www.charlieubelmont.com/nous-contacter/" TargetMode="External" Id="rId1723" /><Relationship Type="http://schemas.openxmlformats.org/officeDocument/2006/relationships/hyperlink" Target="https://lannuaire.service-public.gouv.fr/auvergne-rhone-alpes/loire/1c40356e-a86e-4680-806e-80d8b250f679" TargetMode="External" Id="rId1724" /><Relationship Type="http://schemas.openxmlformats.org/officeDocument/2006/relationships/hyperlink" Target="mailto:direction-generale@forez-est.fr" TargetMode="External" Id="rId1725" /><Relationship Type="http://schemas.openxmlformats.org/officeDocument/2006/relationships/hyperlink" Target="https://www.forez-est.fr/" TargetMode="External" Id="rId1726" /><Relationship Type="http://schemas.openxmlformats.org/officeDocument/2006/relationships/hyperlink" Target="https://www.forez-est.fr/" TargetMode="External" Id="rId1727" /><Relationship Type="http://schemas.openxmlformats.org/officeDocument/2006/relationships/hyperlink" Target="https://lannuaire.service-public.gouv.fr/auvergne-rhone-alpes/loire/c4523d51-7d32-4b54-94a4-64700d643aaf" TargetMode="External" Id="rId1728" /><Relationship Type="http://schemas.openxmlformats.org/officeDocument/2006/relationships/hyperlink" Target="mailto:contact@cc-mdl.fr" TargetMode="External" Id="rId1729" /><Relationship Type="http://schemas.openxmlformats.org/officeDocument/2006/relationships/hyperlink" Target="https://www.cc-montsdulyonnais.fr/" TargetMode="External" Id="rId1730" /><Relationship Type="http://schemas.openxmlformats.org/officeDocument/2006/relationships/hyperlink" Target="https://www.cc-montsdulyonnais.fr/contact/" TargetMode="External" Id="rId1731" /><Relationship Type="http://schemas.openxmlformats.org/officeDocument/2006/relationships/hyperlink" Target="https://lannuaire.service-public.gouv.fr/auvergne-rhone-alpes/rhone/3dce566a-862f-4e81-b65c-f11b3d1ce3ab" TargetMode="External" Id="rId1732" /><Relationship Type="http://schemas.openxmlformats.org/officeDocument/2006/relationships/hyperlink" Target="mailto:info@cc-montsdupilat.fr" TargetMode="External" Id="rId1733" /><Relationship Type="http://schemas.openxmlformats.org/officeDocument/2006/relationships/hyperlink" Target="https://www.cc-montsdupilat.fr/" TargetMode="External" Id="rId1734" /><Relationship Type="http://schemas.openxmlformats.org/officeDocument/2006/relationships/hyperlink" Target="https://www.cc-montsdupilat.fr/contact/" TargetMode="External" Id="rId1735" /><Relationship Type="http://schemas.openxmlformats.org/officeDocument/2006/relationships/hyperlink" Target="https://lannuaire.service-public.gouv.fr/auvergne-rhone-alpes/loire/9294d86e-69d3-4c04-8e5f-053336627726" TargetMode="External" Id="rId1736" /><Relationship Type="http://schemas.openxmlformats.org/officeDocument/2006/relationships/hyperlink" Target="mailto:accueil@ccvai.fr" TargetMode="External" Id="rId1737" /><Relationship Type="http://schemas.openxmlformats.org/officeDocument/2006/relationships/hyperlink" Target="https://www.ccvai.fr/" TargetMode="External" Id="rId1738" /><Relationship Type="http://schemas.openxmlformats.org/officeDocument/2006/relationships/hyperlink" Target="https://www.ccvai.fr/contact-ccvai-art-13.html" TargetMode="External" Id="rId1739" /><Relationship Type="http://schemas.openxmlformats.org/officeDocument/2006/relationships/hyperlink" Target="https://lannuaire.service-public.gouv.fr/auvergne-rhone-alpes/loire/1fcb4106-9517-4614-be7b-c342bd751544" TargetMode="External" Id="rId1740" /><Relationship Type="http://schemas.openxmlformats.org/officeDocument/2006/relationships/hyperlink" Target="mailto:copler@copler.fr" TargetMode="External" Id="rId1741" /><Relationship Type="http://schemas.openxmlformats.org/officeDocument/2006/relationships/hyperlink" Target="https://www.copler.fr/" TargetMode="External" Id="rId1742" /><Relationship Type="http://schemas.openxmlformats.org/officeDocument/2006/relationships/hyperlink" Target="https://www.copler.fr/" TargetMode="External" Id="rId1743" /><Relationship Type="http://schemas.openxmlformats.org/officeDocument/2006/relationships/hyperlink" Target="https://lannuaire.service-public.gouv.fr/auvergne-rhone-alpes/loire/3f94349e-a952-4ec4-9629-117db099b3fa" TargetMode="External" Id="rId1744" /><Relationship Type="http://schemas.openxmlformats.org/officeDocument/2006/relationships/hyperlink" Target="mailto:contact@ccpu.fr" TargetMode="External" Id="rId1745" /><Relationship Type="http://schemas.openxmlformats.org/officeDocument/2006/relationships/hyperlink" Target="https://www.ccpu.fr/" TargetMode="External" Id="rId1746" /><Relationship Type="http://schemas.openxmlformats.org/officeDocument/2006/relationships/hyperlink" Target="https://www.ccpu.fr/contact-comcom-pays-durfe-loire-42_fr.html" TargetMode="External" Id="rId1747" /><Relationship Type="http://schemas.openxmlformats.org/officeDocument/2006/relationships/hyperlink" Target="https://lannuaire.service-public.gouv.fr/auvergne-rhone-alpes/loire/664da76a-141e-4238-ae51-420e7fc05f75" TargetMode="External" Id="rId1748" /><Relationship Type="http://schemas.openxmlformats.org/officeDocument/2006/relationships/hyperlink" Target="mailto:ccpr@pilatrhodanien.fr" TargetMode="External" Id="rId1749" /><Relationship Type="http://schemas.openxmlformats.org/officeDocument/2006/relationships/hyperlink" Target="https://www.pilatrhodanien.fr/" TargetMode="External" Id="rId1750" /><Relationship Type="http://schemas.openxmlformats.org/officeDocument/2006/relationships/hyperlink" Target="https://www.pilatrhodanien.fr/contact/" TargetMode="External" Id="rId1751" /><Relationship Type="http://schemas.openxmlformats.org/officeDocument/2006/relationships/hyperlink" Target="https://lannuaire.service-public.gouv.fr/auvergne-rhone-alpes/loire/d4d94e5e-ac87-42c7-969c-bbd27aa4748f" TargetMode="External" Id="rId1752" /><Relationship Type="http://schemas.openxmlformats.org/officeDocument/2006/relationships/hyperlink" Target="mailto:contact@cc-auzon.fr" TargetMode="External" Id="rId1753" /><Relationship Type="http://schemas.openxmlformats.org/officeDocument/2006/relationships/hyperlink" Target="https://www.cc-auzon.fr/" TargetMode="External" Id="rId1754" /><Relationship Type="http://schemas.openxmlformats.org/officeDocument/2006/relationships/hyperlink" Target="https://www.cc-auzon.fr/contact_fr.html" TargetMode="External" Id="rId1755" /><Relationship Type="http://schemas.openxmlformats.org/officeDocument/2006/relationships/hyperlink" Target="https://lannuaire.service-public.gouv.fr/auvergne-rhone-alpes/haute-loire/0599b0d5-64b1-4742-a00d-7795cc5118da" TargetMode="External" Id="rId1756" /><Relationship Type="http://schemas.openxmlformats.org/officeDocument/2006/relationships/hyperlink" Target="mailto:accueil@brioudesudauvergne.fr" TargetMode="External" Id="rId1757" /><Relationship Type="http://schemas.openxmlformats.org/officeDocument/2006/relationships/hyperlink" Target="https://www.cc-brivadois.fr/" TargetMode="External" Id="rId1758" /><Relationship Type="http://schemas.openxmlformats.org/officeDocument/2006/relationships/hyperlink" Target="https://lannuaire.service-public.gouv.fr/auvergne-rhone-alpes/haute-loire/de712671-35bb-4119-ba82-17e4180e0a2c" TargetMode="External" Id="rId1759" /><Relationship Type="http://schemas.openxmlformats.org/officeDocument/2006/relationships/hyperlink" Target="mailto:accueil@hautpaysduvelay.fr" TargetMode="External" Id="rId1760" /><Relationship Type="http://schemas.openxmlformats.org/officeDocument/2006/relationships/hyperlink" Target="https://hautpaysduvelay-communaute.fr/" TargetMode="External" Id="rId1761" /><Relationship Type="http://schemas.openxmlformats.org/officeDocument/2006/relationships/hyperlink" Target="https://hautpaysduvelay-communaute.fr/contact/" TargetMode="External" Id="rId1762" /><Relationship Type="http://schemas.openxmlformats.org/officeDocument/2006/relationships/hyperlink" Target="https://lannuaire.service-public.gouv.fr/auvergne-rhone-alpes/haute-loire/fd7b9ee7-d62a-49cc-9520-b8a2e13bc530" TargetMode="External" Id="rId1763" /><Relationship Type="http://schemas.openxmlformats.org/officeDocument/2006/relationships/hyperlink" Target="mailto:accueil@loire-semene.fr" TargetMode="External" Id="rId1764" /><Relationship Type="http://schemas.openxmlformats.org/officeDocument/2006/relationships/hyperlink" Target="https://loire-semene.fr/" TargetMode="External" Id="rId1765" /><Relationship Type="http://schemas.openxmlformats.org/officeDocument/2006/relationships/hyperlink" Target="https://loire-semene.fr/contact/" TargetMode="External" Id="rId1766" /><Relationship Type="http://schemas.openxmlformats.org/officeDocument/2006/relationships/hyperlink" Target="https://lannuaire.service-public.gouv.fr/auvergne-rhone-alpes/haute-loire/2efa5cc7-f0d5-4ad0-ba9d-de02d29a52eb" TargetMode="External" Id="rId1767" /><Relationship Type="http://schemas.openxmlformats.org/officeDocument/2006/relationships/hyperlink" Target="mailto:contact@marchesduvelayrochebaron.fr" TargetMode="External" Id="rId1768" /><Relationship Type="http://schemas.openxmlformats.org/officeDocument/2006/relationships/hyperlink" Target="https://www.marchesduvelayrochebaron.fr/" TargetMode="External" Id="rId1769" /><Relationship Type="http://schemas.openxmlformats.org/officeDocument/2006/relationships/hyperlink" Target="https://www.marchesduvelayrochebaron.fr/contact/" TargetMode="External" Id="rId1770" /><Relationship Type="http://schemas.openxmlformats.org/officeDocument/2006/relationships/hyperlink" Target="https://lannuaire.service-public.gouv.fr/auvergne-rhone-alpes/haute-loire/29e3b0d7-373b-4007-a42d-3cffff32a256" TargetMode="External" Id="rId1771" /><Relationship Type="http://schemas.openxmlformats.org/officeDocument/2006/relationships/hyperlink" Target="mailto:contact@mezencloiremeygal.fr" TargetMode="External" Id="rId1772" /><Relationship Type="http://schemas.openxmlformats.org/officeDocument/2006/relationships/hyperlink" Target="https://www.mezencloiremeygal.fr" TargetMode="External" Id="rId1773" /><Relationship Type="http://schemas.openxmlformats.org/officeDocument/2006/relationships/hyperlink" Target="https://lannuaire.service-public.gouv.fr/auvergne-rhone-alpes/haute-loire/de7acbc9-b1dd-44e1-9aeb-25954f431e80" TargetMode="External" Id="rId1774" /><Relationship Type="http://schemas.openxmlformats.org/officeDocument/2006/relationships/hyperlink" Target="mailto:contact@ccpcp.fr" TargetMode="External" Id="rId1775" /><Relationship Type="http://schemas.openxmlformats.org/officeDocument/2006/relationships/hyperlink" Target="https://www.ccpcp.fr/" TargetMode="External" Id="rId1776" /><Relationship Type="http://schemas.openxmlformats.org/officeDocument/2006/relationships/hyperlink" Target="https://www.ccpcp.fr/nous-contacter/" TargetMode="External" Id="rId1777" /><Relationship Type="http://schemas.openxmlformats.org/officeDocument/2006/relationships/hyperlink" Target="https://lannuaire.service-public.gouv.fr/auvergne-rhone-alpes/haute-loire/2f5c0f05-1bfd-46d5-b2fd-f1343cb83a4b" TargetMode="External" Id="rId1778" /><Relationship Type="http://schemas.openxmlformats.org/officeDocument/2006/relationships/hyperlink" Target="mailto:cc@rivesduhautallier.fr" TargetMode="External" Id="rId1779" /><Relationship Type="http://schemas.openxmlformats.org/officeDocument/2006/relationships/hyperlink" Target="https://www.rivesduhautallier.fr/" TargetMode="External" Id="rId1780" /><Relationship Type="http://schemas.openxmlformats.org/officeDocument/2006/relationships/hyperlink" Target="https://www.rivesduhautallier.fr/" TargetMode="External" Id="rId1781" /><Relationship Type="http://schemas.openxmlformats.org/officeDocument/2006/relationships/hyperlink" Target="https://lannuaire.service-public.gouv.fr/auvergne-rhone-alpes/haute-loire/2b4dd47f-cd8e-4ed8-89dd-af7c76cef38a" TargetMode="External" Id="rId1782" /><Relationship Type="http://schemas.openxmlformats.org/officeDocument/2006/relationships/hyperlink" Target="mailto:contact@cc-des-sucs.fr" TargetMode="External" Id="rId1783" /><Relationship Type="http://schemas.openxmlformats.org/officeDocument/2006/relationships/hyperlink" Target="https://www.cc-des-sucs.fr/" TargetMode="External" Id="rId1784" /><Relationship Type="http://schemas.openxmlformats.org/officeDocument/2006/relationships/hyperlink" Target="https://www.cc-des-sucs.fr/contact/" TargetMode="External" Id="rId1785" /><Relationship Type="http://schemas.openxmlformats.org/officeDocument/2006/relationships/hyperlink" Target="https://lannuaire.service-public.gouv.fr/auvergne-rhone-alpes/haute-loire/71cead4b-b2c2-4bd1-9938-7fa6daf0cd1c" TargetMode="External" Id="rId1786" /><Relationship Type="http://schemas.openxmlformats.org/officeDocument/2006/relationships/hyperlink" Target="mailto:cc.hautlignon@wanadoo.fr" TargetMode="External" Id="rId1787" /><Relationship Type="http://schemas.openxmlformats.org/officeDocument/2006/relationships/hyperlink" Target="https://www.cc-hautlignon.fr/" TargetMode="External" Id="rId1788" /><Relationship Type="http://schemas.openxmlformats.org/officeDocument/2006/relationships/hyperlink" Target="https://www.cc-hautlignon.fr/pages/site/contact/" TargetMode="External" Id="rId1789" /><Relationship Type="http://schemas.openxmlformats.org/officeDocument/2006/relationships/hyperlink" Target="https://lannuaire.service-public.gouv.fr/auvergne-rhone-alpes/haute-loire/50f9ed2f-39ff-4959-8954-482beaf753a9" TargetMode="External" Id="rId1790" /><Relationship Type="http://schemas.openxmlformats.org/officeDocument/2006/relationships/hyperlink" Target="mailto:accueil@cc-chateaubriant-derval.fr" TargetMode="External" Id="rId1791" /><Relationship Type="http://schemas.openxmlformats.org/officeDocument/2006/relationships/hyperlink" Target="https://www.cc-chateaubriant-derval.fr/" TargetMode="External" Id="rId1792" /><Relationship Type="http://schemas.openxmlformats.org/officeDocument/2006/relationships/hyperlink" Target="https://www.cc-chateaubriant-derval.fr/nous-contacter/" TargetMode="External" Id="rId1793" /><Relationship Type="http://schemas.openxmlformats.org/officeDocument/2006/relationships/hyperlink" Target="https://lannuaire.service-public.gouv.fr/pays-de-la-loire/loire-atlantique/ba69ec86-a06d-442b-bfdd-bd9bf934a98a" TargetMode="External" Id="rId1794" /><Relationship Type="http://schemas.openxmlformats.org/officeDocument/2006/relationships/hyperlink" Target="mailto:communaute@estuaire-sillon.fr" TargetMode="External" Id="rId1795" /><Relationship Type="http://schemas.openxmlformats.org/officeDocument/2006/relationships/hyperlink" Target="https://www.estuaire-sillon.fr/" TargetMode="External" Id="rId1796" /><Relationship Type="http://schemas.openxmlformats.org/officeDocument/2006/relationships/hyperlink" Target="https://www.estuaire-sillon.fr/nous-contacter-9.html" TargetMode="External" Id="rId1797" /><Relationship Type="http://schemas.openxmlformats.org/officeDocument/2006/relationships/hyperlink" Target="https://lannuaire.service-public.gouv.fr/pays-de-la-loire/loire-atlantique/6c019e24-4f59-4cbc-9280-b94998c3a2bc" TargetMode="External" Id="rId1798" /><Relationship Type="http://schemas.openxmlformats.org/officeDocument/2006/relationships/hyperlink" Target="mailto:grandlieu@grandlieu.fr" TargetMode="External" Id="rId1799" /><Relationship Type="http://schemas.openxmlformats.org/officeDocument/2006/relationships/hyperlink" Target="https://www.grandlieu.fr/" TargetMode="External" Id="rId1800" /><Relationship Type="http://schemas.openxmlformats.org/officeDocument/2006/relationships/hyperlink" Target="https://lannuaire.service-public.gouv.fr/pays-de-la-loire/loire-atlantique/020578c8-e284-44af-bb35-44054bd624cc" TargetMode="External" Id="rId1801" /><Relationship Type="http://schemas.openxmlformats.org/officeDocument/2006/relationships/hyperlink" Target="mailto:contact@ccsudretzatlantique.fr" TargetMode="External" Id="rId1802" /><Relationship Type="http://schemas.openxmlformats.org/officeDocument/2006/relationships/hyperlink" Target="https://www.sud-retz-atlantique.fr/" TargetMode="External" Id="rId1803" /><Relationship Type="http://schemas.openxmlformats.org/officeDocument/2006/relationships/hyperlink" Target="https://www.sud-retz-atlantique.fr/sud-retz-atlantique-communaute-de-communes-sra-contact/" TargetMode="External" Id="rId1804" /><Relationship Type="http://schemas.openxmlformats.org/officeDocument/2006/relationships/hyperlink" Target="https://lannuaire.service-public.gouv.fr/pays-de-la-loire/loire-atlantique/2baeef5a-eb65-4f3b-b057-a4c7dca03ee9" TargetMode="External" Id="rId1805" /><Relationship Type="http://schemas.openxmlformats.org/officeDocument/2006/relationships/hyperlink" Target="mailto:contact@cc-sevreloire.fr" TargetMode="External" Id="rId1806" /><Relationship Type="http://schemas.openxmlformats.org/officeDocument/2006/relationships/hyperlink" Target="https://www.cc-sevreloire.fr/" TargetMode="External" Id="rId1807" /><Relationship Type="http://schemas.openxmlformats.org/officeDocument/2006/relationships/hyperlink" Target="https://interco.cc-sevreloire.fr/contact/" TargetMode="External" Id="rId1808" /><Relationship Type="http://schemas.openxmlformats.org/officeDocument/2006/relationships/hyperlink" Target="https://lannuaire.service-public.gouv.fr/pays-de-la-loire/loire-atlantique/c167afc5-780e-496c-a2a2-5383c3dc34c5" TargetMode="External" Id="rId1809" /><Relationship Type="http://schemas.openxmlformats.org/officeDocument/2006/relationships/hyperlink" Target="mailto:contact@cceg.fr" TargetMode="External" Id="rId1810" /><Relationship Type="http://schemas.openxmlformats.org/officeDocument/2006/relationships/hyperlink" Target="https://www.cceg.fr/" TargetMode="External" Id="rId1811" /><Relationship Type="http://schemas.openxmlformats.org/officeDocument/2006/relationships/hyperlink" Target="https://www.cceg.fr/informations-pratiques/contact" TargetMode="External" Id="rId1812" /><Relationship Type="http://schemas.openxmlformats.org/officeDocument/2006/relationships/hyperlink" Target="https://lannuaire.service-public.gouv.fr/pays-de-la-loire/loire-atlantique/5f782c25-fb66-4605-83ea-7bcc10a4b394" TargetMode="External" Id="rId1813" /><Relationship Type="http://schemas.openxmlformats.org/officeDocument/2006/relationships/hyperlink" Target="mailto:accueil@cc-nozay.fr" TargetMode="External" Id="rId1814" /><Relationship Type="http://schemas.openxmlformats.org/officeDocument/2006/relationships/hyperlink" Target="https://www.cc-nozay.fr/" TargetMode="External" Id="rId1815" /><Relationship Type="http://schemas.openxmlformats.org/officeDocument/2006/relationships/hyperlink" Target="https://www.cc-nozay.fr/systeme/contact/" TargetMode="External" Id="rId1816" /><Relationship Type="http://schemas.openxmlformats.org/officeDocument/2006/relationships/hyperlink" Target="https://lannuaire.service-public.gouv.fr/pays-de-la-loire/loire-atlantique/21af4b1b-3ed3-4194-834b-62962dc1591b" TargetMode="External" Id="rId1817" /><Relationship Type="http://schemas.openxmlformats.org/officeDocument/2006/relationships/hyperlink" Target="mailto:compa@pays-ancenis.com" TargetMode="External" Id="rId1818" /><Relationship Type="http://schemas.openxmlformats.org/officeDocument/2006/relationships/hyperlink" Target="https://www.pays-ancenis.com/" TargetMode="External" Id="rId1819" /><Relationship Type="http://schemas.openxmlformats.org/officeDocument/2006/relationships/hyperlink" Target="https://www.pays-ancenis.com/formulaires/formulaire-de-contact-compa" TargetMode="External" Id="rId1820" /><Relationship Type="http://schemas.openxmlformats.org/officeDocument/2006/relationships/hyperlink" Target="https://lannuaire.service-public.gouv.fr/pays-de-la-loire/loire-atlantique/ee1d6428-34c7-469f-9b68-afccfaa503ba" TargetMode="External" Id="rId1821" /><Relationship Type="http://schemas.openxmlformats.org/officeDocument/2006/relationships/hyperlink" Target="mailto:accueil@paysdeblain.fr" TargetMode="External" Id="rId1822" /><Relationship Type="http://schemas.openxmlformats.org/officeDocument/2006/relationships/hyperlink" Target="https://www.pays-de-blain.com/" TargetMode="External" Id="rId1823" /><Relationship Type="http://schemas.openxmlformats.org/officeDocument/2006/relationships/hyperlink" Target="https://www.pays-de-blain.com/contact/" TargetMode="External" Id="rId1824" /><Relationship Type="http://schemas.openxmlformats.org/officeDocument/2006/relationships/hyperlink" Target="https://lannuaire.service-public.gouv.fr/pays-de-la-loire/loire-atlantique/231e2c6a-ce58-492c-8c0f-672f0c954d9e" TargetMode="External" Id="rId1825" /><Relationship Type="http://schemas.openxmlformats.org/officeDocument/2006/relationships/hyperlink" Target="mailto:accueil@cc-paysdepontchateau.fr" TargetMode="External" Id="rId1826" /><Relationship Type="http://schemas.openxmlformats.org/officeDocument/2006/relationships/hyperlink" Target="https://www.cc-paysdepontchateau.fr/" TargetMode="External" Id="rId1827" /><Relationship Type="http://schemas.openxmlformats.org/officeDocument/2006/relationships/hyperlink" Target="https://www.cc-paysdepontchateau.fr/systeme/contact/" TargetMode="External" Id="rId1828" /><Relationship Type="http://schemas.openxmlformats.org/officeDocument/2006/relationships/hyperlink" Target="https://lannuaire.service-public.gouv.fr/pays-de-la-loire/loire-atlantique/ef45cd0d-d5e6-480c-bf24-277f9b6d350c" TargetMode="External" Id="rId1829" /><Relationship Type="http://schemas.openxmlformats.org/officeDocument/2006/relationships/hyperlink" Target="mailto:info@cc-sudestuaire.fr" TargetMode="External" Id="rId1830" /><Relationship Type="http://schemas.openxmlformats.org/officeDocument/2006/relationships/hyperlink" Target="http://www.cc-sudestuaire.fr" TargetMode="External" Id="rId1831" /><Relationship Type="http://schemas.openxmlformats.org/officeDocument/2006/relationships/hyperlink" Target="http://www.cc-sudestuaire.fr/contact/" TargetMode="External" Id="rId1832" /><Relationship Type="http://schemas.openxmlformats.org/officeDocument/2006/relationships/hyperlink" Target="https://lannuaire.service-public.gouv.fr/pays-de-la-loire/loire-atlantique/b67892c3-e85e-4bbc-9f71-1219248ac078" TargetMode="External" Id="rId1833" /><Relationship Type="http://schemas.openxmlformats.org/officeDocument/2006/relationships/hyperlink" Target="mailto:contact@cc-berryloirepuisaye.fr" TargetMode="External" Id="rId1834" /><Relationship Type="http://schemas.openxmlformats.org/officeDocument/2006/relationships/hyperlink" Target="https://cc-berryloirepuisaye.fr/fr/" TargetMode="External" Id="rId1835" /><Relationship Type="http://schemas.openxmlformats.org/officeDocument/2006/relationships/hyperlink" Target="https://cc-berryloirepuisaye.fr/fr/" TargetMode="External" Id="rId1836" /><Relationship Type="http://schemas.openxmlformats.org/officeDocument/2006/relationships/hyperlink" Target="https://lannuaire.service-public.gouv.fr/centre-val-de-loire/loiret/50a3d8c1-3477-48b3-9af2-9c55b5902194" TargetMode="External" Id="rId1837" /><Relationship Type="http://schemas.openxmlformats.org/officeDocument/2006/relationships/hyperlink" Target="mailto:accueil@comcomcfg.fr" TargetMode="External" Id="rId1838" /><Relationship Type="http://schemas.openxmlformats.org/officeDocument/2006/relationships/hyperlink" Target="https://www.comcomcfg.fr/" TargetMode="External" Id="rId1839" /><Relationship Type="http://schemas.openxmlformats.org/officeDocument/2006/relationships/hyperlink" Target="https://www.comcomcfg.fr/communaute-communes-cfg-contact-acces_fr.html" TargetMode="External" Id="rId1840" /><Relationship Type="http://schemas.openxmlformats.org/officeDocument/2006/relationships/hyperlink" Target="https://lannuaire.service-public.gouv.fr/centre-val-de-loire/loiret/2fd36bdf-ac79-4781-8189-0f4ab0aaa1b1" TargetMode="External" Id="rId1841" /><Relationship Type="http://schemas.openxmlformats.org/officeDocument/2006/relationships/hyperlink" Target="mailto:direction@cc-giennoises.fr" TargetMode="External" Id="rId1842" /><Relationship Type="http://schemas.openxmlformats.org/officeDocument/2006/relationships/hyperlink" Target="https://www.legiennois.fr/" TargetMode="External" Id="rId1843" /><Relationship Type="http://schemas.openxmlformats.org/officeDocument/2006/relationships/hyperlink" Target="https://www.cc-giennoises.fr/contact/" TargetMode="External" Id="rId1844" /><Relationship Type="http://schemas.openxmlformats.org/officeDocument/2006/relationships/hyperlink" Target="https://lannuaire.service-public.gouv.fr/centre-val-de-loire/loiret/715aa30c-67fd-4348-9016-46d19cd1e5d9" TargetMode="External" Id="rId1845" /><Relationship Type="http://schemas.openxmlformats.org/officeDocument/2006/relationships/hyperlink" Target="mailto:contact@cc-beauceloiretaine.fr" TargetMode="External" Id="rId1846" /><Relationship Type="http://schemas.openxmlformats.org/officeDocument/2006/relationships/hyperlink" Target="https://www.cc-beauceloiretaine.fr/" TargetMode="External" Id="rId1847" /><Relationship Type="http://schemas.openxmlformats.org/officeDocument/2006/relationships/hyperlink" Target="https://www.cc-beauceloiretaine.fr/systeme/nous-contacter/" TargetMode="External" Id="rId1848" /><Relationship Type="http://schemas.openxmlformats.org/officeDocument/2006/relationships/hyperlink" Target="https://lannuaire.service-public.gouv.fr/centre-val-de-loire/loiret/1e0f58ad-6231-49a5-b7e0-e4202dcbcee7" TargetMode="External" Id="rId1849" /><Relationship Type="http://schemas.openxmlformats.org/officeDocument/2006/relationships/hyperlink" Target="mailto:accueil@3cbo.fr" TargetMode="External" Id="rId1850" /><Relationship Type="http://schemas.openxmlformats.org/officeDocument/2006/relationships/hyperlink" Target="https://www.3cbo.fr/" TargetMode="External" Id="rId1851" /><Relationship Type="http://schemas.openxmlformats.org/officeDocument/2006/relationships/hyperlink" Target="https://www.3cbo.fr/contact/" TargetMode="External" Id="rId1852" /><Relationship Type="http://schemas.openxmlformats.org/officeDocument/2006/relationships/hyperlink" Target="https://lannuaire.service-public.gouv.fr/centre-val-de-loire/loiret/d7afa4b9-2de1-452a-9730-55a77b34c139" TargetMode="External" Id="rId1853" /><Relationship Type="http://schemas.openxmlformats.org/officeDocument/2006/relationships/hyperlink" Target="mailto:contact@cc-foret.fr" TargetMode="External" Id="rId1854" /><Relationship Type="http://schemas.openxmlformats.org/officeDocument/2006/relationships/hyperlink" Target="https://www.cc-foret.fr/" TargetMode="External" Id="rId1855" /><Relationship Type="http://schemas.openxmlformats.org/officeDocument/2006/relationships/hyperlink" Target="https://lannuaire.service-public.gouv.fr/centre-val-de-loire/loiret/fab2e052-a94f-4590-b98c-06ff6d37cf01" TargetMode="External" Id="rId1856" /><Relationship Type="http://schemas.openxmlformats.org/officeDocument/2006/relationships/hyperlink" Target="mailto:accueil@cc-plaine-nord-loiret.fr" TargetMode="External" Id="rId1857" /><Relationship Type="http://schemas.openxmlformats.org/officeDocument/2006/relationships/hyperlink" Target="https://cc-plaine-nord-loiret.fr/" TargetMode="External" Id="rId1858" /><Relationship Type="http://schemas.openxmlformats.org/officeDocument/2006/relationships/hyperlink" Target="https://lannuaire.service-public.gouv.fr/centre-val-de-loire/loiret/93e3d19d-4255-441d-bf45-1348d23f6216" TargetMode="External" Id="rId1859" /><Relationship Type="http://schemas.openxmlformats.org/officeDocument/2006/relationships/hyperlink" Target="mailto:secretariat@cc-loges.fr" TargetMode="External" Id="rId1860" /><Relationship Type="http://schemas.openxmlformats.org/officeDocument/2006/relationships/hyperlink" Target="https://www.cc-loges.fr/" TargetMode="External" Id="rId1861" /><Relationship Type="http://schemas.openxmlformats.org/officeDocument/2006/relationships/hyperlink" Target="https://www.cc-loges.fr/systeme/nous-contacter/" TargetMode="External" Id="rId1862" /><Relationship Type="http://schemas.openxmlformats.org/officeDocument/2006/relationships/hyperlink" Target="https://lannuaire.service-public.gouv.fr/centre-val-de-loire/loiret/a3767d4d-7666-4c6a-bbd8-4728297ef8d8" TargetMode="External" Id="rId1863" /><Relationship Type="http://schemas.openxmlformats.org/officeDocument/2006/relationships/hyperlink" Target="mailto:ccps@ccportesdesologne.fr" TargetMode="External" Id="rId1864" /><Relationship Type="http://schemas.openxmlformats.org/officeDocument/2006/relationships/hyperlink" Target="https://www.ccportesdesologne.fr" TargetMode="External" Id="rId1865" /><Relationship Type="http://schemas.openxmlformats.org/officeDocument/2006/relationships/hyperlink" Target="https://www.ccportesdesologne.fr/nous-contacter/" TargetMode="External" Id="rId1866" /><Relationship Type="http://schemas.openxmlformats.org/officeDocument/2006/relationships/hyperlink" Target="https://lannuaire.service-public.gouv.fr/centre-val-de-loire/loiret/33558b18-417f-41af-978a-81911a2c8a11" TargetMode="External" Id="rId1867" /><Relationship Type="http://schemas.openxmlformats.org/officeDocument/2006/relationships/hyperlink" Target="mailto:secretariatcc4v@cc4v.fr" TargetMode="External" Id="rId1868" /><Relationship Type="http://schemas.openxmlformats.org/officeDocument/2006/relationships/hyperlink" Target="https://www.cc4v.fr/" TargetMode="External" Id="rId1869" /><Relationship Type="http://schemas.openxmlformats.org/officeDocument/2006/relationships/hyperlink" Target="https://www.cc4v.fr/contactez-nous" TargetMode="External" Id="rId1870" /><Relationship Type="http://schemas.openxmlformats.org/officeDocument/2006/relationships/hyperlink" Target="https://lannuaire.service-public.gouv.fr/centre-val-de-loire/loiret/842534ea-55e1-4d40-9d67-b8beeb6944e6" TargetMode="External" Id="rId1871" /><Relationship Type="http://schemas.openxmlformats.org/officeDocument/2006/relationships/hyperlink" Target="mailto:accueil@ccdp.fr" TargetMode="External" Id="rId1872" /><Relationship Type="http://schemas.openxmlformats.org/officeDocument/2006/relationships/hyperlink" Target="https://www.ccdp.fr/" TargetMode="External" Id="rId1873" /><Relationship Type="http://schemas.openxmlformats.org/officeDocument/2006/relationships/hyperlink" Target="https://www.ccdp.fr/systeme/nous-contacter/" TargetMode="External" Id="rId1874" /><Relationship Type="http://schemas.openxmlformats.org/officeDocument/2006/relationships/hyperlink" Target="https://lannuaire.service-public.gouv.fr/centre-val-de-loire/loiret/9da445e5-9bf3-4785-a0c2-872039854cce" TargetMode="External" Id="rId1875" /><Relationship Type="http://schemas.openxmlformats.org/officeDocument/2006/relationships/hyperlink" Target="mailto:accueil.beaunois@pithiveraisgatinais.fr" TargetMode="External" Id="rId1876" /><Relationship Type="http://schemas.openxmlformats.org/officeDocument/2006/relationships/hyperlink" Target="https://www.pithiveraisgatinais.fr/" TargetMode="External" Id="rId1877" /><Relationship Type="http://schemas.openxmlformats.org/officeDocument/2006/relationships/hyperlink" Target="https://www.pithiveraisgatinais.fr/nous-contacter/" TargetMode="External" Id="rId1878" /><Relationship Type="http://schemas.openxmlformats.org/officeDocument/2006/relationships/hyperlink" Target="https://lannuaire.service-public.gouv.fr/centre-val-de-loire/loiret/97726be2-fe54-4048-8ac2-90d34977d916" TargetMode="External" Id="rId1879" /><Relationship Type="http://schemas.openxmlformats.org/officeDocument/2006/relationships/hyperlink" Target="mailto:accueil@valdesully.fr" TargetMode="External" Id="rId1880" /><Relationship Type="http://schemas.openxmlformats.org/officeDocument/2006/relationships/hyperlink" Target="https://valdesully.fr/" TargetMode="External" Id="rId1881" /><Relationship Type="http://schemas.openxmlformats.org/officeDocument/2006/relationships/hyperlink" Target="https://valdesully.fr/contact" TargetMode="External" Id="rId1882" /><Relationship Type="http://schemas.openxmlformats.org/officeDocument/2006/relationships/hyperlink" Target="https://lannuaire.service-public.gouv.fr/centre-val-de-loire/loiret/268be038-b2bf-4d16-ba64-fe0fb41bba11" TargetMode="External" Id="rId1883" /><Relationship Type="http://schemas.openxmlformats.org/officeDocument/2006/relationships/hyperlink" Target="mailto:contact@cauvaldor.fr" TargetMode="External" Id="rId1884" /><Relationship Type="http://schemas.openxmlformats.org/officeDocument/2006/relationships/hyperlink" Target="https://www.cauvaldor.fr/" TargetMode="External" Id="rId1885" /><Relationship Type="http://schemas.openxmlformats.org/officeDocument/2006/relationships/hyperlink" Target="https://lannuaire.service-public.gouv.fr/occitanie/lot/4934c59d-9a8f-44de-8b13-ec71033348c9" TargetMode="External" Id="rId1886" /><Relationship Type="http://schemas.openxmlformats.org/officeDocument/2006/relationships/hyperlink" Target="mailto:accueil@cc-cazalssalviac.fr" TargetMode="External" Id="rId1887" /><Relationship Type="http://schemas.openxmlformats.org/officeDocument/2006/relationships/hyperlink" Target="https://www.cc-cazalssalviac.fr/" TargetMode="External" Id="rId1888" /><Relationship Type="http://schemas.openxmlformats.org/officeDocument/2006/relationships/hyperlink" Target="https://www.cc-cazalssalviac.fr/pied-de-page/contact" TargetMode="External" Id="rId1889" /><Relationship Type="http://schemas.openxmlformats.org/officeDocument/2006/relationships/hyperlink" Target="https://lannuaire.service-public.gouv.fr/occitanie/lot/4fb3e530-d953-455c-ad5d-67468bb53d09" TargetMode="External" Id="rId1890" /><Relationship Type="http://schemas.openxmlformats.org/officeDocument/2006/relationships/hyperlink" Target="mailto:contact@ccqb.fr" TargetMode="External" Id="rId1891" /><Relationship Type="http://schemas.openxmlformats.org/officeDocument/2006/relationships/hyperlink" Target="https://ccqb.fr/" TargetMode="External" Id="rId1892" /><Relationship Type="http://schemas.openxmlformats.org/officeDocument/2006/relationships/hyperlink" Target="https://ccqb.fr/" TargetMode="External" Id="rId1893" /><Relationship Type="http://schemas.openxmlformats.org/officeDocument/2006/relationships/hyperlink" Target="https://lannuaire.service-public.gouv.fr/occitanie/lot/69c93204-2451-41a4-abc2-5b93606b6973" TargetMode="External" Id="rId1894" /><Relationship Type="http://schemas.openxmlformats.org/officeDocument/2006/relationships/hyperlink" Target="mailto:lot.vignoble@ccvlv.fr" TargetMode="External" Id="rId1895" /><Relationship Type="http://schemas.openxmlformats.org/officeDocument/2006/relationships/hyperlink" Target="http://www.cc-lot-vignoble.fr" TargetMode="External" Id="rId1896" /><Relationship Type="http://schemas.openxmlformats.org/officeDocument/2006/relationships/hyperlink" Target="https://ccvlv.fr/contact/" TargetMode="External" Id="rId1897" /><Relationship Type="http://schemas.openxmlformats.org/officeDocument/2006/relationships/hyperlink" Target="https://lannuaire.service-public.gouv.fr/occitanie/lot/69e0e4c0-0b1e-4917-9dc9-3204ef448676" TargetMode="External" Id="rId1898" /><Relationship Type="http://schemas.openxmlformats.org/officeDocument/2006/relationships/hyperlink" Target="mailto:contact@cc-labastide-murat.fr" TargetMode="External" Id="rId1899" /><Relationship Type="http://schemas.openxmlformats.org/officeDocument/2006/relationships/hyperlink" Target="https://www.cc-labastide-murat.fr/" TargetMode="External" Id="rId1900" /><Relationship Type="http://schemas.openxmlformats.org/officeDocument/2006/relationships/hyperlink" Target="https://lannuaire.service-public.gouv.fr/occitanie/lot/3fbe5157-ee53-4b22-bb46-f7e26ae4c445" TargetMode="External" Id="rId1901" /><Relationship Type="http://schemas.openxmlformats.org/officeDocument/2006/relationships/hyperlink" Target="mailto:contact@ccpll.fr" TargetMode="External" Id="rId1902" /><Relationship Type="http://schemas.openxmlformats.org/officeDocument/2006/relationships/hyperlink" Target="https://www.cc-lalbenque-limogne.fr/" TargetMode="External" Id="rId1903" /><Relationship Type="http://schemas.openxmlformats.org/officeDocument/2006/relationships/hyperlink" Target="https://www.cc-lalbenque-limogne.fr/systeme/nous-contacter/" TargetMode="External" Id="rId1904" /><Relationship Type="http://schemas.openxmlformats.org/officeDocument/2006/relationships/hyperlink" Target="https://lannuaire.service-public.gouv.fr/occitanie/lot/17816680-2186-458b-a0d7-31f1592a6fa3" TargetMode="External" Id="rId1905" /><Relationship Type="http://schemas.openxmlformats.org/officeDocument/2006/relationships/hyperlink" Target="mailto:contact@ccquercyblanc.fr" TargetMode="External" Id="rId1906" /><Relationship Type="http://schemas.openxmlformats.org/officeDocument/2006/relationships/hyperlink" Target="https://www.ccquercyblanc.fr/" TargetMode="External" Id="rId1907" /><Relationship Type="http://schemas.openxmlformats.org/officeDocument/2006/relationships/hyperlink" Target="https://www.ccquercyblanc.fr/contact/" TargetMode="External" Id="rId1908" /><Relationship Type="http://schemas.openxmlformats.org/officeDocument/2006/relationships/hyperlink" Target="https://lannuaire.service-public.gouv.fr/occitanie/lot/c17aac7a-6868-4355-a1a2-65f724a8eef8" TargetMode="External" Id="rId1909" /><Relationship Type="http://schemas.openxmlformats.org/officeDocument/2006/relationships/hyperlink" Target="mailto:contact@albretcommunaute.fr" TargetMode="External" Id="rId1910" /><Relationship Type="http://schemas.openxmlformats.org/officeDocument/2006/relationships/hyperlink" Target="https://www.albretcommunaute.fr/" TargetMode="External" Id="rId1911" /><Relationship Type="http://schemas.openxmlformats.org/officeDocument/2006/relationships/hyperlink" Target="https://www.albretcommunaute.fr/formulaire-de-contact" TargetMode="External" Id="rId1912" /><Relationship Type="http://schemas.openxmlformats.org/officeDocument/2006/relationships/hyperlink" Target="https://lannuaire.service-public.gouv.fr/nouvelle-aquitaine/lot-et-garonne/a9082f50-d1fe-4b75-8fe1-80f184faa2ba" TargetMode="External" Id="rId1913" /><Relationship Type="http://schemas.openxmlformats.org/officeDocument/2006/relationships/hyperlink" Target="mailto:ccfl@cc-dufumelois.fr" TargetMode="External" Id="rId1914" /><Relationship Type="http://schemas.openxmlformats.org/officeDocument/2006/relationships/hyperlink" Target="https://www.fumelvalleedulot.com/" TargetMode="External" Id="rId1915" /><Relationship Type="http://schemas.openxmlformats.org/officeDocument/2006/relationships/hyperlink" Target="https://lannuaire.service-public.gouv.fr/nouvelle-aquitaine/lot-et-garonne/3516ebbf-7c32-4ff2-bd22-1c6ead929a0c" TargetMode="External" Id="rId1916" /><Relationship Type="http://schemas.openxmlformats.org/officeDocument/2006/relationships/hyperlink" Target="mailto:contact@cclt.fr" TargetMode="External" Id="rId1917" /><Relationship Type="http://schemas.openxmlformats.org/officeDocument/2006/relationships/hyperlink" Target="https://www.lotettolzac.fr" TargetMode="External" Id="rId1918" /><Relationship Type="http://schemas.openxmlformats.org/officeDocument/2006/relationships/hyperlink" Target="https://lannuaire.service-public.gouv.fr/nouvelle-aquitaine/lot-et-garonne/28c07be9-52a3-4ad6-abed-c2ed739b718f" TargetMode="External" Id="rId1919" /><Relationship Type="http://schemas.openxmlformats.org/officeDocument/2006/relationships/hyperlink" Target="mailto:contact@ccbastides47.com" TargetMode="External" Id="rId1920" /><Relationship Type="http://schemas.openxmlformats.org/officeDocument/2006/relationships/hyperlink" Target="https://www.ccbastides47.com/" TargetMode="External" Id="rId1921" /><Relationship Type="http://schemas.openxmlformats.org/officeDocument/2006/relationships/hyperlink" Target="https://www.ccbastides47.com/contact/" TargetMode="External" Id="rId1922" /><Relationship Type="http://schemas.openxmlformats.org/officeDocument/2006/relationships/hyperlink" Target="https://lannuaire.service-public.gouv.fr/nouvelle-aquitaine/lot-et-garonne/7f716937-4ea9-4257-ab6f-c52099b48791" TargetMode="External" Id="rId1923" /><Relationship Type="http://schemas.openxmlformats.org/officeDocument/2006/relationships/hyperlink" Target="mailto:accueil@3clg.fr" TargetMode="External" Id="rId1924" /><Relationship Type="http://schemas.openxmlformats.org/officeDocument/2006/relationships/hyperlink" Target="https://cc-coteaux-landes-gascogne.fr/" TargetMode="External" Id="rId1925" /><Relationship Type="http://schemas.openxmlformats.org/officeDocument/2006/relationships/hyperlink" Target="https://cc-coteaux-landes-gascogne.fr/contact/" TargetMode="External" Id="rId1926" /><Relationship Type="http://schemas.openxmlformats.org/officeDocument/2006/relationships/hyperlink" Target="https://lannuaire.service-public.gouv.fr/nouvelle-aquitaine/lot-et-garonne/4ab09c49-1180-4602-ac46-a318e1377101" TargetMode="External" Id="rId1927" /><Relationship Type="http://schemas.openxmlformats.org/officeDocument/2006/relationships/hyperlink" Target="mailto:secretariat@ccconfluent.fr" TargetMode="External" Id="rId1928" /><Relationship Type="http://schemas.openxmlformats.org/officeDocument/2006/relationships/hyperlink" Target="https://www.communauteduconfluent.com/" TargetMode="External" Id="rId1929" /><Relationship Type="http://schemas.openxmlformats.org/officeDocument/2006/relationships/hyperlink" Target="https://lannuaire.service-public.gouv.fr/nouvelle-aquitaine/lot-et-garonne/7bb866c0-9103-4247-91cd-47f63c7f720a" TargetMode="External" Id="rId1930" /><Relationship Type="http://schemas.openxmlformats.org/officeDocument/2006/relationships/hyperlink" Target="mailto:bienvenue@comdecomduras.fr" TargetMode="External" Id="rId1931" /><Relationship Type="http://schemas.openxmlformats.org/officeDocument/2006/relationships/hyperlink" Target="https://cc-paysdeduras.fr/fr/" TargetMode="External" Id="rId1932" /><Relationship Type="http://schemas.openxmlformats.org/officeDocument/2006/relationships/hyperlink" Target="https://cc-paysdeduras.fr/fr/" TargetMode="External" Id="rId1933" /><Relationship Type="http://schemas.openxmlformats.org/officeDocument/2006/relationships/hyperlink" Target="https://lannuaire.service-public.gouv.fr/nouvelle-aquitaine/lot-et-garonne/2df0cfe5-fa6a-4668-8781-44f7e6c08fd3" TargetMode="External" Id="rId1934" /><Relationship Type="http://schemas.openxmlformats.org/officeDocument/2006/relationships/hyperlink" Target="mailto:communautecommunes@ccpl47.fr" TargetMode="External" Id="rId1935" /><Relationship Type="http://schemas.openxmlformats.org/officeDocument/2006/relationships/hyperlink" Target="https://www.ccpl47.fr/" TargetMode="External" Id="rId1936" /><Relationship Type="http://schemas.openxmlformats.org/officeDocument/2006/relationships/hyperlink" Target="https://www.paysdelauzun.com/contact/" TargetMode="External" Id="rId1937" /><Relationship Type="http://schemas.openxmlformats.org/officeDocument/2006/relationships/hyperlink" Target="https://lannuaire.service-public.gouv.fr/nouvelle-aquitaine/lot-et-garonne/f7684e2d-4807-4116-bf23-7dc4f2002d7d" TargetMode="External" Id="rId1938" /><Relationship Type="http://schemas.openxmlformats.org/officeDocument/2006/relationships/hyperlink" Target="mailto:contact@ccalct.fr" TargetMode="External" Id="rId1939" /><Relationship Type="http://schemas.openxmlformats.org/officeDocument/2006/relationships/hyperlink" Target="https://www.ccalct.fr/" TargetMode="External" Id="rId1940" /><Relationship Type="http://schemas.openxmlformats.org/officeDocument/2006/relationships/hyperlink" Target="https://www.ccalct.fr/contact/" TargetMode="External" Id="rId1941" /><Relationship Type="http://schemas.openxmlformats.org/officeDocument/2006/relationships/hyperlink" Target="https://lannuaire.service-public.gouv.fr/occitanie/lozere/1bcf7552-0ff0-48b5-97fc-4ccfb809c710" TargetMode="External" Id="rId1942" /><Relationship Type="http://schemas.openxmlformats.org/officeDocument/2006/relationships/hyperlink" Target="mailto:directiongenerale@coeurdelozere.fr" TargetMode="External" Id="rId1943" /><Relationship Type="http://schemas.openxmlformats.org/officeDocument/2006/relationships/hyperlink" Target="https://coeurdelozere.fr/" TargetMode="External" Id="rId1944" /><Relationship Type="http://schemas.openxmlformats.org/officeDocument/2006/relationships/hyperlink" Target="https://coeurdelozere.fr/contact/" TargetMode="External" Id="rId1945" /><Relationship Type="http://schemas.openxmlformats.org/officeDocument/2006/relationships/hyperlink" Target="https://lannuaire.service-public.gouv.fr/occitanie/lozere/23d3eb3c-fb47-40bc-9989-731cb765f789" TargetMode="External" Id="rId1946" /><Relationship Type="http://schemas.openxmlformats.org/officeDocument/2006/relationships/hyperlink" Target="mailto:contact@ccgcc48.fr" TargetMode="External" Id="rId1947" /><Relationship Type="http://schemas.openxmlformats.org/officeDocument/2006/relationships/hyperlink" Target="https://www.gorgescaussescevennes.fr/" TargetMode="External" Id="rId1948" /><Relationship Type="http://schemas.openxmlformats.org/officeDocument/2006/relationships/hyperlink" Target="https://www.gorgescaussescevennes.fr/contact-communaute-de-commune-lozere-48_fr.html" TargetMode="External" Id="rId1949" /><Relationship Type="http://schemas.openxmlformats.org/officeDocument/2006/relationships/hyperlink" Target="https://lannuaire.service-public.gouv.fr/occitanie/lozere/c2962cb7-65e0-4004-b519-466e722e2781" TargetMode="External" Id="rId1950" /><Relationship Type="http://schemas.openxmlformats.org/officeDocument/2006/relationships/hyperlink" Target="mailto:accueil@randon-margeride.fr" TargetMode="External" Id="rId1951" /><Relationship Type="http://schemas.openxmlformats.org/officeDocument/2006/relationships/hyperlink" Target="https://www.randonmargeride.fr/" TargetMode="External" Id="rId1952" /><Relationship Type="http://schemas.openxmlformats.org/officeDocument/2006/relationships/hyperlink" Target="https://www.randonmargeride.fr/contact-communaute-de-communes-randon-margeride-48-lozere" TargetMode="External" Id="rId1953" /><Relationship Type="http://schemas.openxmlformats.org/officeDocument/2006/relationships/hyperlink" Target="https://lannuaire.service-public.gouv.fr/occitanie/lozere/8c263608-8c1f-4b18-8478-ba2f0c581689" TargetMode="External" Id="rId1954" /><Relationship Type="http://schemas.openxmlformats.org/officeDocument/2006/relationships/hyperlink" Target="mailto:contact@cevennes-mont-lozere.fr" TargetMode="External" Id="rId1955" /><Relationship Type="http://schemas.openxmlformats.org/officeDocument/2006/relationships/hyperlink" Target="https://www.cevennes-mont-lozere.fr/" TargetMode="External" Id="rId1956" /><Relationship Type="http://schemas.openxmlformats.org/officeDocument/2006/relationships/hyperlink" Target="https://lannuaire.service-public.gouv.fr/occitanie/lozere/92faeeee-1edc-4cea-ad0b-a0ee85aa9b19" TargetMode="External" Id="rId1957" /><Relationship Type="http://schemas.openxmlformats.org/officeDocument/2006/relationships/hyperlink" Target="mailto:ccht48310@gmail.com" TargetMode="External" Id="rId1958" /><Relationship Type="http://schemas.openxmlformats.org/officeDocument/2006/relationships/hyperlink" Target="https://hautes-terres-aubrac.fr/" TargetMode="External" Id="rId1959" /><Relationship Type="http://schemas.openxmlformats.org/officeDocument/2006/relationships/hyperlink" Target="https://hautes-terres-aubrac.fr/contact/" TargetMode="External" Id="rId1960" /><Relationship Type="http://schemas.openxmlformats.org/officeDocument/2006/relationships/hyperlink" Target="https://lannuaire.service-public.gouv.fr/occitanie/lozere/702f230d-75c8-4a57-b143-cf3f2d78bc94" TargetMode="External" Id="rId1961" /><Relationship Type="http://schemas.openxmlformats.org/officeDocument/2006/relationships/hyperlink" Target="mailto:contact@cctama.fr" TargetMode="External" Id="rId1962" /><Relationship Type="http://schemas.openxmlformats.org/officeDocument/2006/relationships/hyperlink" Target="https://www.cctama.fr/" TargetMode="External" Id="rId1963" /><Relationship Type="http://schemas.openxmlformats.org/officeDocument/2006/relationships/hyperlink" Target="https://www.cctama.fr/contact/" TargetMode="External" Id="rId1964" /><Relationship Type="http://schemas.openxmlformats.org/officeDocument/2006/relationships/hyperlink" Target="https://lannuaire.service-public.gouv.fr/occitanie/lozere/3aa1a9a6-e89f-49b7-b496-36cf3f71c65a" TargetMode="External" Id="rId1965" /><Relationship Type="http://schemas.openxmlformats.org/officeDocument/2006/relationships/hyperlink" Target="mailto:accueil@cc-gevaudan.fr" TargetMode="External" Id="rId1966" /><Relationship Type="http://schemas.openxmlformats.org/officeDocument/2006/relationships/hyperlink" Target="https://www.cc-gevaudan.fr/" TargetMode="External" Id="rId1967" /><Relationship Type="http://schemas.openxmlformats.org/officeDocument/2006/relationships/hyperlink" Target="https://www.cc-gevaudan.fr/nous-contacter/" TargetMode="External" Id="rId1968" /><Relationship Type="http://schemas.openxmlformats.org/officeDocument/2006/relationships/hyperlink" Target="https://lannuaire.service-public.gouv.fr/occitanie/lozere/18a8229b-be7f-449c-a1d1-3c9bdc864bde" TargetMode="External" Id="rId1969" /><Relationship Type="http://schemas.openxmlformats.org/officeDocument/2006/relationships/hyperlink" Target="mailto:ccham@ccham-langogne.com" TargetMode="External" Id="rId1970" /><Relationship Type="http://schemas.openxmlformats.org/officeDocument/2006/relationships/hyperlink" Target="https://ccha-langogne.com/" TargetMode="External" Id="rId1971" /><Relationship Type="http://schemas.openxmlformats.org/officeDocument/2006/relationships/hyperlink" Target="https://ccha-langogne.com/contacter-la-ccha/" TargetMode="External" Id="rId1972" /><Relationship Type="http://schemas.openxmlformats.org/officeDocument/2006/relationships/hyperlink" Target="https://lannuaire.service-public.gouv.fr/occitanie/lozere/6da03fa5-cea6-43b4-968b-e85ed9f814ce" TargetMode="External" Id="rId1973" /><Relationship Type="http://schemas.openxmlformats.org/officeDocument/2006/relationships/hyperlink" Target="mailto:contact@anjoubleucommunaute.fr" TargetMode="External" Id="rId1974" /><Relationship Type="http://schemas.openxmlformats.org/officeDocument/2006/relationships/hyperlink" Target="https://www.anjoubleucommunaute.fr/" TargetMode="External" Id="rId1975" /><Relationship Type="http://schemas.openxmlformats.org/officeDocument/2006/relationships/hyperlink" Target="https://www.anjoubleucommunaute.fr/systeme/contact/" TargetMode="External" Id="rId1976" /><Relationship Type="http://schemas.openxmlformats.org/officeDocument/2006/relationships/hyperlink" Target="https://lannuaire.service-public.gouv.fr/pays-de-la-loire/maine-et-loire/98ea9a55-0ad7-4bad-9b5d-58daf9a3798a" TargetMode="External" Id="rId1977" /><Relationship Type="http://schemas.openxmlformats.org/officeDocument/2006/relationships/hyperlink" Target="mailto:contact@ccals.fr" TargetMode="External" Id="rId1978" /><Relationship Type="http://schemas.openxmlformats.org/officeDocument/2006/relationships/hyperlink" Target="https://www.ccals.fr" TargetMode="External" Id="rId1979" /><Relationship Type="http://schemas.openxmlformats.org/officeDocument/2006/relationships/hyperlink" Target="https://www.ccals.fr/systeme/contact/" TargetMode="External" Id="rId1980" /><Relationship Type="http://schemas.openxmlformats.org/officeDocument/2006/relationships/hyperlink" Target="https://lannuaire.service-public.gouv.fr/pays-de-la-loire/maine-et-loire/dc36b42c-213a-41b9-adda-c2d4c084fc20" TargetMode="External" Id="rId1981" /><Relationship Type="http://schemas.openxmlformats.org/officeDocument/2006/relationships/hyperlink" Target="mailto:president@baugeoisvallee.fr" TargetMode="External" Id="rId1982" /><Relationship Type="http://schemas.openxmlformats.org/officeDocument/2006/relationships/hyperlink" Target="https://www.baugeoisvallee.fr/" TargetMode="External" Id="rId1983" /><Relationship Type="http://schemas.openxmlformats.org/officeDocument/2006/relationships/hyperlink" Target="https://www.baugeoisvallee.fr/contact-9.html" TargetMode="External" Id="rId1984" /><Relationship Type="http://schemas.openxmlformats.org/officeDocument/2006/relationships/hyperlink" Target="https://lannuaire.service-public.gouv.fr/pays-de-la-loire/maine-et-loire/848aea1c-7bef-495d-95f4-567cbe2e0969" TargetMode="External" Id="rId1985" /><Relationship Type="http://schemas.openxmlformats.org/officeDocument/2006/relationships/hyperlink" Target="mailto:contact@loirelayonaubance.fr" TargetMode="External" Id="rId1986" /><Relationship Type="http://schemas.openxmlformats.org/officeDocument/2006/relationships/hyperlink" Target="https://loire-layon-aubance.fr/" TargetMode="External" Id="rId1987" /><Relationship Type="http://schemas.openxmlformats.org/officeDocument/2006/relationships/hyperlink" Target="https://www.loire-layon-aubance.fr/nous-contacter/" TargetMode="External" Id="rId1988" /><Relationship Type="http://schemas.openxmlformats.org/officeDocument/2006/relationships/hyperlink" Target="https://lannuaire.service-public.gouv.fr/pays-de-la-loire/maine-et-loire/abf86076-00e1-4949-b3e9-32b53b5e2f08" TargetMode="External" Id="rId1989" /><Relationship Type="http://schemas.openxmlformats.org/officeDocument/2006/relationships/hyperlink" Target="mailto:contact@valleesduhautanjou.fr" TargetMode="External" Id="rId1990" /><Relationship Type="http://schemas.openxmlformats.org/officeDocument/2006/relationships/hyperlink" Target="https://www.valleesduhautanjou.fr/" TargetMode="External" Id="rId1991" /><Relationship Type="http://schemas.openxmlformats.org/officeDocument/2006/relationships/hyperlink" Target="https://www.valleesduhautanjou.fr/contact/" TargetMode="External" Id="rId1992" /><Relationship Type="http://schemas.openxmlformats.org/officeDocument/2006/relationships/hyperlink" Target="https://lannuaire.service-public.gouv.fr/pays-de-la-loire/maine-et-loire/e85e526e-c3a9-46c5-993b-adaea5a6db0d" TargetMode="External" Id="rId1993" /><Relationship Type="http://schemas.openxmlformats.org/officeDocument/2006/relationships/hyperlink" Target="mailto:contact@communaute-coutances.fr" TargetMode="External" Id="rId1994" /><Relationship Type="http://schemas.openxmlformats.org/officeDocument/2006/relationships/hyperlink" Target="https://www.coutancesmeretbocage.fr/" TargetMode="External" Id="rId1995" /><Relationship Type="http://schemas.openxmlformats.org/officeDocument/2006/relationships/hyperlink" Target="https://www.coutancesmeretbocage.fr/contact" TargetMode="External" Id="rId1996" /><Relationship Type="http://schemas.openxmlformats.org/officeDocument/2006/relationships/hyperlink" Target="https://lannuaire.service-public.gouv.fr/normandie/manche/b1a68414-6d3e-4cc3-afa1-66de23b708a4" TargetMode="External" Id="rId1997" /><Relationship Type="http://schemas.openxmlformats.org/officeDocument/2006/relationships/hyperlink" Target="mailto:contact@cocm.fr" TargetMode="External" Id="rId1998" /><Relationship Type="http://schemas.openxmlformats.org/officeDocument/2006/relationships/hyperlink" Target="https://www.cocm.fr/fr/" TargetMode="External" Id="rId1999" /><Relationship Type="http://schemas.openxmlformats.org/officeDocument/2006/relationships/hyperlink" Target="https://www.cocm.fr/fr/cocm/collectivite/contact.html" TargetMode="External" Id="rId2000" /><Relationship Type="http://schemas.openxmlformats.org/officeDocument/2006/relationships/hyperlink" Target="https://lannuaire.service-public.gouv.fr/normandie/manche/68bbdd4c-4e6d-4a29-9a4f-24d282dfe407" TargetMode="External" Id="rId2001" /><Relationship Type="http://schemas.openxmlformats.org/officeDocument/2006/relationships/hyperlink" Target="mailto:contact@granville-terre-mer.fr" TargetMode="External" Id="rId2002" /><Relationship Type="http://schemas.openxmlformats.org/officeDocument/2006/relationships/hyperlink" Target="https://www.granville-terre-mer.fr/" TargetMode="External" Id="rId2003" /><Relationship Type="http://schemas.openxmlformats.org/officeDocument/2006/relationships/hyperlink" Target="https://www.granville-terre-mer.fr/contacts.html" TargetMode="External" Id="rId2004" /><Relationship Type="http://schemas.openxmlformats.org/officeDocument/2006/relationships/hyperlink" Target="https://lannuaire.service-public.gouv.fr/normandie/manche/9c8a8123-e412-4286-957f-04ed72d1c85a" TargetMode="External" Id="rId2005" /><Relationship Type="http://schemas.openxmlformats.org/officeDocument/2006/relationships/hyperlink" Target="mailto:accueil@villedieuintercom.fr" TargetMode="External" Id="rId2006" /><Relationship Type="http://schemas.openxmlformats.org/officeDocument/2006/relationships/hyperlink" Target="https://www.villedieu-intercom.fr/" TargetMode="External" Id="rId2007" /><Relationship Type="http://schemas.openxmlformats.org/officeDocument/2006/relationships/hyperlink" Target="https://lannuaire.service-public.gouv.fr/normandie/manche/b12873ad-b5e3-4f92-95a1-061d232a8caf" TargetMode="External" Id="rId2008" /><Relationship Type="http://schemas.openxmlformats.org/officeDocument/2006/relationships/hyperlink" Target="mailto:contact@ccbdc.fr" TargetMode="External" Id="rId2009" /><Relationship Type="http://schemas.openxmlformats.org/officeDocument/2006/relationships/hyperlink" Target="https://www.ccbdc.fr/" TargetMode="External" Id="rId2010" /><Relationship Type="http://schemas.openxmlformats.org/officeDocument/2006/relationships/hyperlink" Target="https://lannuaire.service-public.gouv.fr/normandie/manche/de79e2d5-5f42-4257-9653-447aa9d6b68c" TargetMode="External" Id="rId2011" /><Relationship Type="http://schemas.openxmlformats.org/officeDocument/2006/relationships/hyperlink" Target="mailto:contact@4cvs.fr" TargetMode="External" Id="rId2012" /><Relationship Type="http://schemas.openxmlformats.org/officeDocument/2006/relationships/hyperlink" Target="http://www.4cvs.fr" TargetMode="External" Id="rId2013" /><Relationship Type="http://schemas.openxmlformats.org/officeDocument/2006/relationships/hyperlink" Target="http://www.4cvs.fr/fr/contact" TargetMode="External" Id="rId2014" /><Relationship Type="http://schemas.openxmlformats.org/officeDocument/2006/relationships/hyperlink" Target="https://lannuaire.service-public.gouv.fr/grand-est/marne/b2c6228b-d34b-4399-ab54-21ac84d7f8ef" TargetMode="External" Id="rId2015" /><Relationship Type="http://schemas.openxmlformats.org/officeDocument/2006/relationships/hyperlink" Target="mailto:cc-perthoisbocageetder@orange.fr" TargetMode="External" Id="rId2016" /><Relationship Type="http://schemas.openxmlformats.org/officeDocument/2006/relationships/hyperlink" Target="https://cc-perthoisbocageetder.fr" TargetMode="External" Id="rId2017" /><Relationship Type="http://schemas.openxmlformats.org/officeDocument/2006/relationships/hyperlink" Target="https://lannuaire.service-public.gouv.fr/grand-est/marne/f4d924d5-a5ec-4cee-8914-7c29d5bfd947" TargetMode="External" Id="rId2018" /><Relationship Type="http://schemas.openxmlformats.org/officeDocument/2006/relationships/hyperlink" Target="mailto:contact@ccssom.fr" TargetMode="External" Id="rId2019" /><Relationship Type="http://schemas.openxmlformats.org/officeDocument/2006/relationships/hyperlink" Target="https://ccssom.fr/" TargetMode="External" Id="rId2020" /><Relationship Type="http://schemas.openxmlformats.org/officeDocument/2006/relationships/hyperlink" Target="https://lannuaire.service-public.gouv.fr/grand-est/marne/b0696dc9-9d67-44a2-aaf6-54ac300b9694" TargetMode="External" Id="rId2021" /><Relationship Type="http://schemas.openxmlformats.org/officeDocument/2006/relationships/hyperlink" Target="mailto:contact@vitry-le-francois.net" TargetMode="External" Id="rId2022" /><Relationship Type="http://schemas.openxmlformats.org/officeDocument/2006/relationships/hyperlink" Target="https://www.vitry-le-francois.net/" TargetMode="External" Id="rId2023" /><Relationship Type="http://schemas.openxmlformats.org/officeDocument/2006/relationships/hyperlink" Target="https://www.vitry-le-francois.net/contact/" TargetMode="External" Id="rId2024" /><Relationship Type="http://schemas.openxmlformats.org/officeDocument/2006/relationships/hyperlink" Target="https://lannuaire.service-public.gouv.fr/grand-est/marne/24034a5b-9770-42c9-99ad-d39087154a05" TargetMode="External" Id="rId2025" /><Relationship Type="http://schemas.openxmlformats.org/officeDocument/2006/relationships/hyperlink" Target="mailto:contact@cc-argonnechampenoise.fr" TargetMode="External" Id="rId2026" /><Relationship Type="http://schemas.openxmlformats.org/officeDocument/2006/relationships/hyperlink" Target="https://www.argonnechampenoise.fr/" TargetMode="External" Id="rId2027" /><Relationship Type="http://schemas.openxmlformats.org/officeDocument/2006/relationships/hyperlink" Target="https://www.argonnechampenoise.fr/s-informer/nous-contacter/" TargetMode="External" Id="rId2028" /><Relationship Type="http://schemas.openxmlformats.org/officeDocument/2006/relationships/hyperlink" Target="https://lannuaire.service-public.gouv.fr/grand-est/marne/4a02b8bf-46f9-43c0-8770-ca46e27072ed" TargetMode="External" Id="rId2029" /><Relationship Type="http://schemas.openxmlformats.org/officeDocument/2006/relationships/hyperlink" Target="mailto:accueil@cc-briechampenoise.fr" TargetMode="External" Id="rId2030" /><Relationship Type="http://schemas.openxmlformats.org/officeDocument/2006/relationships/hyperlink" Target="https://www.cc-briechampenoise.fr/" TargetMode="External" Id="rId2031" /><Relationship Type="http://schemas.openxmlformats.org/officeDocument/2006/relationships/hyperlink" Target="https://lannuaire.service-public.gouv.fr/grand-est/marne/4a342bfa-50e1-4bb1-a4d8-8018026018e8" TargetMode="External" Id="rId2032" /><Relationship Type="http://schemas.openxmlformats.org/officeDocument/2006/relationships/hyperlink" Target="mailto:info@ccgvm.com" TargetMode="External" Id="rId2033" /><Relationship Type="http://schemas.openxmlformats.org/officeDocument/2006/relationships/hyperlink" Target="https://ccgvm.com/" TargetMode="External" Id="rId2034" /><Relationship Type="http://schemas.openxmlformats.org/officeDocument/2006/relationships/hyperlink" Target="https://ccgvm.com/contact/" TargetMode="External" Id="rId2035" /><Relationship Type="http://schemas.openxmlformats.org/officeDocument/2006/relationships/hyperlink" Target="https://lannuaire.service-public.gouv.fr/grand-est/marne/b7f6d441-57a1-41fc-8903-f488837de256" TargetMode="External" Id="rId2036" /><Relationship Type="http://schemas.openxmlformats.org/officeDocument/2006/relationships/hyperlink" Target="mailto:contact@ccmoivrecoole.fr" TargetMode="External" Id="rId2037" /><Relationship Type="http://schemas.openxmlformats.org/officeDocument/2006/relationships/hyperlink" Target="https://www.ccmoivrecoole.fr/" TargetMode="External" Id="rId2038" /><Relationship Type="http://schemas.openxmlformats.org/officeDocument/2006/relationships/hyperlink" Target="https://lannuaire.service-public.gouv.fr/grand-est/marne/434f57f7-1d4a-4930-a773-e844473a94db" TargetMode="External" Id="rId2039" /><Relationship Type="http://schemas.openxmlformats.org/officeDocument/2006/relationships/hyperlink" Target="mailto:contact@cc-regiondesuippes.com" TargetMode="External" Id="rId2040" /><Relationship Type="http://schemas.openxmlformats.org/officeDocument/2006/relationships/hyperlink" Target="https://cc-regiondesuippes.com" TargetMode="External" Id="rId2041" /><Relationship Type="http://schemas.openxmlformats.org/officeDocument/2006/relationships/hyperlink" Target="https://cc-regiondesuippes.com/" TargetMode="External" Id="rId2042" /><Relationship Type="http://schemas.openxmlformats.org/officeDocument/2006/relationships/hyperlink" Target="https://lannuaire.service-public.gouv.fr/grand-est/marne/7c23b4d6-89ef-497b-a9bc-5e7183362863" TargetMode="External" Id="rId2043" /><Relationship Type="http://schemas.openxmlformats.org/officeDocument/2006/relationships/hyperlink" Target="mailto:accueil@ccpc51.fr" TargetMode="External" Id="rId2044" /><Relationship Type="http://schemas.openxmlformats.org/officeDocument/2006/relationships/hyperlink" Target="https://ccpc51.fr/" TargetMode="External" Id="rId2045" /><Relationship Type="http://schemas.openxmlformats.org/officeDocument/2006/relationships/hyperlink" Target="https://ccpc51.fr/contact/" TargetMode="External" Id="rId2046" /><Relationship Type="http://schemas.openxmlformats.org/officeDocument/2006/relationships/hyperlink" Target="https://lannuaire.service-public.gouv.fr/grand-est/marne/f4ab6b37-e799-4345-956a-e2f058a04193" TargetMode="External" Id="rId2047" /><Relationship Type="http://schemas.openxmlformats.org/officeDocument/2006/relationships/hyperlink" Target="mailto:cc-sud-marnais@wanadoo.fr" TargetMode="External" Id="rId2048" /><Relationship Type="http://schemas.openxmlformats.org/officeDocument/2006/relationships/hyperlink" Target="https://www.cc-sudmarnais.fr/" TargetMode="External" Id="rId2049" /><Relationship Type="http://schemas.openxmlformats.org/officeDocument/2006/relationships/hyperlink" Target="https://www.cc-sudmarnais.fr/contact.php" TargetMode="External" Id="rId2050" /><Relationship Type="http://schemas.openxmlformats.org/officeDocument/2006/relationships/hyperlink" Target="https://lannuaire.service-public.gouv.fr/grand-est/marne/a787ef7f-9d4a-45a6-a31a-39d51cf8018c" TargetMode="External" Id="rId2051" /><Relationship Type="http://schemas.openxmlformats.org/officeDocument/2006/relationships/hyperlink" Target="mailto:secretariat@meuserognon.fr" TargetMode="External" Id="rId2052" /><Relationship Type="http://schemas.openxmlformats.org/officeDocument/2006/relationships/hyperlink" Target="https://www.meuserognon.fr" TargetMode="External" Id="rId2053" /><Relationship Type="http://schemas.openxmlformats.org/officeDocument/2006/relationships/hyperlink" Target="https://lannuaire.service-public.gouv.fr/grand-est/haute-marne/1a927647-f63f-4c14-b782-f417fac942f2" TargetMode="External" Id="rId2054" /><Relationship Type="http://schemas.openxmlformats.org/officeDocument/2006/relationships/hyperlink" Target="mailto:accueil@ccavm.fr" TargetMode="External" Id="rId2055" /><Relationship Type="http://schemas.openxmlformats.org/officeDocument/2006/relationships/hyperlink" Target="https://www.ccavm.fr/" TargetMode="External" Id="rId2056" /><Relationship Type="http://schemas.openxmlformats.org/officeDocument/2006/relationships/hyperlink" Target="https://www.ccavm.fr/crbst_3.html" TargetMode="External" Id="rId2057" /><Relationship Type="http://schemas.openxmlformats.org/officeDocument/2006/relationships/hyperlink" Target="https://lannuaire.service-public.gouv.fr/grand-est/haute-marne/9412b1d7-ebd0-46d2-98a3-4d8e0de7b5f1" TargetMode="External" Id="rId2058" /><Relationship Type="http://schemas.openxmlformats.org/officeDocument/2006/relationships/hyperlink" Target="mailto:contact@ccov.fr" TargetMode="External" Id="rId2059" /><Relationship Type="http://schemas.openxmlformats.org/officeDocument/2006/relationships/hyperlink" Target="https://www.ccov.fr/" TargetMode="External" Id="rId2060" /><Relationship Type="http://schemas.openxmlformats.org/officeDocument/2006/relationships/hyperlink" Target="https://lannuaire.service-public.gouv.fr/grand-est/vosges/0c685021-6cd2-455b-b186-61b37b798673" TargetMode="External" Id="rId2061" /><Relationship Type="http://schemas.openxmlformats.org/officeDocument/2006/relationships/hyperlink" Target="mailto:contact@ccsavoirfaire.fr" TargetMode="External" Id="rId2062" /><Relationship Type="http://schemas.openxmlformats.org/officeDocument/2006/relationships/hyperlink" Target="https://www.ccdessavoirfaire.fr/" TargetMode="External" Id="rId2063" /><Relationship Type="http://schemas.openxmlformats.org/officeDocument/2006/relationships/hyperlink" Target="https://www.ccdessavoirfaire.fr/informations-pratiques" TargetMode="External" Id="rId2064" /><Relationship Type="http://schemas.openxmlformats.org/officeDocument/2006/relationships/hyperlink" Target="https://lannuaire.service-public.gouv.fr/grand-est/haute-marne/8d24e694-3e60-46a4-9b70-a8f673990bb5" TargetMode="External" Id="rId2065" /><Relationship Type="http://schemas.openxmlformats.org/officeDocument/2006/relationships/hyperlink" Target="mailto:contact@cc3f52.fr" TargetMode="External" Id="rId2066" /><Relationship Type="http://schemas.openxmlformats.org/officeDocument/2006/relationships/hyperlink" Target="http://communautedecommunesdes3forets.com" TargetMode="External" Id="rId2067" /><Relationship Type="http://schemas.openxmlformats.org/officeDocument/2006/relationships/hyperlink" Target="http://communautedecommunesdes3forets.com/contact" TargetMode="External" Id="rId2068" /><Relationship Type="http://schemas.openxmlformats.org/officeDocument/2006/relationships/hyperlink" Target="https://lannuaire.service-public.gouv.fr/grand-est/haute-marne/53d02c7a-f183-4edf-8971-b2044bd8a44e" TargetMode="External" Id="rId2069" /><Relationship Type="http://schemas.openxmlformats.org/officeDocument/2006/relationships/hyperlink" Target="mailto:secretariat@ccbjc.fr" TargetMode="External" Id="rId2070" /><Relationship Type="http://schemas.openxmlformats.org/officeDocument/2006/relationships/hyperlink" Target="https://www.ccbjc.fr/" TargetMode="External" Id="rId2071" /><Relationship Type="http://schemas.openxmlformats.org/officeDocument/2006/relationships/hyperlink" Target="https://www.ccbjc.fr/contact" TargetMode="External" Id="rId2072" /><Relationship Type="http://schemas.openxmlformats.org/officeDocument/2006/relationships/hyperlink" Target="https://lannuaire.service-public.gouv.fr/grand-est/haute-marne/46a72abb-30ff-438f-8cb9-a446aec4e39d" TargetMode="External" Id="rId2073" /><Relationship Type="http://schemas.openxmlformats.org/officeDocument/2006/relationships/hyperlink" Target="mailto:secretariat@grand-langres.fr" TargetMode="External" Id="rId2074" /><Relationship Type="http://schemas.openxmlformats.org/officeDocument/2006/relationships/hyperlink" Target="https://grand-langres.fr/" TargetMode="External" Id="rId2075" /><Relationship Type="http://schemas.openxmlformats.org/officeDocument/2006/relationships/hyperlink" Target="https://lannuaire.service-public.gouv.fr/grand-est/haute-marne/25daa891-0300-4f87-b54c-5d4556779209" TargetMode="External" Id="rId2076" /><Relationship Type="http://schemas.openxmlformats.org/officeDocument/2006/relationships/hyperlink" Target="mailto:contact@mayennecommunaute.fr" TargetMode="External" Id="rId2077" /><Relationship Type="http://schemas.openxmlformats.org/officeDocument/2006/relationships/hyperlink" Target="https://www.mayenne-communaute.net/" TargetMode="External" Id="rId2078" /><Relationship Type="http://schemas.openxmlformats.org/officeDocument/2006/relationships/hyperlink" Target="https://www.mayenne-communaute.net/nous-contacter/" TargetMode="External" Id="rId2079" /><Relationship Type="http://schemas.openxmlformats.org/officeDocument/2006/relationships/hyperlink" Target="https://lannuaire.service-public.gouv.fr/pays-de-la-loire/mayenne/d098051a-8ed6-4269-b3dd-a7052203d3c4" TargetMode="External" Id="rId2080" /><Relationship Type="http://schemas.openxmlformats.org/officeDocument/2006/relationships/hyperlink" Target="mailto:accueil@lernee.fr" TargetMode="External" Id="rId2081" /><Relationship Type="http://schemas.openxmlformats.org/officeDocument/2006/relationships/hyperlink" Target="https://www.lernee.fr/" TargetMode="External" Id="rId2082" /><Relationship Type="http://schemas.openxmlformats.org/officeDocument/2006/relationships/hyperlink" Target="https://www.lernee.fr/contact/" TargetMode="External" Id="rId2083" /><Relationship Type="http://schemas.openxmlformats.org/officeDocument/2006/relationships/hyperlink" Target="https://lannuaire.service-public.gouv.fr/pays-de-la-loire/mayenne/c94a3708-cecd-424e-9540-32f6e33b3f89" TargetMode="External" Id="rId2084" /><Relationship Type="http://schemas.openxmlformats.org/officeDocument/2006/relationships/hyperlink" Target="mailto:contact@coevrons.fr" TargetMode="External" Id="rId2085" /><Relationship Type="http://schemas.openxmlformats.org/officeDocument/2006/relationships/hyperlink" Target="https://www.coevrons.fr/" TargetMode="External" Id="rId2086" /><Relationship Type="http://schemas.openxmlformats.org/officeDocument/2006/relationships/hyperlink" Target="https://www.coevrons.fr/formulaire/contact" TargetMode="External" Id="rId2087" /><Relationship Type="http://schemas.openxmlformats.org/officeDocument/2006/relationships/hyperlink" Target="https://lannuaire.service-public.gouv.fr/pays-de-la-loire/mayenne/3c2b9bc6-0d8e-4157-9f8e-7fc7671fb708" TargetMode="External" Id="rId2088" /><Relationship Type="http://schemas.openxmlformats.org/officeDocument/2006/relationships/hyperlink" Target="mailto:accueil@bocage-mayennais.fr" TargetMode="External" Id="rId2089" /><Relationship Type="http://schemas.openxmlformats.org/officeDocument/2006/relationships/hyperlink" Target="https://www.bocage-mayennais.fr/" TargetMode="External" Id="rId2090" /><Relationship Type="http://schemas.openxmlformats.org/officeDocument/2006/relationships/hyperlink" Target="https://www.bocage-mayennais.fr/bocage-mayennais-extras.php?part=contact" TargetMode="External" Id="rId2091" /><Relationship Type="http://schemas.openxmlformats.org/officeDocument/2006/relationships/hyperlink" Target="https://lannuaire.service-public.gouv.fr/pays-de-la-loire/mayenne/73ad95d2-c6ec-44f5-9806-7b5b15cef3fd" TargetMode="External" Id="rId2092" /><Relationship Type="http://schemas.openxmlformats.org/officeDocument/2006/relationships/hyperlink" Target="mailto:accueil@cc-montdesavaloirs.fr" TargetMode="External" Id="rId2093" /><Relationship Type="http://schemas.openxmlformats.org/officeDocument/2006/relationships/hyperlink" Target="https://www.cc-montdesavaloirs.fr/" TargetMode="External" Id="rId2094" /><Relationship Type="http://schemas.openxmlformats.org/officeDocument/2006/relationships/hyperlink" Target="https://lannuaire.service-public.gouv.fr/pays-de-la-loire/mayenne/8a1028d8-0563-41f7-b1f4-73673393a747" TargetMode="External" Id="rId2095" /><Relationship Type="http://schemas.openxmlformats.org/officeDocument/2006/relationships/hyperlink" Target="mailto:communautedecommunes@sablesursarthe.fr" TargetMode="External" Id="rId2096" /><Relationship Type="http://schemas.openxmlformats.org/officeDocument/2006/relationships/hyperlink" Target="https://www.payssabolien.fr" TargetMode="External" Id="rId2097" /><Relationship Type="http://schemas.openxmlformats.org/officeDocument/2006/relationships/hyperlink" Target="https://lannuaire.service-public.gouv.fr/pays-de-la-loire/sarthe/1c383054-22ca-4d87-b5c1-014aa7bcaf71" TargetMode="External" Id="rId2098" /><Relationship Type="http://schemas.openxmlformats.org/officeDocument/2006/relationships/hyperlink" Target="mailto:chateau-gontier@chateaugontier.fr" TargetMode="External" Id="rId2099" /><Relationship Type="http://schemas.openxmlformats.org/officeDocument/2006/relationships/hyperlink" Target="https://www.chateaugontier.fr/" TargetMode="External" Id="rId2100" /><Relationship Type="http://schemas.openxmlformats.org/officeDocument/2006/relationships/hyperlink" Target="https://www.chateaugontier.fr/index.php?page=36" TargetMode="External" Id="rId2101" /><Relationship Type="http://schemas.openxmlformats.org/officeDocument/2006/relationships/hyperlink" Target="https://lannuaire.service-public.gouv.fr/pays-de-la-loire/mayenne/424a80a4-7566-4c8d-a787-5b6b120d4970" TargetMode="External" Id="rId2102" /><Relationship Type="http://schemas.openxmlformats.org/officeDocument/2006/relationships/hyperlink" Target="mailto:accueil@paysdecraon.fr" TargetMode="External" Id="rId2103" /><Relationship Type="http://schemas.openxmlformats.org/officeDocument/2006/relationships/hyperlink" Target="https://www.paysdecraon.fr/" TargetMode="External" Id="rId2104" /><Relationship Type="http://schemas.openxmlformats.org/officeDocument/2006/relationships/hyperlink" Target="https://www.paysdecraon.fr/contact/" TargetMode="External" Id="rId2105" /><Relationship Type="http://schemas.openxmlformats.org/officeDocument/2006/relationships/hyperlink" Target="https://lannuaire.service-public.gouv.fr/pays-de-la-loire/mayenne/dd59d3a1-5bd5-4e96-8d43-f1373ae91c88" TargetMode="External" Id="rId2106" /><Relationship Type="http://schemas.openxmlformats.org/officeDocument/2006/relationships/hyperlink" Target="mailto:contact@paysmeslaygrez.fr" TargetMode="External" Id="rId2107" /><Relationship Type="http://schemas.openxmlformats.org/officeDocument/2006/relationships/hyperlink" Target="https://www.paysmeslaygrez.fr/" TargetMode="External" Id="rId2108" /><Relationship Type="http://schemas.openxmlformats.org/officeDocument/2006/relationships/hyperlink" Target="https://www.paysmeslaygrez.fr/systeme/nous-contacter/" TargetMode="External" Id="rId2109" /><Relationship Type="http://schemas.openxmlformats.org/officeDocument/2006/relationships/hyperlink" Target="https://lannuaire.service-public.gouv.fr/pays-de-la-loire/mayenne/df00b9ce-ea4a-4ce5-8a01-4898908e4c58" TargetMode="External" Id="rId2110" /><Relationship Type="http://schemas.openxmlformats.org/officeDocument/2006/relationships/hyperlink" Target="mailto:secretariat@coeurdupayshaut.fr" TargetMode="External" Id="rId2111" /><Relationship Type="http://schemas.openxmlformats.org/officeDocument/2006/relationships/hyperlink" Target="https://coeurdupayshaut.fr/" TargetMode="External" Id="rId2112" /><Relationship Type="http://schemas.openxmlformats.org/officeDocument/2006/relationships/hyperlink" Target="https://lannuaire.service-public.gouv.fr/grand-est/meurthe-et-moselle/61221287-1552-4261-9705-caf4e4ae42e9" TargetMode="External" Id="rId2113" /><Relationship Type="http://schemas.openxmlformats.org/officeDocument/2006/relationships/hyperlink" Target="mailto:accueil@cc-madetmoselle.fr" TargetMode="External" Id="rId2114" /><Relationship Type="http://schemas.openxmlformats.org/officeDocument/2006/relationships/hyperlink" Target="https://www.cc-madetmoselle.fr" TargetMode="External" Id="rId2115" /><Relationship Type="http://schemas.openxmlformats.org/officeDocument/2006/relationships/hyperlink" Target="https://www.cc-madetmoselle.fr/fr/contact.html" TargetMode="External" Id="rId2116" /><Relationship Type="http://schemas.openxmlformats.org/officeDocument/2006/relationships/hyperlink" Target="https://lannuaire.service-public.gouv.fr/grand-est/meurthe-et-moselle/974be2b6-ee1c-47fa-8246-28bacb55f339" TargetMode="External" Id="rId2117" /><Relationship Type="http://schemas.openxmlformats.org/officeDocument/2006/relationships/hyperlink" Target="mailto:secretariat@cc3m.fr" TargetMode="External" Id="rId2118" /><Relationship Type="http://schemas.openxmlformats.org/officeDocument/2006/relationships/hyperlink" Target="http://www.cc3m.fr" TargetMode="External" Id="rId2119" /><Relationship Type="http://schemas.openxmlformats.org/officeDocument/2006/relationships/hyperlink" Target="https://lannuaire.service-public.gouv.fr/grand-est/meurthe-et-moselle/b3425dd4-16be-4a38-be24-cb302ea12c83" TargetMode="External" Id="rId2120" /><Relationship Type="http://schemas.openxmlformats.org/officeDocument/2006/relationships/hyperlink" Target="mailto:contact@cc-mosellemadon.fr" TargetMode="External" Id="rId2121" /><Relationship Type="http://schemas.openxmlformats.org/officeDocument/2006/relationships/hyperlink" Target="https://www.cc-mosellemadon.fr/fr/" TargetMode="External" Id="rId2122" /><Relationship Type="http://schemas.openxmlformats.org/officeDocument/2006/relationships/hyperlink" Target="https://www.cc-mosellemadon.fr/fr/contact.html" TargetMode="External" Id="rId2123" /><Relationship Type="http://schemas.openxmlformats.org/officeDocument/2006/relationships/hyperlink" Target="https://lannuaire.service-public.gouv.fr/grand-est/meurthe-et-moselle/6206c1d2-138c-451e-a2fe-e68f8d63f532" TargetMode="External" Id="rId2124" /><Relationship Type="http://schemas.openxmlformats.org/officeDocument/2006/relationships/hyperlink" Target="mailto:contact@olc54.fr" TargetMode="External" Id="rId2125" /><Relationship Type="http://schemas.openxmlformats.org/officeDocument/2006/relationships/hyperlink" Target="https://olc54.fr" TargetMode="External" Id="rId2126" /><Relationship Type="http://schemas.openxmlformats.org/officeDocument/2006/relationships/hyperlink" Target="https://olc54.fr/contact" TargetMode="External" Id="rId2127" /><Relationship Type="http://schemas.openxmlformats.org/officeDocument/2006/relationships/hyperlink" Target="https://lannuaire.service-public.gouv.fr/grand-est/meurthe-et-moselle/7068cf13-3fff-45c6-8703-081296f508ac" TargetMode="External" Id="rId2128" /><Relationship Type="http://schemas.openxmlformats.org/officeDocument/2006/relationships/hyperlink" Target="mailto:accueil@t2l-54.fr" TargetMode="External" Id="rId2129" /><Relationship Type="http://schemas.openxmlformats.org/officeDocument/2006/relationships/hyperlink" Target="http://www.t2l-54.fr" TargetMode="External" Id="rId2130" /><Relationship Type="http://schemas.openxmlformats.org/officeDocument/2006/relationships/hyperlink" Target="https://lannuaire.service-public.gouv.fr/grand-est/meurthe-et-moselle/41c47af9-85a8-4e8a-9b70-b401c825cc9f" TargetMode="External" Id="rId2131" /><Relationship Type="http://schemas.openxmlformats.org/officeDocument/2006/relationships/hyperlink" Target="mailto:contact@terrestouloises.com" TargetMode="External" Id="rId2132" /><Relationship Type="http://schemas.openxmlformats.org/officeDocument/2006/relationships/hyperlink" Target="https://terrestouloises.com/" TargetMode="External" Id="rId2133" /><Relationship Type="http://schemas.openxmlformats.org/officeDocument/2006/relationships/hyperlink" Target="https://terrestouloises.com/ma-communaute-de-communes/nous-contacter/" TargetMode="External" Id="rId2134" /><Relationship Type="http://schemas.openxmlformats.org/officeDocument/2006/relationships/hyperlink" Target="https://lannuaire.service-public.gouv.fr/grand-est/meurthe-et-moselle/70883fe4-7897-4e85-b8d5-050d044c01c0" TargetMode="External" Id="rId2135" /><Relationship Type="http://schemas.openxmlformats.org/officeDocument/2006/relationships/hyperlink" Target="mailto:contact@comcom-sgc.fr" TargetMode="External" Id="rId2136" /><Relationship Type="http://schemas.openxmlformats.org/officeDocument/2006/relationships/hyperlink" Target="https://www.comcom-sgc.fr" TargetMode="External" Id="rId2137" /><Relationship Type="http://schemas.openxmlformats.org/officeDocument/2006/relationships/hyperlink" Target="https://www.comcom-sgc.fr/contact/" TargetMode="External" Id="rId2138" /><Relationship Type="http://schemas.openxmlformats.org/officeDocument/2006/relationships/hyperlink" Target="https://lannuaire.service-public.gouv.fr/grand-est/meurthe-et-moselle/f10be03e-37dd-41fe-a14c-02c3bb7b867a" TargetMode="External" Id="rId2139" /><Relationship Type="http://schemas.openxmlformats.org/officeDocument/2006/relationships/hyperlink" Target="mailto:accueil@ccvp.fr" TargetMode="External" Id="rId2140" /><Relationship Type="http://schemas.openxmlformats.org/officeDocument/2006/relationships/hyperlink" Target="https://www.ccvp.fr/" TargetMode="External" Id="rId2141" /><Relationship Type="http://schemas.openxmlformats.org/officeDocument/2006/relationships/hyperlink" Target="https://www.ccvp.fr/contact" TargetMode="External" Id="rId2142" /><Relationship Type="http://schemas.openxmlformats.org/officeDocument/2006/relationships/hyperlink" Target="https://lannuaire.service-public.gouv.fr/grand-est/meurthe-et-moselle/9f0effba-0636-4253-8a95-a593e4ed9f3d" TargetMode="External" Id="rId2143" /><Relationship Type="http://schemas.openxmlformats.org/officeDocument/2006/relationships/hyperlink" Target="mailto:contact@cc-seletvermois.fr" TargetMode="External" Id="rId2144" /><Relationship Type="http://schemas.openxmlformats.org/officeDocument/2006/relationships/hyperlink" Target="https://www.cc-seletvermois.fr/" TargetMode="External" Id="rId2145" /><Relationship Type="http://schemas.openxmlformats.org/officeDocument/2006/relationships/hyperlink" Target="https://www.cc-seletvermois.fr/contact/" TargetMode="External" Id="rId2146" /><Relationship Type="http://schemas.openxmlformats.org/officeDocument/2006/relationships/hyperlink" Target="https://lannuaire.service-public.gouv.fr/grand-est/meurthe-et-moselle/a7379470-cf96-4ff3-99d4-1e023dea790a" TargetMode="External" Id="rId2147" /><Relationship Type="http://schemas.openxmlformats.org/officeDocument/2006/relationships/hyperlink" Target="mailto:accueil@bassinpompey.fr" TargetMode="External" Id="rId2148" /><Relationship Type="http://schemas.openxmlformats.org/officeDocument/2006/relationships/hyperlink" Target="https://www.bassinpompey.fr/" TargetMode="External" Id="rId2149" /><Relationship Type="http://schemas.openxmlformats.org/officeDocument/2006/relationships/hyperlink" Target="https://www.bassinpompey.fr/informations-pratiques/contact-2" TargetMode="External" Id="rId2150" /><Relationship Type="http://schemas.openxmlformats.org/officeDocument/2006/relationships/hyperlink" Target="https://lannuaire.service-public.gouv.fr/grand-est/meurthe-et-moselle/4faa1f4d-e17f-4992-8f74-929d2549f45d" TargetMode="External" Id="rId2151" /><Relationship Type="http://schemas.openxmlformats.org/officeDocument/2006/relationships/hyperlink" Target="mailto:info@bassin-pont-a-mousson.fr" TargetMode="External" Id="rId2152" /><Relationship Type="http://schemas.openxmlformats.org/officeDocument/2006/relationships/hyperlink" Target="https://www.bassin-pont-a-mousson.fr/" TargetMode="External" Id="rId2153" /><Relationship Type="http://schemas.openxmlformats.org/officeDocument/2006/relationships/hyperlink" Target="https://www.bassin-pont-a-mousson.fr/contact.htm" TargetMode="External" Id="rId2154" /><Relationship Type="http://schemas.openxmlformats.org/officeDocument/2006/relationships/hyperlink" Target="https://lannuaire.service-public.gouv.fr/grand-est/meurthe-et-moselle/8afc618f-4a1c-41ef-a841-24bb41986e00" TargetMode="External" Id="rId2155" /><Relationship Type="http://schemas.openxmlformats.org/officeDocument/2006/relationships/hyperlink" Target="mailto:contact@ccphva.com" TargetMode="External" Id="rId2156" /><Relationship Type="http://schemas.openxmlformats.org/officeDocument/2006/relationships/hyperlink" Target="https://www.ccphva.com/" TargetMode="External" Id="rId2157" /><Relationship Type="http://schemas.openxmlformats.org/officeDocument/2006/relationships/hyperlink" Target="https://www.ccphva.com/formulaire/formulaire-de-contact" TargetMode="External" Id="rId2158" /><Relationship Type="http://schemas.openxmlformats.org/officeDocument/2006/relationships/hyperlink" Target="https://lannuaire.service-public.gouv.fr/grand-est/moselle/542a9c19-748b-41cf-803d-3beb8c236f33" TargetMode="External" Id="rId2159" /><Relationship Type="http://schemas.openxmlformats.org/officeDocument/2006/relationships/hyperlink" Target="mailto:contact@pays-colombey-sudtoulois.fr" TargetMode="External" Id="rId2160" /><Relationship Type="http://schemas.openxmlformats.org/officeDocument/2006/relationships/hyperlink" Target="https://www.pays-colombey-sudtoulois.fr//" TargetMode="External" Id="rId2161" /><Relationship Type="http://schemas.openxmlformats.org/officeDocument/2006/relationships/hyperlink" Target="https://lannuaire.service-public.gouv.fr/grand-est/meurthe-et-moselle/5fc34312-4951-46b3-b55c-3a4b1c4f4b24" TargetMode="External" Id="rId2162" /><Relationship Type="http://schemas.openxmlformats.org/officeDocument/2006/relationships/hyperlink" Target="mailto:contact@ccpaysdusaintois.fr" TargetMode="External" Id="rId2163" /><Relationship Type="http://schemas.openxmlformats.org/officeDocument/2006/relationships/hyperlink" Target="https://www.ccpaysdusaintois.fr/fr/" TargetMode="External" Id="rId2164" /><Relationship Type="http://schemas.openxmlformats.org/officeDocument/2006/relationships/hyperlink" Target="https://www.ccpaysdusaintois.fr/fr/contact.html" TargetMode="External" Id="rId2165" /><Relationship Type="http://schemas.openxmlformats.org/officeDocument/2006/relationships/hyperlink" Target="https://lannuaire.service-public.gouv.fr/grand-est/meurthe-et-moselle/e51261a8-162f-4349-bb26-83cd9ba06707" TargetMode="External" Id="rId2166" /><Relationship Type="http://schemas.openxmlformats.org/officeDocument/2006/relationships/hyperlink" Target="mailto:contact@ccsanon.fr" TargetMode="External" Id="rId2167" /><Relationship Type="http://schemas.openxmlformats.org/officeDocument/2006/relationships/hyperlink" Target="https://www.ccsanon.fr/" TargetMode="External" Id="rId2168" /><Relationship Type="http://schemas.openxmlformats.org/officeDocument/2006/relationships/hyperlink" Target="https://www.ccsanon.fr/contact-ccs/" TargetMode="External" Id="rId2169" /><Relationship Type="http://schemas.openxmlformats.org/officeDocument/2006/relationships/hyperlink" Target="https://lannuaire.service-public.gouv.fr/grand-est/meurthe-et-moselle/a00c2321-ff74-42fe-8cd9-b006dfad469b" TargetMode="External" Id="rId2170" /><Relationship Type="http://schemas.openxmlformats.org/officeDocument/2006/relationships/hyperlink" Target="mailto:contact@delunevilleabaccarat.fr" TargetMode="External" Id="rId2171" /><Relationship Type="http://schemas.openxmlformats.org/officeDocument/2006/relationships/hyperlink" Target="https://delunevilleabaccarat.fr/" TargetMode="External" Id="rId2172" /><Relationship Type="http://schemas.openxmlformats.org/officeDocument/2006/relationships/hyperlink" Target="https://delunevilleabaccarat.fr/contact/" TargetMode="External" Id="rId2173" /><Relationship Type="http://schemas.openxmlformats.org/officeDocument/2006/relationships/hyperlink" Target="https://lannuaire.service-public.gouv.fr/grand-est/meurthe-et-moselle/abeb71cc-f38d-4dfa-9975-510825bab533" TargetMode="External" Id="rId2174" /><Relationship Type="http://schemas.openxmlformats.org/officeDocument/2006/relationships/hyperlink" Target="mailto:contact@argonne-meuse.fr" TargetMode="External" Id="rId2175" /><Relationship Type="http://schemas.openxmlformats.org/officeDocument/2006/relationships/hyperlink" Target="https://argonne-meuse.fr" TargetMode="External" Id="rId2176" /><Relationship Type="http://schemas.openxmlformats.org/officeDocument/2006/relationships/hyperlink" Target="https://lannuaire.service-public.gouv.fr/grand-est/meuse/e6aef79e-d1a5-4cdd-9d21-75b4b81e4e1d" TargetMode="External" Id="rId2177" /><Relationship Type="http://schemas.openxmlformats.org/officeDocument/2006/relationships/hyperlink" Target="mailto:accueil@cc-cotesdemeuse-woevre.fr" TargetMode="External" Id="rId2178" /><Relationship Type="http://schemas.openxmlformats.org/officeDocument/2006/relationships/hyperlink" Target="http://www.cc-cotesdemeuse-woevre.fr" TargetMode="External" Id="rId2179" /><Relationship Type="http://schemas.openxmlformats.org/officeDocument/2006/relationships/hyperlink" Target="https://lannuaire.service-public.gouv.fr/grand-est/meuse/b8d01b83-d59c-49ee-97cb-f565b9f6b980" TargetMode="External" Id="rId2180" /><Relationship Type="http://schemas.openxmlformats.org/officeDocument/2006/relationships/hyperlink" Target="mailto:secretariat@ccvmvs.fr" TargetMode="External" Id="rId2181" /><Relationship Type="http://schemas.openxmlformats.org/officeDocument/2006/relationships/hyperlink" Target="https://www.valdemeusevoiesacree.com/" TargetMode="External" Id="rId2182" /><Relationship Type="http://schemas.openxmlformats.org/officeDocument/2006/relationships/hyperlink" Target="https://www.valdemeusevoiesacree.com/contact-acces_fr.html" TargetMode="External" Id="rId2183" /><Relationship Type="http://schemas.openxmlformats.org/officeDocument/2006/relationships/hyperlink" Target="https://lannuaire.service-public.gouv.fr/grand-est/meuse/906df6f6-626f-4787-b1bb-7f92daa13159" TargetMode="External" Id="rId2184" /><Relationship Type="http://schemas.openxmlformats.org/officeDocument/2006/relationships/hyperlink" Target="mailto:cc-cvv@orange.fr" TargetMode="External" Id="rId2185" /><Relationship Type="http://schemas.openxmlformats.org/officeDocument/2006/relationships/hyperlink" Target="https://cc-cvv.fr/" TargetMode="External" Id="rId2186" /><Relationship Type="http://schemas.openxmlformats.org/officeDocument/2006/relationships/hyperlink" Target="https://cc-cvv.fr/contact/" TargetMode="External" Id="rId2187" /><Relationship Type="http://schemas.openxmlformats.org/officeDocument/2006/relationships/hyperlink" Target="https://lannuaire.service-public.gouv.fr/grand-est/meuse/e94f6b26-37b4-4b56-9ada-5da3878ffd66" TargetMode="External" Id="rId2188" /><Relationship Type="http://schemas.openxmlformats.org/officeDocument/2006/relationships/hyperlink" Target="mailto:codecom@damvillers-spincourt.fr" TargetMode="External" Id="rId2189" /><Relationship Type="http://schemas.openxmlformats.org/officeDocument/2006/relationships/hyperlink" Target="https://damvillers-spincourt.com/" TargetMode="External" Id="rId2190" /><Relationship Type="http://schemas.openxmlformats.org/officeDocument/2006/relationships/hyperlink" Target="https://damvillers-spincourt.com/nous-contacter/" TargetMode="External" Id="rId2191" /><Relationship Type="http://schemas.openxmlformats.org/officeDocument/2006/relationships/hyperlink" Target="https://lannuaire.service-public.gouv.fr/grand-est/meuse/9fa3cd2c-c2e0-4c84-a5d8-7b2925067ef5" TargetMode="External" Id="rId2192" /><Relationship Type="http://schemas.openxmlformats.org/officeDocument/2006/relationships/hyperlink" Target="mailto:contact@cc-aireargonne.fr" TargetMode="External" Id="rId2193" /><Relationship Type="http://schemas.openxmlformats.org/officeDocument/2006/relationships/hyperlink" Target="https://www.cc-aireargonne.fr/" TargetMode="External" Id="rId2194" /><Relationship Type="http://schemas.openxmlformats.org/officeDocument/2006/relationships/hyperlink" Target="https://www.cc-aireargonne.fr/contact_fr.html" TargetMode="External" Id="rId2195" /><Relationship Type="http://schemas.openxmlformats.org/officeDocument/2006/relationships/hyperlink" Target="https://lannuaire.service-public.gouv.fr/grand-est/meuse/f0aaea0f-d2cf-4c85-a1bb-b4358fd56449" TargetMode="External" Id="rId2196" /><Relationship Type="http://schemas.openxmlformats.org/officeDocument/2006/relationships/hyperlink" Target="mailto:contact@portesdemeuse.fr" TargetMode="External" Id="rId2197" /><Relationship Type="http://schemas.openxmlformats.org/officeDocument/2006/relationships/hyperlink" Target="https://www.portesdemeuse.fr/" TargetMode="External" Id="rId2198" /><Relationship Type="http://schemas.openxmlformats.org/officeDocument/2006/relationships/hyperlink" Target="https://www.portesdemeuse.fr/contact/" TargetMode="External" Id="rId2199" /><Relationship Type="http://schemas.openxmlformats.org/officeDocument/2006/relationships/hyperlink" Target="https://lannuaire.service-public.gouv.fr/grand-est/meuse/93b26386-154a-4d24-9525-1e8765253f39" TargetMode="External" Id="rId2200" /><Relationship Type="http://schemas.openxmlformats.org/officeDocument/2006/relationships/hyperlink" Target="mailto:accueil@pays-etain.fr" TargetMode="External" Id="rId2201" /><Relationship Type="http://schemas.openxmlformats.org/officeDocument/2006/relationships/hyperlink" Target="https://www.pays-etain.fr/fr/" TargetMode="External" Id="rId2202" /><Relationship Type="http://schemas.openxmlformats.org/officeDocument/2006/relationships/hyperlink" Target="https://www.pays-etain.fr/fr/formulaire-de-contact" TargetMode="External" Id="rId2203" /><Relationship Type="http://schemas.openxmlformats.org/officeDocument/2006/relationships/hyperlink" Target="https://lannuaire.service-public.gouv.fr/grand-est/meuse/343fab92-29b2-4b61-8243-542aadb234cc" TargetMode="External" Id="rId2204" /><Relationship Type="http://schemas.openxmlformats.org/officeDocument/2006/relationships/hyperlink" Target="mailto:contact@codecom-paysdemontmedy.fr" TargetMode="External" Id="rId2205" /><Relationship Type="http://schemas.openxmlformats.org/officeDocument/2006/relationships/hyperlink" Target="https://www.codecom-paysdemontmedy.fr/" TargetMode="External" Id="rId2206" /><Relationship Type="http://schemas.openxmlformats.org/officeDocument/2006/relationships/hyperlink" Target="https://lannuaire.service-public.gouv.fr/grand-est/meuse/02b7cd56-40ec-4dc0-8ae1-4fec71f46257" TargetMode="External" Id="rId2207" /><Relationship Type="http://schemas.openxmlformats.org/officeDocument/2006/relationships/hyperlink" Target="mailto:contact@copary.fr" TargetMode="External" Id="rId2208" /><Relationship Type="http://schemas.openxmlformats.org/officeDocument/2006/relationships/hyperlink" Target="https://www.copary.fr/index.php" TargetMode="External" Id="rId2209" /><Relationship Type="http://schemas.openxmlformats.org/officeDocument/2006/relationships/hyperlink" Target="https://lannuaire.service-public.gouv.fr/grand-est/meuse/2c9ed901-1938-47ee-be60-de50ae62facb" TargetMode="External" Id="rId2210" /><Relationship Type="http://schemas.openxmlformats.org/officeDocument/2006/relationships/hyperlink" Target="mailto:accueil@ccstenaydun.fr" TargetMode="External" Id="rId2211" /><Relationship Type="http://schemas.openxmlformats.org/officeDocument/2006/relationships/hyperlink" Target="http://www.cc-paysdestenay-valdunois.fr" TargetMode="External" Id="rId2212" /><Relationship Type="http://schemas.openxmlformats.org/officeDocument/2006/relationships/hyperlink" Target="http://www.cc-paysdestenay-valdunois.fr/fr/nous-contacter" TargetMode="External" Id="rId2213" /><Relationship Type="http://schemas.openxmlformats.org/officeDocument/2006/relationships/hyperlink" Target="https://lannuaire.service-public.gouv.fr/grand-est/meuse/dcb74a37-d7d1-418a-8a33-3b0c91ec59d4" TargetMode="External" Id="rId2214" /><Relationship Type="http://schemas.openxmlformats.org/officeDocument/2006/relationships/hyperlink" Target="mailto:accueil@cc-sammiellois.fr" TargetMode="External" Id="rId2215" /><Relationship Type="http://schemas.openxmlformats.org/officeDocument/2006/relationships/hyperlink" Target="https://www.cc-sammiellois.fr/" TargetMode="External" Id="rId2216" /><Relationship Type="http://schemas.openxmlformats.org/officeDocument/2006/relationships/hyperlink" Target="https://lannuaire.service-public.gouv.fr/grand-est/meuse/8730af67-868f-430d-99f6-ed9257a76937" TargetMode="External" Id="rId2217" /><Relationship Type="http://schemas.openxmlformats.org/officeDocument/2006/relationships/hyperlink" Target="mailto:contact@codecomfresnes.com" TargetMode="External" Id="rId2218" /><Relationship Type="http://schemas.openxmlformats.org/officeDocument/2006/relationships/hyperlink" Target="https://codecom-fresnes.com/" TargetMode="External" Id="rId2219" /><Relationship Type="http://schemas.openxmlformats.org/officeDocument/2006/relationships/hyperlink" Target="https://codecom-fresnes.com/formulaire-de-contact/" TargetMode="External" Id="rId2220" /><Relationship Type="http://schemas.openxmlformats.org/officeDocument/2006/relationships/hyperlink" Target="https://lannuaire.service-public.gouv.fr/grand-est/meuse/b141ed02-93f8-4c25-a545-5d8b3e465c9b" TargetMode="External" Id="rId2221" /><Relationship Type="http://schemas.openxmlformats.org/officeDocument/2006/relationships/hyperlink" Target="mailto:contact@arcsudbretagne.fr" TargetMode="External" Id="rId2222" /><Relationship Type="http://schemas.openxmlformats.org/officeDocument/2006/relationships/hyperlink" Target="https://www.arc-sud-bretagne.fr/" TargetMode="External" Id="rId2223" /><Relationship Type="http://schemas.openxmlformats.org/officeDocument/2006/relationships/hyperlink" Target="https://www.arc-sud-bretagne.fr/nous-contacter/" TargetMode="External" Id="rId2224" /><Relationship Type="http://schemas.openxmlformats.org/officeDocument/2006/relationships/hyperlink" Target="https://lannuaire.service-public.gouv.fr/bretagne/morbihan/7c804cca-e793-4551-ada9-129ba8b9ca58" TargetMode="External" Id="rId2225" /><Relationship Type="http://schemas.openxmlformats.org/officeDocument/2006/relationships/hyperlink" Target="mailto:accueil@auray-quiberon.fr" TargetMode="External" Id="rId2226" /><Relationship Type="http://schemas.openxmlformats.org/officeDocument/2006/relationships/hyperlink" Target="https://www.auray-quiberon.fr/" TargetMode="External" Id="rId2227" /><Relationship Type="http://schemas.openxmlformats.org/officeDocument/2006/relationships/hyperlink" Target="https://www.auray-quiberon.fr/contactez-nous-100.html" TargetMode="External" Id="rId2228" /><Relationship Type="http://schemas.openxmlformats.org/officeDocument/2006/relationships/hyperlink" Target="https://lannuaire.service-public.gouv.fr/bretagne/morbihan/30a95b88-408b-4105-b387-5bc8992c0e3d" TargetMode="External" Id="rId2229" /><Relationship Type="http://schemas.openxmlformats.org/officeDocument/2006/relationships/hyperlink" Target="mailto:bienvenue@ccvba.fr" TargetMode="External" Id="rId2230" /><Relationship Type="http://schemas.openxmlformats.org/officeDocument/2006/relationships/hyperlink" Target="https://www.vallee-des-baux-alpilles.fr/" TargetMode="External" Id="rId2231" /><Relationship Type="http://schemas.openxmlformats.org/officeDocument/2006/relationships/hyperlink" Target="https://www.vallee-des-baux-alpilles.fr/contactez-nous/" TargetMode="External" Id="rId2232" /><Relationship Type="http://schemas.openxmlformats.org/officeDocument/2006/relationships/hyperlink" Target="https://lannuaire.service-public.gouv.fr/provence-alpes-cote-d-azur/bouches-du-rhone/73f09749-0063-4339-8369-ee180e77ed85" TargetMode="External" Id="rId2233" /><Relationship Type="http://schemas.openxmlformats.org/officeDocument/2006/relationships/hyperlink" Target="mailto:contact@bbo-communaute.bzh" TargetMode="External" Id="rId2234" /><Relationship Type="http://schemas.openxmlformats.org/officeDocument/2006/relationships/hyperlink" Target="https://www.bbo-communaute.bzh/" TargetMode="External" Id="rId2235" /><Relationship Type="http://schemas.openxmlformats.org/officeDocument/2006/relationships/hyperlink" Target="https://www.bbo-communaute.bzh/contact.html" TargetMode="External" Id="rId2236" /><Relationship Type="http://schemas.openxmlformats.org/officeDocument/2006/relationships/hyperlink" Target="https://lannuaire.service-public.gouv.fr/bretagne/morbihan/72e1d606-0458-484a-a47b-ddf8f4335121" TargetMode="External" Id="rId2237" /><Relationship Type="http://schemas.openxmlformats.org/officeDocument/2006/relationships/hyperlink" Target="mailto:accueil@cmc.bzh" TargetMode="External" Id="rId2238" /><Relationship Type="http://schemas.openxmlformats.org/officeDocument/2006/relationships/hyperlink" Target="https://www.centremorbihancommunaute.bzh/" TargetMode="External" Id="rId2239" /><Relationship Type="http://schemas.openxmlformats.org/officeDocument/2006/relationships/hyperlink" Target="https://www.centremorbihancommunaute.bzh/contact/" TargetMode="External" Id="rId2240" /><Relationship Type="http://schemas.openxmlformats.org/officeDocument/2006/relationships/hyperlink" Target="https://lannuaire.service-public.gouv.fr/bretagne/morbihan/3328fc21-cf36-4935-b615-9f71e1bf5aa8" TargetMode="External" Id="rId2241" /><Relationship Type="http://schemas.openxmlformats.org/officeDocument/2006/relationships/hyperlink" Target="mailto:contact@ploermelcommunaute.bzh" TargetMode="External" Id="rId2242" /><Relationship Type="http://schemas.openxmlformats.org/officeDocument/2006/relationships/hyperlink" Target="https://www.ploermelcommunaute.bzh/" TargetMode="External" Id="rId2243" /><Relationship Type="http://schemas.openxmlformats.org/officeDocument/2006/relationships/hyperlink" Target="https://www.ploermelcommunaute.bzh/systeme/nous-contacter/" TargetMode="External" Id="rId2244" /><Relationship Type="http://schemas.openxmlformats.org/officeDocument/2006/relationships/hyperlink" Target="https://lannuaire.service-public.gouv.fr/bretagne/morbihan/441c1369-1306-460e-bfee-ed44615b4630" TargetMode="External" Id="rId2245" /><Relationship Type="http://schemas.openxmlformats.org/officeDocument/2006/relationships/hyperlink" Target="mailto:contact@questembert-communaute.fr" TargetMode="External" Id="rId2246" /><Relationship Type="http://schemas.openxmlformats.org/officeDocument/2006/relationships/hyperlink" Target="https://www.questembert-communaute.fr/" TargetMode="External" Id="rId2247" /><Relationship Type="http://schemas.openxmlformats.org/officeDocument/2006/relationships/hyperlink" Target="https://lannuaire.service-public.gouv.fr/bretagne/morbihan/0f9e48ad-d869-4208-9154-99d15aed4746" TargetMode="External" Id="rId2248" /><Relationship Type="http://schemas.openxmlformats.org/officeDocument/2006/relationships/hyperlink" Target="mailto:secretariat@rmcom.bzh" TargetMode="External" Id="rId2249" /><Relationship Type="http://schemas.openxmlformats.org/officeDocument/2006/relationships/hyperlink" Target="https://rmcom.bzh/" TargetMode="External" Id="rId2250" /><Relationship Type="http://schemas.openxmlformats.org/officeDocument/2006/relationships/hyperlink" Target="https://lannuaire.service-public.gouv.fr/bretagne/morbihan/eae078e1-af98-4718-97bb-27d8f520dde3" TargetMode="External" Id="rId2251" /><Relationship Type="http://schemas.openxmlformats.org/officeDocument/2006/relationships/hyperlink" Target="mailto:ccbi@ccbi.fr" TargetMode="External" Id="rId2252" /><Relationship Type="http://schemas.openxmlformats.org/officeDocument/2006/relationships/hyperlink" Target="http://www.ccbi.fr" TargetMode="External" Id="rId2253" /><Relationship Type="http://schemas.openxmlformats.org/officeDocument/2006/relationships/hyperlink" Target="https://lannuaire.service-public.gouv.fr/bretagne/morbihan/0c75e752-0d25-485e-b9a6-433f7a981f15" TargetMode="External" Id="rId2254" /><Relationship Type="http://schemas.openxmlformats.org/officeDocument/2006/relationships/hyperlink" Target="mailto:contact@oust-broceliande.bzh" TargetMode="External" Id="rId2255" /><Relationship Type="http://schemas.openxmlformats.org/officeDocument/2006/relationships/hyperlink" Target="https://www.oust-broceliande.bzh/accueil-obc" TargetMode="External" Id="rId2256" /><Relationship Type="http://schemas.openxmlformats.org/officeDocument/2006/relationships/hyperlink" Target="https://www.oust-broceliande.bzh/accueil-obc/pied-de-page/contacts" TargetMode="External" Id="rId2257" /><Relationship Type="http://schemas.openxmlformats.org/officeDocument/2006/relationships/hyperlink" Target="https://lannuaire.service-public.gouv.fr/bretagne/morbihan/91c14c46-8aac-4265-b2a3-cc280382d41f" TargetMode="External" Id="rId2258" /><Relationship Type="http://schemas.openxmlformats.org/officeDocument/2006/relationships/hyperlink" Target="mailto:contact@ccb3f.fr" TargetMode="External" Id="rId2259" /><Relationship Type="http://schemas.openxmlformats.org/officeDocument/2006/relationships/hyperlink" Target="https://www.ccb3f.fr/" TargetMode="External" Id="rId2260" /><Relationship Type="http://schemas.openxmlformats.org/officeDocument/2006/relationships/hyperlink" Target="https://lannuaire.service-public.gouv.fr/grand-est/moselle/7f135c86-09b1-46fe-a546-a0d0a426e051" TargetMode="External" Id="rId2261" /><Relationship Type="http://schemas.openxmlformats.org/officeDocument/2006/relationships/hyperlink" Target="mailto:accueil@cchcpp.fr" TargetMode="External" Id="rId2262" /><Relationship Type="http://schemas.openxmlformats.org/officeDocument/2006/relationships/hyperlink" Target="https://www.cchcpp.fr" TargetMode="External" Id="rId2263" /><Relationship Type="http://schemas.openxmlformats.org/officeDocument/2006/relationships/hyperlink" Target="https://www.cchcpp.fr/fr/contact.html" TargetMode="External" Id="rId2264" /><Relationship Type="http://schemas.openxmlformats.org/officeDocument/2006/relationships/hyperlink" Target="https://lannuaire.service-public.gouv.fr/grand-est/moselle/56d46523-f3ce-4737-a970-9376d2bcfb1f" TargetMode="External" Id="rId2265" /><Relationship Type="http://schemas.openxmlformats.org/officeDocument/2006/relationships/hyperlink" Target="mailto:contact@cchpb.net" TargetMode="External" Id="rId2266" /><Relationship Type="http://schemas.openxmlformats.org/officeDocument/2006/relationships/hyperlink" Target="https://www.paysboulageois.fr/" TargetMode="External" Id="rId2267" /><Relationship Type="http://schemas.openxmlformats.org/officeDocument/2006/relationships/hyperlink" Target="https://lannuaire.service-public.gouv.fr/grand-est/moselle/2c18293c-0e9a-47c4-bb5d-937c691402d4" TargetMode="External" Id="rId2268" /><Relationship Type="http://schemas.openxmlformats.org/officeDocument/2006/relationships/hyperlink" Target="mailto:accueil@rivesdemoselle.fr" TargetMode="External" Id="rId2269" /><Relationship Type="http://schemas.openxmlformats.org/officeDocument/2006/relationships/hyperlink" Target="https://www.rivesdemoselle.fr/" TargetMode="External" Id="rId2270" /><Relationship Type="http://schemas.openxmlformats.org/officeDocument/2006/relationships/hyperlink" Target="https://www.rivesdemoselle.fr/sinformer-participer/#unequestionuneidee" TargetMode="External" Id="rId2271" /><Relationship Type="http://schemas.openxmlformats.org/officeDocument/2006/relationships/hyperlink" Target="https://lannuaire.service-public.gouv.fr/grand-est/moselle/b034bb97-c514-47ca-9f2f-8c4abfffc64f" TargetMode="External" Id="rId2272" /><Relationship Type="http://schemas.openxmlformats.org/officeDocument/2006/relationships/hyperlink" Target="mailto:contact@cc-sms.fr" TargetMode="External" Id="rId2273" /><Relationship Type="http://schemas.openxmlformats.org/officeDocument/2006/relationships/hyperlink" Target="https://www.cc-sms.fr/" TargetMode="External" Id="rId2274" /><Relationship Type="http://schemas.openxmlformats.org/officeDocument/2006/relationships/hyperlink" Target="https://www.cc-sms.fr/contact/" TargetMode="External" Id="rId2275" /><Relationship Type="http://schemas.openxmlformats.org/officeDocument/2006/relationships/hyperlink" Target="https://lannuaire.service-public.gouv.fr/grand-est/moselle/7619a292-81e4-4723-9550-39a048bce78c" TargetMode="External" Id="rId2276" /><Relationship Type="http://schemas.openxmlformats.org/officeDocument/2006/relationships/hyperlink" Target="mailto:accueil@cc-ce.com" TargetMode="External" Id="rId2277" /><Relationship Type="http://schemas.openxmlformats.org/officeDocument/2006/relationships/hyperlink" Target="https://www.ccce.fr" TargetMode="External" Id="rId2278" /><Relationship Type="http://schemas.openxmlformats.org/officeDocument/2006/relationships/hyperlink" Target="https://www.ccce.fr/contact-ccce" TargetMode="External" Id="rId2279" /><Relationship Type="http://schemas.openxmlformats.org/officeDocument/2006/relationships/hyperlink" Target="https://lannuaire.service-public.gouv.fr/grand-est/moselle/0550a892-efd8-44a6-8d9a-462b245dc85f" TargetMode="External" Id="rId2280" /><Relationship Type="http://schemas.openxmlformats.org/officeDocument/2006/relationships/hyperlink" Target="mailto:ccfm@cc-freyming-merlebach.fr" TargetMode="External" Id="rId2281" /><Relationship Type="http://schemas.openxmlformats.org/officeDocument/2006/relationships/hyperlink" Target="https://www.cc-freyming-merlebach.fr/" TargetMode="External" Id="rId2282" /><Relationship Type="http://schemas.openxmlformats.org/officeDocument/2006/relationships/hyperlink" Target="https://www.cc-freyming-merlebach.fr/contact/" TargetMode="External" Id="rId2283" /><Relationship Type="http://schemas.openxmlformats.org/officeDocument/2006/relationships/hyperlink" Target="https://lannuaire.service-public.gouv.fr/grand-est/moselle/2f374a73-9df8-4cb5-b28d-b21c29ac066b" TargetMode="External" Id="rId2284" /><Relationship Type="http://schemas.openxmlformats.org/officeDocument/2006/relationships/hyperlink" Target="mailto:contact@arcmosellan.fr" TargetMode="External" Id="rId2285" /><Relationship Type="http://schemas.openxmlformats.org/officeDocument/2006/relationships/hyperlink" Target="https://www.arcmosellan.fr/" TargetMode="External" Id="rId2286" /><Relationship Type="http://schemas.openxmlformats.org/officeDocument/2006/relationships/hyperlink" Target="https://www.arcmosellan.fr/formulaire-de-contact/" TargetMode="External" Id="rId2287" /><Relationship Type="http://schemas.openxmlformats.org/officeDocument/2006/relationships/hyperlink" Target="https://lannuaire.service-public.gouv.fr/grand-est/moselle/d29bf394-63df-48f6-ba0e-ab716fa9be71" TargetMode="External" Id="rId2288" /><Relationship Type="http://schemas.openxmlformats.org/officeDocument/2006/relationships/hyperlink" Target="mailto:dg@dufcc.com" TargetMode="External" Id="rId2289" /><Relationship Type="http://schemas.openxmlformats.org/officeDocument/2006/relationships/hyperlink" Target="https://www.dufcc.com/fr/" TargetMode="External" Id="rId2290" /><Relationship Type="http://schemas.openxmlformats.org/officeDocument/2006/relationships/hyperlink" Target="https://www.dufcc.com/fr/contact.html" TargetMode="External" Id="rId2291" /><Relationship Type="http://schemas.openxmlformats.org/officeDocument/2006/relationships/hyperlink" Target="https://lannuaire.service-public.gouv.fr/grand-est/moselle/57d94f9d-1513-46c3-a479-3cde6484daaa" TargetMode="External" Id="rId2292" /><Relationship Type="http://schemas.openxmlformats.org/officeDocument/2006/relationships/hyperlink" Target="mailto:ccpom@ccpom.fr" TargetMode="External" Id="rId2293" /><Relationship Type="http://schemas.openxmlformats.org/officeDocument/2006/relationships/hyperlink" Target="https://www.ccpom.fr/" TargetMode="External" Id="rId2294" /><Relationship Type="http://schemas.openxmlformats.org/officeDocument/2006/relationships/hyperlink" Target="https://www.ccpom.fr/contact/" TargetMode="External" Id="rId2295" /><Relationship Type="http://schemas.openxmlformats.org/officeDocument/2006/relationships/hyperlink" Target="https://lannuaire.service-public.gouv.fr/grand-est/moselle/c9029905-ce17-4084-b836-f041b384a9c5" TargetMode="External" Id="rId2296" /><Relationship Type="http://schemas.openxmlformats.org/officeDocument/2006/relationships/hyperlink" Target="mailto:contact@cc-paysdebitche.fr" TargetMode="External" Id="rId2297" /><Relationship Type="http://schemas.openxmlformats.org/officeDocument/2006/relationships/hyperlink" Target="https://www.cc-paysdebitche.fr" TargetMode="External" Id="rId2298" /><Relationship Type="http://schemas.openxmlformats.org/officeDocument/2006/relationships/hyperlink" Target="https://www.cc-paysdebitche.fr/contact/" TargetMode="External" Id="rId2299" /><Relationship Type="http://schemas.openxmlformats.org/officeDocument/2006/relationships/hyperlink" Target="https://lannuaire.service-public.gouv.fr/grand-est/moselle/9d8dd5f1-8778-4127-a359-b7680296bf07" TargetMode="External" Id="rId2300" /><Relationship Type="http://schemas.openxmlformats.org/officeDocument/2006/relationships/hyperlink" Target="mailto:contact@paysdephalsbourg.fr" TargetMode="External" Id="rId2301" /><Relationship Type="http://schemas.openxmlformats.org/officeDocument/2006/relationships/hyperlink" Target="https://www.paysdephalsbourg.fr/" TargetMode="External" Id="rId2302" /><Relationship Type="http://schemas.openxmlformats.org/officeDocument/2006/relationships/hyperlink" Target="https://www.paysdephalsbourg.fr/nous-contacter/" TargetMode="External" Id="rId2303" /><Relationship Type="http://schemas.openxmlformats.org/officeDocument/2006/relationships/hyperlink" Target="https://lannuaire.service-public.gouv.fr/grand-est/moselle/80d4e481-5e60-4c99-a458-9f0994c23525" TargetMode="External" Id="rId2304" /><Relationship Type="http://schemas.openxmlformats.org/officeDocument/2006/relationships/hyperlink" Target="mailto:administration@cc-saulnois.fr" TargetMode="External" Id="rId2305" /><Relationship Type="http://schemas.openxmlformats.org/officeDocument/2006/relationships/hyperlink" Target="https://www.cc-saulnois.fr/" TargetMode="External" Id="rId2306" /><Relationship Type="http://schemas.openxmlformats.org/officeDocument/2006/relationships/hyperlink" Target="https://www.cc-saulnois.fr/contact/" TargetMode="External" Id="rId2307" /><Relationship Type="http://schemas.openxmlformats.org/officeDocument/2006/relationships/hyperlink" Target="https://lannuaire.service-public.gouv.fr/grand-est/moselle/5d57decc-912d-4a28-a443-9caac5d1dc4c" TargetMode="External" Id="rId2308" /><Relationship Type="http://schemas.openxmlformats.org/officeDocument/2006/relationships/hyperlink" Target="mailto:contact@sudmessin.fr" TargetMode="External" Id="rId2309" /><Relationship Type="http://schemas.openxmlformats.org/officeDocument/2006/relationships/hyperlink" Target="http://www.sudmessin.fr" TargetMode="External" Id="rId2310" /><Relationship Type="http://schemas.openxmlformats.org/officeDocument/2006/relationships/hyperlink" Target="https://lannuaire.service-public.gouv.fr/grand-est/moselle/0b68ef3d-0ef6-44dc-8d61-e4e736ed811c" TargetMode="External" Id="rId2311" /><Relationship Type="http://schemas.openxmlformats.org/officeDocument/2006/relationships/hyperlink" Target="mailto:contact@ccwarndt.fr" TargetMode="External" Id="rId2312" /><Relationship Type="http://schemas.openxmlformats.org/officeDocument/2006/relationships/hyperlink" Target="https://ccwarndt.fr/" TargetMode="External" Id="rId2313" /><Relationship Type="http://schemas.openxmlformats.org/officeDocument/2006/relationships/hyperlink" Target="https://lannuaire.service-public.gouv.fr/grand-est/moselle/e40a6cda-2c12-4e00-93c9-68bb810dbfbd" TargetMode="External" Id="rId2314" /><Relationship Type="http://schemas.openxmlformats.org/officeDocument/2006/relationships/hyperlink" Target="mailto:contact@ccacn.fr" TargetMode="External" Id="rId2315" /><Relationship Type="http://schemas.openxmlformats.org/officeDocument/2006/relationships/hyperlink" Target="https://cc-amognescoeurdunivernais.fr/" TargetMode="External" Id="rId2316" /><Relationship Type="http://schemas.openxmlformats.org/officeDocument/2006/relationships/hyperlink" Target="https://lannuaire.service-public.gouv.fr/bourgogne-franche-comte/nievre/dd0926c6-1e1c-44d8-bb75-d14c2527ada0" TargetMode="External" Id="rId2317" /><Relationship Type="http://schemas.openxmlformats.org/officeDocument/2006/relationships/hyperlink" Target="mailto:contact@bazoisloiremorvan.fr" TargetMode="External" Id="rId2318" /><Relationship Type="http://schemas.openxmlformats.org/officeDocument/2006/relationships/hyperlink" Target="https://www.bazoisloiremorvan.fr/" TargetMode="External" Id="rId2319" /><Relationship Type="http://schemas.openxmlformats.org/officeDocument/2006/relationships/hyperlink" Target="https://www.bazoisloiremorvan.fr/contactez-nous/" TargetMode="External" Id="rId2320" /><Relationship Type="http://schemas.openxmlformats.org/officeDocument/2006/relationships/hyperlink" Target="https://lannuaire.service-public.gouv.fr/bourgogne-franche-comte/nievre/e0e23cd0-c8e6-4c25-8b74-66a8f7ce2bff" TargetMode="External" Id="rId2321" /><Relationship Type="http://schemas.openxmlformats.org/officeDocument/2006/relationships/hyperlink" Target="mailto:contact@coeurdeloire.fr" TargetMode="External" Id="rId2322" /><Relationship Type="http://schemas.openxmlformats.org/officeDocument/2006/relationships/hyperlink" Target="https://www.coeurdeloire.fr/" TargetMode="External" Id="rId2323" /><Relationship Type="http://schemas.openxmlformats.org/officeDocument/2006/relationships/hyperlink" Target="https://www.coeurdeloire.fr/contact/" TargetMode="External" Id="rId2324" /><Relationship Type="http://schemas.openxmlformats.org/officeDocument/2006/relationships/hyperlink" Target="https://lannuaire.service-public.gouv.fr/bourgogne-franche-comte/nievre/49ec768b-c110-4a94-9e77-3b52dddeccbe" TargetMode="External" Id="rId2325" /><Relationship Type="http://schemas.openxmlformats.org/officeDocument/2006/relationships/hyperlink" Target="mailto:contact@cchnvy.fr" TargetMode="External" Id="rId2326" /><Relationship Type="http://schemas.openxmlformats.org/officeDocument/2006/relationships/hyperlink" Target="https://www.cchnvy.fr/" TargetMode="External" Id="rId2327" /><Relationship Type="http://schemas.openxmlformats.org/officeDocument/2006/relationships/hyperlink" Target="https://www.cchnvy.fr/contact/" TargetMode="External" Id="rId2328" /><Relationship Type="http://schemas.openxmlformats.org/officeDocument/2006/relationships/hyperlink" Target="https://lannuaire.service-public.gouv.fr/bourgogne-franche-comte/nievre/d00b025f-6f16-415a-8c89-d643ee483ed2" TargetMode="External" Id="rId2329" /><Relationship Type="http://schemas.openxmlformats.org/officeDocument/2006/relationships/hyperlink" Target="mailto:administratif@cc-loire-allier.fr" TargetMode="External" Id="rId2330" /><Relationship Type="http://schemas.openxmlformats.org/officeDocument/2006/relationships/hyperlink" Target="http://www.cc-loire-allier.fr" TargetMode="External" Id="rId2331" /><Relationship Type="http://schemas.openxmlformats.org/officeDocument/2006/relationships/hyperlink" Target="https://lannuaire.service-public.gouv.fr/bourgogne-franche-comte/nievre/08e97c1c-a502-4d5c-b2be-da20653ad377" TargetMode="External" Id="rId2332" /><Relationship Type="http://schemas.openxmlformats.org/officeDocument/2006/relationships/hyperlink" Target="mailto:contact@ccmorvan.fr" TargetMode="External" Id="rId2333" /><Relationship Type="http://schemas.openxmlformats.org/officeDocument/2006/relationships/hyperlink" Target="https://www.ccmorvan.fr/" TargetMode="External" Id="rId2334" /><Relationship Type="http://schemas.openxmlformats.org/officeDocument/2006/relationships/hyperlink" Target="https://lannuaire.service-public.gouv.fr/bourgogne-franche-comte/nievre/fbce022e-eaaa-4119-a3ee-6338966b2e1c" TargetMode="External" Id="rId2335" /><Relationship Type="http://schemas.openxmlformats.org/officeDocument/2006/relationships/hyperlink" Target="mailto:accueil@ccsn.fr" TargetMode="External" Id="rId2336" /><Relationship Type="http://schemas.openxmlformats.org/officeDocument/2006/relationships/hyperlink" Target="https://www.sud-nivernais-communaute.fr/" TargetMode="External" Id="rId2337" /><Relationship Type="http://schemas.openxmlformats.org/officeDocument/2006/relationships/hyperlink" Target="https://www.sud-nivernais-communaute.fr/systeme/nous-contacter/" TargetMode="External" Id="rId2338" /><Relationship Type="http://schemas.openxmlformats.org/officeDocument/2006/relationships/hyperlink" Target="https://lannuaire.service-public.gouv.fr/bourgogne-franche-comte/nievre/2306bbfa-0f13-45a2-ba72-4ba73f452f12" TargetMode="External" Id="rId2339" /><Relationship Type="http://schemas.openxmlformats.org/officeDocument/2006/relationships/hyperlink" Target="mailto:accueil@cctbc.fr" TargetMode="External" Id="rId2340" /><Relationship Type="http://schemas.openxmlformats.org/officeDocument/2006/relationships/hyperlink" Target="https://www.tannay-brinon-corbigny.fr" TargetMode="External" Id="rId2341" /><Relationship Type="http://schemas.openxmlformats.org/officeDocument/2006/relationships/hyperlink" Target="https://www.tannay-brinon-corbigny.fr/contact/" TargetMode="External" Id="rId2342" /><Relationship Type="http://schemas.openxmlformats.org/officeDocument/2006/relationships/hyperlink" Target="https://lannuaire.service-public.gouv.fr/bourgogne-franche-comte/nievre/fd3f40ff-96ea-4c52-b637-2ff65e1269eb" TargetMode="External" Id="rId2343" /><Relationship Type="http://schemas.openxmlformats.org/officeDocument/2006/relationships/hyperlink" Target="mailto:contact@cc-puisayeforterre.fr" TargetMode="External" Id="rId2344" /><Relationship Type="http://schemas.openxmlformats.org/officeDocument/2006/relationships/hyperlink" Target="https://www.puisaye-forterre.com/" TargetMode="External" Id="rId2345" /><Relationship Type="http://schemas.openxmlformats.org/officeDocument/2006/relationships/hyperlink" Target="https://lannuaire.service-public.gouv.fr/bourgogne-franche-comte/yonne/455c3c62-1a45-4707-8b9c-533e18a31108" TargetMode="External" Id="rId2346" /><Relationship Type="http://schemas.openxmlformats.org/officeDocument/2006/relationships/hyperlink" Target="mailto:accueilccnb@orange.fr" TargetMode="External" Id="rId2347" /><Relationship Type="http://schemas.openxmlformats.org/officeDocument/2006/relationships/hyperlink" Target="https://www.nivernais-bourbonnais.com/" TargetMode="External" Id="rId2348" /><Relationship Type="http://schemas.openxmlformats.org/officeDocument/2006/relationships/hyperlink" Target="https://www.nivernais-bourbonnais.com/contact/" TargetMode="External" Id="rId2349" /><Relationship Type="http://schemas.openxmlformats.org/officeDocument/2006/relationships/hyperlink" Target="https://lannuaire.service-public.gouv.fr/bourgogne-franche-comte/nievre/be5b7e77-a409-488b-a809-bcd89f4035c9" TargetMode="External" Id="rId2350" /><Relationship Type="http://schemas.openxmlformats.org/officeDocument/2006/relationships/hyperlink" Target="mailto:accueil@coeur-avesnois.fr" TargetMode="External" Id="rId2351" /><Relationship Type="http://schemas.openxmlformats.org/officeDocument/2006/relationships/hyperlink" Target="https://www.coeur-avesnois.fr/" TargetMode="External" Id="rId2352" /><Relationship Type="http://schemas.openxmlformats.org/officeDocument/2006/relationships/hyperlink" Target="https://www.coeur-avesnois.fr/contact" TargetMode="External" Id="rId2353" /><Relationship Type="http://schemas.openxmlformats.org/officeDocument/2006/relationships/hyperlink" Target="https://lannuaire.service-public.gouv.fr/hauts-de-france/nord/ac272ca6-77f2-47c9-8118-7d490c7a2f20" TargetMode="External" Id="rId2354" /><Relationship Type="http://schemas.openxmlformats.org/officeDocument/2006/relationships/hyperlink" Target="mailto:contact@cc-flandrelys.fr" TargetMode="External" Id="rId2355" /><Relationship Type="http://schemas.openxmlformats.org/officeDocument/2006/relationships/hyperlink" Target="https://www.cc-flandrelys.fr/" TargetMode="External" Id="rId2356" /><Relationship Type="http://schemas.openxmlformats.org/officeDocument/2006/relationships/hyperlink" Target="https://www.cc-flandrelys.fr/formulaire-de-contact" TargetMode="External" Id="rId2357" /><Relationship Type="http://schemas.openxmlformats.org/officeDocument/2006/relationships/hyperlink" Target="https://lannuaire.service-public.gouv.fr/hauts-de-france/nord/33c65e51-e674-4c01-9b45-19716dd23b2d" TargetMode="External" Id="rId2358" /><Relationship Type="http://schemas.openxmlformats.org/officeDocument/2006/relationships/hyperlink" Target="mailto:contact@pevelecarembault.fr" TargetMode="External" Id="rId2359" /><Relationship Type="http://schemas.openxmlformats.org/officeDocument/2006/relationships/hyperlink" Target="https://www.pevelecarembault.fr/" TargetMode="External" Id="rId2360" /><Relationship Type="http://schemas.openxmlformats.org/officeDocument/2006/relationships/hyperlink" Target="https://demarches.pevelecarembault.fr/user/login?destination=/formulaire/contacter-un-service-de-la-pevel" TargetMode="External" Id="rId2361" /><Relationship Type="http://schemas.openxmlformats.org/officeDocument/2006/relationships/hyperlink" Target="https://lannuaire.service-public.gouv.fr/hauts-de-france/nord/d6113487-2ac1-404a-a53e-c0f4b43d075a" TargetMode="External" Id="rId2362" /><Relationship Type="http://schemas.openxmlformats.org/officeDocument/2006/relationships/hyperlink" Target="mailto:contact@cchf.fr" TargetMode="External" Id="rId2363" /><Relationship Type="http://schemas.openxmlformats.org/officeDocument/2006/relationships/hyperlink" Target="https://www.cchf.fr/" TargetMode="External" Id="rId2364" /><Relationship Type="http://schemas.openxmlformats.org/officeDocument/2006/relationships/hyperlink" Target="https://www.facebook.com/cchf.fr/" TargetMode="External" Id="rId2365" /><Relationship Type="http://schemas.openxmlformats.org/officeDocument/2006/relationships/hyperlink" Target="https://lannuaire.service-public.gouv.fr/hauts-de-france/nord/68860c19-0e63-4a48-959c-74fd133efb9f" TargetMode="External" Id="rId2366" /><Relationship Type="http://schemas.openxmlformats.org/officeDocument/2006/relationships/hyperlink" Target="mailto:contact@ccpays-solesmois.fr" TargetMode="External" Id="rId2367" /><Relationship Type="http://schemas.openxmlformats.org/officeDocument/2006/relationships/hyperlink" Target="https://www.ccpays-solesmois.fr/" TargetMode="External" Id="rId2368" /><Relationship Type="http://schemas.openxmlformats.org/officeDocument/2006/relationships/hyperlink" Target="https://www.ccpays-solesmois.fr/contact-forms/" TargetMode="External" Id="rId2369" /><Relationship Type="http://schemas.openxmlformats.org/officeDocument/2006/relationships/hyperlink" Target="https://lannuaire.service-public.gouv.fr/hauts-de-france/nord/b8d35482-1ecd-4814-934d-9d84ed0ad758" TargetMode="External" Id="rId2370" /><Relationship Type="http://schemas.openxmlformats.org/officeDocument/2006/relationships/hyperlink" Target="mailto:contact@cc-paysdemormal.fr" TargetMode="External" Id="rId2371" /><Relationship Type="http://schemas.openxmlformats.org/officeDocument/2006/relationships/hyperlink" Target="https://www.cc-paysdemormal.fr/" TargetMode="External" Id="rId2372" /><Relationship Type="http://schemas.openxmlformats.org/officeDocument/2006/relationships/hyperlink" Target="https://www.cc-paysdemormal.fr/nous-contacter/" TargetMode="External" Id="rId2373" /><Relationship Type="http://schemas.openxmlformats.org/officeDocument/2006/relationships/hyperlink" Target="https://lannuaire.service-public.gouv.fr/hauts-de-france/nord/0ff65e15-439f-4e26-a457-fe0c7c73bd87" TargetMode="External" Id="rId2374" /><Relationship Type="http://schemas.openxmlformats.org/officeDocument/2006/relationships/hyperlink" Target="mailto:contact@cc-sudavesnois.fr" TargetMode="External" Id="rId2375" /><Relationship Type="http://schemas.openxmlformats.org/officeDocument/2006/relationships/hyperlink" Target="https://cc-sudavesnois.fr/" TargetMode="External" Id="rId2376" /><Relationship Type="http://schemas.openxmlformats.org/officeDocument/2006/relationships/hyperlink" Target="https://cc-sudavesnois.fr/" TargetMode="External" Id="rId2377" /><Relationship Type="http://schemas.openxmlformats.org/officeDocument/2006/relationships/hyperlink" Target="https://lannuaire.service-public.gouv.fr/hauts-de-france/nord/d9b3db90-127a-4248-b94b-f073a9d61cba" TargetMode="External" Id="rId2378" /><Relationship Type="http://schemas.openxmlformats.org/officeDocument/2006/relationships/hyperlink" Target="mailto:accueil@ccsso.fr" TargetMode="External" Id="rId2379" /><Relationship Type="http://schemas.openxmlformats.org/officeDocument/2006/relationships/hyperlink" Target="https://www.ccsso.fr/" TargetMode="External" Id="rId2380" /><Relationship Type="http://schemas.openxmlformats.org/officeDocument/2006/relationships/hyperlink" Target="https://www.ccsso.fr/contact" TargetMode="External" Id="rId2381" /><Relationship Type="http://schemas.openxmlformats.org/officeDocument/2006/relationships/hyperlink" Target="https://lannuaire.service-public.gouv.fr/hauts-de-france/oise/7562730a-b4b1-466b-a68c-ac949ae32822" TargetMode="External" Id="rId2382" /><Relationship Type="http://schemas.openxmlformats.org/officeDocument/2006/relationships/hyperlink" Target="mailto:contact@thelloise.fr" TargetMode="External" Id="rId2383" /><Relationship Type="http://schemas.openxmlformats.org/officeDocument/2006/relationships/hyperlink" Target="https://www.thelloise.fr/" TargetMode="External" Id="rId2384" /><Relationship Type="http://schemas.openxmlformats.org/officeDocument/2006/relationships/hyperlink" Target="https://www.thelloise.fr/contact-general#sp-main-body" TargetMode="External" Id="rId2385" /><Relationship Type="http://schemas.openxmlformats.org/officeDocument/2006/relationships/hyperlink" Target="https://lannuaire.service-public.gouv.fr/hauts-de-france/oise/c2db65b0-ce21-46cc-a21d-8c2b903ac8d4" TargetMode="External" Id="rId2386" /><Relationship Type="http://schemas.openxmlformats.org/officeDocument/2006/relationships/hyperlink" Target="mailto:contact@ccac.fr" TargetMode="External" Id="rId2387" /><Relationship Type="http://schemas.openxmlformats.org/officeDocument/2006/relationships/hyperlink" Target="https://www.ccac.fr/" TargetMode="External" Id="rId2388" /><Relationship Type="http://schemas.openxmlformats.org/officeDocument/2006/relationships/hyperlink" Target="https://www.ccac.fr/nous-contacter/" TargetMode="External" Id="rId2389" /><Relationship Type="http://schemas.openxmlformats.org/officeDocument/2006/relationships/hyperlink" Target="https://lannuaire.service-public.gouv.fr/hauts-de-france/oise/5e6f1785-ff26-4783-94c3-bca4a970c690" TargetMode="External" Id="rId2390" /><Relationship Type="http://schemas.openxmlformats.org/officeDocument/2006/relationships/hyperlink" Target="mailto:contact@cc-oisepicarde.fr" TargetMode="External" Id="rId2391" /><Relationship Type="http://schemas.openxmlformats.org/officeDocument/2006/relationships/hyperlink" Target="https://cc-oisepicarde.fr/fr/" TargetMode="External" Id="rId2392" /><Relationship Type="http://schemas.openxmlformats.org/officeDocument/2006/relationships/hyperlink" Target="https://www.facebook.com/ccoisepicarde/" TargetMode="External" Id="rId2393" /><Relationship Type="http://schemas.openxmlformats.org/officeDocument/2006/relationships/hyperlink" Target="https://lannuaire.service-public.gouv.fr/hauts-de-france/oise/b86c6d6f-c564-486f-8cd8-9b7b94f271b7" TargetMode="External" Id="rId2394" /><Relationship Type="http://schemas.openxmlformats.org/officeDocument/2006/relationships/hyperlink" Target="mailto:ccpv@ccpv.fr" TargetMode="External" Id="rId2395" /><Relationship Type="http://schemas.openxmlformats.org/officeDocument/2006/relationships/hyperlink" Target="https://www.picardieverte.com" TargetMode="External" Id="rId2396" /><Relationship Type="http://schemas.openxmlformats.org/officeDocument/2006/relationships/hyperlink" Target="https://lannuaire.service-public.gouv.fr/hauts-de-france/oise/31d99002-a90d-44b8-a1c6-e1e80ab15561" TargetMode="External" Id="rId2397" /><Relationship Type="http://schemas.openxmlformats.org/officeDocument/2006/relationships/hyperlink" Target="mailto:contact@cc-pe.fr" TargetMode="External" Id="rId2398" /><Relationship Type="http://schemas.openxmlformats.org/officeDocument/2006/relationships/hyperlink" Target="https://www.ccplaine-estrees.com/" TargetMode="External" Id="rId2399" /><Relationship Type="http://schemas.openxmlformats.org/officeDocument/2006/relationships/hyperlink" Target="https://www.ccplaine-estrees.com/nous-contacter/" TargetMode="External" Id="rId2400" /><Relationship Type="http://schemas.openxmlformats.org/officeDocument/2006/relationships/hyperlink" Target="https://lannuaire.service-public.gouv.fr/hauts-de-france/oise/3275e90b-ba7c-4b26-b4e8-c7a155b2fa52" TargetMode="External" Id="rId2401" /><Relationship Type="http://schemas.openxmlformats.org/officeDocument/2006/relationships/hyperlink" Target="mailto:contact@cc2v.fr" TargetMode="External" Id="rId2402" /><Relationship Type="http://schemas.openxmlformats.org/officeDocument/2006/relationships/hyperlink" Target="https://www.deuxvallees.fr/" TargetMode="External" Id="rId2403" /><Relationship Type="http://schemas.openxmlformats.org/officeDocument/2006/relationships/hyperlink" Target="https://www.deuxvallees.fr/contact" TargetMode="External" Id="rId2404" /><Relationship Type="http://schemas.openxmlformats.org/officeDocument/2006/relationships/hyperlink" Target="https://lannuaire.service-public.gouv.fr/hauts-de-france/oise/ae90e5d4-5a57-467c-967f-9398aa76270b" TargetMode="External" Id="rId2405" /><Relationship Type="http://schemas.openxmlformats.org/officeDocument/2006/relationships/hyperlink" Target="mailto:contact@ccloise.com" TargetMode="External" Id="rId2406" /><Relationship Type="http://schemas.openxmlformats.org/officeDocument/2006/relationships/hyperlink" Target="https://ccloise.com/" TargetMode="External" Id="rId2407" /><Relationship Type="http://schemas.openxmlformats.org/officeDocument/2006/relationships/hyperlink" Target="https://ccloise.com/contacts/formulaire-de-demande/" TargetMode="External" Id="rId2408" /><Relationship Type="http://schemas.openxmlformats.org/officeDocument/2006/relationships/hyperlink" Target="https://lannuaire.service-public.gouv.fr/hauts-de-france/oise/1c21fc62-913a-4a0a-bef7-1cf4c45a9a15" TargetMode="External" Id="rId2409" /><Relationship Type="http://schemas.openxmlformats.org/officeDocument/2006/relationships/hyperlink" Target="mailto:secretariat@ccpoh.fr" TargetMode="External" Id="rId2410" /><Relationship Type="http://schemas.openxmlformats.org/officeDocument/2006/relationships/hyperlink" Target="https://www.ccpoh.fr/" TargetMode="External" Id="rId2411" /><Relationship Type="http://schemas.openxmlformats.org/officeDocument/2006/relationships/hyperlink" Target="https://www.ccpoh.fr/informations-pratiques/contact" TargetMode="External" Id="rId2412" /><Relationship Type="http://schemas.openxmlformats.org/officeDocument/2006/relationships/hyperlink" Target="https://lannuaire.service-public.gouv.fr/hauts-de-france/oise/ff90b36d-f513-49b0-8733-ce2bdb3b9785" TargetMode="External" Id="rId2413" /><Relationship Type="http://schemas.openxmlformats.org/officeDocument/2006/relationships/hyperlink" Target="mailto:contact@cc-sablons.fr" TargetMode="External" Id="rId2414" /><Relationship Type="http://schemas.openxmlformats.org/officeDocument/2006/relationships/hyperlink" Target="https://cc-sablons.com/" TargetMode="External" Id="rId2415" /><Relationship Type="http://schemas.openxmlformats.org/officeDocument/2006/relationships/hyperlink" Target="https://lannuaire.service-public.gouv.fr/hauts-de-france/oise/1874b9dc-c3b6-4552-9926-54d9ee6c6db5" TargetMode="External" Id="rId2416" /><Relationship Type="http://schemas.openxmlformats.org/officeDocument/2006/relationships/hyperlink" Target="mailto:accueil@pays-clermontois.fr" TargetMode="External" Id="rId2417" /><Relationship Type="http://schemas.openxmlformats.org/officeDocument/2006/relationships/hyperlink" Target="https://pays-clermontois.fr/" TargetMode="External" Id="rId2418" /><Relationship Type="http://schemas.openxmlformats.org/officeDocument/2006/relationships/hyperlink" Target="https://pays-clermontois.fr/nous-contacter/" TargetMode="External" Id="rId2419" /><Relationship Type="http://schemas.openxmlformats.org/officeDocument/2006/relationships/hyperlink" Target="https://lannuaire.service-public.gouv.fr/hauts-de-france/oise/b55df963-8412-458e-bc22-a47934ede6d0" TargetMode="External" Id="rId2420" /><Relationship Type="http://schemas.openxmlformats.org/officeDocument/2006/relationships/hyperlink" Target="mailto:contact@ccl-valleedoree.fr" TargetMode="External" Id="rId2421" /><Relationship Type="http://schemas.openxmlformats.org/officeDocument/2006/relationships/hyperlink" Target="https://www.ccl-valleedoree.fr/" TargetMode="External" Id="rId2422" /><Relationship Type="http://schemas.openxmlformats.org/officeDocument/2006/relationships/hyperlink" Target="https://www.ccl-valleedoree.fr/nous-contacter" TargetMode="External" Id="rId2423" /><Relationship Type="http://schemas.openxmlformats.org/officeDocument/2006/relationships/hyperlink" Target="https://lannuaire.service-public.gouv.fr/hauts-de-france/oise/a385ab00-2dec-4154-a21e-a696d195fdc7" TargetMode="External" Id="rId2424" /><Relationship Type="http://schemas.openxmlformats.org/officeDocument/2006/relationships/hyperlink" Target="mailto:courrier@paysnoyonnais.fr" TargetMode="External" Id="rId2425" /><Relationship Type="http://schemas.openxmlformats.org/officeDocument/2006/relationships/hyperlink" Target="https://www.paysnoyonnais.fr/" TargetMode="External" Id="rId2426" /><Relationship Type="http://schemas.openxmlformats.org/officeDocument/2006/relationships/hyperlink" Target="https://www.paysnoyonnais.fr/Contactez-nous.html" TargetMode="External" Id="rId2427" /><Relationship Type="http://schemas.openxmlformats.org/officeDocument/2006/relationships/hyperlink" Target="https://lannuaire.service-public.gouv.fr/hauts-de-france/oise/666ac10a-2d02-4fcf-9060-65c0df850a13" TargetMode="External" Id="rId2428" /><Relationship Type="http://schemas.openxmlformats.org/officeDocument/2006/relationships/hyperlink" Target="mailto:contact@cc-paysdebray.fr" TargetMode="External" Id="rId2429" /><Relationship Type="http://schemas.openxmlformats.org/officeDocument/2006/relationships/hyperlink" Target="https://cc-paysdebray.com/" TargetMode="External" Id="rId2430" /><Relationship Type="http://schemas.openxmlformats.org/officeDocument/2006/relationships/hyperlink" Target="https://cc-paysdebray.com/contact" TargetMode="External" Id="rId2431" /><Relationship Type="http://schemas.openxmlformats.org/officeDocument/2006/relationships/hyperlink" Target="https://lannuaire.service-public.gouv.fr/hauts-de-france/oise/b88f5193-ba6e-4354-86e4-18bb93181bb6" TargetMode="External" Id="rId2432" /><Relationship Type="http://schemas.openxmlformats.org/officeDocument/2006/relationships/hyperlink" Target="mailto:info@cc-paysdevalois.fr" TargetMode="External" Id="rId2433" /><Relationship Type="http://schemas.openxmlformats.org/officeDocument/2006/relationships/hyperlink" Target="https://www.cc-paysdevalois.fr/" TargetMode="External" Id="rId2434" /><Relationship Type="http://schemas.openxmlformats.org/officeDocument/2006/relationships/hyperlink" Target="https://lannuaire.service-public.gouv.fr/hauts-de-france/oise/0f4e5bc8-96c2-4faa-a8b6-6b07baaf3bd6" TargetMode="External" Id="rId2435" /><Relationship Type="http://schemas.openxmlformats.org/officeDocument/2006/relationships/hyperlink" Target="mailto:contact@cc-pays-sources.org" TargetMode="External" Id="rId2436" /><Relationship Type="http://schemas.openxmlformats.org/officeDocument/2006/relationships/hyperlink" Target="https://www.cc-pays-sources.fr/" TargetMode="External" Id="rId2437" /><Relationship Type="http://schemas.openxmlformats.org/officeDocument/2006/relationships/hyperlink" Target="https://www.cc-pays-sources.fr/le-pays-des-sources/nous-contacter/" TargetMode="External" Id="rId2438" /><Relationship Type="http://schemas.openxmlformats.org/officeDocument/2006/relationships/hyperlink" Target="https://lannuaire.service-public.gouv.fr/hauts-de-france/oise/a0a0a649-6b70-4e9a-9fc9-8097c3610b1e" TargetMode="External" Id="rId2439" /><Relationship Type="http://schemas.openxmlformats.org/officeDocument/2006/relationships/hyperlink" Target="mailto:accueil@cc-plateaupicard.fr" TargetMode="External" Id="rId2440" /><Relationship Type="http://schemas.openxmlformats.org/officeDocument/2006/relationships/hyperlink" Target="https://www.plateaupicard.fr/" TargetMode="External" Id="rId2441" /><Relationship Type="http://schemas.openxmlformats.org/officeDocument/2006/relationships/hyperlink" Target="https://www.plateaupicard.fr/formulaire-de-contact" TargetMode="External" Id="rId2442" /><Relationship Type="http://schemas.openxmlformats.org/officeDocument/2006/relationships/hyperlink" Target="https://lannuaire.service-public.gouv.fr/hauts-de-france/oise/c119919a-73fe-45be-8f04-2b78cb6d20f7" TargetMode="External" Id="rId2443" /><Relationship Type="http://schemas.openxmlformats.org/officeDocument/2006/relationships/hyperlink" Target="mailto:accueil@vexinthelle.com" TargetMode="External" Id="rId2444" /><Relationship Type="http://schemas.openxmlformats.org/officeDocument/2006/relationships/hyperlink" Target="https://www.vexinthelle.fr/" TargetMode="External" Id="rId2445" /><Relationship Type="http://schemas.openxmlformats.org/officeDocument/2006/relationships/hyperlink" Target="https://www.vexinthelle.fr/" TargetMode="External" Id="rId2446" /><Relationship Type="http://schemas.openxmlformats.org/officeDocument/2006/relationships/hyperlink" Target="https://lannuaire.service-public.gouv.fr/hauts-de-france/oise/ad98507a-2b0d-4018-97cb-f24b78446f93" TargetMode="External" Id="rId2447" /><Relationship Type="http://schemas.openxmlformats.org/officeDocument/2006/relationships/hyperlink" Target="mailto:accueilsiege@ccandainepassais.fr" TargetMode="External" Id="rId2448" /><Relationship Type="http://schemas.openxmlformats.org/officeDocument/2006/relationships/hyperlink" Target="https://ccandainepassais.org/" TargetMode="External" Id="rId2449" /><Relationship Type="http://schemas.openxmlformats.org/officeDocument/2006/relationships/hyperlink" Target="https://ccandainepassais.org/contact/" TargetMode="External" Id="rId2450" /><Relationship Type="http://schemas.openxmlformats.org/officeDocument/2006/relationships/hyperlink" Target="https://lannuaire.service-public.gouv.fr/normandie/orne/76398fc4-3c1a-49dd-b9c3-3aab4be48eff" TargetMode="External" Id="rId2451" /><Relationship Type="http://schemas.openxmlformats.org/officeDocument/2006/relationships/hyperlink" Target="mailto:administration@coeurduperche.fr" TargetMode="External" Id="rId2452" /><Relationship Type="http://schemas.openxmlformats.org/officeDocument/2006/relationships/hyperlink" Target="https://www.coeurduperche.com/" TargetMode="External" Id="rId2453" /><Relationship Type="http://schemas.openxmlformats.org/officeDocument/2006/relationships/hyperlink" Target="https://www.coeurduperche.com/contacts" TargetMode="External" Id="rId2454" /><Relationship Type="http://schemas.openxmlformats.org/officeDocument/2006/relationships/hyperlink" Target="https://lannuaire.service-public.gouv.fr/normandie/orne/fedbab45-8bca-4b94-91bc-c6e04c01cf98" TargetMode="External" Id="rId2455" /><Relationship Type="http://schemas.openxmlformats.org/officeDocument/2006/relationships/hyperlink" Target="mailto:mairie@tinchebray.fr" TargetMode="External" Id="rId2456" /><Relationship Type="http://schemas.openxmlformats.org/officeDocument/2006/relationships/hyperlink" Target="http://www.domfront-tinchebray-interco.fr" TargetMode="External" Id="rId2457" /><Relationship Type="http://schemas.openxmlformats.org/officeDocument/2006/relationships/hyperlink" Target="http://www.domfront-tinchebray-interco.fr/fr/contact" TargetMode="External" Id="rId2458" /><Relationship Type="http://schemas.openxmlformats.org/officeDocument/2006/relationships/hyperlink" Target="https://lannuaire.service-public.gouv.fr/normandie/orne/9db14464-b333-43dd-b99c-ecf5b0c91085" TargetMode="External" Id="rId2459" /><Relationship Type="http://schemas.openxmlformats.org/officeDocument/2006/relationships/hyperlink" Target="mailto:accueil@mainesaosnois.fr" TargetMode="External" Id="rId2460" /><Relationship Type="http://schemas.openxmlformats.org/officeDocument/2006/relationships/hyperlink" Target="https://www.mainesaosnois.fr/" TargetMode="External" Id="rId2461" /><Relationship Type="http://schemas.openxmlformats.org/officeDocument/2006/relationships/hyperlink" Target="https://www.mainesaosnois.fr/contact/" TargetMode="External" Id="rId2462" /><Relationship Type="http://schemas.openxmlformats.org/officeDocument/2006/relationships/hyperlink" Target="https://lannuaire.service-public.gouv.fr/pays-de-la-loire/sarthe/c313440c-0bb4-45f1-85e5-014cec6e50df" TargetMode="External" Id="rId2463" /><Relationship Type="http://schemas.openxmlformats.org/officeDocument/2006/relationships/hyperlink" Target="mailto:informations@terresdargentan.fr" TargetMode="External" Id="rId2464" /><Relationship Type="http://schemas.openxmlformats.org/officeDocument/2006/relationships/hyperlink" Target="https://terresdargentan.fr/" TargetMode="External" Id="rId2465" /><Relationship Type="http://schemas.openxmlformats.org/officeDocument/2006/relationships/hyperlink" Target="https://terresdargentan.fr/contact/" TargetMode="External" Id="rId2466" /><Relationship Type="http://schemas.openxmlformats.org/officeDocument/2006/relationships/hyperlink" Target="https://lannuaire.service-public.gouv.fr/normandie/orne/934eec5b-e7ad-42f3-a3d6-2f19541b7694" TargetMode="External" Id="rId2467" /><Relationship Type="http://schemas.openxmlformats.org/officeDocument/2006/relationships/hyperlink" Target="mailto:accueil@ccvhs.fr" TargetMode="External" Id="rId2468" /><Relationship Type="http://schemas.openxmlformats.org/officeDocument/2006/relationships/hyperlink" Target="http://www.ccvhs.fr" TargetMode="External" Id="rId2469" /><Relationship Type="http://schemas.openxmlformats.org/officeDocument/2006/relationships/hyperlink" Target="http://ccvhs.fr/" TargetMode="External" Id="rId2470" /><Relationship Type="http://schemas.openxmlformats.org/officeDocument/2006/relationships/hyperlink" Target="https://lannuaire.service-public.gouv.fr/normandie/orne/d819105e-f4d0-4a9b-a871-5bdf375b87f8" TargetMode="External" Id="rId2471" /><Relationship Type="http://schemas.openxmlformats.org/officeDocument/2006/relationships/hyperlink" Target="mailto:accueil@perchenormand.fr" TargetMode="External" Id="rId2472" /><Relationship Type="http://schemas.openxmlformats.org/officeDocument/2006/relationships/hyperlink" Target="https://www.perchenormand.fr/" TargetMode="External" Id="rId2473" /><Relationship Type="http://schemas.openxmlformats.org/officeDocument/2006/relationships/hyperlink" Target="https://lannuaire.service-public.gouv.fr/normandie/orne/abf1985f-437a-4e73-8bea-9b97ae695e74" TargetMode="External" Id="rId2474" /><Relationship Type="http://schemas.openxmlformats.org/officeDocument/2006/relationships/hyperlink" Target="mailto:accueil@cdchautsperche.fr" TargetMode="External" Id="rId2475" /><Relationship Type="http://schemas.openxmlformats.org/officeDocument/2006/relationships/hyperlink" Target="https://www.leshautsduperche.fr" TargetMode="External" Id="rId2476" /><Relationship Type="http://schemas.openxmlformats.org/officeDocument/2006/relationships/hyperlink" Target="https://www.leshautsduperche.fr/systeme/contact/" TargetMode="External" Id="rId2477" /><Relationship Type="http://schemas.openxmlformats.org/officeDocument/2006/relationships/hyperlink" Target="https://lannuaire.service-public.gouv.fr/normandie/orne/127a9782-bb2f-4b56-9301-e2aa2a9057b6" TargetMode="External" Id="rId2478" /><Relationship Type="http://schemas.openxmlformats.org/officeDocument/2006/relationships/hyperlink" Target="mailto:cdc@paysdelaigle.fr" TargetMode="External" Id="rId2479" /><Relationship Type="http://schemas.openxmlformats.org/officeDocument/2006/relationships/hyperlink" Target="https://www.paysdelaigle.com" TargetMode="External" Id="rId2480" /><Relationship Type="http://schemas.openxmlformats.org/officeDocument/2006/relationships/hyperlink" Target="https://lannuaire.service-public.gouv.fr/normandie/orne/0973b541-2971-4317-b59f-f3e049edc38c" TargetMode="External" Id="rId2481" /><Relationship Type="http://schemas.openxmlformats.org/officeDocument/2006/relationships/hyperlink" Target="mailto:cc-sourcesdelorne@orange.fr" TargetMode="External" Id="rId2482" /><Relationship Type="http://schemas.openxmlformats.org/officeDocument/2006/relationships/hyperlink" Target="https://www.cdc-sourcesdelorne.fr/" TargetMode="External" Id="rId2483" /><Relationship Type="http://schemas.openxmlformats.org/officeDocument/2006/relationships/hyperlink" Target="https://www.cdc-sourcesdelorne.fr/contact/" TargetMode="External" Id="rId2484" /><Relationship Type="http://schemas.openxmlformats.org/officeDocument/2006/relationships/hyperlink" Target="https://lannuaire.service-public.gouv.fr/normandie/orne/339a5951-0f25-4dba-9516-c2a0828b6932" TargetMode="External" Id="rId2485" /><Relationship Type="http://schemas.openxmlformats.org/officeDocument/2006/relationships/hyperlink" Target="mailto:contact@cdcvam.fr" TargetMode="External" Id="rId2486" /><Relationship Type="http://schemas.openxmlformats.org/officeDocument/2006/relationships/hyperlink" Target="https://www.cdcvam.fr/" TargetMode="External" Id="rId2487" /><Relationship Type="http://schemas.openxmlformats.org/officeDocument/2006/relationships/hyperlink" Target="https://www.cdcvam.fr/contact" TargetMode="External" Id="rId2488" /><Relationship Type="http://schemas.openxmlformats.org/officeDocument/2006/relationships/hyperlink" Target="https://lannuaire.service-public.gouv.fr/normandie/orne/968ff783-cf5c-4f09-88e3-c4aa47517444" TargetMode="External" Id="rId2489" /><Relationship Type="http://schemas.openxmlformats.org/officeDocument/2006/relationships/hyperlink" Target="mailto:contact@ccpfbc.fr" TargetMode="External" Id="rId2490" /><Relationship Type="http://schemas.openxmlformats.org/officeDocument/2006/relationships/hyperlink" Target="https://www.ccpfbc.fr/" TargetMode="External" Id="rId2491" /><Relationship Type="http://schemas.openxmlformats.org/officeDocument/2006/relationships/hyperlink" Target="https://lannuaire.service-public.gouv.fr/normandie/orne/76aea0fc-84a0-4d31-9b51-27b7d1d3c1f2" TargetMode="External" Id="rId2492" /><Relationship Type="http://schemas.openxmlformats.org/officeDocument/2006/relationships/hyperlink" Target="mailto:info@cdc-mortagne-au-perche.com" TargetMode="External" Id="rId2493" /><Relationship Type="http://schemas.openxmlformats.org/officeDocument/2006/relationships/hyperlink" Target="https://www.cdc-mortagne-au-perche.com/" TargetMode="External" Id="rId2494" /><Relationship Type="http://schemas.openxmlformats.org/officeDocument/2006/relationships/hyperlink" Target="https://www.cdc-mortagne-au-perche.com/contact/" TargetMode="External" Id="rId2495" /><Relationship Type="http://schemas.openxmlformats.org/officeDocument/2006/relationships/hyperlink" Target="https://lannuaire.service-public.gouv.fr/normandie/orne/e5927e20-d264-497b-a162-09da08984453" TargetMode="External" Id="rId2496" /><Relationship Type="http://schemas.openxmlformats.org/officeDocument/2006/relationships/hyperlink" Target="mailto:cdc@cdcvaldorne.fr" TargetMode="External" Id="rId2497" /><Relationship Type="http://schemas.openxmlformats.org/officeDocument/2006/relationships/hyperlink" Target="https://www.cc-valdorne.fr/" TargetMode="External" Id="rId2498" /><Relationship Type="http://schemas.openxmlformats.org/officeDocument/2006/relationships/hyperlink" Target="https://lannuaire.service-public.gouv.fr/normandie/orne/1bd7e340-0ea8-4f98-b1e3-a6d5f9b5246c" TargetMode="External" Id="rId2499" /><Relationship Type="http://schemas.openxmlformats.org/officeDocument/2006/relationships/hyperlink" Target="mailto:administration@cc-osartis.com" TargetMode="External" Id="rId2500" /><Relationship Type="http://schemas.openxmlformats.org/officeDocument/2006/relationships/hyperlink" Target="https://www.cc-osartis.com/" TargetMode="External" Id="rId2501" /><Relationship Type="http://schemas.openxmlformats.org/officeDocument/2006/relationships/hyperlink" Target="https://www.cc-osartis.com/nous-contacter" TargetMode="External" Id="rId2502" /><Relationship Type="http://schemas.openxmlformats.org/officeDocument/2006/relationships/hyperlink" Target="https://lannuaire.service-public.gouv.fr/hauts-de-france/pas-de-calais/ade1c496-6ff3-400b-8c42-d7cd85e9ba5a" TargetMode="External" Id="rId2503" /><Relationship Type="http://schemas.openxmlformats.org/officeDocument/2006/relationships/hyperlink" Target="mailto:administration@paysdopale.fr" TargetMode="External" Id="rId2504" /><Relationship Type="http://schemas.openxmlformats.org/officeDocument/2006/relationships/hyperlink" Target="https://paysdopale.fr/" TargetMode="External" Id="rId2505" /><Relationship Type="http://schemas.openxmlformats.org/officeDocument/2006/relationships/hyperlink" Target="https://www.facebook.com/ccpaysdopale" TargetMode="External" Id="rId2506" /><Relationship Type="http://schemas.openxmlformats.org/officeDocument/2006/relationships/hyperlink" Target="https://lannuaire.service-public.gouv.fr/hauts-de-france/pas-de-calais/85518671-a32c-45b8-96f4-f16a29f8dbb6" TargetMode="External" Id="rId2507" /><Relationship Type="http://schemas.openxmlformats.org/officeDocument/2006/relationships/hyperlink" Target="mailto:com.com@cc-desvressamer.fr" TargetMode="External" Id="rId2508" /><Relationship Type="http://schemas.openxmlformats.org/officeDocument/2006/relationships/hyperlink" Target="https://www.cc-desvressamer.fr/" TargetMode="External" Id="rId2509" /><Relationship Type="http://schemas.openxmlformats.org/officeDocument/2006/relationships/hyperlink" Target="https://www.cc-desvressamer.fr/contact/" TargetMode="External" Id="rId2510" /><Relationship Type="http://schemas.openxmlformats.org/officeDocument/2006/relationships/hyperlink" Target="https://lannuaire.service-public.gouv.fr/hauts-de-france/pas-de-calais/93b98aba-84a3-4ebc-8940-7d46b8343cdd" TargetMode="External" Id="rId2511" /><Relationship Type="http://schemas.openxmlformats.org/officeDocument/2006/relationships/hyperlink" Target="mailto:communaute-reg-audruicq@ccra.fr" TargetMode="External" Id="rId2512" /><Relationship Type="http://schemas.openxmlformats.org/officeDocument/2006/relationships/hyperlink" Target="https://www.ccra.fr/" TargetMode="External" Id="rId2513" /><Relationship Type="http://schemas.openxmlformats.org/officeDocument/2006/relationships/hyperlink" Target="https://www.ccra.fr/Contact/10/" TargetMode="External" Id="rId2514" /><Relationship Type="http://schemas.openxmlformats.org/officeDocument/2006/relationships/hyperlink" Target="https://lannuaire.service-public.gouv.fr/hauts-de-france/pas-de-calais/c80d6338-573e-474b-8661-49170a59e820" TargetMode="External" Id="rId2515" /><Relationship Type="http://schemas.openxmlformats.org/officeDocument/2006/relationships/hyperlink" Target="mailto:contact@terredes2caps.com" TargetMode="External" Id="rId2516" /><Relationship Type="http://schemas.openxmlformats.org/officeDocument/2006/relationships/hyperlink" Target="https://www.terredes2caps.fr/" TargetMode="External" Id="rId2517" /><Relationship Type="http://schemas.openxmlformats.org/officeDocument/2006/relationships/hyperlink" Target="https://www.terredes2caps.fr/nous-contacter" TargetMode="External" Id="rId2518" /><Relationship Type="http://schemas.openxmlformats.org/officeDocument/2006/relationships/hyperlink" Target="https://lannuaire.service-public.gouv.fr/hauts-de-france/pas-de-calais/00f5bbfd-f0d5-49bd-9b33-abda3aa5aab3" TargetMode="External" Id="rId2519" /><Relationship Type="http://schemas.openxmlformats.org/officeDocument/2006/relationships/hyperlink" Target="mailto:contact@7vallees.fr" TargetMode="External" Id="rId2520" /><Relationship Type="http://schemas.openxmlformats.org/officeDocument/2006/relationships/hyperlink" Target="https://7vallees.fr/" TargetMode="External" Id="rId2521" /><Relationship Type="http://schemas.openxmlformats.org/officeDocument/2006/relationships/hyperlink" Target="https://lannuaire.service-public.gouv.fr/hauts-de-france/pas-de-calais/b1cee102-37ed-4453-92f2-7dbbeda780bc" TargetMode="External" Id="rId2522" /><Relationship Type="http://schemas.openxmlformats.org/officeDocument/2006/relationships/hyperlink" Target="mailto:accueil@campagnesartois.fr" TargetMode="External" Id="rId2523" /><Relationship Type="http://schemas.openxmlformats.org/officeDocument/2006/relationships/hyperlink" Target="https://campagnesartois.fr/" TargetMode="External" Id="rId2524" /><Relationship Type="http://schemas.openxmlformats.org/officeDocument/2006/relationships/hyperlink" Target="https://lannuaire.service-public.gouv.fr/hauts-de-france/pas-de-calais/4268f613-775f-427b-84b8-f4f2ffca273c" TargetMode="External" Id="rId2525" /><Relationship Type="http://schemas.openxmlformats.org/officeDocument/2006/relationships/hyperlink" Target="mailto:accueil@cchpm.fr" TargetMode="External" Id="rId2526" /><Relationship Type="http://schemas.openxmlformats.org/officeDocument/2006/relationships/hyperlink" Target="https://www.cchpm.fr/" TargetMode="External" Id="rId2527" /><Relationship Type="http://schemas.openxmlformats.org/officeDocument/2006/relationships/hyperlink" Target="https://www.cchpm.fr/contactez-nous" TargetMode="External" Id="rId2528" /><Relationship Type="http://schemas.openxmlformats.org/officeDocument/2006/relationships/hyperlink" Target="https://lannuaire.service-public.gouv.fr/hauts-de-france/pas-de-calais/27f1f922-2092-4b1f-8817-5569845d538e" TargetMode="External" Id="rId2529" /><Relationship Type="http://schemas.openxmlformats.org/officeDocument/2006/relationships/hyperlink" Target="mailto:accueil@ccplumbres.fr" TargetMode="External" Id="rId2530" /><Relationship Type="http://schemas.openxmlformats.org/officeDocument/2006/relationships/hyperlink" Target="https://cc-paysdelumbres.fr/fr" TargetMode="External" Id="rId2531" /><Relationship Type="http://schemas.openxmlformats.org/officeDocument/2006/relationships/hyperlink" Target="https://cc-paysdelumbres.fr/fr/contact" TargetMode="External" Id="rId2532" /><Relationship Type="http://schemas.openxmlformats.org/officeDocument/2006/relationships/hyperlink" Target="https://lannuaire.service-public.gouv.fr/hauts-de-france/pas-de-calais/e99bd3f4-8102-4840-b8b6-9acc3b2bd26b" TargetMode="External" Id="rId2533" /><Relationship Type="http://schemas.openxmlformats.org/officeDocument/2006/relationships/hyperlink" Target="mailto:accueil@cc-sudartois.fr" TargetMode="External" Id="rId2534" /><Relationship Type="http://schemas.openxmlformats.org/officeDocument/2006/relationships/hyperlink" Target="https://www.cc-sudartois.fr/" TargetMode="External" Id="rId2535" /><Relationship Type="http://schemas.openxmlformats.org/officeDocument/2006/relationships/hyperlink" Target="https://www.cc-sudartois.fr/contact" TargetMode="External" Id="rId2536" /><Relationship Type="http://schemas.openxmlformats.org/officeDocument/2006/relationships/hyperlink" Target="https://lannuaire.service-public.gouv.fr/hauts-de-france/pas-de-calais/b9631fd2-a208-4cf6-ae43-5ed454aedea3" TargetMode="External" Id="rId2537" /><Relationship Type="http://schemas.openxmlformats.org/officeDocument/2006/relationships/hyperlink" Target="mailto:contact@ternoiscom.fr" TargetMode="External" Id="rId2538" /><Relationship Type="http://schemas.openxmlformats.org/officeDocument/2006/relationships/hyperlink" Target="https://www.ternoiscom.fr/" TargetMode="External" Id="rId2539" /><Relationship Type="http://schemas.openxmlformats.org/officeDocument/2006/relationships/hyperlink" Target="https://www.ternoiscom.fr/index.php/contact/" TargetMode="External" Id="rId2540" /><Relationship Type="http://schemas.openxmlformats.org/officeDocument/2006/relationships/hyperlink" Target="https://lannuaire.service-public.gouv.fr/hauts-de-france/pas-de-calais/6d5b147c-ce39-4f5a-9551-956077075200" TargetMode="External" Id="rId2541" /><Relationship Type="http://schemas.openxmlformats.org/officeDocument/2006/relationships/hyperlink" Target="mailto:accueil@ambertlivradoisforez.fr" TargetMode="External" Id="rId2542" /><Relationship Type="http://schemas.openxmlformats.org/officeDocument/2006/relationships/hyperlink" Target="https://www.ambertlivradoisforez.fr" TargetMode="External" Id="rId2543" /><Relationship Type="http://schemas.openxmlformats.org/officeDocument/2006/relationships/hyperlink" Target="https://lannuaire.service-public.gouv.fr/auvergne-rhone-alpes/puy-de-dome/ee25d5f9-e709-4454-8f5c-45d4b974855b" TargetMode="External" Id="rId2544" /><Relationship Type="http://schemas.openxmlformats.org/officeDocument/2006/relationships/hyperlink" Target="mailto:contact@billomcommunaute.fr" TargetMode="External" Id="rId2545" /><Relationship Type="http://schemas.openxmlformats.org/officeDocument/2006/relationships/hyperlink" Target="https://billomcommunaute.fr" TargetMode="External" Id="rId2546" /><Relationship Type="http://schemas.openxmlformats.org/officeDocument/2006/relationships/hyperlink" Target="https://billomcommunaute.fr/contact/" TargetMode="External" Id="rId2547" /><Relationship Type="http://schemas.openxmlformats.org/officeDocument/2006/relationships/hyperlink" Target="https://lannuaire.service-public.gouv.fr/auvergne-rhone-alpes/puy-de-dome/fdd94983-958c-4f40-a991-2934a9d31df3" TargetMode="External" Id="rId2548" /><Relationship Type="http://schemas.openxmlformats.org/officeDocument/2006/relationships/hyperlink" Target="mailto:contact@ccvcommunaute.fr" TargetMode="External" Id="rId2549" /><Relationship Type="http://schemas.openxmlformats.org/officeDocument/2006/relationships/hyperlink" Target="https://www.ccvcommunaute.fr" TargetMode="External" Id="rId2550" /><Relationship Type="http://schemas.openxmlformats.org/officeDocument/2006/relationships/hyperlink" Target="https://www.ccvcommunaute.fr/nos-horaires/" TargetMode="External" Id="rId2551" /><Relationship Type="http://schemas.openxmlformats.org/officeDocument/2006/relationships/hyperlink" Target="https://lannuaire.service-public.gouv.fr/auvergne-rhone-alpes/puy-de-dome/d216b03a-a8fe-46e1-8987-c249f8c1609d" TargetMode="External" Id="rId2552" /><Relationship Type="http://schemas.openxmlformats.org/officeDocument/2006/relationships/hyperlink" Target="mailto:secretariat-general@comcom-csm.fr" TargetMode="External" Id="rId2553" /><Relationship Type="http://schemas.openxmlformats.org/officeDocument/2006/relationships/hyperlink" Target="https://www.combrailles-sioule-morge.fr/" TargetMode="External" Id="rId2554" /><Relationship Type="http://schemas.openxmlformats.org/officeDocument/2006/relationships/hyperlink" Target="https://www.combrailles-sioule-morge.fr/" TargetMode="External" Id="rId2555" /><Relationship Type="http://schemas.openxmlformats.org/officeDocument/2006/relationships/hyperlink" Target="https://lannuaire.service-public.gouv.fr/auvergne-rhone-alpes/puy-de-dome/fd3dce84-07b3-4547-9ed1-49c5b60f4e64" TargetMode="External" Id="rId2556" /><Relationship Type="http://schemas.openxmlformats.org/officeDocument/2006/relationships/hyperlink" Target="mailto:accueil@domes-sancyartense.fr" TargetMode="External" Id="rId2557" /><Relationship Type="http://schemas.openxmlformats.org/officeDocument/2006/relationships/hyperlink" Target="https://www.domes-sancyartense.fr/" TargetMode="External" Id="rId2558" /><Relationship Type="http://schemas.openxmlformats.org/officeDocument/2006/relationships/hyperlink" Target="https://lannuaire.service-public.gouv.fr/auvergne-rhone-alpes/puy-de-dome/0cf5db2f-b352-4259-81ce-9522e85443be" TargetMode="External" Id="rId2559" /><Relationship Type="http://schemas.openxmlformats.org/officeDocument/2006/relationships/hyperlink" Target="mailto:contact@ccdoreallier.fr" TargetMode="External" Id="rId2560" /><Relationship Type="http://schemas.openxmlformats.org/officeDocument/2006/relationships/hyperlink" Target="http://www.ccdoreallier.fr" TargetMode="External" Id="rId2561" /><Relationship Type="http://schemas.openxmlformats.org/officeDocument/2006/relationships/hyperlink" Target="http://www.ccdoreallier.fr/contact/" TargetMode="External" Id="rId2562" /><Relationship Type="http://schemas.openxmlformats.org/officeDocument/2006/relationships/hyperlink" Target="https://lannuaire.service-public.gouv.fr/auvergne-rhone-alpes/puy-de-dome/c109728b-d82b-403c-86cb-754d6965039e" TargetMode="External" Id="rId2563" /><Relationship Type="http://schemas.openxmlformats.org/officeDocument/2006/relationships/hyperlink" Target="mailto:contact@mond-arverne.fr" TargetMode="External" Id="rId2564" /><Relationship Type="http://schemas.openxmlformats.org/officeDocument/2006/relationships/hyperlink" Target="https://www.mond-arverne.fr/" TargetMode="External" Id="rId2565" /><Relationship Type="http://schemas.openxmlformats.org/officeDocument/2006/relationships/hyperlink" Target="https://www.mond-arverne.fr/" TargetMode="External" Id="rId2566" /><Relationship Type="http://schemas.openxmlformats.org/officeDocument/2006/relationships/hyperlink" Target="https://lannuaire.service-public.gouv.fr/auvergne-rhone-alpes/puy-de-dome/90d0cc8d-8259-438f-86c6-fda5baba8eee" TargetMode="External" Id="rId2567" /><Relationship Type="http://schemas.openxmlformats.org/officeDocument/2006/relationships/hyperlink" Target="mailto:contact@plainelimagne.fr" TargetMode="External" Id="rId2568" /><Relationship Type="http://schemas.openxmlformats.org/officeDocument/2006/relationships/hyperlink" Target="https://www.plainelimagne.com/" TargetMode="External" Id="rId2569" /><Relationship Type="http://schemas.openxmlformats.org/officeDocument/2006/relationships/hyperlink" Target="https://www.plainelimagne.com/" TargetMode="External" Id="rId2570" /><Relationship Type="http://schemas.openxmlformats.org/officeDocument/2006/relationships/hyperlink" Target="https://lannuaire.service-public.gouv.fr/auvergne-rhone-alpes/puy-de-dome/6837692d-1e5b-49e8-88ee-ef8483598bb5" TargetMode="External" Id="rId2571" /><Relationship Type="http://schemas.openxmlformats.org/officeDocument/2006/relationships/hyperlink" Target="mailto:contact@cctdm.fr" TargetMode="External" Id="rId2572" /><Relationship Type="http://schemas.openxmlformats.org/officeDocument/2006/relationships/hyperlink" Target="https://www.cctdm.fr/" TargetMode="External" Id="rId2573" /><Relationship Type="http://schemas.openxmlformats.org/officeDocument/2006/relationships/hyperlink" Target="https://www.cctdm.fr/contact" TargetMode="External" Id="rId2574" /><Relationship Type="http://schemas.openxmlformats.org/officeDocument/2006/relationships/hyperlink" Target="https://lannuaire.service-public.gouv.fr/auvergne-rhone-alpes/puy-de-dome/9beda32a-fe8d-4785-a934-3036869e54b6" TargetMode="External" Id="rId2575" /><Relationship Type="http://schemas.openxmlformats.org/officeDocument/2006/relationships/hyperlink" Target="mailto:accueil@paysdesainteloy.fr" TargetMode="External" Id="rId2576" /><Relationship Type="http://schemas.openxmlformats.org/officeDocument/2006/relationships/hyperlink" Target="https://www.paysdesainteloy.fr" TargetMode="External" Id="rId2577" /><Relationship Type="http://schemas.openxmlformats.org/officeDocument/2006/relationships/hyperlink" Target="https://lannuaire.service-public.gouv.fr/auvergne-rhone-alpes/puy-de-dome/a21980d3-e074-467c-88aa-b01ca0366097" TargetMode="External" Id="rId2578" /><Relationship Type="http://schemas.openxmlformats.org/officeDocument/2006/relationships/hyperlink" Target="mailto:contact@adour-madiran.fr" TargetMode="External" Id="rId2579" /><Relationship Type="http://schemas.openxmlformats.org/officeDocument/2006/relationships/hyperlink" Target="https://www.adour-madiran.fr/" TargetMode="External" Id="rId2580" /><Relationship Type="http://schemas.openxmlformats.org/officeDocument/2006/relationships/hyperlink" Target="https://www.adour-madiran.fr/systeme/nous-contacter/" TargetMode="External" Id="rId2581" /><Relationship Type="http://schemas.openxmlformats.org/officeDocument/2006/relationships/hyperlink" Target="https://lannuaire.service-public.gouv.fr/occitanie/hautes-pyrenees/1a85d3a4-75fb-4d31-aacc-41c33033086f" TargetMode="External" Id="rId2582" /><Relationship Type="http://schemas.openxmlformats.org/officeDocument/2006/relationships/hyperlink" Target="mailto:contact@paysdenay.fr" TargetMode="External" Id="rId2583" /><Relationship Type="http://schemas.openxmlformats.org/officeDocument/2006/relationships/hyperlink" Target="https://www.paysdenay.fr/" TargetMode="External" Id="rId2584" /><Relationship Type="http://schemas.openxmlformats.org/officeDocument/2006/relationships/hyperlink" Target="https://www.paysdenay.fr/contact" TargetMode="External" Id="rId2585" /><Relationship Type="http://schemas.openxmlformats.org/officeDocument/2006/relationships/hyperlink" Target="https://lannuaire.service-public.gouv.fr/nouvelle-aquitaine/pyrenees-atlantiques/78b4775a-2dbe-4281-a0df-c7c2e191969b" TargetMode="External" Id="rId2586" /><Relationship Type="http://schemas.openxmlformats.org/officeDocument/2006/relationships/hyperlink" Target="mailto:contact@cc-lacqorthez.fr" TargetMode="External" Id="rId2587" /><Relationship Type="http://schemas.openxmlformats.org/officeDocument/2006/relationships/hyperlink" Target="https://www.cc-lacqorthez.fr/" TargetMode="External" Id="rId2588" /><Relationship Type="http://schemas.openxmlformats.org/officeDocument/2006/relationships/hyperlink" Target="https://www.cc-lacqorthez.fr/contactez-nous" TargetMode="External" Id="rId2589" /><Relationship Type="http://schemas.openxmlformats.org/officeDocument/2006/relationships/hyperlink" Target="https://lannuaire.service-public.gouv.fr/nouvelle-aquitaine/pyrenees-atlantiques/061530ab-d7e6-4ec2-a484-6008ffb58f03" TargetMode="External" Id="rId2590" /><Relationship Type="http://schemas.openxmlformats.org/officeDocument/2006/relationships/hyperlink" Target="mailto:ccvo@cc-ossau.fr" TargetMode="External" Id="rId2591" /><Relationship Type="http://schemas.openxmlformats.org/officeDocument/2006/relationships/hyperlink" Target="https://cc-ossau.fr/" TargetMode="External" Id="rId2592" /><Relationship Type="http://schemas.openxmlformats.org/officeDocument/2006/relationships/hyperlink" Target="https://lannuaire.service-public.gouv.fr/nouvelle-aquitaine/pyrenees-atlantiques/50595a6f-3069-4b86-9b1c-0e1ce110fa9a" TargetMode="External" Id="rId2593" /><Relationship Type="http://schemas.openxmlformats.org/officeDocument/2006/relationships/hyperlink" Target="mailto:contact@cclb64.fr" TargetMode="External" Id="rId2594" /><Relationship Type="http://schemas.openxmlformats.org/officeDocument/2006/relationships/hyperlink" Target="https://www.cclb64.fr/" TargetMode="External" Id="rId2595" /><Relationship Type="http://schemas.openxmlformats.org/officeDocument/2006/relationships/hyperlink" Target="https://lannuaire.service-public.gouv.fr/nouvelle-aquitaine/pyrenees-atlantiques/2fd23b93-30af-4a9c-a125-aa44d04b3db8" TargetMode="External" Id="rId2596" /><Relationship Type="http://schemas.openxmlformats.org/officeDocument/2006/relationships/hyperlink" Target="mailto:accueil@ccbearndesgaves.fr" TargetMode="External" Id="rId2597" /><Relationship Type="http://schemas.openxmlformats.org/officeDocument/2006/relationships/hyperlink" Target="https://www.ccbearndesgaves.fr/" TargetMode="External" Id="rId2598" /><Relationship Type="http://schemas.openxmlformats.org/officeDocument/2006/relationships/hyperlink" Target="https://www.ccbearndesgaves.fr/contact" TargetMode="External" Id="rId2599" /><Relationship Type="http://schemas.openxmlformats.org/officeDocument/2006/relationships/hyperlink" Target="https://lannuaire.service-public.gouv.fr/nouvelle-aquitaine/pyrenees-atlantiques/8cff5c4b-0be2-417e-b596-001faf3d66bf" TargetMode="External" Id="rId2600" /><Relationship Type="http://schemas.openxmlformats.org/officeDocument/2006/relationships/hyperlink" Target="mailto:dgs@hautbearn.fr" TargetMode="External" Id="rId2601" /><Relationship Type="http://schemas.openxmlformats.org/officeDocument/2006/relationships/hyperlink" Target="https://www.hautbearn.fr" TargetMode="External" Id="rId2602" /><Relationship Type="http://schemas.openxmlformats.org/officeDocument/2006/relationships/hyperlink" Target="https://www.hautbearn.fr/contactez-nous" TargetMode="External" Id="rId2603" /><Relationship Type="http://schemas.openxmlformats.org/officeDocument/2006/relationships/hyperlink" Target="https://lannuaire.service-public.gouv.fr/nouvelle-aquitaine/pyrenees-atlantiques/46574109-cb84-4fb6-b9d1-641e7de8cdf6" TargetMode="External" Id="rId2604" /><Relationship Type="http://schemas.openxmlformats.org/officeDocument/2006/relationships/hyperlink" Target="mailto:contact@cc-nordestbearn.fr" TargetMode="External" Id="rId2605" /><Relationship Type="http://schemas.openxmlformats.org/officeDocument/2006/relationships/hyperlink" Target="https://www.cc-nordestbearn.fr/" TargetMode="External" Id="rId2606" /><Relationship Type="http://schemas.openxmlformats.org/officeDocument/2006/relationships/hyperlink" Target="https://www.cc-nordestbearn.fr/formulaire-de-contact" TargetMode="External" Id="rId2607" /><Relationship Type="http://schemas.openxmlformats.org/officeDocument/2006/relationships/hyperlink" Target="https://lannuaire.service-public.gouv.fr/nouvelle-aquitaine/pyrenees-atlantiques/8dd94f32-51f0-4ca0-8d51-b7e792903eda" TargetMode="External" Id="rId2608" /><Relationship Type="http://schemas.openxmlformats.org/officeDocument/2006/relationships/hyperlink" Target="mailto:contact@aure-louron.fr" TargetMode="External" Id="rId2609" /><Relationship Type="http://schemas.openxmlformats.org/officeDocument/2006/relationships/hyperlink" Target="https://www.aure-louron.fr/" TargetMode="External" Id="rId2610" /><Relationship Type="http://schemas.openxmlformats.org/officeDocument/2006/relationships/hyperlink" Target="https://www.aure-louron.fr/contact.html" TargetMode="External" Id="rId2611" /><Relationship Type="http://schemas.openxmlformats.org/officeDocument/2006/relationships/hyperlink" Target="https://lannuaire.service-public.gouv.fr/occitanie/hautes-pyrenees/df300c30-7b29-444d-a637-392cdc54f733" TargetMode="External" Id="rId2612" /><Relationship Type="http://schemas.openxmlformats.org/officeDocument/2006/relationships/hyperlink" Target="mailto:accueil@neste-barousse.fr" TargetMode="External" Id="rId2613" /><Relationship Type="http://schemas.openxmlformats.org/officeDocument/2006/relationships/hyperlink" Target="https://neste-barousse.fr/" TargetMode="External" Id="rId2614" /><Relationship Type="http://schemas.openxmlformats.org/officeDocument/2006/relationships/hyperlink" Target="https://neste-barousse.fr/cc-neste-barousse/contact/" TargetMode="External" Id="rId2615" /><Relationship Type="http://schemas.openxmlformats.org/officeDocument/2006/relationships/hyperlink" Target="https://lannuaire.service-public.gouv.fr/occitanie/hautes-pyrenees/3a1f59d6-92f9-4c56-918d-b8ebbee406b8" TargetMode="External" Id="rId2616" /><Relationship Type="http://schemas.openxmlformats.org/officeDocument/2006/relationships/hyperlink" Target="mailto:courriel@ccpvg.fr" TargetMode="External" Id="rId2617" /><Relationship Type="http://schemas.openxmlformats.org/officeDocument/2006/relationships/hyperlink" Target="https://ccpvg.fr/" TargetMode="External" Id="rId2618" /><Relationship Type="http://schemas.openxmlformats.org/officeDocument/2006/relationships/hyperlink" Target="https://ccpvg.fr/contactez-nous/" TargetMode="External" Id="rId2619" /><Relationship Type="http://schemas.openxmlformats.org/officeDocument/2006/relationships/hyperlink" Target="https://lannuaire.service-public.gouv.fr/occitanie/hautes-pyrenees/3f2838cd-86ba-4c29-ab46-54fcef78a3a4" TargetMode="External" Id="rId2620" /><Relationship Type="http://schemas.openxmlformats.org/officeDocument/2006/relationships/hyperlink" Target="mailto:accueil@haute-bigorre.fr" TargetMode="External" Id="rId2621" /><Relationship Type="http://schemas.openxmlformats.org/officeDocument/2006/relationships/hyperlink" Target="https://www.haute-bigorre.fr/" TargetMode="External" Id="rId2622" /><Relationship Type="http://schemas.openxmlformats.org/officeDocument/2006/relationships/hyperlink" Target="https://www.haute-bigorre.fr/contactez-nous/" TargetMode="External" Id="rId2623" /><Relationship Type="http://schemas.openxmlformats.org/officeDocument/2006/relationships/hyperlink" Target="https://lannuaire.service-public.gouv.fr/occitanie/hautes-pyrenees/a0a9039e-58d4-425c-bcb4-48698db4564e" TargetMode="External" Id="rId2624" /><Relationship Type="http://schemas.openxmlformats.org/officeDocument/2006/relationships/hyperlink" Target="mailto:contact@coteaux-val-arros.fr" TargetMode="External" Id="rId2625" /><Relationship Type="http://schemas.openxmlformats.org/officeDocument/2006/relationships/hyperlink" Target="https://www.coteaux-val-arros.fr/" TargetMode="External" Id="rId2626" /><Relationship Type="http://schemas.openxmlformats.org/officeDocument/2006/relationships/hyperlink" Target="https://www.coteaux-val-arros.fr/contactez-nous/" TargetMode="External" Id="rId2627" /><Relationship Type="http://schemas.openxmlformats.org/officeDocument/2006/relationships/hyperlink" Target="https://lannuaire.service-public.gouv.fr/occitanie/hautes-pyrenees/e357af4a-81a0-4e62-ad79-13849f124495" TargetMode="External" Id="rId2628" /><Relationship Type="http://schemas.openxmlformats.org/officeDocument/2006/relationships/hyperlink" Target="mailto:ccptpaystrie@orange.fr" TargetMode="External" Id="rId2629" /><Relationship Type="http://schemas.openxmlformats.org/officeDocument/2006/relationships/hyperlink" Target="https://www.ccptm.fr/" TargetMode="External" Id="rId2630" /><Relationship Type="http://schemas.openxmlformats.org/officeDocument/2006/relationships/hyperlink" Target="https://ccptm.fr/contactez-nous-2/" TargetMode="External" Id="rId2631" /><Relationship Type="http://schemas.openxmlformats.org/officeDocument/2006/relationships/hyperlink" Target="https://lannuaire.service-public.gouv.fr/occitanie/hautes-pyrenees/6756168f-ac70-43ae-90c1-9e4b89ffcf67" TargetMode="External" Id="rId2632" /><Relationship Type="http://schemas.openxmlformats.org/officeDocument/2006/relationships/hyperlink" Target="mailto:accueil@ccplannemezan.fr" TargetMode="External" Id="rId2633" /><Relationship Type="http://schemas.openxmlformats.org/officeDocument/2006/relationships/hyperlink" Target="https://www.ccplateaudelannemezan.fr/" TargetMode="External" Id="rId2634" /><Relationship Type="http://schemas.openxmlformats.org/officeDocument/2006/relationships/hyperlink" Target="https://lannuaire.service-public.gouv.fr/occitanie/hautes-pyrenees/11b0e009-c237-4bb7-b7ee-461abbcd170b" TargetMode="External" Id="rId2635" /><Relationship Type="http://schemas.openxmlformats.org/officeDocument/2006/relationships/hyperlink" Target="mailto:contact@cc-aglyfenouilledes.fr" TargetMode="External" Id="rId2636" /><Relationship Type="http://schemas.openxmlformats.org/officeDocument/2006/relationships/hyperlink" Target="http://www.cc-aglyfenouilledes.fr" TargetMode="External" Id="rId2637" /><Relationship Type="http://schemas.openxmlformats.org/officeDocument/2006/relationships/hyperlink" Target="https://lannuaire.service-public.gouv.fr/occitanie/pyrenees-orientales/0ac1f21d-2274-465a-959d-9c797096b9a8" TargetMode="External" Id="rId2638" /><Relationship Type="http://schemas.openxmlformats.org/officeDocument/2006/relationships/hyperlink" Target="mailto:contact@conflentcanigo.fr" TargetMode="External" Id="rId2639" /><Relationship Type="http://schemas.openxmlformats.org/officeDocument/2006/relationships/hyperlink" Target="https://www.conflentcanigo.fr/" TargetMode="External" Id="rId2640" /><Relationship Type="http://schemas.openxmlformats.org/officeDocument/2006/relationships/hyperlink" Target="https://www.conflentcanigo.fr/contact" TargetMode="External" Id="rId2641" /><Relationship Type="http://schemas.openxmlformats.org/officeDocument/2006/relationships/hyperlink" Target="https://lannuaire.service-public.gouv.fr/occitanie/pyrenees-orientales/512d8839-1409-4986-93ea-0235d973b571" TargetMode="External" Id="rId2642" /><Relationship Type="http://schemas.openxmlformats.org/officeDocument/2006/relationships/hyperlink" Target="mailto:contact@pyrenees-catalanes.com" TargetMode="External" Id="rId2643" /><Relationship Type="http://schemas.openxmlformats.org/officeDocument/2006/relationships/hyperlink" Target="https://www.pyrenees-catalanes.net/" TargetMode="External" Id="rId2644" /><Relationship Type="http://schemas.openxmlformats.org/officeDocument/2006/relationships/hyperlink" Target="https://www.pyrenees-catalanes.net/fr/nous-contacter" TargetMode="External" Id="rId2645" /><Relationship Type="http://schemas.openxmlformats.org/officeDocument/2006/relationships/hyperlink" Target="https://lannuaire.service-public.gouv.fr/occitanie/pyrenees-orientales/21db85f0-9a54-4d7c-9ea5-788d11973520" TargetMode="External" Id="rId2646" /><Relationship Type="http://schemas.openxmlformats.org/officeDocument/2006/relationships/hyperlink" Target="mailto:contact@pyrenees-cerdagne.com" TargetMode="External" Id="rId2647" /><Relationship Type="http://schemas.openxmlformats.org/officeDocument/2006/relationships/hyperlink" Target="https://www.pyrenees-cerdagne.fr/" TargetMode="External" Id="rId2648" /><Relationship Type="http://schemas.openxmlformats.org/officeDocument/2006/relationships/hyperlink" Target="https://www.pyrenees-cerdagne.fr/vie-pratique/nous-contacter" TargetMode="External" Id="rId2649" /><Relationship Type="http://schemas.openxmlformats.org/officeDocument/2006/relationships/hyperlink" Target="https://lannuaire.service-public.gouv.fr/occitanie/pyrenees-orientales/910ba4b3-e5d2-4ddf-a632-eac3e7434e7d" TargetMode="External" Id="rId2650" /><Relationship Type="http://schemas.openxmlformats.org/officeDocument/2006/relationships/hyperlink" Target="mailto:accueil@roussillon-conflent.fr" TargetMode="External" Id="rId2651" /><Relationship Type="http://schemas.openxmlformats.org/officeDocument/2006/relationships/hyperlink" Target="https://www.roussillon-conflent.fr/" TargetMode="External" Id="rId2652" /><Relationship Type="http://schemas.openxmlformats.org/officeDocument/2006/relationships/hyperlink" Target="https://lannuaire.service-public.gouv.fr/occitanie/pyrenees-orientales/61b26ada-c60e-4f2b-8f20-7c86e0def5ac" TargetMode="External" Id="rId2653" /><Relationship Type="http://schemas.openxmlformats.org/officeDocument/2006/relationships/hyperlink" Target="mailto:info@sudroussillon.fr" TargetMode="External" Id="rId2654" /><Relationship Type="http://schemas.openxmlformats.org/officeDocument/2006/relationships/hyperlink" Target="https://sudroussillon.fr/" TargetMode="External" Id="rId2655" /><Relationship Type="http://schemas.openxmlformats.org/officeDocument/2006/relationships/hyperlink" Target="https://lannuaire.service-public.gouv.fr/occitanie/pyrenees-orientales/ebdde942-900d-41d2-b443-0e708a1c1e57" TargetMode="External" Id="rId2656" /><Relationship Type="http://schemas.openxmlformats.org/officeDocument/2006/relationships/hyperlink" Target="mailto:accueil@cc-acvi.com" TargetMode="External" Id="rId2657" /><Relationship Type="http://schemas.openxmlformats.org/officeDocument/2006/relationships/hyperlink" Target="https://www.cc-acvi.com/" TargetMode="External" Id="rId2658" /><Relationship Type="http://schemas.openxmlformats.org/officeDocument/2006/relationships/hyperlink" Target="https://www.cc-acvi.com/nous-contacter/" TargetMode="External" Id="rId2659" /><Relationship Type="http://schemas.openxmlformats.org/officeDocument/2006/relationships/hyperlink" Target="https://lannuaire.service-public.gouv.fr/occitanie/pyrenees-orientales/5b70bf08-85bb-4131-99a5-79ff6a617344" TargetMode="External" Id="rId2660" /><Relationship Type="http://schemas.openxmlformats.org/officeDocument/2006/relationships/hyperlink" Target="mailto:contact@cc-aspres.fr" TargetMode="External" Id="rId2661" /><Relationship Type="http://schemas.openxmlformats.org/officeDocument/2006/relationships/hyperlink" Target="https://www.cc-aspres.fr/" TargetMode="External" Id="rId2662" /><Relationship Type="http://schemas.openxmlformats.org/officeDocument/2006/relationships/hyperlink" Target="https://lannuaire.service-public.gouv.fr/occitanie/pyrenees-orientales/851d2dad-aa3a-4100-b069-4fa3d9660e55" TargetMode="External" Id="rId2663" /><Relationship Type="http://schemas.openxmlformats.org/officeDocument/2006/relationships/hyperlink" Target="mailto:accueil@haut-vallespir.fr" TargetMode="External" Id="rId2664" /><Relationship Type="http://schemas.openxmlformats.org/officeDocument/2006/relationships/hyperlink" Target="https://www.haut-vallespir.fr/" TargetMode="External" Id="rId2665" /><Relationship Type="http://schemas.openxmlformats.org/officeDocument/2006/relationships/hyperlink" Target="https://lannuaire.service-public.gouv.fr/occitanie/pyrenees-orientales/b34b9e40-49df-4205-8b4c-e256b470cb45" TargetMode="External" Id="rId2666" /><Relationship Type="http://schemas.openxmlformats.org/officeDocument/2006/relationships/hyperlink" Target="mailto:accueil@vallespir.com" TargetMode="External" Id="rId2667" /><Relationship Type="http://schemas.openxmlformats.org/officeDocument/2006/relationships/hyperlink" Target="https://www.vallespir.com/" TargetMode="External" Id="rId2668" /><Relationship Type="http://schemas.openxmlformats.org/officeDocument/2006/relationships/hyperlink" Target="https://www.vallespir.com/nous-contacter/" TargetMode="External" Id="rId2669" /><Relationship Type="http://schemas.openxmlformats.org/officeDocument/2006/relationships/hyperlink" Target="https://lannuaire.service-public.gouv.fr/occitanie/pyrenees-orientales/c6bde7da-bd68-420b-b354-dff24bff2583" TargetMode="External" Id="rId2670" /><Relationship Type="http://schemas.openxmlformats.org/officeDocument/2006/relationships/hyperlink" Target="mailto:info@sauer-pechelbronn.fr" TargetMode="External" Id="rId2671" /><Relationship Type="http://schemas.openxmlformats.org/officeDocument/2006/relationships/hyperlink" Target="https://www.sauer-pechelbronn.fr/" TargetMode="External" Id="rId2672" /><Relationship Type="http://schemas.openxmlformats.org/officeDocument/2006/relationships/hyperlink" Target="https://lannuaire.service-public.gouv.fr/grand-est/bas-rhin/f7eb1b65-33b6-4526-affb-a5f42b7d3388" TargetMode="External" Id="rId2673" /><Relationship Type="http://schemas.openxmlformats.org/officeDocument/2006/relationships/hyperlink" Target="mailto:accueil@hanau-lapetitepierre.alsace" TargetMode="External" Id="rId2674" /><Relationship Type="http://schemas.openxmlformats.org/officeDocument/2006/relationships/hyperlink" Target="https://www.hanau-lapetitepierre.alsace/" TargetMode="External" Id="rId2675" /><Relationship Type="http://schemas.openxmlformats.org/officeDocument/2006/relationships/hyperlink" Target="https://www.hanau-lapetitepierre.alsace/contact/" TargetMode="External" Id="rId2676" /><Relationship Type="http://schemas.openxmlformats.org/officeDocument/2006/relationships/hyperlink" Target="https://lannuaire.service-public.gouv.fr/grand-est/bas-rhin/800fcec5-ef77-4e1a-82cb-7283a975c1e3" TargetMode="External" Id="rId2677" /><Relationship Type="http://schemas.openxmlformats.org/officeDocument/2006/relationships/hyperlink" Target="mailto:contact@cc-selestat.fr" TargetMode="External" Id="rId2678" /><Relationship Type="http://schemas.openxmlformats.org/officeDocument/2006/relationships/hyperlink" Target="https://www.cc-selestat.fr/" TargetMode="External" Id="rId2679" /><Relationship Type="http://schemas.openxmlformats.org/officeDocument/2006/relationships/hyperlink" Target="https://lannuaire.service-public.gouv.fr/grand-est/bas-rhin/819d4568-bf83-4264-8dde-1f9fe00cd71c" TargetMode="External" Id="rId2680" /><Relationship Type="http://schemas.openxmlformats.org/officeDocument/2006/relationships/hyperlink" Target="mailto:accueil@ccab.eu" TargetMode="External" Id="rId2681" /><Relationship Type="http://schemas.openxmlformats.org/officeDocument/2006/relationships/hyperlink" Target="https://www.alsace-bossue.fr/" TargetMode="External" Id="rId2682" /><Relationship Type="http://schemas.openxmlformats.org/officeDocument/2006/relationships/hyperlink" Target="https://lannuaire.service-public.gouv.fr/grand-est/bas-rhin/9cd57644-efde-47fe-9c04-9ac640b38e7d" TargetMode="External" Id="rId2683" /><Relationship Type="http://schemas.openxmlformats.org/officeDocument/2006/relationships/hyperlink" Target="mailto:contact@cc-outreforet.fr" TargetMode="External" Id="rId2684" /><Relationship Type="http://schemas.openxmlformats.org/officeDocument/2006/relationships/hyperlink" Target="https://www.cc-outreforet.fr/" TargetMode="External" Id="rId2685" /><Relationship Type="http://schemas.openxmlformats.org/officeDocument/2006/relationships/hyperlink" Target="https://www.cc-outreforet.fr/contact/" TargetMode="External" Id="rId2686" /><Relationship Type="http://schemas.openxmlformats.org/officeDocument/2006/relationships/hyperlink" Target="https://lannuaire.service-public.gouv.fr/grand-est/bas-rhin/989e39cf-0843-447b-88d7-17cace2b9d3d" TargetMode="External" Id="rId2687" /><Relationship Type="http://schemas.openxmlformats.org/officeDocument/2006/relationships/hyperlink" Target="mailto:info@cc-basse-zorn.fr" TargetMode="External" Id="rId2688" /><Relationship Type="http://schemas.openxmlformats.org/officeDocument/2006/relationships/hyperlink" Target="https://www.cc-basse-zorn.fr/" TargetMode="External" Id="rId2689" /><Relationship Type="http://schemas.openxmlformats.org/officeDocument/2006/relationships/hyperlink" Target="https://www.cc-basse-zorn.fr/FR/Divers/Nous-contacter.html" TargetMode="External" Id="rId2690" /><Relationship Type="http://schemas.openxmlformats.org/officeDocument/2006/relationships/hyperlink" Target="https://lannuaire.service-public.gouv.fr/grand-est/bas-rhin/1741c3d2-ca28-40a1-add3-4efcede11f11" TargetMode="External" Id="rId2691" /><Relationship Type="http://schemas.openxmlformats.org/officeDocument/2006/relationships/hyperlink" Target="mailto:contact@mossigvignoble.fr" TargetMode="External" Id="rId2692" /><Relationship Type="http://schemas.openxmlformats.org/officeDocument/2006/relationships/hyperlink" Target="https://www.mossigvignoble.fr/" TargetMode="External" Id="rId2693" /><Relationship Type="http://schemas.openxmlformats.org/officeDocument/2006/relationships/hyperlink" Target="https://www.mossigvignoble.fr/formulaire-de-contact/" TargetMode="External" Id="rId2694" /><Relationship Type="http://schemas.openxmlformats.org/officeDocument/2006/relationships/hyperlink" Target="https://lannuaire.service-public.gouv.fr/grand-est/bas-rhin/e14b71c9-8bef-4d09-a227-f8c590f3be31" TargetMode="External" Id="rId2695" /><Relationship Type="http://schemas.openxmlformats.org/officeDocument/2006/relationships/hyperlink" Target="mailto:contact@cc-plaine-rhin.fr" TargetMode="External" Id="rId2696" /><Relationship Type="http://schemas.openxmlformats.org/officeDocument/2006/relationships/hyperlink" Target="https://cc-plaine-rhin.fr/" TargetMode="External" Id="rId2697" /><Relationship Type="http://schemas.openxmlformats.org/officeDocument/2006/relationships/hyperlink" Target="https://cc-plaine-rhin.fr/informations/formulaire-de-contact/" TargetMode="External" Id="rId2698" /><Relationship Type="http://schemas.openxmlformats.org/officeDocument/2006/relationships/hyperlink" Target="https://lannuaire.service-public.gouv.fr/grand-est/bas-rhin/c1cade55-6446-49b5-b8d8-14beab28ec76" TargetMode="External" Id="rId2699" /><Relationship Type="http://schemas.openxmlformats.org/officeDocument/2006/relationships/hyperlink" Target="mailto:secretariat@cc-molsheim-mutzig.fr" TargetMode="External" Id="rId2700" /><Relationship Type="http://schemas.openxmlformats.org/officeDocument/2006/relationships/hyperlink" Target="https://www.cc-molsheim-mutzig.fr/" TargetMode="External" Id="rId2701" /><Relationship Type="http://schemas.openxmlformats.org/officeDocument/2006/relationships/hyperlink" Target="https://www.cc-molsheim-mutzig.fr/contact.htm" TargetMode="External" Id="rId2702" /><Relationship Type="http://schemas.openxmlformats.org/officeDocument/2006/relationships/hyperlink" Target="https://lannuaire.service-public.gouv.fr/grand-est/bas-rhin/838b4dd8-03a6-432b-bade-8d60fcd8a874" TargetMode="External" Id="rId2703" /><Relationship Type="http://schemas.openxmlformats.org/officeDocument/2006/relationships/hyperlink" Target="mailto:contact@valleedeville.fr" TargetMode="External" Id="rId2704" /><Relationship Type="http://schemas.openxmlformats.org/officeDocument/2006/relationships/hyperlink" Target="https://cdc.valleedeville.fr/" TargetMode="External" Id="rId2705" /><Relationship Type="http://schemas.openxmlformats.org/officeDocument/2006/relationships/hyperlink" Target="https://lannuaire.service-public.gouv.fr/grand-est/bas-rhin/cc17ab82-7f03-4766-ab8a-0d3f538cb5a8" TargetMode="External" Id="rId2706" /><Relationship Type="http://schemas.openxmlformats.org/officeDocument/2006/relationships/hyperlink" Target="mailto:contact@valleedelabruche.fr" TargetMode="External" Id="rId2707" /><Relationship Type="http://schemas.openxmlformats.org/officeDocument/2006/relationships/hyperlink" Target="https://cc.valleedelabruche.fr/" TargetMode="External" Id="rId2708" /><Relationship Type="http://schemas.openxmlformats.org/officeDocument/2006/relationships/hyperlink" Target="https://lannuaire.service-public.gouv.fr/grand-est/bas-rhin/89239143-8b09-4e97-8117-a6c380ec7e22" TargetMode="External" Id="rId2709" /><Relationship Type="http://schemas.openxmlformats.org/officeDocument/2006/relationships/hyperlink" Target="mailto:courrier@ccp-r.fr" TargetMode="External" Id="rId2710" /><Relationship Type="http://schemas.openxmlformats.org/officeDocument/2006/relationships/hyperlink" Target="https://www.cc-portesderosheim.fr/" TargetMode="External" Id="rId2711" /><Relationship Type="http://schemas.openxmlformats.org/officeDocument/2006/relationships/hyperlink" Target="https://www.cc-portesderosheim.fr/formulaire-de-contact/" TargetMode="External" Id="rId2712" /><Relationship Type="http://schemas.openxmlformats.org/officeDocument/2006/relationships/hyperlink" Target="https://lannuaire.service-public.gouv.fr/grand-est/bas-rhin/6d42e6d7-3d0e-4068-a804-b0fef0b3f278" TargetMode="External" Id="rId2713" /><Relationship Type="http://schemas.openxmlformats.org/officeDocument/2006/relationships/hyperlink" Target="mailto:contact@cc-erstein.fr" TargetMode="External" Id="rId2714" /><Relationship Type="http://schemas.openxmlformats.org/officeDocument/2006/relationships/hyperlink" Target="https://www.cc-erstein.fr/" TargetMode="External" Id="rId2715" /><Relationship Type="http://schemas.openxmlformats.org/officeDocument/2006/relationships/hyperlink" Target="https://lannuaire.service-public.gouv.fr/grand-est/bas-rhin/f05f0280-b177-47d2-bcc1-6ead4de3cc9f" TargetMode="External" Id="rId2716" /><Relationship Type="http://schemas.openxmlformats.org/officeDocument/2006/relationships/hyperlink" Target="mailto:com.com@kochersberg.fr" TargetMode="External" Id="rId2717" /><Relationship Type="http://schemas.openxmlformats.org/officeDocument/2006/relationships/hyperlink" Target="https://www.kochersberg.fr/" TargetMode="External" Id="rId2718" /><Relationship Type="http://schemas.openxmlformats.org/officeDocument/2006/relationships/hyperlink" Target="https://www.kochersberg.fr/Divers/Nous-contacter.html" TargetMode="External" Id="rId2719" /><Relationship Type="http://schemas.openxmlformats.org/officeDocument/2006/relationships/hyperlink" Target="https://lannuaire.service-public.gouv.fr/grand-est/bas-rhin/e7e4ca35-1db7-4975-a92f-5e927cc8efe7" TargetMode="External" Id="rId2720" /><Relationship Type="http://schemas.openxmlformats.org/officeDocument/2006/relationships/hyperlink" Target="mailto:contact@cc-paysrhenan.fr" TargetMode="External" Id="rId2721" /><Relationship Type="http://schemas.openxmlformats.org/officeDocument/2006/relationships/hyperlink" Target="https://www.cc-paysrhenan.fr/" TargetMode="External" Id="rId2722" /><Relationship Type="http://schemas.openxmlformats.org/officeDocument/2006/relationships/hyperlink" Target="https://www.cc-paysrhenan.fr/Contact.html" TargetMode="External" Id="rId2723" /><Relationship Type="http://schemas.openxmlformats.org/officeDocument/2006/relationships/hyperlink" Target="https://lannuaire.service-public.gouv.fr/grand-est/bas-rhin/a0069d80-5201-4958-9234-def67f592adc" TargetMode="External" Id="rId2724" /><Relationship Type="http://schemas.openxmlformats.org/officeDocument/2006/relationships/hyperlink" Target="mailto:contact@paysdebarr.fr" TargetMode="External" Id="rId2725" /><Relationship Type="http://schemas.openxmlformats.org/officeDocument/2006/relationships/hyperlink" Target="https://www.paysdebarr.fr/" TargetMode="External" Id="rId2726" /><Relationship Type="http://schemas.openxmlformats.org/officeDocument/2006/relationships/hyperlink" Target="https://www.paysdebarr.fr/fr/nous-contacter" TargetMode="External" Id="rId2727" /><Relationship Type="http://schemas.openxmlformats.org/officeDocument/2006/relationships/hyperlink" Target="https://lannuaire.service-public.gouv.fr/grand-est/bas-rhin/4bc43939-5e5c-459e-b54d-ab0484055d3a" TargetMode="External" Id="rId2728" /><Relationship Type="http://schemas.openxmlformats.org/officeDocument/2006/relationships/hyperlink" Target="mailto:contact@ccpaysniederbronn.fr" TargetMode="External" Id="rId2729" /><Relationship Type="http://schemas.openxmlformats.org/officeDocument/2006/relationships/hyperlink" Target="https://www.ccpaysniederbronn.fr/" TargetMode="External" Id="rId2730" /><Relationship Type="http://schemas.openxmlformats.org/officeDocument/2006/relationships/hyperlink" Target="https://www.ccpaysniederbronn.fr/Nous-contacter.html" TargetMode="External" Id="rId2731" /><Relationship Type="http://schemas.openxmlformats.org/officeDocument/2006/relationships/hyperlink" Target="https://lannuaire.service-public.gouv.fr/grand-est/bas-rhin/324e636a-9094-457e-88fb-036c812cfbd2" TargetMode="External" Id="rId2732" /><Relationship Type="http://schemas.openxmlformats.org/officeDocument/2006/relationships/hyperlink" Target="mailto:ccpso@ccpso.com" TargetMode="External" Id="rId2733" /><Relationship Type="http://schemas.openxmlformats.org/officeDocument/2006/relationships/hyperlink" Target="http://www.cc-paysdesainteodile.fr" TargetMode="External" Id="rId2734" /><Relationship Type="http://schemas.openxmlformats.org/officeDocument/2006/relationships/hyperlink" Target="http://www.cc-paysdesainteodile.fr/contact/" TargetMode="External" Id="rId2735" /><Relationship Type="http://schemas.openxmlformats.org/officeDocument/2006/relationships/hyperlink" Target="https://lannuaire.service-public.gouv.fr/grand-est/bas-rhin/1cc87d8c-9830-4933-909f-0bf5183bc430" TargetMode="External" Id="rId2736" /><Relationship Type="http://schemas.openxmlformats.org/officeDocument/2006/relationships/hyperlink" Target="mailto:contact@cc-saverne.fr" TargetMode="External" Id="rId2737" /><Relationship Type="http://schemas.openxmlformats.org/officeDocument/2006/relationships/hyperlink" Target="https://www.cc-paysdesaverne.fr/" TargetMode="External" Id="rId2738" /><Relationship Type="http://schemas.openxmlformats.org/officeDocument/2006/relationships/hyperlink" Target="https://lannuaire.service-public.gouv.fr/grand-est/bas-rhin/08215e48-479d-429c-b7be-9634644fbda9" TargetMode="External" Id="rId2739" /><Relationship Type="http://schemas.openxmlformats.org/officeDocument/2006/relationships/hyperlink" Target="mailto:infos@cc-pays-wissembourg.fr" TargetMode="External" Id="rId2740" /><Relationship Type="http://schemas.openxmlformats.org/officeDocument/2006/relationships/hyperlink" Target="https://www.cc-pays-wissembourg.fr/" TargetMode="External" Id="rId2741" /><Relationship Type="http://schemas.openxmlformats.org/officeDocument/2006/relationships/hyperlink" Target="https://www.cc-pays-wissembourg.fr/fr/Contact.html" TargetMode="External" Id="rId2742" /><Relationship Type="http://schemas.openxmlformats.org/officeDocument/2006/relationships/hyperlink" Target="https://lannuaire.service-public.gouv.fr/grand-est/bas-rhin/ea5e77ed-6740-4114-bde1-115e79aee82c" TargetMode="External" Id="rId2743" /><Relationship Type="http://schemas.openxmlformats.org/officeDocument/2006/relationships/hyperlink" Target="mailto:contact@ried-marckolsheim.fr" TargetMode="External" Id="rId2744" /><Relationship Type="http://schemas.openxmlformats.org/officeDocument/2006/relationships/hyperlink" Target="https://www.ried-marckolsheim.fr/" TargetMode="External" Id="rId2745" /><Relationship Type="http://schemas.openxmlformats.org/officeDocument/2006/relationships/hyperlink" Target="https://www.ried-marckolsheim.fr/contactez-nous" TargetMode="External" Id="rId2746" /><Relationship Type="http://schemas.openxmlformats.org/officeDocument/2006/relationships/hyperlink" Target="https://lannuaire.service-public.gouv.fr/grand-est/bas-rhin/5b0ac28f-73b8-4a2f-9986-84aafd37effa" TargetMode="External" Id="rId2747" /><Relationship Type="http://schemas.openxmlformats.org/officeDocument/2006/relationships/hyperlink" Target="mailto:contact@alsacerhinbrisach.fr" TargetMode="External" Id="rId2748" /><Relationship Type="http://schemas.openxmlformats.org/officeDocument/2006/relationships/hyperlink" Target="https://cc-alsacerhinbrisach.fr/" TargetMode="External" Id="rId2749" /><Relationship Type="http://schemas.openxmlformats.org/officeDocument/2006/relationships/hyperlink" Target="https://www.paysrhinbrisach.fr/communaute-de-communes/contact-plan-dacces/" TargetMode="External" Id="rId2750" /><Relationship Type="http://schemas.openxmlformats.org/officeDocument/2006/relationships/hyperlink" Target="https://lannuaire.service-public.gouv.fr/grand-est/haut-rhin/7c6f00ab-c570-402d-aed3-8d2da00aad09" TargetMode="External" Id="rId2751" /><Relationship Type="http://schemas.openxmlformats.org/officeDocument/2006/relationships/hyperlink" Target="mailto:info@sudalsace-largue.fr" TargetMode="External" Id="rId2752" /><Relationship Type="http://schemas.openxmlformats.org/officeDocument/2006/relationships/hyperlink" Target="https://www.sudalsace-largue.fr" TargetMode="External" Id="rId2753" /><Relationship Type="http://schemas.openxmlformats.org/officeDocument/2006/relationships/hyperlink" Target="https://www.sudalsace-largue.fr/territoire-intercommunal/ecrivez-nous.htm" TargetMode="External" Id="rId2754" /><Relationship Type="http://schemas.openxmlformats.org/officeDocument/2006/relationships/hyperlink" Target="https://lannuaire.service-public.gouv.fr/grand-est/haut-rhin/f2fae96d-8cf2-4ced-bee1-763c38e93016" TargetMode="External" Id="rId2755" /><Relationship Type="http://schemas.openxmlformats.org/officeDocument/2006/relationships/hyperlink" Target="mailto:accueil@cc-sundgau.fr" TargetMode="External" Id="rId2756" /><Relationship Type="http://schemas.openxmlformats.org/officeDocument/2006/relationships/hyperlink" Target="https://www.cc-sundgau.fr/" TargetMode="External" Id="rId2757" /><Relationship Type="http://schemas.openxmlformats.org/officeDocument/2006/relationships/hyperlink" Target="https://cc-sundgau.fr/formulaire-de-contact/" TargetMode="External" Id="rId2758" /><Relationship Type="http://schemas.openxmlformats.org/officeDocument/2006/relationships/hyperlink" Target="https://lannuaire.service-public.gouv.fr/grand-est/haut-rhin/417d0bc2-a123-4de6-9021-da5b7ec5aab2" TargetMode="External" Id="rId2759" /><Relationship Type="http://schemas.openxmlformats.org/officeDocument/2006/relationships/hyperlink" Target="mailto:contact@cc-thann-cernay.fr" TargetMode="External" Id="rId2760" /><Relationship Type="http://schemas.openxmlformats.org/officeDocument/2006/relationships/hyperlink" Target="https://www.cc-thann-cernay.fr" TargetMode="External" Id="rId2761" /><Relationship Type="http://schemas.openxmlformats.org/officeDocument/2006/relationships/hyperlink" Target="https://cc-thann-cernay.fr/contact-services/" TargetMode="External" Id="rId2762" /><Relationship Type="http://schemas.openxmlformats.org/officeDocument/2006/relationships/hyperlink" Target="https://lannuaire.service-public.gouv.fr/grand-est/haut-rhin/532eebec-7bf3-4cf5-bbe1-d654f08351c1" TargetMode="External" Id="rId2763" /><Relationship Type="http://schemas.openxmlformats.org/officeDocument/2006/relationships/hyperlink" Target="mailto:infos@cc-guebwiller.fr" TargetMode="External" Id="rId2764" /><Relationship Type="http://schemas.openxmlformats.org/officeDocument/2006/relationships/hyperlink" Target="https://www.cc-guebwiller.fr/" TargetMode="External" Id="rId2765" /><Relationship Type="http://schemas.openxmlformats.org/officeDocument/2006/relationships/hyperlink" Target="https://www.cc-guebwiller.fr/contact-ccrg/" TargetMode="External" Id="rId2766" /><Relationship Type="http://schemas.openxmlformats.org/officeDocument/2006/relationships/hyperlink" Target="https://lannuaire.service-public.gouv.fr/grand-est/haut-rhin/e5711f76-c87c-49c6-aac5-99978d3b1d49" TargetMode="External" Id="rId2767" /><Relationship Type="http://schemas.openxmlformats.org/officeDocument/2006/relationships/hyperlink" Target="mailto:info@cc-kaysersberg.fr" TargetMode="External" Id="rId2768" /><Relationship Type="http://schemas.openxmlformats.org/officeDocument/2006/relationships/hyperlink" Target="https://www.cc-kaysersberg.fr" TargetMode="External" Id="rId2769" /><Relationship Type="http://schemas.openxmlformats.org/officeDocument/2006/relationships/hyperlink" Target="https://www.cc-kaysersberg.fr/contact.htm" TargetMode="External" Id="rId2770" /><Relationship Type="http://schemas.openxmlformats.org/officeDocument/2006/relationships/hyperlink" Target="https://lannuaire.service-public.gouv.fr/grand-est/haut-rhin/91754233-c9fb-47fb-bb26-71cc6ffe79c1" TargetMode="External" Id="rId2771" /><Relationship Type="http://schemas.openxmlformats.org/officeDocument/2006/relationships/hyperlink" Target="mailto:ccvm@cc-vallee-munster.fr" TargetMode="External" Id="rId2772" /><Relationship Type="http://schemas.openxmlformats.org/officeDocument/2006/relationships/hyperlink" Target="https://www.cc-vallee-munster.fr/" TargetMode="External" Id="rId2773" /><Relationship Type="http://schemas.openxmlformats.org/officeDocument/2006/relationships/hyperlink" Target="https://lannuaire.service-public.gouv.fr/grand-est/haut-rhin/56566b1c-fba2-4634-930f-c5569b137065" TargetMode="External" Id="rId2774" /><Relationship Type="http://schemas.openxmlformats.org/officeDocument/2006/relationships/hyperlink" Target="mailto:contact@ccvsa.fr" TargetMode="External" Id="rId2775" /><Relationship Type="http://schemas.openxmlformats.org/officeDocument/2006/relationships/hyperlink" Target="https://ccvsa.fr/" TargetMode="External" Id="rId2776" /><Relationship Type="http://schemas.openxmlformats.org/officeDocument/2006/relationships/hyperlink" Target="https://ccvsa.fr/contact-services/" TargetMode="External" Id="rId2777" /><Relationship Type="http://schemas.openxmlformats.org/officeDocument/2006/relationships/hyperlink" Target="https://lannuaire.service-public.gouv.fr/grand-est/haut-rhin/c8d775c7-fac1-4c77-8dcc-480b19e851eb" TargetMode="External" Id="rId2778" /><Relationship Type="http://schemas.openxmlformats.org/officeDocument/2006/relationships/hyperlink" Target="mailto:contact@cc-vallee-doller.fr" TargetMode="External" Id="rId2779" /><Relationship Type="http://schemas.openxmlformats.org/officeDocument/2006/relationships/hyperlink" Target="https://www.cc-vallee-doller.fr/" TargetMode="External" Id="rId2780" /><Relationship Type="http://schemas.openxmlformats.org/officeDocument/2006/relationships/hyperlink" Target="https://lannuaire.service-public.gouv.fr/grand-est/haut-rhin/12312613-fc77-481c-ab2f-8a7d5e10b442" TargetMode="External" Id="rId2781" /><Relationship Type="http://schemas.openxmlformats.org/officeDocument/2006/relationships/hyperlink" Target="mailto:contact@ccchr.fr" TargetMode="External" Id="rId2782" /><Relationship Type="http://schemas.openxmlformats.org/officeDocument/2006/relationships/hyperlink" Target="https://ccchr.fr/" TargetMode="External" Id="rId2783" /><Relationship Type="http://schemas.openxmlformats.org/officeDocument/2006/relationships/hyperlink" Target="https://lannuaire.service-public.gouv.fr/grand-est/haut-rhin/9fa9b4cc-84cd-4da2-adef-a4f2b73b81ef" TargetMode="External" Id="rId2784" /><Relationship Type="http://schemas.openxmlformats.org/officeDocument/2006/relationships/hyperlink" Target="mailto:contact@paysderibeauville.fr" TargetMode="External" Id="rId2785" /><Relationship Type="http://schemas.openxmlformats.org/officeDocument/2006/relationships/hyperlink" Target="https://www.cc-ribeauville.fr/" TargetMode="External" Id="rId2786" /><Relationship Type="http://schemas.openxmlformats.org/officeDocument/2006/relationships/hyperlink" Target="https://lannuaire.service-public.gouv.fr/grand-est/haut-rhin/17433479-e09e-472a-ac1f-54f9d1dde9bb" TargetMode="External" Id="rId2787" /><Relationship Type="http://schemas.openxmlformats.org/officeDocument/2006/relationships/hyperlink" Target="mailto:accueil@cc-paysderouffach.fr" TargetMode="External" Id="rId2788" /><Relationship Type="http://schemas.openxmlformats.org/officeDocument/2006/relationships/hyperlink" Target="https://www.cc-paysderouffach-vignobles-chateaux.fr/" TargetMode="External" Id="rId2789" /><Relationship Type="http://schemas.openxmlformats.org/officeDocument/2006/relationships/hyperlink" Target="https://www.cc-paysderouffach-vignobles-chateaux.fr/formulaire-de-contact" TargetMode="External" Id="rId2790" /><Relationship Type="http://schemas.openxmlformats.org/officeDocument/2006/relationships/hyperlink" Target="https://lannuaire.service-public.gouv.fr/grand-est/haut-rhin/e1969655-0559-4893-bff6-f62ef1613f20" TargetMode="External" Id="rId2791" /><Relationship Type="http://schemas.openxmlformats.org/officeDocument/2006/relationships/hyperlink" Target="mailto:accueil@cc-valdargent.fr" TargetMode="External" Id="rId2792" /><Relationship Type="http://schemas.openxmlformats.org/officeDocument/2006/relationships/hyperlink" Target="https://www.cc-valdargent.fr/" TargetMode="External" Id="rId2793" /><Relationship Type="http://schemas.openxmlformats.org/officeDocument/2006/relationships/hyperlink" Target="https://www.cc-valdargent.fr/contact" TargetMode="External" Id="rId2794" /><Relationship Type="http://schemas.openxmlformats.org/officeDocument/2006/relationships/hyperlink" Target="https://lannuaire.service-public.gouv.fr/grand-est/haut-rhin/ad1b17ac-2cf1-433a-967b-c2b552e31720" TargetMode="External" Id="rId2795" /><Relationship Type="http://schemas.openxmlformats.org/officeDocument/2006/relationships/hyperlink" Target="mailto:contact@cc-pierresdorees.com" TargetMode="External" Id="rId2796" /><Relationship Type="http://schemas.openxmlformats.org/officeDocument/2006/relationships/hyperlink" Target="https://www.cc-pierresdorees.com/" TargetMode="External" Id="rId2797" /><Relationship Type="http://schemas.openxmlformats.org/officeDocument/2006/relationships/hyperlink" Target="https://www.cc-pierresdorees.com/contact" TargetMode="External" Id="rId2798" /><Relationship Type="http://schemas.openxmlformats.org/officeDocument/2006/relationships/hyperlink" Target="https://lannuaire.service-public.gouv.fr/auvergne-rhone-alpes/rhone/314edd8d-49a5-40d5-bd83-356b55bfa7ec" TargetMode="External" Id="rId2799" /><Relationship Type="http://schemas.openxmlformats.org/officeDocument/2006/relationships/hyperlink" Target="mailto:contact@ccsb-saonebeaujolais.fr" TargetMode="External" Id="rId2800" /><Relationship Type="http://schemas.openxmlformats.org/officeDocument/2006/relationships/hyperlink" Target="https://ccsb-saonebeaujolais.fr/" TargetMode="External" Id="rId2801" /><Relationship Type="http://schemas.openxmlformats.org/officeDocument/2006/relationships/hyperlink" Target="https://ccsb-saonebeaujolais.fr/contactez-la-ccsb/" TargetMode="External" Id="rId2802" /><Relationship Type="http://schemas.openxmlformats.org/officeDocument/2006/relationships/hyperlink" Target="https://lannuaire.service-public.gouv.fr/auvergne-rhone-alpes/rhone/c89d5a8e-c557-4dab-94f2-4168e551e748" TargetMode="External" Id="rId2803" /><Relationship Type="http://schemas.openxmlformats.org/officeDocument/2006/relationships/hyperlink" Target="mailto:accueil@ccel.fr" TargetMode="External" Id="rId2804" /><Relationship Type="http://schemas.openxmlformats.org/officeDocument/2006/relationships/hyperlink" Target="https://ccel.fr/" TargetMode="External" Id="rId2805" /><Relationship Type="http://schemas.openxmlformats.org/officeDocument/2006/relationships/hyperlink" Target="https://ccel.fr/contact/" TargetMode="External" Id="rId2806" /><Relationship Type="http://schemas.openxmlformats.org/officeDocument/2006/relationships/hyperlink" Target="https://lannuaire.service-public.gouv.fr/auvergne-rhone-alpes/rhone/21432a76-82df-4325-96bd-70c856aaff98" TargetMode="External" Id="rId2807" /><Relationship Type="http://schemas.openxmlformats.org/officeDocument/2006/relationships/hyperlink" Target="mailto:contact@cc-valleedugaron.fr" TargetMode="External" Id="rId2808" /><Relationship Type="http://schemas.openxmlformats.org/officeDocument/2006/relationships/hyperlink" Target="https://www.ccvalleedugaron.com/" TargetMode="External" Id="rId2809" /><Relationship Type="http://schemas.openxmlformats.org/officeDocument/2006/relationships/hyperlink" Target="https://www.ccvalleedugaron.com/contact/" TargetMode="External" Id="rId2810" /><Relationship Type="http://schemas.openxmlformats.org/officeDocument/2006/relationships/hyperlink" Target="https://lannuaire.service-public.gouv.fr/auvergne-rhone-alpes/rhone/68d4be09-461e-41f4-9d56-16f3fb80d433" TargetMode="External" Id="rId2811" /><Relationship Type="http://schemas.openxmlformats.org/officeDocument/2006/relationships/hyperlink" Target="mailto:ccvl@ccvl.fr" TargetMode="External" Id="rId2812" /><Relationship Type="http://schemas.openxmlformats.org/officeDocument/2006/relationships/hyperlink" Target="http://www.ccvl.fr" TargetMode="External" Id="rId2813" /><Relationship Type="http://schemas.openxmlformats.org/officeDocument/2006/relationships/hyperlink" Target="https://lannuaire.service-public.gouv.fr/auvergne-rhone-alpes/rhone/efed0eb0-dfe3-4b41-8a18-efb5856f5fac" TargetMode="External" Id="rId2814" /><Relationship Type="http://schemas.openxmlformats.org/officeDocument/2006/relationships/hyperlink" Target="mailto:copamo@cc-paysmornantais.fr" TargetMode="External" Id="rId2815" /><Relationship Type="http://schemas.openxmlformats.org/officeDocument/2006/relationships/hyperlink" Target="https://cc-paysmornantais.fr/" TargetMode="External" Id="rId2816" /><Relationship Type="http://schemas.openxmlformats.org/officeDocument/2006/relationships/hyperlink" Target="https://cc-paysmornantais.fr/contact.html" TargetMode="External" Id="rId2817" /><Relationship Type="http://schemas.openxmlformats.org/officeDocument/2006/relationships/hyperlink" Target="https://lannuaire.service-public.gouv.fr/auvergne-rhone-alpes/rhone/6e004bed-cf5c-4c00-bebe-673c86a79da0" TargetMode="External" Id="rId2818" /><Relationship Type="http://schemas.openxmlformats.org/officeDocument/2006/relationships/hyperlink" Target="mailto:ccpa@paysdelarbresle.fr" TargetMode="External" Id="rId2819" /><Relationship Type="http://schemas.openxmlformats.org/officeDocument/2006/relationships/hyperlink" Target="https://www.paysdelarbresle.fr/" TargetMode="External" Id="rId2820" /><Relationship Type="http://schemas.openxmlformats.org/officeDocument/2006/relationships/hyperlink" Target="https://www.paysdelarbresle.fr/contact/" TargetMode="External" Id="rId2821" /><Relationship Type="http://schemas.openxmlformats.org/officeDocument/2006/relationships/hyperlink" Target="https://lannuaire.service-public.gouv.fr/auvergne-rhone-alpes/rhone/062dc07a-5ad8-4a1c-850d-4fead6d18936" TargetMode="External" Id="rId2822" /><Relationship Type="http://schemas.openxmlformats.org/officeDocument/2006/relationships/hyperlink" Target="mailto:ccpo@pays-ozon.com" TargetMode="External" Id="rId2823" /><Relationship Type="http://schemas.openxmlformats.org/officeDocument/2006/relationships/hyperlink" Target="http://www.pays-ozon.com" TargetMode="External" Id="rId2824" /><Relationship Type="http://schemas.openxmlformats.org/officeDocument/2006/relationships/hyperlink" Target="https://lannuaire.service-public.gouv.fr/auvergne-rhone-alpes/rhone/056b286e-06cd-491f-8c81-c45863ffa3d6" TargetMode="External" Id="rId2825" /><Relationship Type="http://schemas.openxmlformats.org/officeDocument/2006/relationships/hyperlink" Target="mailto:ccrahincherimont@wanadoo.fr" TargetMode="External" Id="rId2826" /><Relationship Type="http://schemas.openxmlformats.org/officeDocument/2006/relationships/hyperlink" Target="https://www.ccrc70.fr/" TargetMode="External" Id="rId2827" /><Relationship Type="http://schemas.openxmlformats.org/officeDocument/2006/relationships/hyperlink" Target="https://www.ccrc70.fr/contacter-la-ccrc/" TargetMode="External" Id="rId2828" /><Relationship Type="http://schemas.openxmlformats.org/officeDocument/2006/relationships/hyperlink" Target="https://lannuaire.service-public.gouv.fr/bourgogne-franche-comte/haute-saone/28b1f71e-b9fd-40e0-a193-3d15ece5f8a5" TargetMode="External" Id="rId2829" /><Relationship Type="http://schemas.openxmlformats.org/officeDocument/2006/relationships/hyperlink" Target="mailto:contact@cctds.fr" TargetMode="External" Id="rId2830" /><Relationship Type="http://schemas.openxmlformats.org/officeDocument/2006/relationships/hyperlink" Target="https://www.cctds.fr/" TargetMode="External" Id="rId2831" /><Relationship Type="http://schemas.openxmlformats.org/officeDocument/2006/relationships/hyperlink" Target="https://www.cctds.fr/contact" TargetMode="External" Id="rId2832" /><Relationship Type="http://schemas.openxmlformats.org/officeDocument/2006/relationships/hyperlink" Target="https://lannuaire.service-public.gouv.fr/bourgogne-franche-comte/haute-saone/a22bbfdd-2d27-4b1e-a32d-71f59d72413d" TargetMode="External" Id="rId2833" /><Relationship Type="http://schemas.openxmlformats.org/officeDocument/2006/relationships/hyperlink" Target="mailto:secretariat@cc-valdegray.fr" TargetMode="External" Id="rId2834" /><Relationship Type="http://schemas.openxmlformats.org/officeDocument/2006/relationships/hyperlink" Target="https://www.cc-valdegray.fr/" TargetMode="External" Id="rId2835" /><Relationship Type="http://schemas.openxmlformats.org/officeDocument/2006/relationships/hyperlink" Target="https://www.cc-valdegray.fr/contact--1614786823.html" TargetMode="External" Id="rId2836" /><Relationship Type="http://schemas.openxmlformats.org/officeDocument/2006/relationships/hyperlink" Target="https://lannuaire.service-public.gouv.fr/bourgogne-franche-comte/haute-saone/dc4faf37-30c3-42ff-b73d-a8a9adc800c4" TargetMode="External" Id="rId2837" /><Relationship Type="http://schemas.openxmlformats.org/officeDocument/2006/relationships/hyperlink" Target="mailto:contact@cchc.fr" TargetMode="External" Id="rId2838" /><Relationship Type="http://schemas.openxmlformats.org/officeDocument/2006/relationships/hyperlink" Target="https://www.cchc.fr/" TargetMode="External" Id="rId2839" /><Relationship Type="http://schemas.openxmlformats.org/officeDocument/2006/relationships/hyperlink" Target="https://www.cchc.fr/contact/" TargetMode="External" Id="rId2840" /><Relationship Type="http://schemas.openxmlformats.org/officeDocument/2006/relationships/hyperlink" Target="https://lannuaire.service-public.gouv.fr/bourgogne-franche-comte/haute-saone/4dc6bce0-c9fd-49e7-a513-04e0437f6357" TargetMode="External" Id="rId2841" /><Relationship Type="http://schemas.openxmlformats.org/officeDocument/2006/relationships/hyperlink" Target="mailto:melisey.ccme@orange.fr" TargetMode="External" Id="rId2842" /><Relationship Type="http://schemas.openxmlformats.org/officeDocument/2006/relationships/hyperlink" Target="https://www.cc-1000etangs.fr/" TargetMode="External" Id="rId2843" /><Relationship Type="http://schemas.openxmlformats.org/officeDocument/2006/relationships/hyperlink" Target="https://lannuaire.service-public.gouv.fr/bourgogne-franche-comte/haute-saone/a61ea15b-ffdf-4b5e-ac9a-a6955a8002b8" TargetMode="External" Id="rId2844" /><Relationship Type="http://schemas.openxmlformats.org/officeDocument/2006/relationships/hyperlink" Target="mailto:lescombes@wanadoo.fr" TargetMode="External" Id="rId2845" /><Relationship Type="http://schemas.openxmlformats.org/officeDocument/2006/relationships/hyperlink" Target="http://www.cc-descombes.fr" TargetMode="External" Id="rId2846" /><Relationship Type="http://schemas.openxmlformats.org/officeDocument/2006/relationships/hyperlink" Target="http://www.cc-descombes.fr/courriel.php" TargetMode="External" Id="rId2847" /><Relationship Type="http://schemas.openxmlformats.org/officeDocument/2006/relationships/hyperlink" Target="https://lannuaire.service-public.gouv.fr/bourgogne-franche-comte/haute-saone/e911e692-1be4-464d-980d-4c8602f99dd9" TargetMode="External" Id="rId2848" /><Relationship Type="http://schemas.openxmlformats.org/officeDocument/2006/relationships/hyperlink" Target="mailto:cchvs@cchvs.fr" TargetMode="External" Id="rId2849" /><Relationship Type="http://schemas.openxmlformats.org/officeDocument/2006/relationships/hyperlink" Target="https://www.cchvs.fr/" TargetMode="External" Id="rId2850" /><Relationship Type="http://schemas.openxmlformats.org/officeDocument/2006/relationships/hyperlink" Target="https://www.cchvs.fr/contact.html" TargetMode="External" Id="rId2851" /><Relationship Type="http://schemas.openxmlformats.org/officeDocument/2006/relationships/hyperlink" Target="https://lannuaire.service-public.gouv.fr/bourgogne-franche-comte/haute-saone/c18336d5-c79b-4bb5-b730-12fcfbc1a6c0" TargetMode="External" Id="rId2852" /><Relationship Type="http://schemas.openxmlformats.org/officeDocument/2006/relationships/hyperlink" Target="mailto:ccmgy@wanadoo.fr" TargetMode="External" Id="rId2853" /><Relationship Type="http://schemas.openxmlformats.org/officeDocument/2006/relationships/hyperlink" Target="https://montsdegy.fr/" TargetMode="External" Id="rId2854" /><Relationship Type="http://schemas.openxmlformats.org/officeDocument/2006/relationships/hyperlink" Target="https://montsdegy.fr/contact--1614182146.html" TargetMode="External" Id="rId2855" /><Relationship Type="http://schemas.openxmlformats.org/officeDocument/2006/relationships/hyperlink" Target="https://lannuaire.service-public.gouv.fr/bourgogne-franche-comte/haute-saone/fa80aede-ec43-4316-ad64-1e93bf72aff7" TargetMode="External" Id="rId2856" /><Relationship Type="http://schemas.openxmlformats.org/officeDocument/2006/relationships/hyperlink" Target="mailto:secretariat@cc4r.eu" TargetMode="External" Id="rId2857" /><Relationship Type="http://schemas.openxmlformats.org/officeDocument/2006/relationships/hyperlink" Target="https://communaute.4rivieres.fr/" TargetMode="External" Id="rId2858" /><Relationship Type="http://schemas.openxmlformats.org/officeDocument/2006/relationships/hyperlink" Target="https://communaute.4rivieres.fr/--04c679a3252339c5bc2780817efce2f8.html" TargetMode="External" Id="rId2859" /><Relationship Type="http://schemas.openxmlformats.org/officeDocument/2006/relationships/hyperlink" Target="https://lannuaire.service-public.gouv.fr/bourgogne-franche-comte/haute-saone/67f4702d-ddd1-4aa0-88ac-29d0770e3bd2" TargetMode="External" Id="rId2860" /><Relationship Type="http://schemas.openxmlformats.org/officeDocument/2006/relationships/hyperlink" Target="mailto:communaute-communes@cc-pays-riolais.fr" TargetMode="External" Id="rId2861" /><Relationship Type="http://schemas.openxmlformats.org/officeDocument/2006/relationships/hyperlink" Target="https://www.cc-pays-riolais.fr/" TargetMode="External" Id="rId2862" /><Relationship Type="http://schemas.openxmlformats.org/officeDocument/2006/relationships/hyperlink" Target="https://www.cc-pays-riolais.fr/connaitre/contact/" TargetMode="External" Id="rId2863" /><Relationship Type="http://schemas.openxmlformats.org/officeDocument/2006/relationships/hyperlink" Target="https://lannuaire.service-public.gouv.fr/bourgogne-franche-comte/haute-saone/35922041-379f-4463-82d3-6166c0805a7b" TargetMode="External" Id="rId2864" /><Relationship Type="http://schemas.openxmlformats.org/officeDocument/2006/relationships/hyperlink" Target="mailto:contact@pays-de-lure.fr" TargetMode="External" Id="rId2865" /><Relationship Type="http://schemas.openxmlformats.org/officeDocument/2006/relationships/hyperlink" Target="https://www.pays-de-lure.fr/" TargetMode="External" Id="rId2866" /><Relationship Type="http://schemas.openxmlformats.org/officeDocument/2006/relationships/hyperlink" Target="https://www.pays-de-lure.fr/contact.htm" TargetMode="External" Id="rId2867" /><Relationship Type="http://schemas.openxmlformats.org/officeDocument/2006/relationships/hyperlink" Target="https://lannuaire.service-public.gouv.fr/bourgogne-franche-comte/haute-saone/9231a4ca-7fa8-44c6-9969-46ea904fd157" TargetMode="External" Id="rId2868" /><Relationship Type="http://schemas.openxmlformats.org/officeDocument/2006/relationships/hyperlink" Target="mailto:accueil@paysdeluxeuil.fr" TargetMode="External" Id="rId2869" /><Relationship Type="http://schemas.openxmlformats.org/officeDocument/2006/relationships/hyperlink" Target="https://www.paysdeluxeuil.fr/" TargetMode="External" Id="rId2870" /><Relationship Type="http://schemas.openxmlformats.org/officeDocument/2006/relationships/hyperlink" Target="https://lannuaire.service-public.gouv.fr/bourgogne-franche-comte/haute-saone/9b075301-2670-4662-8aef-e62ae6f9c051" TargetMode="External" Id="rId2871" /><Relationship Type="http://schemas.openxmlformats.org/officeDocument/2006/relationships/hyperlink" Target="mailto:contact@ccpmc.fr" TargetMode="External" Id="rId2872" /><Relationship Type="http://schemas.openxmlformats.org/officeDocument/2006/relationships/hyperlink" Target="https://www.ccpmc.fr/" TargetMode="External" Id="rId2873" /><Relationship Type="http://schemas.openxmlformats.org/officeDocument/2006/relationships/hyperlink" Target="https://www.ccpmc.fr/contact" TargetMode="External" Id="rId2874" /><Relationship Type="http://schemas.openxmlformats.org/officeDocument/2006/relationships/hyperlink" Target="https://lannuaire.service-public.gouv.fr/bourgogne-franche-comte/haute-saone/355766bd-791d-4588-8d95-cfb24d0f3694" TargetMode="External" Id="rId2875" /><Relationship Type="http://schemas.openxmlformats.org/officeDocument/2006/relationships/hyperlink" Target="mailto:contact@cctv70.fr" TargetMode="External" Id="rId2876" /><Relationship Type="http://schemas.openxmlformats.org/officeDocument/2006/relationships/hyperlink" Target="https://cctv70.fr/fr/" TargetMode="External" Id="rId2877" /><Relationship Type="http://schemas.openxmlformats.org/officeDocument/2006/relationships/hyperlink" Target="https://cctv70.fr/fr/" TargetMode="External" Id="rId2878" /><Relationship Type="http://schemas.openxmlformats.org/officeDocument/2006/relationships/hyperlink" Target="https://lannuaire.service-public.gouv.fr/bourgogne-franche-comte/haute-saone/2310fba1-01c9-47e6-a5b9-8a83114baa59" TargetMode="External" Id="rId2879" /><Relationship Type="http://schemas.openxmlformats.org/officeDocument/2006/relationships/hyperlink" Target="mailto:contact@blintercom.fr" TargetMode="External" Id="rId2880" /><Relationship Type="http://schemas.openxmlformats.org/officeDocument/2006/relationships/hyperlink" Target="https://www.bresselouhannaiseintercom.fr/" TargetMode="External" Id="rId2881" /><Relationship Type="http://schemas.openxmlformats.org/officeDocument/2006/relationships/hyperlink" Target="https://www.bresselouhannaiseintercom.fr/contactez-nous/" TargetMode="External" Id="rId2882" /><Relationship Type="http://schemas.openxmlformats.org/officeDocument/2006/relationships/hyperlink" Target="https://lannuaire.service-public.gouv.fr/bourgogne-franche-comte/saone-et-loire/75acc33f-e068-4433-8a62-474922532f2e" TargetMode="External" Id="rId2883" /><Relationship Type="http://schemas.openxmlformats.org/officeDocument/2006/relationships/hyperlink" Target="mailto:accueil@bressenordintercom.fr" TargetMode="External" Id="rId2884" /><Relationship Type="http://schemas.openxmlformats.org/officeDocument/2006/relationships/hyperlink" Target="https://www.bressenordintercom.fr" TargetMode="External" Id="rId2885" /><Relationship Type="http://schemas.openxmlformats.org/officeDocument/2006/relationships/hyperlink" Target="https://www.bressenordintercom.fr/contactez-nous/" TargetMode="External" Id="rId2886" /><Relationship Type="http://schemas.openxmlformats.org/officeDocument/2006/relationships/hyperlink" Target="https://lannuaire.service-public.gouv.fr/bourgogne-franche-comte/saone-et-loire/602c57e8-36f3-45c0-af98-b681eb49b01d" TargetMode="External" Id="rId2887" /><Relationship Type="http://schemas.openxmlformats.org/officeDocument/2006/relationships/hyperlink" Target="mailto:ccbr71@orange.fr" TargetMode="External" Id="rId2888" /><Relationship Type="http://schemas.openxmlformats.org/officeDocument/2006/relationships/hyperlink" Target="https://www.ccbresserevermont71.fr/" TargetMode="External" Id="rId2889" /><Relationship Type="http://schemas.openxmlformats.org/officeDocument/2006/relationships/hyperlink" Target="https://www.ccbresserevermont71.fr/contactez-nous/" TargetMode="External" Id="rId2890" /><Relationship Type="http://schemas.openxmlformats.org/officeDocument/2006/relationships/hyperlink" Target="https://lannuaire.service-public.gouv.fr/bourgogne-franche-comte/saone-et-loire/c2f751b7-2297-4296-b53f-c312a61873ed" TargetMode="External" Id="rId2891" /><Relationship Type="http://schemas.openxmlformats.org/officeDocument/2006/relationships/hyperlink" Target="mailto:cc@brionnaissudbourgogne.fr" TargetMode="External" Id="rId2892" /><Relationship Type="http://schemas.openxmlformats.org/officeDocument/2006/relationships/hyperlink" Target="https://brionnaissudbourgogne.fr" TargetMode="External" Id="rId2893" /><Relationship Type="http://schemas.openxmlformats.org/officeDocument/2006/relationships/hyperlink" Target="https://lannuaire.service-public.gouv.fr/bourgogne-franche-comte/saone-et-loire/1e391588-b861-43ba-8955-2482970b3d6a" TargetMode="External" Id="rId2894" /><Relationship Type="http://schemas.openxmlformats.org/officeDocument/2006/relationships/hyperlink" Target="mailto:accueil@cceals.fr" TargetMode="External" Id="rId2895" /><Relationship Type="http://schemas.openxmlformats.org/officeDocument/2006/relationships/hyperlink" Target="https://cceals.fr" TargetMode="External" Id="rId2896" /><Relationship Type="http://schemas.openxmlformats.org/officeDocument/2006/relationships/hyperlink" Target="https://lannuaire.service-public.gouv.fr/bourgogne-franche-comte/saone-et-loire/1454e4dc-bb66-4aa7-af25-7806b53ac98e" TargetMode="External" Id="rId2897" /><Relationship Type="http://schemas.openxmlformats.org/officeDocument/2006/relationships/hyperlink" Target="mailto:administratif@cc-saonegrosne.fr" TargetMode="External" Id="rId2898" /><Relationship Type="http://schemas.openxmlformats.org/officeDocument/2006/relationships/hyperlink" Target="https://www.cc-entresaoneetgrosne.fr/" TargetMode="External" Id="rId2899" /><Relationship Type="http://schemas.openxmlformats.org/officeDocument/2006/relationships/hyperlink" Target="https://www.cc-entresaoneetgrosne.fr/contact/" TargetMode="External" Id="rId2900" /><Relationship Type="http://schemas.openxmlformats.org/officeDocument/2006/relationships/hyperlink" Target="https://lannuaire.service-public.gouv.fr/bourgogne-franche-comte/saone-et-loire/fd7dedb1-3ef7-4673-aee4-605710dbe47a" TargetMode="External" Id="rId2901" /><Relationship Type="http://schemas.openxmlformats.org/officeDocument/2006/relationships/hyperlink" Target="mailto:accueil@ccmt71.fr" TargetMode="External" Id="rId2902" /><Relationship Type="http://schemas.openxmlformats.org/officeDocument/2006/relationships/hyperlink" Target="https://maconnais-tournugeois.fr/" TargetMode="External" Id="rId2903" /><Relationship Type="http://schemas.openxmlformats.org/officeDocument/2006/relationships/hyperlink" Target="https://lannuaire.service-public.gouv.fr/bourgogne-franche-comte/saone-et-loire/ce230276-0e90-4cdd-b845-1472f0e743e8" TargetMode="External" Id="rId2904" /><Relationship Type="http://schemas.openxmlformats.org/officeDocument/2006/relationships/hyperlink" Target="mailto:contact@scmb71.com" TargetMode="External" Id="rId2905" /><Relationship Type="http://schemas.openxmlformats.org/officeDocument/2006/relationships/hyperlink" Target="https://www.scmb71.com/" TargetMode="External" Id="rId2906" /><Relationship Type="http://schemas.openxmlformats.org/officeDocument/2006/relationships/hyperlink" Target="https://www.scmb71.com/contact" TargetMode="External" Id="rId2907" /><Relationship Type="http://schemas.openxmlformats.org/officeDocument/2006/relationships/hyperlink" Target="https://lannuaire.service-public.gouv.fr/bourgogne-franche-comte/saone-et-loire/59cc6119-59b6-4b56-b436-159b90ebbb76" TargetMode="External" Id="rId2908" /><Relationship Type="http://schemas.openxmlformats.org/officeDocument/2006/relationships/hyperlink" Target="mailto:contact@saonedoubsbresse.fr" TargetMode="External" Id="rId2909" /><Relationship Type="http://schemas.openxmlformats.org/officeDocument/2006/relationships/hyperlink" Target="http://www.saonedoubsbresse.fr" TargetMode="External" Id="rId2910" /><Relationship Type="http://schemas.openxmlformats.org/officeDocument/2006/relationships/hyperlink" Target="http://www.saonedoubsbresse.fr/contact/" TargetMode="External" Id="rId2911" /><Relationship Type="http://schemas.openxmlformats.org/officeDocument/2006/relationships/hyperlink" Target="https://lannuaire.service-public.gouv.fr/bourgogne-franche-comte/saone-et-loire/2a93461c-76a7-455b-b3c3-7feea66dc160" TargetMode="External" Id="rId2912" /><Relationship Type="http://schemas.openxmlformats.org/officeDocument/2006/relationships/hyperlink" Target="mailto:secretariat@ccscc.fr" TargetMode="External" Id="rId2913" /><Relationship Type="http://schemas.openxmlformats.org/officeDocument/2006/relationships/hyperlink" Target="https://www.cc-sud-cote-chalonnaise.fr/" TargetMode="External" Id="rId2914" /><Relationship Type="http://schemas.openxmlformats.org/officeDocument/2006/relationships/hyperlink" Target="https://lannuaire.service-public.gouv.fr/bourgogne-franche-comte/saone-et-loire/98e65ad2-cd9d-44ce-a853-98fe0b12583d" TargetMode="External" Id="rId2915" /><Relationship Type="http://schemas.openxmlformats.org/officeDocument/2006/relationships/hyperlink" Target="mailto:comcom@terresdebresse.fr" TargetMode="External" Id="rId2916" /><Relationship Type="http://schemas.openxmlformats.org/officeDocument/2006/relationships/hyperlink" Target="https://www.terresdebresse.fr/" TargetMode="External" Id="rId2917" /><Relationship Type="http://schemas.openxmlformats.org/officeDocument/2006/relationships/hyperlink" Target="https://lannuaire.service-public.gouv.fr/bourgogne-franche-comte/saone-et-loire/378b1fe1-8104-4dce-b3ca-30b6e33e6de0" TargetMode="External" Id="rId2918" /><Relationship Type="http://schemas.openxmlformats.org/officeDocument/2006/relationships/hyperlink" Target="mailto:contact@ccmarcigny.fr" TargetMode="External" Id="rId2919" /><Relationship Type="http://schemas.openxmlformats.org/officeDocument/2006/relationships/hyperlink" Target="https://www.cc-marcigny.fr/" TargetMode="External" Id="rId2920" /><Relationship Type="http://schemas.openxmlformats.org/officeDocument/2006/relationships/hyperlink" Target="https://lannuaire.service-public.gouv.fr/bourgogne-franche-comte/saone-et-loire/1d833994-b964-4beb-9f5f-f6bf7fdf2bc1" TargetMode="External" Id="rId2921" /><Relationship Type="http://schemas.openxmlformats.org/officeDocument/2006/relationships/hyperlink" Target="mailto:contact@ccsemur.fr" TargetMode="External" Id="rId2922" /><Relationship Type="http://schemas.openxmlformats.org/officeDocument/2006/relationships/hyperlink" Target="https://www.cc-semur-en-brionnais.fr/" TargetMode="External" Id="rId2923" /><Relationship Type="http://schemas.openxmlformats.org/officeDocument/2006/relationships/hyperlink" Target="https://lannuaire.service-public.gouv.fr/bourgogne-franche-comte/saone-et-loire/fe2b1626-1ee4-460b-adf3-53e328c2f293" TargetMode="External" Id="rId2924" /><Relationship Type="http://schemas.openxmlformats.org/officeDocument/2006/relationships/hyperlink" Target="mailto:contact@enclunisois.fr" TargetMode="External" Id="rId2925" /><Relationship Type="http://schemas.openxmlformats.org/officeDocument/2006/relationships/hyperlink" Target="https://enclunisois.fr/" TargetMode="External" Id="rId2926" /><Relationship Type="http://schemas.openxmlformats.org/officeDocument/2006/relationships/hyperlink" Target="https://enclunisois.fr/accueil/contact/" TargetMode="External" Id="rId2927" /><Relationship Type="http://schemas.openxmlformats.org/officeDocument/2006/relationships/hyperlink" Target="https://lannuaire.service-public.gouv.fr/bourgogne-franche-comte/saone-et-loire/21eb2109-21c5-4803-83f3-0dbe6b15bb77" TargetMode="External" Id="rId2928" /><Relationship Type="http://schemas.openxmlformats.org/officeDocument/2006/relationships/hyperlink" Target="mailto:contact@grandautunoismorvan.fr" TargetMode="External" Id="rId2929" /><Relationship Type="http://schemas.openxmlformats.org/officeDocument/2006/relationships/hyperlink" Target="https://www.grandautunoismorvan.fr/" TargetMode="External" Id="rId2930" /><Relationship Type="http://schemas.openxmlformats.org/officeDocument/2006/relationships/hyperlink" Target="https://www.grandautunoismorvan.fr/contact-20.html" TargetMode="External" Id="rId2931" /><Relationship Type="http://schemas.openxmlformats.org/officeDocument/2006/relationships/hyperlink" Target="https://lannuaire.service-public.gouv.fr/bourgogne-franche-comte/saone-et-loire/5b8c552f-1cc8-4ce9-8f06-f8edcf4910d4" TargetMode="External" Id="rId2932" /><Relationship Type="http://schemas.openxmlformats.org/officeDocument/2006/relationships/hyperlink" Target="mailto:contact@cchautesarthealpesmancelles.fr" TargetMode="External" Id="rId2933" /><Relationship Type="http://schemas.openxmlformats.org/officeDocument/2006/relationships/hyperlink" Target="https://www.cchautesarthealpesmancelles.fr/" TargetMode="External" Id="rId2934" /><Relationship Type="http://schemas.openxmlformats.org/officeDocument/2006/relationships/hyperlink" Target="https://www.cchautesarthealpesmancelles.fr/contact/" TargetMode="External" Id="rId2935" /><Relationship Type="http://schemas.openxmlformats.org/officeDocument/2006/relationships/hyperlink" Target="https://lannuaire.service-public.gouv.fr/pays-de-la-loire/sarthe/7d41352c-06ad-46e7-9936-8d43967d231b" TargetMode="External" Id="rId2936" /><Relationship Type="http://schemas.openxmlformats.org/officeDocument/2006/relationships/hyperlink" Target="mailto:accueil@cc-lbn.fr" TargetMode="External" Id="rId2937" /><Relationship Type="http://schemas.openxmlformats.org/officeDocument/2006/relationships/hyperlink" Target="https://www.cc-lbn.fr/" TargetMode="External" Id="rId2938" /><Relationship Type="http://schemas.openxmlformats.org/officeDocument/2006/relationships/hyperlink" Target="https://www.cc-lbn.fr/nous-contacter/" TargetMode="External" Id="rId2939" /><Relationship Type="http://schemas.openxmlformats.org/officeDocument/2006/relationships/hyperlink" Target="https://lannuaire.service-public.gouv.fr/pays-de-la-loire/sarthe/76dcc28a-3cdf-4b4b-b49c-244082fc0a16" TargetMode="External" Id="rId2940" /><Relationship Type="http://schemas.openxmlformats.org/officeDocument/2006/relationships/hyperlink" Target="mailto:contact@cc-gesnoisbilurien.fr" TargetMode="External" Id="rId2941" /><Relationship Type="http://schemas.openxmlformats.org/officeDocument/2006/relationships/hyperlink" Target="https://www.cc-gesnoisbilurien.fr/" TargetMode="External" Id="rId2942" /><Relationship Type="http://schemas.openxmlformats.org/officeDocument/2006/relationships/hyperlink" Target="https://www.cc-gesnoisbilurien.fr/interco/contact-cdc/" TargetMode="External" Id="rId2943" /><Relationship Type="http://schemas.openxmlformats.org/officeDocument/2006/relationships/hyperlink" Target="https://lannuaire.service-public.gouv.fr/pays-de-la-loire/sarthe/6ec069b2-efd5-4d2b-abe3-e065e35f1ad6" TargetMode="External" Id="rId2944" /><Relationship Type="http://schemas.openxmlformats.org/officeDocument/2006/relationships/hyperlink" Target="mailto:secretariat@loirluceberce.fr" TargetMode="External" Id="rId2945" /><Relationship Type="http://schemas.openxmlformats.org/officeDocument/2006/relationships/hyperlink" Target="https://www.loirluceberce.fr/" TargetMode="External" Id="rId2946" /><Relationship Type="http://schemas.openxmlformats.org/officeDocument/2006/relationships/hyperlink" Target="https://www.loirluceberce.fr/systeme/contact/" TargetMode="External" Id="rId2947" /><Relationship Type="http://schemas.openxmlformats.org/officeDocument/2006/relationships/hyperlink" Target="https://lannuaire.service-public.gouv.fr/pays-de-la-loire/sarthe/35da8128-f0d8-49ec-a23b-784c8a533de5" TargetMode="External" Id="rId2948" /><Relationship Type="http://schemas.openxmlformats.org/officeDocument/2006/relationships/hyperlink" Target="mailto:contact@mainecoeurdesarthe.fr" TargetMode="External" Id="rId2949" /><Relationship Type="http://schemas.openxmlformats.org/officeDocument/2006/relationships/hyperlink" Target="https://www.mainecoeurdesarthe.fr/" TargetMode="External" Id="rId2950" /><Relationship Type="http://schemas.openxmlformats.org/officeDocument/2006/relationships/hyperlink" Target="https://www.mainecoeurdesarthe.fr/contact/" TargetMode="External" Id="rId2951" /><Relationship Type="http://schemas.openxmlformats.org/officeDocument/2006/relationships/hyperlink" Target="https://lannuaire.service-public.gouv.fr/pays-de-la-loire/sarthe/f3247e35-762b-42c4-8be1-68ea4b36d5dc" TargetMode="External" Id="rId2952" /><Relationship Type="http://schemas.openxmlformats.org/officeDocument/2006/relationships/hyperlink" Target="mailto:communautedecommunes@belinois.fr" TargetMode="External" Id="rId2953" /><Relationship Type="http://schemas.openxmlformats.org/officeDocument/2006/relationships/hyperlink" Target="https://www.cc-berce-belinois.fr/" TargetMode="External" Id="rId2954" /><Relationship Type="http://schemas.openxmlformats.org/officeDocument/2006/relationships/hyperlink" Target="https://www.cc-berce-belinois.fr/nous-contacter/" TargetMode="External" Id="rId2955" /><Relationship Type="http://schemas.openxmlformats.org/officeDocument/2006/relationships/hyperlink" Target="https://lannuaire.service-public.gouv.fr/pays-de-la-loire/sarthe/e9e699e5-b582-4bd3-bfae-adcb76933830" TargetMode="External" Id="rId2956" /><Relationship Type="http://schemas.openxmlformats.org/officeDocument/2006/relationships/hyperlink" Target="mailto:accueil@comcomsudsarthe.fr" TargetMode="External" Id="rId2957" /><Relationship Type="http://schemas.openxmlformats.org/officeDocument/2006/relationships/hyperlink" Target="https://www.comcomsudsarthe.fr/" TargetMode="External" Id="rId2958" /><Relationship Type="http://schemas.openxmlformats.org/officeDocument/2006/relationships/hyperlink" Target="https://lannuaire.service-public.gouv.fr/pays-de-la-loire/sarthe/98f60cc0-2f49-40c7-8919-b41c4b17adba" TargetMode="External" Id="rId2959" /><Relationship Type="http://schemas.openxmlformats.org/officeDocument/2006/relationships/hyperlink" Target="mailto:contact@4cps.fr" TargetMode="External" Id="rId2960" /><Relationship Type="http://schemas.openxmlformats.org/officeDocument/2006/relationships/hyperlink" Target="https://www.4cps.fr" TargetMode="External" Id="rId2961" /><Relationship Type="http://schemas.openxmlformats.org/officeDocument/2006/relationships/hyperlink" Target="https://www.4cps.fr/a-votre-service/contact/" TargetMode="External" Id="rId2962" /><Relationship Type="http://schemas.openxmlformats.org/officeDocument/2006/relationships/hyperlink" Target="https://lannuaire.service-public.gouv.fr/pays-de-la-loire/sarthe/2a126d55-d289-43a8-aa36-b9919c704814" TargetMode="External" Id="rId2963" /><Relationship Type="http://schemas.openxmlformats.org/officeDocument/2006/relationships/hyperlink" Target="mailto:ccvba@cc-vba.com" TargetMode="External" Id="rId2964" /><Relationship Type="http://schemas.openxmlformats.org/officeDocument/2006/relationships/hyperlink" Target="https://www.cc-vba.com/" TargetMode="External" Id="rId2965" /><Relationship Type="http://schemas.openxmlformats.org/officeDocument/2006/relationships/hyperlink" Target="https://lannuaire.service-public.gouv.fr/pays-de-la-loire/sarthe/c7ce1b76-b444-478f-8636-25d07a80413c" TargetMode="External" Id="rId2966" /><Relationship Type="http://schemas.openxmlformats.org/officeDocument/2006/relationships/hyperlink" Target="mailto:contact@cc-paysflechois.fr" TargetMode="External" Id="rId2967" /><Relationship Type="http://schemas.openxmlformats.org/officeDocument/2006/relationships/hyperlink" Target="https://www.paysflechois.fr" TargetMode="External" Id="rId2968" /><Relationship Type="http://schemas.openxmlformats.org/officeDocument/2006/relationships/hyperlink" Target="https://lannuaire.service-public.gouv.fr/pays-de-la-loire/sarthe/899bbffa-f4df-4db9-be02-6b45878c40b3" TargetMode="External" Id="rId2969" /><Relationship Type="http://schemas.openxmlformats.org/officeDocument/2006/relationships/hyperlink" Target="mailto:contact@huisne-sarthoise.com" TargetMode="External" Id="rId2970" /><Relationship Type="http://schemas.openxmlformats.org/officeDocument/2006/relationships/hyperlink" Target="https://www.huisne-sarthoise.com/" TargetMode="External" Id="rId2971" /><Relationship Type="http://schemas.openxmlformats.org/officeDocument/2006/relationships/hyperlink" Target="https://www.huisne-sarthoise.com/contact/" TargetMode="External" Id="rId2972" /><Relationship Type="http://schemas.openxmlformats.org/officeDocument/2006/relationships/hyperlink" Target="https://lannuaire.service-public.gouv.fr/pays-de-la-loire/sarthe/7559481a-64ab-456c-84af-b200edae722e" TargetMode="External" Id="rId2973" /><Relationship Type="http://schemas.openxmlformats.org/officeDocument/2006/relationships/hyperlink" Target="mailto:communaute.communes@sudestmanceau.com" TargetMode="External" Id="rId2974" /><Relationship Type="http://schemas.openxmlformats.org/officeDocument/2006/relationships/hyperlink" Target="https://www.cc-sudestmanceau.fr/" TargetMode="External" Id="rId2975" /><Relationship Type="http://schemas.openxmlformats.org/officeDocument/2006/relationships/hyperlink" Target="https://www.cc-sudestmanceau.fr/nous-contacter/" TargetMode="External" Id="rId2976" /><Relationship Type="http://schemas.openxmlformats.org/officeDocument/2006/relationships/hyperlink" Target="https://lannuaire.service-public.gouv.fr/pays-de-la-loire/sarthe/f4521a47-699e-425a-b5d7-e02c4c0c1c8b" TargetMode="External" Id="rId2977" /><Relationship Type="http://schemas.openxmlformats.org/officeDocument/2006/relationships/hyperlink" Target="mailto:communaute@cc-valdesarthe.fr" TargetMode="External" Id="rId2978" /><Relationship Type="http://schemas.openxmlformats.org/officeDocument/2006/relationships/hyperlink" Target="https://www.val-de-sarthe.fr/" TargetMode="External" Id="rId2979" /><Relationship Type="http://schemas.openxmlformats.org/officeDocument/2006/relationships/hyperlink" Target="https://www.val-de-sarthe.fr/contact-siege/" TargetMode="External" Id="rId2980" /><Relationship Type="http://schemas.openxmlformats.org/officeDocument/2006/relationships/hyperlink" Target="https://lannuaire.service-public.gouv.fr/pays-de-la-loire/sarthe/58f4909a-f302-468d-9df7-59154a13a4ef" TargetMode="External" Id="rId2981" /><Relationship Type="http://schemas.openxmlformats.org/officeDocument/2006/relationships/hyperlink" Target="mailto:contact@3cma73.com" TargetMode="External" Id="rId2982" /><Relationship Type="http://schemas.openxmlformats.org/officeDocument/2006/relationships/hyperlink" Target="https://www.coeurdemaurienne-arvan.com/" TargetMode="External" Id="rId2983" /><Relationship Type="http://schemas.openxmlformats.org/officeDocument/2006/relationships/hyperlink" Target="https://www.coeurdemaurienne-arvan.com/nous-contacter/" TargetMode="External" Id="rId2984" /><Relationship Type="http://schemas.openxmlformats.org/officeDocument/2006/relationships/hyperlink" Target="https://lannuaire.service-public.gouv.fr/auvergne-rhone-alpes/savoie/926e4888-742a-40a0-ad60-5f46255ccd8d" TargetMode="External" Id="rId2985" /><Relationship Type="http://schemas.openxmlformats.org/officeDocument/2006/relationships/hyperlink" Target="mailto:secretariat@cc.coeurdesavoie.fr" TargetMode="External" Id="rId2986" /><Relationship Type="http://schemas.openxmlformats.org/officeDocument/2006/relationships/hyperlink" Target="https://www.coeurdesavoie.fr/" TargetMode="External" Id="rId2987" /><Relationship Type="http://schemas.openxmlformats.org/officeDocument/2006/relationships/hyperlink" Target="https://www.coeurdesavoie.fr/3786-contact.htm" TargetMode="External" Id="rId2988" /><Relationship Type="http://schemas.openxmlformats.org/officeDocument/2006/relationships/hyperlink" Target="https://lannuaire.service-public.gouv.fr/auvergne-rhone-alpes/savoie/bf7aeb11-7e0d-4bcd-87a8-a97a34ebb150" TargetMode="External" Id="rId2989" /><Relationship Type="http://schemas.openxmlformats.org/officeDocument/2006/relationships/hyperlink" Target="mailto:contact@coeurdetarentaise.fr" TargetMode="External" Id="rId2990" /><Relationship Type="http://schemas.openxmlformats.org/officeDocument/2006/relationships/hyperlink" Target="https://www.coeurdetarentaise.fr/" TargetMode="External" Id="rId2991" /><Relationship Type="http://schemas.openxmlformats.org/officeDocument/2006/relationships/hyperlink" Target="https://lannuaire.service-public.gouv.fr/auvergne-rhone-alpes/savoie/7d2382ff-7455-4f54-a595-d097652f8506" TargetMode="External" Id="rId2992" /><Relationship Type="http://schemas.openxmlformats.org/officeDocument/2006/relationships/hyperlink" Target="mailto:info@cchmv.fr" TargetMode="External" Id="rId2993" /><Relationship Type="http://schemas.openxmlformats.org/officeDocument/2006/relationships/hyperlink" Target="https://www.cchautemaurienne.com/" TargetMode="External" Id="rId2994" /><Relationship Type="http://schemas.openxmlformats.org/officeDocument/2006/relationships/hyperlink" Target="https://lannuaire.service-public.gouv.fr/auvergne-rhone-alpes/savoie/2d73c578-3ce6-4c9c-8c2e-9c6e5e1e1bbe" TargetMode="External" Id="rId2995" /><Relationship Type="http://schemas.openxmlformats.org/officeDocument/2006/relationships/hyperlink" Target="mailto:contact@versantsdaime.fr" TargetMode="External" Id="rId2996" /><Relationship Type="http://schemas.openxmlformats.org/officeDocument/2006/relationships/hyperlink" Target="http://www.versantsdaime.fr" TargetMode="External" Id="rId2997" /><Relationship Type="http://schemas.openxmlformats.org/officeDocument/2006/relationships/hyperlink" Target="https://lannuaire.service-public.gouv.fr/auvergne-rhone-alpes/savoie/08956eb9-4b9a-44be-b342-00eb5740fdb9" TargetMode="External" Id="rId2998" /><Relationship Type="http://schemas.openxmlformats.org/officeDocument/2006/relationships/hyperlink" Target="mailto:info@maurienne-galibier.com" TargetMode="External" Id="rId2999" /><Relationship Type="http://schemas.openxmlformats.org/officeDocument/2006/relationships/hyperlink" Target="https://www.maurienne-galibier.com/fr/index.aspx" TargetMode="External" Id="rId3000" /><Relationship Type="http://schemas.openxmlformats.org/officeDocument/2006/relationships/hyperlink" Target="https://lannuaire.service-public.gouv.fr/auvergne-rhone-alpes/savoie/170235ae-804f-43b7-8c45-13008c7c9a8f" TargetMode="External" Id="rId3001" /><Relationship Type="http://schemas.openxmlformats.org/officeDocument/2006/relationships/hyperlink" Target="mailto:communautedecommunes@portedemaurienne.eu" TargetMode="External" Id="rId3002" /><Relationship Type="http://schemas.openxmlformats.org/officeDocument/2006/relationships/hyperlink" Target="https://www.portedemaurienne-tourisme.com/communaute-de-communes" TargetMode="External" Id="rId3003" /><Relationship Type="http://schemas.openxmlformats.org/officeDocument/2006/relationships/hyperlink" Target="https://www.portedemaurienne-tourisme.com/contactez-nous" TargetMode="External" Id="rId3004" /><Relationship Type="http://schemas.openxmlformats.org/officeDocument/2006/relationships/hyperlink" Target="https://lannuaire.service-public.gouv.fr/auvergne-rhone-alpes/savoie/f2bf2fe1-e3f6-45ef-977d-fd832ef2d6c9" TargetMode="External" Id="rId3005" /><Relationship Type="http://schemas.openxmlformats.org/officeDocument/2006/relationships/hyperlink" Target="mailto:contact@ccvalguiers.fr" TargetMode="External" Id="rId3006" /><Relationship Type="http://schemas.openxmlformats.org/officeDocument/2006/relationships/hyperlink" Target="https://www.ccvalguiers.fr/infos/" TargetMode="External" Id="rId3007" /><Relationship Type="http://schemas.openxmlformats.org/officeDocument/2006/relationships/hyperlink" Target="https://lannuaire.service-public.gouv.fr/auvergne-rhone-alpes/savoie/479dc17a-b6aa-48ac-8619-9d444b4a16fa" TargetMode="External" Id="rId3008" /><Relationship Type="http://schemas.openxmlformats.org/officeDocument/2006/relationships/hyperlink" Target="mailto:info@valvanoise.fr" TargetMode="External" Id="rId3009" /><Relationship Type="http://schemas.openxmlformats.org/officeDocument/2006/relationships/hyperlink" Target="https://www.valvanoise.fr/" TargetMode="External" Id="rId3010" /><Relationship Type="http://schemas.openxmlformats.org/officeDocument/2006/relationships/hyperlink" Target="https://www.valvanoise.fr/525-contact.htm" TargetMode="External" Id="rId3011" /><Relationship Type="http://schemas.openxmlformats.org/officeDocument/2006/relationships/hyperlink" Target="https://lannuaire.service-public.gouv.fr/auvergne-rhone-alpes/savoie/917d60d9-0f8f-49fc-ab97-2e4f36a9c6ef" TargetMode="External" Id="rId3012" /><Relationship Type="http://schemas.openxmlformats.org/officeDocument/2006/relationships/hyperlink" Target="mailto:contact@hautetarentaise.fr" TargetMode="External" Id="rId3013" /><Relationship Type="http://schemas.openxmlformats.org/officeDocument/2006/relationships/hyperlink" Target="https://www.hautetarentaise.fr/" TargetMode="External" Id="rId3014" /><Relationship Type="http://schemas.openxmlformats.org/officeDocument/2006/relationships/hyperlink" Target="https://lannuaire.service-public.gouv.fr/auvergne-rhone-alpes/savoie/fb20012f-176d-4453-813b-d69651712755" TargetMode="External" Id="rId3015" /><Relationship Type="http://schemas.openxmlformats.org/officeDocument/2006/relationships/hyperlink" Target="mailto:accueil@ccyenne.fr" TargetMode="External" Id="rId3016" /><Relationship Type="http://schemas.openxmlformats.org/officeDocument/2006/relationships/hyperlink" Target="https://ccyenne.fr/" TargetMode="External" Id="rId3017" /><Relationship Type="http://schemas.openxmlformats.org/officeDocument/2006/relationships/hyperlink" Target="https://lannuaire.service-public.gouv.fr/auvergne-rhone-alpes/savoie/387b6efe-2150-46ed-bedd-ca9a63c9fb06" TargetMode="External" Id="rId3018" /><Relationship Type="http://schemas.openxmlformats.org/officeDocument/2006/relationships/hyperlink" Target="mailto:secretariat@ccva-savoie.com" TargetMode="External" Id="rId3019" /><Relationship Type="http://schemas.openxmlformats.org/officeDocument/2006/relationships/hyperlink" Target="https://www.ccva-savoie.com/" TargetMode="External" Id="rId3020" /><Relationship Type="http://schemas.openxmlformats.org/officeDocument/2006/relationships/hyperlink" Target="https://www.ccva-savoie.com/index.php/contact" TargetMode="External" Id="rId3021" /><Relationship Type="http://schemas.openxmlformats.org/officeDocument/2006/relationships/hyperlink" Target="https://lannuaire.service-public.gouv.fr/auvergne-rhone-alpes/savoie/caa92373-184d-4cc9-aed1-22e8fce22e6d" TargetMode="External" Id="rId3022" /><Relationship Type="http://schemas.openxmlformats.org/officeDocument/2006/relationships/hyperlink" Target="mailto:accueil@la4c.fr" TargetMode="External" Id="rId3023" /><Relationship Type="http://schemas.openxmlformats.org/officeDocument/2006/relationships/hyperlink" Target="https://www.la4c.fr/" TargetMode="External" Id="rId3024" /><Relationship Type="http://schemas.openxmlformats.org/officeDocument/2006/relationships/hyperlink" Target="https://www.la4c.fr/contact/" TargetMode="External" Id="rId3025" /><Relationship Type="http://schemas.openxmlformats.org/officeDocument/2006/relationships/hyperlink" Target="https://lannuaire.service-public.gouv.fr/auvergne-rhone-alpes/savoie/1f16540d-6824-4da5-a138-459caf8048eb" TargetMode="External" Id="rId3026" /><Relationship Type="http://schemas.openxmlformats.org/officeDocument/2006/relationships/hyperlink" Target="mailto:ccla@ccla.fr" TargetMode="External" Id="rId3027" /><Relationship Type="http://schemas.openxmlformats.org/officeDocument/2006/relationships/hyperlink" Target="https://ccla.fr/" TargetMode="External" Id="rId3028" /><Relationship Type="http://schemas.openxmlformats.org/officeDocument/2006/relationships/hyperlink" Target="https://ccla.fr/contact/" TargetMode="External" Id="rId3029" /><Relationship Type="http://schemas.openxmlformats.org/officeDocument/2006/relationships/hyperlink" Target="https://lannuaire.service-public.gouv.fr/auvergne-rhone-alpes/savoie/ba0e44d4-e98a-4ad5-a44e-6c1789d65c10" TargetMode="External" Id="rId3030" /><Relationship Type="http://schemas.openxmlformats.org/officeDocument/2006/relationships/hyperlink" Target="mailto:contact@arve-saleve.fr" TargetMode="External" Id="rId3031" /><Relationship Type="http://schemas.openxmlformats.org/officeDocument/2006/relationships/hyperlink" Target="https://www.arve-saleve.fr/" TargetMode="External" Id="rId3032" /><Relationship Type="http://schemas.openxmlformats.org/officeDocument/2006/relationships/hyperlink" Target="https://www.arve-saleve.fr/contact/" TargetMode="External" Id="rId3033" /><Relationship Type="http://schemas.openxmlformats.org/officeDocument/2006/relationships/hyperlink" Target="https://lannuaire.service-public.gouv.fr/auvergne-rhone-alpes/haute-savoie/313b0707-1ef5-4b33-b9f1-d01db6427577" TargetMode="External" Id="rId3034" /><Relationship Type="http://schemas.openxmlformats.org/officeDocument/2006/relationships/hyperlink" Target="mailto:contact@2ccam.fr" TargetMode="External" Id="rId3035" /><Relationship Type="http://schemas.openxmlformats.org/officeDocument/2006/relationships/hyperlink" Target="https://www.2ccam.fr/fr/" TargetMode="External" Id="rId3036" /><Relationship Type="http://schemas.openxmlformats.org/officeDocument/2006/relationships/hyperlink" Target="https://www.2ccam.fr/fr/" TargetMode="External" Id="rId3037" /><Relationship Type="http://schemas.openxmlformats.org/officeDocument/2006/relationships/hyperlink" Target="https://lannuaire.service-public.gouv.fr/auvergne-rhone-alpes/haute-savoie/9e23b7f7-55d2-4251-9da1-fc5329df94b4" TargetMode="External" Id="rId3038" /><Relationship Type="http://schemas.openxmlformats.org/officeDocument/2006/relationships/hyperlink" Target="mailto:courrier@ccfg.fr" TargetMode="External" Id="rId3039" /><Relationship Type="http://schemas.openxmlformats.org/officeDocument/2006/relationships/hyperlink" Target="https://www.ccfg.fr/" TargetMode="External" Id="rId3040" /><Relationship Type="http://schemas.openxmlformats.org/officeDocument/2006/relationships/hyperlink" Target="https://www.ccfg.fr/8905-contact.htm" TargetMode="External" Id="rId3041" /><Relationship Type="http://schemas.openxmlformats.org/officeDocument/2006/relationships/hyperlink" Target="https://lannuaire.service-public.gouv.fr/auvergne-rhone-alpes/haute-savoie/99b3f049-6de8-47d6-86f3-d19e9fcea0b0" TargetMode="External" Id="rId3042" /><Relationship Type="http://schemas.openxmlformats.org/officeDocument/2006/relationships/hyperlink" Target="mailto:accueil@ccfu.fr" TargetMode="External" Id="rId3043" /><Relationship Type="http://schemas.openxmlformats.org/officeDocument/2006/relationships/hyperlink" Target="https://www.fier-et-usses.com/" TargetMode="External" Id="rId3044" /><Relationship Type="http://schemas.openxmlformats.org/officeDocument/2006/relationships/hyperlink" Target="https://www.fier-et-usses.com/2071-contact.htm" TargetMode="External" Id="rId3045" /><Relationship Type="http://schemas.openxmlformats.org/officeDocument/2006/relationships/hyperlink" Target="https://lannuaire.service-public.gouv.fr/auvergne-rhone-alpes/haute-savoie/e2769939-8de7-407d-acff-78e93b899249" TargetMode="External" Id="rId3046" /><Relationship Type="http://schemas.openxmlformats.org/officeDocument/2006/relationships/hyperlink" Target="mailto:accueil@cc-peva.fr" TargetMode="External" Id="rId3047" /><Relationship Type="http://schemas.openxmlformats.org/officeDocument/2006/relationships/hyperlink" Target="https://www.cc-peva.fr/index.php" TargetMode="External" Id="rId3048" /><Relationship Type="http://schemas.openxmlformats.org/officeDocument/2006/relationships/hyperlink" Target="https://www.cc-peva.fr/203-contact.htm" TargetMode="External" Id="rId3049" /><Relationship Type="http://schemas.openxmlformats.org/officeDocument/2006/relationships/hyperlink" Target="https://lannuaire.service-public.gouv.fr/auvergne-rhone-alpes/haute-savoie/9812d62a-d061-461a-ab8d-9ef608e6d81f" TargetMode="External" Id="rId3050" /><Relationship Type="http://schemas.openxmlformats.org/officeDocument/2006/relationships/hyperlink" Target="mailto:accueil@ccpmb.fr" TargetMode="External" Id="rId3051" /><Relationship Type="http://schemas.openxmlformats.org/officeDocument/2006/relationships/hyperlink" Target="https://www.ccpmb.fr/" TargetMode="External" Id="rId3052" /><Relationship Type="http://schemas.openxmlformats.org/officeDocument/2006/relationships/hyperlink" Target="https://lannuaire.service-public.gouv.fr/auvergne-rhone-alpes/haute-savoie/08269d23-c589-49a2-9b8e-f78964c3a8c2" TargetMode="External" Id="rId3053" /><Relationship Type="http://schemas.openxmlformats.org/officeDocument/2006/relationships/hyperlink" Target="mailto:contact@rumilly-terredesavoie.fr" TargetMode="External" Id="rId3054" /><Relationship Type="http://schemas.openxmlformats.org/officeDocument/2006/relationships/hyperlink" Target="http://www.rumilly-terredesavoie.fr" TargetMode="External" Id="rId3055" /><Relationship Type="http://schemas.openxmlformats.org/officeDocument/2006/relationships/hyperlink" Target="https://lannuaire.service-public.gouv.fr/auvergne-rhone-alpes/haute-savoie/5ba54675-ce30-41a4-b46f-e158ed12a414" TargetMode="External" Id="rId3056" /><Relationship Type="http://schemas.openxmlformats.org/officeDocument/2006/relationships/hyperlink" Target="mailto:contact@cc-valleeverte.fr" TargetMode="External" Id="rId3057" /><Relationship Type="http://schemas.openxmlformats.org/officeDocument/2006/relationships/hyperlink" Target="https://cc-valleeverte.fr/" TargetMode="External" Id="rId3058" /><Relationship Type="http://schemas.openxmlformats.org/officeDocument/2006/relationships/hyperlink" Target="https://lannuaire.service-public.gouv.fr/auvergne-rhone-alpes/haute-savoie/c8abca94-58ab-4450-980d-5f92d4bd9bb2" TargetMode="External" Id="rId3059" /><Relationship Type="http://schemas.openxmlformats.org/officeDocument/2006/relationships/hyperlink" Target="mailto:contact@ccvcmb.fr" TargetMode="External" Id="rId3060" /><Relationship Type="http://schemas.openxmlformats.org/officeDocument/2006/relationships/hyperlink" Target="https://www.cc-valleedechamonixmontblanc.fr/" TargetMode="External" Id="rId3061" /><Relationship Type="http://schemas.openxmlformats.org/officeDocument/2006/relationships/hyperlink" Target="https://lannuaire.service-public.gouv.fr/auvergne-rhone-alpes/haute-savoie/8aa487dc-f1e2-4b15-aaa9-fb9ef8596367" TargetMode="External" Id="rId3062" /><Relationship Type="http://schemas.openxmlformats.org/officeDocument/2006/relationships/hyperlink" Target="mailto:accueil@montagnesdugiffre.fr" TargetMode="External" Id="rId3063" /><Relationship Type="http://schemas.openxmlformats.org/officeDocument/2006/relationships/hyperlink" Target="https://www.montagnesdugiffre.fr/" TargetMode="External" Id="rId3064" /><Relationship Type="http://schemas.openxmlformats.org/officeDocument/2006/relationships/hyperlink" Target="https://www.montagnesdugiffre.fr/contact/" TargetMode="External" Id="rId3065" /><Relationship Type="http://schemas.openxmlformats.org/officeDocument/2006/relationships/hyperlink" Target="https://lannuaire.service-public.gouv.fr/auvergne-rhone-alpes/haute-savoie/94a7a8ba-eaac-4c41-b35a-86bc16324bf4" TargetMode="External" Id="rId3066" /><Relationship Type="http://schemas.openxmlformats.org/officeDocument/2006/relationships/hyperlink" Target="mailto:secretariat@cc4r.fr" TargetMode="External" Id="rId3067" /><Relationship Type="http://schemas.openxmlformats.org/officeDocument/2006/relationships/hyperlink" Target="http://www.cc4r.fr" TargetMode="External" Id="rId3068" /><Relationship Type="http://schemas.openxmlformats.org/officeDocument/2006/relationships/hyperlink" Target="http://www.cc4r.fr/contact-2.html" TargetMode="External" Id="rId3069" /><Relationship Type="http://schemas.openxmlformats.org/officeDocument/2006/relationships/hyperlink" Target="https://lannuaire.service-public.gouv.fr/auvergne-rhone-alpes/haute-savoie/71c4baf1-149e-46d9-9c19-7cd0654a446f" TargetMode="External" Id="rId3070" /><Relationship Type="http://schemas.openxmlformats.org/officeDocument/2006/relationships/hyperlink" Target="mailto:comcom@cc-sources-lac-annecy.com" TargetMode="External" Id="rId3071" /><Relationship Type="http://schemas.openxmlformats.org/officeDocument/2006/relationships/hyperlink" Target="https://www.cc-sources-lac-annecy.com/" TargetMode="External" Id="rId3072" /><Relationship Type="http://schemas.openxmlformats.org/officeDocument/2006/relationships/hyperlink" Target="https://lannuaire.service-public.gouv.fr/auvergne-rhone-alpes/haute-savoie/e7f9fd77-ba8b-4fbc-8c29-de2ed137d749" TargetMode="External" Id="rId3073" /><Relationship Type="http://schemas.openxmlformats.org/officeDocument/2006/relationships/hyperlink" Target="mailto:accueil@ccvt.fr" TargetMode="External" Id="rId3074" /><Relationship Type="http://schemas.openxmlformats.org/officeDocument/2006/relationships/hyperlink" Target="https://ccdesvalleesdethones.fr/page/accueil" TargetMode="External" Id="rId3075" /><Relationship Type="http://schemas.openxmlformats.org/officeDocument/2006/relationships/hyperlink" Target="https://www.facebook.com/ccdesvalleesdethones" TargetMode="External" Id="rId3076" /><Relationship Type="http://schemas.openxmlformats.org/officeDocument/2006/relationships/hyperlink" Target="https://lannuaire.service-public.gouv.fr/auvergne-rhone-alpes/haute-savoie/a01cc354-e788-4cc8-a43e-e67134e4f45f" TargetMode="External" Id="rId3077" /><Relationship Type="http://schemas.openxmlformats.org/officeDocument/2006/relationships/hyperlink" Target="mailto:info@cc-genevois.fr" TargetMode="External" Id="rId3078" /><Relationship Type="http://schemas.openxmlformats.org/officeDocument/2006/relationships/hyperlink" Target="https://www.cc-genevois.fr/" TargetMode="External" Id="rId3079" /><Relationship Type="http://schemas.openxmlformats.org/officeDocument/2006/relationships/hyperlink" Target="https://www.cc-genevois.fr/fr/nous-contacter" TargetMode="External" Id="rId3080" /><Relationship Type="http://schemas.openxmlformats.org/officeDocument/2006/relationships/hyperlink" Target="https://lannuaire.service-public.gouv.fr/auvergne-rhone-alpes/haute-savoie/96715d34-c0ab-4ada-af3f-9079e62e7de5" TargetMode="External" Id="rId3081" /><Relationship Type="http://schemas.openxmlformats.org/officeDocument/2006/relationships/hyperlink" Target="mailto:info@hautchablais.fr" TargetMode="External" Id="rId3082" /><Relationship Type="http://schemas.openxmlformats.org/officeDocument/2006/relationships/hyperlink" Target="https://www.hautchablais.fr" TargetMode="External" Id="rId3083" /><Relationship Type="http://schemas.openxmlformats.org/officeDocument/2006/relationships/hyperlink" Target="https://www.hautchablais.fr/contact" TargetMode="External" Id="rId3084" /><Relationship Type="http://schemas.openxmlformats.org/officeDocument/2006/relationships/hyperlink" Target="https://lannuaire.service-public.gouv.fr/auvergne-rhone-alpes/haute-savoie/99cdc1cd-0b37-448c-a2a5-5d945403f219" TargetMode="External" Id="rId3085" /><Relationship Type="http://schemas.openxmlformats.org/officeDocument/2006/relationships/hyperlink" Target="mailto:contact@ccpaysrochois.fr" TargetMode="External" Id="rId3086" /><Relationship Type="http://schemas.openxmlformats.org/officeDocument/2006/relationships/hyperlink" Target="https://www.ccpaysrochois.fr/" TargetMode="External" Id="rId3087" /><Relationship Type="http://schemas.openxmlformats.org/officeDocument/2006/relationships/hyperlink" Target="https://lannuaire.service-public.gouv.fr/auvergne-rhone-alpes/haute-savoie/e862780c-2ab0-414d-95af-dded43866f49" TargetMode="External" Id="rId3088" /><Relationship Type="http://schemas.openxmlformats.org/officeDocument/2006/relationships/hyperlink" Target="mailto:ccpc@ccpaysdecruseilles.org" TargetMode="External" Id="rId3089" /><Relationship Type="http://schemas.openxmlformats.org/officeDocument/2006/relationships/hyperlink" Target="https://ccpaysdecruseilles.org/" TargetMode="External" Id="rId3090" /><Relationship Type="http://schemas.openxmlformats.org/officeDocument/2006/relationships/hyperlink" Target="https://lannuaire.service-public.gouv.fr/auvergne-rhone-alpes/haute-savoie/7e1e27a8-7aa3-4854-aafd-83110d060052" TargetMode="External" Id="rId3091" /><Relationship Type="http://schemas.openxmlformats.org/officeDocument/2006/relationships/hyperlink" Target="mailto:contact@brayeawy.fr" TargetMode="External" Id="rId3092" /><Relationship Type="http://schemas.openxmlformats.org/officeDocument/2006/relationships/hyperlink" Target="https://brayeawy.fr/" TargetMode="External" Id="rId3093" /><Relationship Type="http://schemas.openxmlformats.org/officeDocument/2006/relationships/hyperlink" Target="https://brayeawy.fr/contact-acces-bray-eawy/" TargetMode="External" Id="rId3094" /><Relationship Type="http://schemas.openxmlformats.org/officeDocument/2006/relationships/hyperlink" Target="https://lannuaire.service-public.gouv.fr/normandie/seine-maritime/4619bbff-9f96-41cd-a903-14d82e816eb3" TargetMode="External" Id="rId3095" /><Relationship Type="http://schemas.openxmlformats.org/officeDocument/2006/relationships/hyperlink" Target="mailto:accueil@campagne-de-caux.fr" TargetMode="External" Id="rId3096" /><Relationship Type="http://schemas.openxmlformats.org/officeDocument/2006/relationships/hyperlink" Target="https://www.campagne-de-caux.fr/" TargetMode="External" Id="rId3097" /><Relationship Type="http://schemas.openxmlformats.org/officeDocument/2006/relationships/hyperlink" Target="https://www.campagne-de-caux.fr/la-communaute-de-communes/infos-pratiques/nous-contacter/" TargetMode="External" Id="rId3098" /><Relationship Type="http://schemas.openxmlformats.org/officeDocument/2006/relationships/hyperlink" Target="https://lannuaire.service-public.gouv.fr/normandie/seine-maritime/fff00d09-d41e-4ad6-aee2-c9cddfae36a1" TargetMode="External" Id="rId3099" /><Relationship Type="http://schemas.openxmlformats.org/officeDocument/2006/relationships/hyperlink" Target="mailto:accueil@cc-caux-austreberthe.fr" TargetMode="External" Id="rId3100" /><Relationship Type="http://schemas.openxmlformats.org/officeDocument/2006/relationships/hyperlink" Target="https://www.caux-austreberthe.fr/" TargetMode="External" Id="rId3101" /><Relationship Type="http://schemas.openxmlformats.org/officeDocument/2006/relationships/hyperlink" Target="https://lannuaire.service-public.gouv.fr/normandie/seine-maritime/6a3f7687-fb64-4594-8159-6d515d607ac6" TargetMode="External" Id="rId3102" /><Relationship Type="http://schemas.openxmlformats.org/officeDocument/2006/relationships/hyperlink" Target="mailto:contact@falaisesdutalou.fr" TargetMode="External" Id="rId3103" /><Relationship Type="http://schemas.openxmlformats.org/officeDocument/2006/relationships/hyperlink" Target="https://www.falaisesdutalou.fr/" TargetMode="External" Id="rId3104" /><Relationship Type="http://schemas.openxmlformats.org/officeDocument/2006/relationships/hyperlink" Target="https://www.falaisesdutalou.fr/nous-contacter" TargetMode="External" Id="rId3105" /><Relationship Type="http://schemas.openxmlformats.org/officeDocument/2006/relationships/hyperlink" Target="https://lannuaire.service-public.gouv.fr/normandie/seine-maritime/beed9173-8998-4c08-8fed-5655c1ac1b33" TargetMode="External" Id="rId3106" /><Relationship Type="http://schemas.openxmlformats.org/officeDocument/2006/relationships/hyperlink" Target="mailto:contact@intercauxvexin.fr" TargetMode="External" Id="rId3107" /><Relationship Type="http://schemas.openxmlformats.org/officeDocument/2006/relationships/hyperlink" Target="https://www.intercauxvexin.fr/fr/" TargetMode="External" Id="rId3108" /><Relationship Type="http://schemas.openxmlformats.org/officeDocument/2006/relationships/hyperlink" Target="https://www.intercauxvexin.fr/fr/contact" TargetMode="External" Id="rId3109" /><Relationship Type="http://schemas.openxmlformats.org/officeDocument/2006/relationships/hyperlink" Target="https://lannuaire.service-public.gouv.fr/normandie/seine-maritime/23754a28-37bd-418f-9933-2a6a3c1e2a1d" TargetMode="External" Id="rId3110" /><Relationship Type="http://schemas.openxmlformats.org/officeDocument/2006/relationships/hyperlink" Target="mailto:contact@cciabb.fr" TargetMode="External" Id="rId3111" /><Relationship Type="http://schemas.openxmlformats.org/officeDocument/2006/relationships/hyperlink" Target="https://www.cc-aumale-blangy.fr/" TargetMode="External" Id="rId3112" /><Relationship Type="http://schemas.openxmlformats.org/officeDocument/2006/relationships/hyperlink" Target="https://www.cc-aumale-blangy.fr/informations-pratiques/nous-contacter/" TargetMode="External" Id="rId3113" /><Relationship Type="http://schemas.openxmlformats.org/officeDocument/2006/relationships/hyperlink" Target="https://lannuaire.service-public.gouv.fr/normandie/seine-maritime/2d529986-cd37-487d-bab7-7d923ba64df4" TargetMode="External" Id="rId3114" /><Relationship Type="http://schemas.openxmlformats.org/officeDocument/2006/relationships/hyperlink" Target="mailto:contact@plateaudecaux.fr" TargetMode="External" Id="rId3115" /><Relationship Type="http://schemas.openxmlformats.org/officeDocument/2006/relationships/hyperlink" Target="https://www.plateaudecaux.fr/" TargetMode="External" Id="rId3116" /><Relationship Type="http://schemas.openxmlformats.org/officeDocument/2006/relationships/hyperlink" Target="https://www.plateaudecaux.fr/contact/" TargetMode="External" Id="rId3117" /><Relationship Type="http://schemas.openxmlformats.org/officeDocument/2006/relationships/hyperlink" Target="https://lannuaire.service-public.gouv.fr/normandie/seine-maritime/f3dfe825-a2c8-4e7a-807f-660f074667d2" TargetMode="External" Id="rId3118" /><Relationship Type="http://schemas.openxmlformats.org/officeDocument/2006/relationships/hyperlink" Target="mailto:contact@terroirdecaux.net" TargetMode="External" Id="rId3119" /><Relationship Type="http://schemas.openxmlformats.org/officeDocument/2006/relationships/hyperlink" Target="https://www.terroirdecaux.fr/" TargetMode="External" Id="rId3120" /><Relationship Type="http://schemas.openxmlformats.org/officeDocument/2006/relationships/hyperlink" Target="https://lannuaire.service-public.gouv.fr/normandie/seine-maritime/7aada417-f11e-4ff5-9c05-41ea70a0fc3d" TargetMode="External" Id="rId3121" /><Relationship Type="http://schemas.openxmlformats.org/officeDocument/2006/relationships/hyperlink" Target="mailto:contact@yvetot-normandie.fr" TargetMode="External" Id="rId3122" /><Relationship Type="http://schemas.openxmlformats.org/officeDocument/2006/relationships/hyperlink" Target="https://www.yvetot-normandie.fr/" TargetMode="External" Id="rId3123" /><Relationship Type="http://schemas.openxmlformats.org/officeDocument/2006/relationships/hyperlink" Target="https://www.yvetot-normandie.fr/contact/" TargetMode="External" Id="rId3124" /><Relationship Type="http://schemas.openxmlformats.org/officeDocument/2006/relationships/hyperlink" Target="https://lannuaire.service-public.gouv.fr/normandie/seine-maritime/2c0b4ee4-14ea-4a04-9bda-f4af0ba5b766" TargetMode="External" Id="rId3125" /><Relationship Type="http://schemas.openxmlformats.org/officeDocument/2006/relationships/hyperlink" Target="mailto:secretariat@comcom-londinieres.fr;ccl1@orange.fr" TargetMode="External" Id="rId3126" /><Relationship Type="http://schemas.openxmlformats.org/officeDocument/2006/relationships/hyperlink" Target="https://www.comcom-londinieres.fr/" TargetMode="External" Id="rId3127" /><Relationship Type="http://schemas.openxmlformats.org/officeDocument/2006/relationships/hyperlink" Target="https://www.comcom-londinieres.fr/contact/" TargetMode="External" Id="rId3128" /><Relationship Type="http://schemas.openxmlformats.org/officeDocument/2006/relationships/hyperlink" Target="https://lannuaire.service-public.gouv.fr/normandie/seine-maritime/1b43fa41-5a07-41cd-a4be-eb2a1a8c3c31" TargetMode="External" Id="rId3129" /><Relationship Type="http://schemas.openxmlformats.org/officeDocument/2006/relationships/hyperlink" Target="mailto:email@cote-albatre.com" TargetMode="External" Id="rId3130" /><Relationship Type="http://schemas.openxmlformats.org/officeDocument/2006/relationships/hyperlink" Target="https://cote-albatre.fr/" TargetMode="External" Id="rId3131" /><Relationship Type="http://schemas.openxmlformats.org/officeDocument/2006/relationships/hyperlink" Target="https://cote-albatre.fr/" TargetMode="External" Id="rId3132" /><Relationship Type="http://schemas.openxmlformats.org/officeDocument/2006/relationships/hyperlink" Target="https://lannuaire.service-public.gouv.fr/normandie/seine-maritime/dc830fb1-f735-460b-8d10-3a2f3c00c543" TargetMode="External" Id="rId3133" /><Relationship Type="http://schemas.openxmlformats.org/officeDocument/2006/relationships/hyperlink" Target="mailto:contact@villes-soeurs.fr" TargetMode="External" Id="rId3134" /><Relationship Type="http://schemas.openxmlformats.org/officeDocument/2006/relationships/hyperlink" Target="https://www.villes-soeurs.fr/" TargetMode="External" Id="rId3135" /><Relationship Type="http://schemas.openxmlformats.org/officeDocument/2006/relationships/hyperlink" Target="https://www.villes-soeurs.fr/contact/" TargetMode="External" Id="rId3136" /><Relationship Type="http://schemas.openxmlformats.org/officeDocument/2006/relationships/hyperlink" Target="https://lannuaire.service-public.gouv.fr/normandie/seine-maritime/fd113f0e-6599-4b86-a787-fb80f53e8776" TargetMode="External" Id="rId3137" /><Relationship Type="http://schemas.openxmlformats.org/officeDocument/2006/relationships/hyperlink" Target="mailto:contact@cc-basseemontois.fr" TargetMode="External" Id="rId3138" /><Relationship Type="http://schemas.openxmlformats.org/officeDocument/2006/relationships/hyperlink" Target="https://www.cc-basseemontois.fr/fr" TargetMode="External" Id="rId3139" /><Relationship Type="http://schemas.openxmlformats.org/officeDocument/2006/relationships/hyperlink" Target="https://www.cc-basseemontois.fr/fr/form/contactez-nous" TargetMode="External" Id="rId3140" /><Relationship Type="http://schemas.openxmlformats.org/officeDocument/2006/relationships/hyperlink" Target="https://lannuaire.service-public.gouv.fr/ile-de-france/seine-et-marne/ff281616-4a6e-41f4-a82b-261e5ec5c4f9" TargetMode="External" Id="rId3141" /><Relationship Type="http://schemas.openxmlformats.org/officeDocument/2006/relationships/hyperlink" Target="mailto:secretariat@brienangissienne.fr" TargetMode="External" Id="rId3142" /><Relationship Type="http://schemas.openxmlformats.org/officeDocument/2006/relationships/hyperlink" Target="http://www.brienangissienne.fr" TargetMode="External" Id="rId3143" /><Relationship Type="http://schemas.openxmlformats.org/officeDocument/2006/relationships/hyperlink" Target="https://lannuaire.service-public.gouv.fr/ile-de-france/seine-et-marne/0573aadb-a597-4173-8f2d-07558a7e982a" TargetMode="External" Id="rId3144" /><Relationship Type="http://schemas.openxmlformats.org/officeDocument/2006/relationships/hyperlink" Target="mailto:accueil@ccbrc.fr" TargetMode="External" Id="rId3145" /><Relationship Type="http://schemas.openxmlformats.org/officeDocument/2006/relationships/hyperlink" Target="https://www.briedesrivieresetchateaux.fr" TargetMode="External" Id="rId3146" /><Relationship Type="http://schemas.openxmlformats.org/officeDocument/2006/relationships/hyperlink" Target="https://lannuaire.service-public.gouv.fr/ile-de-france/seine-et-marne/f8eed306-cd17-4691-9c5c-b2b170d85fde" TargetMode="External" Id="rId3147" /><Relationship Type="http://schemas.openxmlformats.org/officeDocument/2006/relationships/hyperlink" Target="mailto:ccgvl@ccgvl77.fr" TargetMode="External" Id="rId3148" /><Relationship Type="http://schemas.openxmlformats.org/officeDocument/2006/relationships/hyperlink" Target="https://www.ccgvl77.fr/" TargetMode="External" Id="rId3149" /><Relationship Type="http://schemas.openxmlformats.org/officeDocument/2006/relationships/hyperlink" Target="https://lannuaire.service-public.gouv.fr/ile-de-france/seine-et-marne/c35c863e-600d-48fb-bc8e-87508e0b1949" TargetMode="External" Id="rId3150" /><Relationship Type="http://schemas.openxmlformats.org/officeDocument/2006/relationships/hyperlink" Target="mailto:contact@lesportesbriardes.fr" TargetMode="External" Id="rId3151" /><Relationship Type="http://schemas.openxmlformats.org/officeDocument/2006/relationships/hyperlink" Target="https://www.lesportesbriardes.fr/" TargetMode="External" Id="rId3152" /><Relationship Type="http://schemas.openxmlformats.org/officeDocument/2006/relationships/hyperlink" Target="https://lannuaire.service-public.gouv.fr/ile-de-france/seine-et-marne/cc42b7f8-3b62-4d79-8550-2eeea730d1dc" TargetMode="External" Id="rId3153" /><Relationship Type="http://schemas.openxmlformats.org/officeDocument/2006/relationships/hyperlink" Target="mailto:ccmsl@ccmsl.com" TargetMode="External" Id="rId3154" /><Relationship Type="http://schemas.openxmlformats.org/officeDocument/2006/relationships/hyperlink" Target="https://www.ccmsl.fr/" TargetMode="External" Id="rId3155" /><Relationship Type="http://schemas.openxmlformats.org/officeDocument/2006/relationships/hyperlink" Target="https://www.ccmsl.fr/" TargetMode="External" Id="rId3156" /><Relationship Type="http://schemas.openxmlformats.org/officeDocument/2006/relationships/hyperlink" Target="https://lannuaire.service-public.gouv.fr/ile-de-france/seine-et-marne/82ffaf4c-b38e-404f-8d16-5c464cd4bc1f" TargetMode="External" Id="rId3157" /><Relationship Type="http://schemas.openxmlformats.org/officeDocument/2006/relationships/hyperlink" Target="mailto:contact@paysdemontereau.fr" TargetMode="External" Id="rId3158" /><Relationship Type="http://schemas.openxmlformats.org/officeDocument/2006/relationships/hyperlink" Target="https://paysdemontereau77.fr" TargetMode="External" Id="rId3159" /><Relationship Type="http://schemas.openxmlformats.org/officeDocument/2006/relationships/hyperlink" Target="https://paysdemontereau77.fr/contact/" TargetMode="External" Id="rId3160" /><Relationship Type="http://schemas.openxmlformats.org/officeDocument/2006/relationships/hyperlink" Target="https://lannuaire.service-public.gouv.fr/ile-de-france/seine-et-marne/20ba5899-f6b9-44c1-bf32-d0d95b71d470" TargetMode="External" Id="rId3161" /><Relationship Type="http://schemas.openxmlformats.org/officeDocument/2006/relationships/hyperlink" Target="mailto:secretariat@paysdenemours.fr" TargetMode="External" Id="rId3162" /><Relationship Type="http://schemas.openxmlformats.org/officeDocument/2006/relationships/hyperlink" Target="https://www.paysdenemours.fr/" TargetMode="External" Id="rId3163" /><Relationship Type="http://schemas.openxmlformats.org/officeDocument/2006/relationships/hyperlink" Target="https://www.paysdenemours.fr/contact/" TargetMode="External" Id="rId3164" /><Relationship Type="http://schemas.openxmlformats.org/officeDocument/2006/relationships/hyperlink" Target="https://lannuaire.service-public.gouv.fr/ile-de-france/seine-et-marne/f29a5c35-b951-407b-91d9-52231c26d655" TargetMode="External" Id="rId3165" /><Relationship Type="http://schemas.openxmlformats.org/officeDocument/2006/relationships/hyperlink" Target="mailto:contact@cc-pmf.fr" TargetMode="External" Id="rId3166" /><Relationship Type="http://schemas.openxmlformats.org/officeDocument/2006/relationships/hyperlink" Target="http://www.cc-pmf.fr" TargetMode="External" Id="rId3167" /><Relationship Type="http://schemas.openxmlformats.org/officeDocument/2006/relationships/hyperlink" Target="https://lannuaire.service-public.gouv.fr/ile-de-france/seine-et-marne/4fa013ed-00ec-464a-a25b-ac1e58e0afbc" TargetMode="External" Id="rId3168" /><Relationship Type="http://schemas.openxmlformats.org/officeDocument/2006/relationships/hyperlink" Target="mailto:contact@valbriard.fr" TargetMode="External" Id="rId3169" /><Relationship Type="http://schemas.openxmlformats.org/officeDocument/2006/relationships/hyperlink" Target="https://valbriard.fr/" TargetMode="External" Id="rId3170" /><Relationship Type="http://schemas.openxmlformats.org/officeDocument/2006/relationships/hyperlink" Target="https://valbriard.fr/contact/" TargetMode="External" Id="rId3171" /><Relationship Type="http://schemas.openxmlformats.org/officeDocument/2006/relationships/hyperlink" Target="https://lannuaire.service-public.gouv.fr/ile-de-france/seine-et-marne/2fe015f7-a85d-497b-9888-e92d430e8602" TargetMode="External" Id="rId3172" /><Relationship Type="http://schemas.openxmlformats.org/officeDocument/2006/relationships/hyperlink" Target="mailto:accueil@cc2m.fr" TargetMode="External" Id="rId3173" /><Relationship Type="http://schemas.openxmlformats.org/officeDocument/2006/relationships/hyperlink" Target="https://www.cc2morin.fr/" TargetMode="External" Id="rId3174" /><Relationship Type="http://schemas.openxmlformats.org/officeDocument/2006/relationships/hyperlink" Target="https://www.cc2morin.fr/nous-contacter/" TargetMode="External" Id="rId3175" /><Relationship Type="http://schemas.openxmlformats.org/officeDocument/2006/relationships/hyperlink" Target="https://lannuaire.service-public.gouv.fr/ile-de-france/seine-et-marne/b2a2ab59-2a1d-4910-8d6b-bfbf24cfb6ad" TargetMode="External" Id="rId3176" /><Relationship Type="http://schemas.openxmlformats.org/officeDocument/2006/relationships/hyperlink" Target="mailto:ccpo@paysdelourcq.fr" TargetMode="External" Id="rId3177" /><Relationship Type="http://schemas.openxmlformats.org/officeDocument/2006/relationships/hyperlink" Target="https://www.paysdelourcq.fr/accueil" TargetMode="External" Id="rId3178" /><Relationship Type="http://schemas.openxmlformats.org/officeDocument/2006/relationships/hyperlink" Target="https://lannuaire.service-public.gouv.fr/ile-de-france/seine-et-marne/c2e3c31c-dffc-4775-ba21-76effc360a37" TargetMode="External" Id="rId3179" /><Relationship Type="http://schemas.openxmlformats.org/officeDocument/2006/relationships/hyperlink" Target="mailto:accueil@cc-du-provinois.fr" TargetMode="External" Id="rId3180" /><Relationship Type="http://schemas.openxmlformats.org/officeDocument/2006/relationships/hyperlink" Target="https://www.cc-provinois.fr/" TargetMode="External" Id="rId3181" /><Relationship Type="http://schemas.openxmlformats.org/officeDocument/2006/relationships/hyperlink" Target="https://lannuaire.service-public.gouv.fr/ile-de-france/seine-et-marne/c6f1f8c3-1fb7-4593-9f11-fa794bce20fc" TargetMode="External" Id="rId3182" /><Relationship Type="http://schemas.openxmlformats.org/officeDocument/2006/relationships/hyperlink" Target="mailto:communaute@loreedelabrie.fr" TargetMode="External" Id="rId3183" /><Relationship Type="http://schemas.openxmlformats.org/officeDocument/2006/relationships/hyperlink" Target="https://www.loreedelabrie.fr/" TargetMode="External" Id="rId3184" /><Relationship Type="http://schemas.openxmlformats.org/officeDocument/2006/relationships/hyperlink" Target="https://www.loreedelabrie.fr/contact/" TargetMode="External" Id="rId3185" /><Relationship Type="http://schemas.openxmlformats.org/officeDocument/2006/relationships/hyperlink" Target="https://lannuaire.service-public.gouv.fr/ile-de-france/seine-et-marne/f33215d7-7b1f-4d8b-8819-ed68d6fa12fc" TargetMode="External" Id="rId3186" /><Relationship Type="http://schemas.openxmlformats.org/officeDocument/2006/relationships/hyperlink" Target="mailto:accueil@cccy.fr" TargetMode="External" Id="rId3187" /><Relationship Type="http://schemas.openxmlformats.org/officeDocument/2006/relationships/hyperlink" Target="https://www.coeur-yvelines.fr/" TargetMode="External" Id="rId3188" /><Relationship Type="http://schemas.openxmlformats.org/officeDocument/2006/relationships/hyperlink" Target="https://lannuaire.service-public.gouv.fr/ile-de-france/yvelines/183e8079-bb74-4f10-8eb7-3f5324000b2b" TargetMode="External" Id="rId3189" /><Relationship Type="http://schemas.openxmlformats.org/officeDocument/2006/relationships/hyperlink" Target="mailto:ccgm@cc-gallymauldre.fr" TargetMode="External" Id="rId3190" /><Relationship Type="http://schemas.openxmlformats.org/officeDocument/2006/relationships/hyperlink" Target="https://cc-gallymauldre.fr/" TargetMode="External" Id="rId3191" /><Relationship Type="http://schemas.openxmlformats.org/officeDocument/2006/relationships/hyperlink" Target="https://lannuaire.service-public.gouv.fr/ile-de-france/yvelines/a96819e9-2a53-4dcf-8f52-24a57c8b2ef3" TargetMode="External" Id="rId3192" /><Relationship Type="http://schemas.openxmlformats.org/officeDocument/2006/relationships/hyperlink" Target="mailto:accueil@ccpif.fr" TargetMode="External" Id="rId3193" /><Relationship Type="http://schemas.openxmlformats.org/officeDocument/2006/relationships/hyperlink" Target="https://www.ccpif.fr/" TargetMode="External" Id="rId3194" /><Relationship Type="http://schemas.openxmlformats.org/officeDocument/2006/relationships/hyperlink" Target="https://lannuaire.service-public.gouv.fr/ile-de-france/yvelines/80bf6773-3d4f-498b-8275-e24dc653bf1d" TargetMode="External" Id="rId3195" /><Relationship Type="http://schemas.openxmlformats.org/officeDocument/2006/relationships/hyperlink" Target="mailto:cchvc78@orange.fr" TargetMode="External" Id="rId3196" /><Relationship Type="http://schemas.openxmlformats.org/officeDocument/2006/relationships/hyperlink" Target="https://www.cchvc.fr/" TargetMode="External" Id="rId3197" /><Relationship Type="http://schemas.openxmlformats.org/officeDocument/2006/relationships/hyperlink" Target="https://www.cchvc.fr/contact/" TargetMode="External" Id="rId3198" /><Relationship Type="http://schemas.openxmlformats.org/officeDocument/2006/relationships/hyperlink" Target="https://lannuaire.service-public.gouv.fr/ile-de-france/yvelines/aa3ea9d6-f1bb-4220-b9fa-e09530587ca7" TargetMode="External" Id="rId3199" /><Relationship Type="http://schemas.openxmlformats.org/officeDocument/2006/relationships/hyperlink" Target="mailto:communaute@cc-avt.fr" TargetMode="External" Id="rId3200" /><Relationship Type="http://schemas.openxmlformats.org/officeDocument/2006/relationships/hyperlink" Target="https://www.cc-avt.fr/" TargetMode="External" Id="rId3201" /><Relationship Type="http://schemas.openxmlformats.org/officeDocument/2006/relationships/hyperlink" Target="https://www.cc-avt.fr/contact.html" TargetMode="External" Id="rId3202" /><Relationship Type="http://schemas.openxmlformats.org/officeDocument/2006/relationships/hyperlink" Target="https://lannuaire.service-public.gouv.fr/nouvelle-aquitaine/deux-sevres/7b74c321-a9fd-414e-b9fe-82f42f25953c" TargetMode="External" Id="rId3203" /><Relationship Type="http://schemas.openxmlformats.org/officeDocument/2006/relationships/hyperlink" Target="mailto:contact@cc-hvs.fr" TargetMode="External" Id="rId3204" /><Relationship Type="http://schemas.openxmlformats.org/officeDocument/2006/relationships/hyperlink" Target="https://cc-hautvaldesevre.fr/" TargetMode="External" Id="rId3205" /><Relationship Type="http://schemas.openxmlformats.org/officeDocument/2006/relationships/hyperlink" Target="https://cc-hautvaldesevre.fr/contact.html" TargetMode="External" Id="rId3206" /><Relationship Type="http://schemas.openxmlformats.org/officeDocument/2006/relationships/hyperlink" Target="https://lannuaire.service-public.gouv.fr/nouvelle-aquitaine/deux-sevres/feed2471-dd68-4d16-9c29-a90e09990a64" TargetMode="External" Id="rId3207" /><Relationship Type="http://schemas.openxmlformats.org/officeDocument/2006/relationships/hyperlink" Target="mailto:accueil@melloisenpoitou.fr" TargetMode="External" Id="rId3208" /><Relationship Type="http://schemas.openxmlformats.org/officeDocument/2006/relationships/hyperlink" Target="https://www.melloisenpoitou.fr/" TargetMode="External" Id="rId3209" /><Relationship Type="http://schemas.openxmlformats.org/officeDocument/2006/relationships/hyperlink" Target="https://www.melloisenpoitou.fr/contactez-nous" TargetMode="External" Id="rId3210" /><Relationship Type="http://schemas.openxmlformats.org/officeDocument/2006/relationships/hyperlink" Target="https://lannuaire.service-public.gouv.fr/nouvelle-aquitaine/deux-sevres/4e3e2428-830f-4269-8653-e50b86213e56" TargetMode="External" Id="rId3211" /><Relationship Type="http://schemas.openxmlformats.org/officeDocument/2006/relationships/hyperlink" Target="mailto:accueil.champdeniers@valdegatine.fr" TargetMode="External" Id="rId3212" /><Relationship Type="http://schemas.openxmlformats.org/officeDocument/2006/relationships/hyperlink" Target="https://www.valdegatine.fr/accueil.html" TargetMode="External" Id="rId3213" /><Relationship Type="http://schemas.openxmlformats.org/officeDocument/2006/relationships/hyperlink" Target="https://www.valdegatine.fr/contact.html" TargetMode="External" Id="rId3214" /><Relationship Type="http://schemas.openxmlformats.org/officeDocument/2006/relationships/hyperlink" Target="https://lannuaire.service-public.gouv.fr/nouvelle-aquitaine/deux-sevres/6949f806-41a4-45b4-97f8-8f0d8145310e" TargetMode="External" Id="rId3215" /><Relationship Type="http://schemas.openxmlformats.org/officeDocument/2006/relationships/hyperlink" Target="mailto:cc-parthenay@cc-parthenay-gatine.fr" TargetMode="External" Id="rId3216" /><Relationship Type="http://schemas.openxmlformats.org/officeDocument/2006/relationships/hyperlink" Target="https://www.cc-parthenay-gatine.fr/" TargetMode="External" Id="rId3217" /><Relationship Type="http://schemas.openxmlformats.org/officeDocument/2006/relationships/hyperlink" Target="https://lannuaire.service-public.gouv.fr/nouvelle-aquitaine/deux-sevres/981d3c12-af95-4995-8476-ca0a6a4b7fc0" TargetMode="External" Id="rId3218" /><Relationship Type="http://schemas.openxmlformats.org/officeDocument/2006/relationships/hyperlink" Target="mailto:info@thouars-communaute.fr" TargetMode="External" Id="rId3219" /><Relationship Type="http://schemas.openxmlformats.org/officeDocument/2006/relationships/hyperlink" Target="https://www.thouars-communaute.fr/" TargetMode="External" Id="rId3220" /><Relationship Type="http://schemas.openxmlformats.org/officeDocument/2006/relationships/hyperlink" Target="https://www.thouars-communaute.fr/" TargetMode="External" Id="rId3221" /><Relationship Type="http://schemas.openxmlformats.org/officeDocument/2006/relationships/hyperlink" Target="https://lannuaire.service-public.gouv.fr/nouvelle-aquitaine/deux-sevres/1b39bc84-44d3-4215-bed9-d058bcdf6e95" TargetMode="External" Id="rId3222" /><Relationship Type="http://schemas.openxmlformats.org/officeDocument/2006/relationships/hyperlink" Target="mailto:secretariat@avrelucenoye.fr" TargetMode="External" Id="rId3223" /><Relationship Type="http://schemas.openxmlformats.org/officeDocument/2006/relationships/hyperlink" Target="https://www.avrelucenoye.fr/" TargetMode="External" Id="rId3224" /><Relationship Type="http://schemas.openxmlformats.org/officeDocument/2006/relationships/hyperlink" Target="https://www.avrelucenoye.fr/nous-contacter/" TargetMode="External" Id="rId3225" /><Relationship Type="http://schemas.openxmlformats.org/officeDocument/2006/relationships/hyperlink" Target="https://lannuaire.service-public.gouv.fr/hauts-de-france/somme/d879e2e7-b66e-4f89-b344-6a4165242703" TargetMode="External" Id="rId3226" /><Relationship Type="http://schemas.openxmlformats.org/officeDocument/2006/relationships/hyperlink" Target="mailto:contact@nievresomme.fr" TargetMode="External" Id="rId3227" /><Relationship Type="http://schemas.openxmlformats.org/officeDocument/2006/relationships/hyperlink" Target="https://www.nievresomme.fr/" TargetMode="External" Id="rId3228" /><Relationship Type="http://schemas.openxmlformats.org/officeDocument/2006/relationships/hyperlink" Target="https://www.nievresomme.fr/contact/contact.html" TargetMode="External" Id="rId3229" /><Relationship Type="http://schemas.openxmlformats.org/officeDocument/2006/relationships/hyperlink" Target="https://lannuaire.service-public.gouv.fr/hauts-de-france/somme/9ba2180b-165f-4c50-be40-7eb458be4b88" TargetMode="External" Id="rId3230" /><Relationship Type="http://schemas.openxmlformats.org/officeDocument/2006/relationships/hyperlink" Target="mailto:siege.rue@ponthieu-marquenterre.fr" TargetMode="External" Id="rId3231" /><Relationship Type="http://schemas.openxmlformats.org/officeDocument/2006/relationships/hyperlink" Target="https://www.ponthieu-marquenterre.fr/" TargetMode="External" Id="rId3232" /><Relationship Type="http://schemas.openxmlformats.org/officeDocument/2006/relationships/hyperlink" Target="https://lannuaire.service-public.gouv.fr/hauts-de-france/somme/74880fe7-ab6a-408d-b76f-8ab2d0069c5e" TargetMode="External" Id="rId3233" /><Relationship Type="http://schemas.openxmlformats.org/officeDocument/2006/relationships/hyperlink" Target="mailto:contact@cc2so.fr" TargetMode="External" Id="rId3234" /><Relationship Type="http://schemas.openxmlformats.org/officeDocument/2006/relationships/hyperlink" Target="https://www.cc2so.fr/" TargetMode="External" Id="rId3235" /><Relationship Type="http://schemas.openxmlformats.org/officeDocument/2006/relationships/hyperlink" Target="https://lannuaire.service-public.gouv.fr/hauts-de-france/somme/82ce2f8a-ea87-416e-b3b2-ddabbdc36c99" TargetMode="External" Id="rId3236" /><Relationship Type="http://schemas.openxmlformats.org/officeDocument/2006/relationships/hyperlink" Target="mailto:contact@terredepicardie.fr" TargetMode="External" Id="rId3237" /><Relationship Type="http://schemas.openxmlformats.org/officeDocument/2006/relationships/hyperlink" Target="https://terredepicardie.fr/" TargetMode="External" Id="rId3238" /><Relationship Type="http://schemas.openxmlformats.org/officeDocument/2006/relationships/hyperlink" Target="https://lannuaire.service-public.gouv.fr/hauts-de-france/somme/9ed19fdb-92b8-439e-a2fd-21b19a9f1573" TargetMode="External" Id="rId3239" /><Relationship Type="http://schemas.openxmlformats.org/officeDocument/2006/relationships/hyperlink" Target="mailto:cchs@cchs.fr" TargetMode="External" Id="rId3240" /><Relationship Type="http://schemas.openxmlformats.org/officeDocument/2006/relationships/hyperlink" Target="https://www.coeurhautesomme.fr/" TargetMode="External" Id="rId3241" /><Relationship Type="http://schemas.openxmlformats.org/officeDocument/2006/relationships/hyperlink" Target="https://www.coeurhautesomme.fr/communaute-de-communes/contact/" TargetMode="External" Id="rId3242" /><Relationship Type="http://schemas.openxmlformats.org/officeDocument/2006/relationships/hyperlink" Target="https://lannuaire.service-public.gouv.fr/hauts-de-france/somme/35fa7871-a479-48e6-9ba9-6253ea8e2f08" TargetMode="External" Id="rId3243" /><Relationship Type="http://schemas.openxmlformats.org/officeDocument/2006/relationships/hyperlink" Target="mailto:contact@grandroye.fr" TargetMode="External" Id="rId3244" /><Relationship Type="http://schemas.openxmlformats.org/officeDocument/2006/relationships/hyperlink" Target="https://www.grandroye.fr/" TargetMode="External" Id="rId3245" /><Relationship Type="http://schemas.openxmlformats.org/officeDocument/2006/relationships/hyperlink" Target="https://lannuaire.service-public.gouv.fr/hauts-de-france/somme/bc076ee1-b496-4076-a406-c73e76c9fd77" TargetMode="External" Id="rId3246" /><Relationship Type="http://schemas.openxmlformats.org/officeDocument/2006/relationships/hyperlink" Target="mailto:comdecom@paysducoquelicot.com" TargetMode="External" Id="rId3247" /><Relationship Type="http://schemas.openxmlformats.org/officeDocument/2006/relationships/hyperlink" Target="https://www.paysducoquelicot.com/" TargetMode="External" Id="rId3248" /><Relationship Type="http://schemas.openxmlformats.org/officeDocument/2006/relationships/hyperlink" Target="https://www.paysducoquelicot.com/contact" TargetMode="External" Id="rId3249" /><Relationship Type="http://schemas.openxmlformats.org/officeDocument/2006/relationships/hyperlink" Target="https://lannuaire.service-public.gouv.fr/hauts-de-france/somme/a6f0c180-e33a-4250-9b88-a8d6b6ac78a8" TargetMode="External" Id="rId3250" /><Relationship Type="http://schemas.openxmlformats.org/officeDocument/2006/relationships/hyperlink" Target="mailto:contact@cctnp.fr" TargetMode="External" Id="rId3251" /><Relationship Type="http://schemas.openxmlformats.org/officeDocument/2006/relationships/hyperlink" Target="https://www.cctnp.fr/" TargetMode="External" Id="rId3252" /><Relationship Type="http://schemas.openxmlformats.org/officeDocument/2006/relationships/hyperlink" Target="https://www.cctnp.fr/contact/" TargetMode="External" Id="rId3253" /><Relationship Type="http://schemas.openxmlformats.org/officeDocument/2006/relationships/hyperlink" Target="https://lannuaire.service-public.gouv.fr/hauts-de-france/somme/6e716b30-1dbc-4a04-9f74-f1d39879f9dc" TargetMode="External" Id="rId3254" /><Relationship Type="http://schemas.openxmlformats.org/officeDocument/2006/relationships/hyperlink" Target="mailto:comdecom@valdesomme.com" TargetMode="External" Id="rId3255" /><Relationship Type="http://schemas.openxmlformats.org/officeDocument/2006/relationships/hyperlink" Target="https://www.valdesomme.com/" TargetMode="External" Id="rId3256" /><Relationship Type="http://schemas.openxmlformats.org/officeDocument/2006/relationships/hyperlink" Target="https://lannuaire.service-public.gouv.fr/hauts-de-france/somme/05a77901-f128-4689-bd91-a4a8db957298" TargetMode="External" Id="rId3257" /><Relationship Type="http://schemas.openxmlformats.org/officeDocument/2006/relationships/hyperlink" Target="mailto:contact@cc-vimeu.fr" TargetMode="External" Id="rId3258" /><Relationship Type="http://schemas.openxmlformats.org/officeDocument/2006/relationships/hyperlink" Target="https://ccvimeu.fr/" TargetMode="External" Id="rId3259" /><Relationship Type="http://schemas.openxmlformats.org/officeDocument/2006/relationships/hyperlink" Target="https://ccvimeu.fr/" TargetMode="External" Id="rId3260" /><Relationship Type="http://schemas.openxmlformats.org/officeDocument/2006/relationships/hyperlink" Target="https://lannuaire.service-public.gouv.fr/hauts-de-france/somme/237dbc92-e853-4006-8e7e-15d528fcd7bb" TargetMode="External" Id="rId3261" /><Relationship Type="http://schemas.openxmlformats.org/officeDocument/2006/relationships/hyperlink" Target="mailto:contact@3c-s.fr" TargetMode="External" Id="rId3262" /><Relationship Type="http://schemas.openxmlformats.org/officeDocument/2006/relationships/hyperlink" Target="https://www.carmausin-segala.fr/" TargetMode="External" Id="rId3263" /><Relationship Type="http://schemas.openxmlformats.org/officeDocument/2006/relationships/hyperlink" Target="https://www.carmausin-segala.fr/contact" TargetMode="External" Id="rId3264" /><Relationship Type="http://schemas.openxmlformats.org/officeDocument/2006/relationships/hyperlink" Target="https://lannuaire.service-public.gouv.fr/occitanie/tarn/a47c3a55-3f89-4cb9-9c9a-a500000d87c0" TargetMode="External" Id="rId3265" /><Relationship Type="http://schemas.openxmlformats.org/officeDocument/2006/relationships/hyperlink" Target="mailto:direction@centretarn.fr" TargetMode="External" Id="rId3266" /><Relationship Type="http://schemas.openxmlformats.org/officeDocument/2006/relationships/hyperlink" Target="https://www.centretarn.fr/" TargetMode="External" Id="rId3267" /><Relationship Type="http://schemas.openxmlformats.org/officeDocument/2006/relationships/hyperlink" Target="https://www.centretarn.fr/contact/" TargetMode="External" Id="rId3268" /><Relationship Type="http://schemas.openxmlformats.org/officeDocument/2006/relationships/hyperlink" Target="https://lannuaire.service-public.gouv.fr/occitanie/tarn/c64af365-273f-4ffe-bdfb-93b88e529d77" TargetMode="External" Id="rId3269" /><Relationship Type="http://schemas.openxmlformats.org/officeDocument/2006/relationships/hyperlink" Target="mailto:contact@ccsvp.fr" TargetMode="External" Id="rId3270" /><Relationship Type="http://schemas.openxmlformats.org/officeDocument/2006/relationships/hyperlink" Target="https://ccsvp.fr/" TargetMode="External" Id="rId3271" /><Relationship Type="http://schemas.openxmlformats.org/officeDocument/2006/relationships/hyperlink" Target="https://ccsvp.fr/" TargetMode="External" Id="rId3272" /><Relationship Type="http://schemas.openxmlformats.org/officeDocument/2006/relationships/hyperlink" Target="https://lannuaire.service-public.gouv.fr/occitanie/tarn/18ebe4f2-291b-4bfd-92c4-d0c8c051ac03" TargetMode="External" Id="rId3273" /><Relationship Type="http://schemas.openxmlformats.org/officeDocument/2006/relationships/hyperlink" Target="mailto:contact@cc-thoremontagnenoire.fr" TargetMode="External" Id="rId3274" /><Relationship Type="http://schemas.openxmlformats.org/officeDocument/2006/relationships/hyperlink" Target="https://www.cc-thoremontagnenoire.fr/" TargetMode="External" Id="rId3275" /><Relationship Type="http://schemas.openxmlformats.org/officeDocument/2006/relationships/hyperlink" Target="https://www.cc-thoremontagnenoire.fr/contact" TargetMode="External" Id="rId3276" /><Relationship Type="http://schemas.openxmlformats.org/officeDocument/2006/relationships/hyperlink" Target="https://lannuaire.service-public.gouv.fr/occitanie/tarn/edf18c54-2c68-4ffe-86f8-899ecae8219e" TargetMode="External" Id="rId3277" /><Relationship Type="http://schemas.openxmlformats.org/officeDocument/2006/relationships/hyperlink" Target="mailto:val-81@orange.fr" TargetMode="External" Id="rId3278" /><Relationship Type="http://schemas.openxmlformats.org/officeDocument/2006/relationships/hyperlink" Target="https://www.val81.fr/" TargetMode="External" Id="rId3279" /><Relationship Type="http://schemas.openxmlformats.org/officeDocument/2006/relationships/hyperlink" Target="https://lannuaire.service-public.gouv.fr/occitanie/tarn/e7306869-f4aa-42cf-b3eb-c4f9e629ef08" TargetMode="External" Id="rId3280" /><Relationship Type="http://schemas.openxmlformats.org/officeDocument/2006/relationships/hyperlink" Target="mailto:accueil@ccmav.fr" TargetMode="External" Id="rId3281" /><Relationship Type="http://schemas.openxmlformats.org/officeDocument/2006/relationships/hyperlink" Target="https://www.montsalban-villefranchois.fr/web/home/2-accueil.php" TargetMode="External" Id="rId3282" /><Relationship Type="http://schemas.openxmlformats.org/officeDocument/2006/relationships/hyperlink" Target="https://www.montsalban-villefranchois.fr/contact/" TargetMode="External" Id="rId3283" /><Relationship Type="http://schemas.openxmlformats.org/officeDocument/2006/relationships/hyperlink" Target="https://lannuaire.service-public.gouv.fr/occitanie/tarn/12338982-3296-4d16-814a-5a41830c8aa1" TargetMode="External" Id="rId3284" /><Relationship Type="http://schemas.openxmlformats.org/officeDocument/2006/relationships/hyperlink" Target="mailto:direction.4c@orange.fr" TargetMode="External" Id="rId3285" /><Relationship Type="http://schemas.openxmlformats.org/officeDocument/2006/relationships/hyperlink" Target="http://4c81.fr" TargetMode="External" Id="rId3286" /><Relationship Type="http://schemas.openxmlformats.org/officeDocument/2006/relationships/hyperlink" Target="https://4c81.fr/contacts-2/" TargetMode="External" Id="rId3287" /><Relationship Type="http://schemas.openxmlformats.org/officeDocument/2006/relationships/hyperlink" Target="https://lannuaire.service-public.gouv.fr/occitanie/tarn/51b5b010-0ec1-42a7-abf5-14b8e5a886b7" TargetMode="External" Id="rId3288" /><Relationship Type="http://schemas.openxmlformats.org/officeDocument/2006/relationships/hyperlink" Target="mailto:contact@cclpa.fr" TargetMode="External" Id="rId3289" /><Relationship Type="http://schemas.openxmlformats.org/officeDocument/2006/relationships/hyperlink" Target="https://www.cclpa.fr/" TargetMode="External" Id="rId3290" /><Relationship Type="http://schemas.openxmlformats.org/officeDocument/2006/relationships/hyperlink" Target="https://www.cclpa.fr/contact" TargetMode="External" Id="rId3291" /><Relationship Type="http://schemas.openxmlformats.org/officeDocument/2006/relationships/hyperlink" Target="https://lannuaire.service-public.gouv.fr/occitanie/tarn/d0c01337-c513-4386-8657-4a9db0eab643" TargetMode="External" Id="rId3292" /><Relationship Type="http://schemas.openxmlformats.org/officeDocument/2006/relationships/hyperlink" Target="mailto:accueil@cc-qrga.fr" TargetMode="External" Id="rId3293" /><Relationship Type="http://schemas.openxmlformats.org/officeDocument/2006/relationships/hyperlink" Target="https://cc-qrga.fr/" TargetMode="External" Id="rId3294" /><Relationship Type="http://schemas.openxmlformats.org/officeDocument/2006/relationships/hyperlink" Target="https://lannuaire.service-public.gouv.fr/occitanie/tarn-et-garonne/f2050ddc-1341-49d5-ba1d-eb8d1cff7e65" TargetMode="External" Id="rId3295" /><Relationship Type="http://schemas.openxmlformats.org/officeDocument/2006/relationships/hyperlink" Target="mailto:contact@communautesoragout.fr" TargetMode="External" Id="rId3296" /><Relationship Type="http://schemas.openxmlformats.org/officeDocument/2006/relationships/hyperlink" Target="https://www.communautesoragout.fr/" TargetMode="External" Id="rId3297" /><Relationship Type="http://schemas.openxmlformats.org/officeDocument/2006/relationships/hyperlink" Target="https://www.communautesoragout.fr/contact" TargetMode="External" Id="rId3298" /><Relationship Type="http://schemas.openxmlformats.org/officeDocument/2006/relationships/hyperlink" Target="https://lannuaire.service-public.gouv.fr/occitanie/tarn/2279bbd2-37d8-4c4f-98dd-67211eb0de0e" TargetMode="External" Id="rId3299" /><Relationship Type="http://schemas.openxmlformats.org/officeDocument/2006/relationships/hyperlink" Target="mailto:grandsudtarnetgaronne@grandsud82.fr" TargetMode="External" Id="rId3300" /><Relationship Type="http://schemas.openxmlformats.org/officeDocument/2006/relationships/hyperlink" Target="https://www.grandsud82.fr/" TargetMode="External" Id="rId3301" /><Relationship Type="http://schemas.openxmlformats.org/officeDocument/2006/relationships/hyperlink" Target="https://www.grandsud82.fr/contactez-nous/" TargetMode="External" Id="rId3302" /><Relationship Type="http://schemas.openxmlformats.org/officeDocument/2006/relationships/hyperlink" Target="https://lannuaire.service-public.gouv.fr/occitanie/tarn-et-garonne/825d3041-8bd2-4c69-9974-b8d95795102d" TargetMode="External" Id="rId3303" /><Relationship Type="http://schemas.openxmlformats.org/officeDocument/2006/relationships/hyperlink" Target="mailto:contact@quercyvertaveyron.fr" TargetMode="External" Id="rId3304" /><Relationship Type="http://schemas.openxmlformats.org/officeDocument/2006/relationships/hyperlink" Target="https://www.quercyvertaveyron.fr/" TargetMode="External" Id="rId3305" /><Relationship Type="http://schemas.openxmlformats.org/officeDocument/2006/relationships/hyperlink" Target="https://www.quercyvertaveyron.fr/nous-joindre/" TargetMode="External" Id="rId3306" /><Relationship Type="http://schemas.openxmlformats.org/officeDocument/2006/relationships/hyperlink" Target="https://lannuaire.service-public.gouv.fr/occitanie/tarn-et-garonne/58b9fe05-c8f2-4894-a8ab-82a985f751ca" TargetMode="External" Id="rId3307" /><Relationship Type="http://schemas.openxmlformats.org/officeDocument/2006/relationships/hyperlink" Target="mailto:accueil@terresdesconfluences.fr" TargetMode="External" Id="rId3308" /><Relationship Type="http://schemas.openxmlformats.org/officeDocument/2006/relationships/hyperlink" Target="https://www.terresdesconfluences.fr/" TargetMode="External" Id="rId3309" /><Relationship Type="http://schemas.openxmlformats.org/officeDocument/2006/relationships/hyperlink" Target="https://www.terresdesconfluences.fr/je-souhaite-contacter-la-communaute-de-communes" TargetMode="External" Id="rId3310" /><Relationship Type="http://schemas.openxmlformats.org/officeDocument/2006/relationships/hyperlink" Target="https://lannuaire.service-public.gouv.fr/occitanie/tarn-et-garonne/f07f515b-5913-4511-b67d-95cf22ebc3df" TargetMode="External" Id="rId3311" /><Relationship Type="http://schemas.openxmlformats.org/officeDocument/2006/relationships/hyperlink" Target="mailto:contact@cc-lomagne82.fr" TargetMode="External" Id="rId3312" /><Relationship Type="http://schemas.openxmlformats.org/officeDocument/2006/relationships/hyperlink" Target="https://cc82.malomagne.com/" TargetMode="External" Id="rId3313" /><Relationship Type="http://schemas.openxmlformats.org/officeDocument/2006/relationships/hyperlink" Target="https://cc82.malomagne.com/nous-contacter/" TargetMode="External" Id="rId3314" /><Relationship Type="http://schemas.openxmlformats.org/officeDocument/2006/relationships/hyperlink" Target="https://lannuaire.service-public.gouv.fr/occitanie/tarn-et-garonne/f2de9df2-f6eb-496f-9356-aa1c88a32b99" TargetMode="External" Id="rId3315" /><Relationship Type="http://schemas.openxmlformats.org/officeDocument/2006/relationships/hyperlink" Target="mailto:contact@cc-paysdelafrancaise.fr" TargetMode="External" Id="rId3316" /><Relationship Type="http://schemas.openxmlformats.org/officeDocument/2006/relationships/hyperlink" Target="https://www.paysdelafrancaise.fr/" TargetMode="External" Id="rId3317" /><Relationship Type="http://schemas.openxmlformats.org/officeDocument/2006/relationships/hyperlink" Target="https://www.paysdelafrancaise.fr/contact/" TargetMode="External" Id="rId3318" /><Relationship Type="http://schemas.openxmlformats.org/officeDocument/2006/relationships/hyperlink" Target="https://lannuaire.service-public.gouv.fr/occitanie/tarn-et-garonne/1e91bc15-c2c6-48f5-a605-d6b84fdef7c4" TargetMode="External" Id="rId3319" /><Relationship Type="http://schemas.openxmlformats.org/officeDocument/2006/relationships/hyperlink" Target="mailto:accueil@cdc-psq.fr" TargetMode="External" Id="rId3320" /><Relationship Type="http://schemas.openxmlformats.org/officeDocument/2006/relationships/hyperlink" Target="https://cdc-psq.fr/" TargetMode="External" Id="rId3321" /><Relationship Type="http://schemas.openxmlformats.org/officeDocument/2006/relationships/hyperlink" Target="https://lannuaire.service-public.gouv.fr/occitanie/tarn-et-garonne/4a9e5198-86f1-4dc2-bc0b-9b17d30fb4d5" TargetMode="External" Id="rId3322" /><Relationship Type="http://schemas.openxmlformats.org/officeDocument/2006/relationships/hyperlink" Target="mailto:communautedecommunes@quercycaussadais.fr" TargetMode="External" Id="rId3323" /><Relationship Type="http://schemas.openxmlformats.org/officeDocument/2006/relationships/hyperlink" Target="https://www.quercycaussadais.fr/" TargetMode="External" Id="rId3324" /><Relationship Type="http://schemas.openxmlformats.org/officeDocument/2006/relationships/hyperlink" Target="https://www.quercycaussadais.fr/contact" TargetMode="External" Id="rId3325" /><Relationship Type="http://schemas.openxmlformats.org/officeDocument/2006/relationships/hyperlink" Target="https://lannuaire.service-public.gouv.fr/occitanie/tarn-et-garonne/becc6e55-31e6-464a-99e2-7c16f9bcdb5c" TargetMode="External" Id="rId3326" /><Relationship Type="http://schemas.openxmlformats.org/officeDocument/2006/relationships/hyperlink" Target="mailto:contact@coeurduvar.com" TargetMode="External" Id="rId3327" /><Relationship Type="http://schemas.openxmlformats.org/officeDocument/2006/relationships/hyperlink" Target="https://www.coeurduvar.com/" TargetMode="External" Id="rId3328" /><Relationship Type="http://schemas.openxmlformats.org/officeDocument/2006/relationships/hyperlink" Target="https://www.coeurduvar.com/contact-coeur-du-var" TargetMode="External" Id="rId3329" /><Relationship Type="http://schemas.openxmlformats.org/officeDocument/2006/relationships/hyperlink" Target="https://lannuaire.service-public.gouv.fr/provence-alpes-cote-d-azur/var/1a2598e0-a7eb-4dfc-b5e2-9c2a75388c5d" TargetMode="External" Id="rId3330" /><Relationship Type="http://schemas.openxmlformats.org/officeDocument/2006/relationships/hyperlink" Target="mailto:accueil@cclgv.fr" TargetMode="External" Id="rId3331" /><Relationship Type="http://schemas.openxmlformats.org/officeDocument/2006/relationships/hyperlink" Target="https://www.cc-lacsgorgesverdon.fr/" TargetMode="External" Id="rId3332" /><Relationship Type="http://schemas.openxmlformats.org/officeDocument/2006/relationships/hyperlink" Target="https://www.cc-lacsgorgesverdon.fr/contacts-comcom" TargetMode="External" Id="rId3333" /><Relationship Type="http://schemas.openxmlformats.org/officeDocument/2006/relationships/hyperlink" Target="https://lannuaire.service-public.gouv.fr/provence-alpes-cote-d-azur/var/3b9ce22d-f7bd-46d9-82d1-8b44c8d08e39" TargetMode="External" Id="rId3334" /><Relationship Type="http://schemas.openxmlformats.org/officeDocument/2006/relationships/hyperlink" Target="mailto:contact@ccmpm.fr" TargetMode="External" Id="rId3335" /><Relationship Type="http://schemas.openxmlformats.org/officeDocument/2006/relationships/hyperlink" Target="https://www.ccmpm.fr" TargetMode="External" Id="rId3336" /><Relationship Type="http://schemas.openxmlformats.org/officeDocument/2006/relationships/hyperlink" Target="https://www.ccmpm.fr/nous-contacter/" TargetMode="External" Id="rId3337" /><Relationship Type="http://schemas.openxmlformats.org/officeDocument/2006/relationships/hyperlink" Target="https://lannuaire.service-public.gouv.fr/provence-alpes-cote-d-azur/var/d973f8cf-4b8f-4080-9825-54728a6e9906" TargetMode="External" Id="rId3338" /><Relationship Type="http://schemas.openxmlformats.org/officeDocument/2006/relationships/hyperlink" Target="mailto:accueil@provenceverdon.fr" TargetMode="External" Id="rId3339" /><Relationship Type="http://schemas.openxmlformats.org/officeDocument/2006/relationships/hyperlink" Target="https://www.provenceverdon.fr/" TargetMode="External" Id="rId3340" /><Relationship Type="http://schemas.openxmlformats.org/officeDocument/2006/relationships/hyperlink" Target="https://www.provenceverdon.fr/" TargetMode="External" Id="rId3341" /><Relationship Type="http://schemas.openxmlformats.org/officeDocument/2006/relationships/hyperlink" Target="https://lannuaire.service-public.gouv.fr/provence-alpes-cote-d-azur/var/710fc744-033b-48b6-be87-9a4a4b14ff16" TargetMode="External" Id="rId3342" /><Relationship Type="http://schemas.openxmlformats.org/officeDocument/2006/relationships/hyperlink" Target="mailto:info@ccvg.fr" TargetMode="External" Id="rId3343" /><Relationship Type="http://schemas.openxmlformats.org/officeDocument/2006/relationships/hyperlink" Target="https://www.ccvg.fr/" TargetMode="External" Id="rId3344" /><Relationship Type="http://schemas.openxmlformats.org/officeDocument/2006/relationships/hyperlink" Target="https://www.ccvg.fr/nous-contacter-5/" TargetMode="External" Id="rId3345" /><Relationship Type="http://schemas.openxmlformats.org/officeDocument/2006/relationships/hyperlink" Target="https://lannuaire.service-public.gouv.fr/provence-alpes-cote-d-azur/var/52737038-0552-47c0-9049-16f23b02b480" TargetMode="External" Id="rId3346" /><Relationship Type="http://schemas.openxmlformats.org/officeDocument/2006/relationships/hyperlink" Target="mailto:contact@cc-golfedesainttropez.fr" TargetMode="External" Id="rId3347" /><Relationship Type="http://schemas.openxmlformats.org/officeDocument/2006/relationships/hyperlink" Target="https://www.golfe-sainttropez.fr/" TargetMode="External" Id="rId3348" /><Relationship Type="http://schemas.openxmlformats.org/officeDocument/2006/relationships/hyperlink" Target="https://www.golfe-sainttropez.fr/nous-contacter/" TargetMode="External" Id="rId3349" /><Relationship Type="http://schemas.openxmlformats.org/officeDocument/2006/relationships/hyperlink" Target="https://lannuaire.service-public.gouv.fr/provence-alpes-cote-d-azur/var/74476cb5-2f20-4385-801b-631666f6c426" TargetMode="External" Id="rId3350" /><Relationship Type="http://schemas.openxmlformats.org/officeDocument/2006/relationships/hyperlink" Target="mailto:contact@cc-paysdefayence.fr" TargetMode="External" Id="rId3351" /><Relationship Type="http://schemas.openxmlformats.org/officeDocument/2006/relationships/hyperlink" Target="https://www.cc-paysdefayence.fr/" TargetMode="External" Id="rId3352" /><Relationship Type="http://schemas.openxmlformats.org/officeDocument/2006/relationships/hyperlink" Target="https://lannuaire.service-public.gouv.fr/provence-alpes-cote-d-azur/var/2e5a0294-cc2c-469a-91d7-5eabf73966d8" TargetMode="External" Id="rId3353" /><Relationship Type="http://schemas.openxmlformats.org/officeDocument/2006/relationships/hyperlink" Target="mailto:accueil@ccayguesouveze.com" TargetMode="External" Id="rId3354" /><Relationship Type="http://schemas.openxmlformats.org/officeDocument/2006/relationships/hyperlink" Target="https://www.ccayguesouveze.com/" TargetMode="External" Id="rId3355" /><Relationship Type="http://schemas.openxmlformats.org/officeDocument/2006/relationships/hyperlink" Target="http://www.ccayguesouveze.com/contact/" TargetMode="External" Id="rId3356" /><Relationship Type="http://schemas.openxmlformats.org/officeDocument/2006/relationships/hyperlink" Target="https://lannuaire.service-public.gouv.fr/provence-alpes-cote-d-azur/vaucluse/a1980ee2-df14-4c61-adcb-25edfbaf7729" TargetMode="External" Id="rId3357" /><Relationship Type="http://schemas.openxmlformats.org/officeDocument/2006/relationships/hyperlink" Target="mailto:contact@ccpro.fr" TargetMode="External" Id="rId3358" /><Relationship Type="http://schemas.openxmlformats.org/officeDocument/2006/relationships/hyperlink" Target="https://www.ccpro.fr/" TargetMode="External" Id="rId3359" /><Relationship Type="http://schemas.openxmlformats.org/officeDocument/2006/relationships/hyperlink" Target="https://www.ccpro.fr/contact/" TargetMode="External" Id="rId3360" /><Relationship Type="http://schemas.openxmlformats.org/officeDocument/2006/relationships/hyperlink" Target="https://lannuaire.service-public.gouv.fr/provence-alpes-cote-d-azur/vaucluse/34610ba2-b32b-48ea-8d19-4aeadbfd28f7" TargetMode="External" Id="rId3361" /><Relationship Type="http://schemas.openxmlformats.org/officeDocument/2006/relationships/hyperlink" Target="mailto:accueil@ccrlp.fr" TargetMode="External" Id="rId3362" /><Relationship Type="http://schemas.openxmlformats.org/officeDocument/2006/relationships/hyperlink" Target="http://www.ccrlp.fr" TargetMode="External" Id="rId3363" /><Relationship Type="http://schemas.openxmlformats.org/officeDocument/2006/relationships/hyperlink" Target="https://lannuaire.service-public.gouv.fr/provence-alpes-cote-d-azur/vaucluse/053e0e63-ded0-4b06-acef-11502193b3c8" TargetMode="External" Id="rId3364" /><Relationship Type="http://schemas.openxmlformats.org/officeDocument/2006/relationships/hyperlink" Target="mailto:accueil@cotelub.fr" TargetMode="External" Id="rId3365" /><Relationship Type="http://schemas.openxmlformats.org/officeDocument/2006/relationships/hyperlink" Target="https://www.cotelub.fr/" TargetMode="External" Id="rId3366" /><Relationship Type="http://schemas.openxmlformats.org/officeDocument/2006/relationships/hyperlink" Target="https://lannuaire.service-public.gouv.fr/provence-alpes-cote-d-azur/vaucluse/13a8c8e5-a3c5-4615-a462-c31309015044" TargetMode="External" Id="rId3367" /><Relationship Type="http://schemas.openxmlformats.org/officeDocument/2006/relationships/hyperlink" Target="mailto:contact@ccpsmv.fr" TargetMode="External" Id="rId3368" /><Relationship Type="http://schemas.openxmlformats.org/officeDocument/2006/relationships/hyperlink" Target="https://www.paysdessorgues.fr/" TargetMode="External" Id="rId3369" /><Relationship Type="http://schemas.openxmlformats.org/officeDocument/2006/relationships/hyperlink" Target="https://www.paysdessorgues.fr/contact" TargetMode="External" Id="rId3370" /><Relationship Type="http://schemas.openxmlformats.org/officeDocument/2006/relationships/hyperlink" Target="https://lannuaire.service-public.gouv.fr/provence-alpes-cote-d-azur/vaucluse/2a02fb0d-054e-4c80-86b3-4befc91dbbcd" TargetMode="External" Id="rId3371" /><Relationship Type="http://schemas.openxmlformats.org/officeDocument/2006/relationships/hyperlink" Target="mailto:contact@challansgois.fr" TargetMode="External" Id="rId3372" /><Relationship Type="http://schemas.openxmlformats.org/officeDocument/2006/relationships/hyperlink" Target="https://www.challansgois.fr/" TargetMode="External" Id="rId3373" /><Relationship Type="http://schemas.openxmlformats.org/officeDocument/2006/relationships/hyperlink" Target="https://www.challansgois.fr/nous-contacter" TargetMode="External" Id="rId3374" /><Relationship Type="http://schemas.openxmlformats.org/officeDocument/2006/relationships/hyperlink" Target="https://lannuaire.service-public.gouv.fr/pays-de-la-loire/vendee/bdc2de03-7b2f-4cb1-ab00-c2356343de15" TargetMode="External" Id="rId3375" /><Relationship Type="http://schemas.openxmlformats.org/officeDocument/2006/relationships/hyperlink" Target="mailto:accueil@omdm.fr" TargetMode="External" Id="rId3376" /><Relationship Type="http://schemas.openxmlformats.org/officeDocument/2006/relationships/hyperlink" Target="https://www.oceanmaraisdemonts.fr/" TargetMode="External" Id="rId3377" /><Relationship Type="http://schemas.openxmlformats.org/officeDocument/2006/relationships/hyperlink" Target="https://lannuaire.service-public.gouv.fr/pays-de-la-loire/vendee/42d6ad23-333e-404e-9131-79507109580b" TargetMode="External" Id="rId3378" /><Relationship Type="http://schemas.openxmlformats.org/officeDocument/2006/relationships/hyperlink" Target="mailto:contact@cc-paysdechantonnay.fr" TargetMode="External" Id="rId3379" /><Relationship Type="http://schemas.openxmlformats.org/officeDocument/2006/relationships/hyperlink" Target="https://www.paysdechantonnay.fr/" TargetMode="External" Id="rId3380" /><Relationship Type="http://schemas.openxmlformats.org/officeDocument/2006/relationships/hyperlink" Target="https://www.paysdechantonnay.fr/nous-contacter/" TargetMode="External" Id="rId3381" /><Relationship Type="http://schemas.openxmlformats.org/officeDocument/2006/relationships/hyperlink" Target="https://lannuaire.service-public.gouv.fr/pays-de-la-loire/vendee/361f7789-9b70-4275-b61b-e90224c7d9a9" TargetMode="External" Id="rId3382" /><Relationship Type="http://schemas.openxmlformats.org/officeDocument/2006/relationships/hyperlink" Target="mailto:accueil@sudvendeelittoral.fr" TargetMode="External" Id="rId3383" /><Relationship Type="http://schemas.openxmlformats.org/officeDocument/2006/relationships/hyperlink" Target="https://www.cc-sudvendeelittoral.fr/" TargetMode="External" Id="rId3384" /><Relationship Type="http://schemas.openxmlformats.org/officeDocument/2006/relationships/hyperlink" Target="https://www.cc-sudvendeelittoral.fr/systeme/nous-contacter/" TargetMode="External" Id="rId3385" /><Relationship Type="http://schemas.openxmlformats.org/officeDocument/2006/relationships/hyperlink" Target="https://lannuaire.service-public.gouv.fr/pays-de-la-loire/vendee/2eaf4b87-e89b-47ff-bf02-b38799a7fd22" TargetMode="External" Id="rId3386" /><Relationship Type="http://schemas.openxmlformats.org/officeDocument/2006/relationships/hyperlink" Target="mailto:contact@vendeegrandlittoral.fr" TargetMode="External" Id="rId3387" /><Relationship Type="http://schemas.openxmlformats.org/officeDocument/2006/relationships/hyperlink" Target="https://www.vendeegrandlittoral.fr/" TargetMode="External" Id="rId3388" /><Relationship Type="http://schemas.openxmlformats.org/officeDocument/2006/relationships/hyperlink" Target="https://www.vendeegrandlittoral.fr/systeme/contact/" TargetMode="External" Id="rId3389" /><Relationship Type="http://schemas.openxmlformats.org/officeDocument/2006/relationships/hyperlink" Target="https://lannuaire.service-public.gouv.fr/pays-de-la-loire/vendee/14f6b5e5-af7e-416a-8422-953a99d13d74" TargetMode="External" Id="rId3390" /><Relationship Type="http://schemas.openxmlformats.org/officeDocument/2006/relationships/hyperlink" Target="mailto:secretariat@cc-vsa.com" TargetMode="External" Id="rId3391" /><Relationship Type="http://schemas.openxmlformats.org/officeDocument/2006/relationships/hyperlink" Target="https://www.cc-vsa.com/" TargetMode="External" Id="rId3392" /><Relationship Type="http://schemas.openxmlformats.org/officeDocument/2006/relationships/hyperlink" Target="https://www.cc-vsa.com/systeme/nous-contacter/" TargetMode="External" Id="rId3393" /><Relationship Type="http://schemas.openxmlformats.org/officeDocument/2006/relationships/hyperlink" Target="https://lannuaire.service-public.gouv.fr/pays-de-la-loire/vendee/dc455848-f4fd-4c8e-a112-a787b8e4d933" TargetMode="External" Id="rId3394" /><Relationship Type="http://schemas.openxmlformats.org/officeDocument/2006/relationships/hyperlink" Target="mailto:accueil@vieetboulogne.fr" TargetMode="External" Id="rId3395" /><Relationship Type="http://schemas.openxmlformats.org/officeDocument/2006/relationships/hyperlink" Target="https://www.vie-et-boulogne.fr/" TargetMode="External" Id="rId3396" /><Relationship Type="http://schemas.openxmlformats.org/officeDocument/2006/relationships/hyperlink" Target="https://www.vie-et-boulogne.fr/nous-contacter/" TargetMode="External" Id="rId3397" /><Relationship Type="http://schemas.openxmlformats.org/officeDocument/2006/relationships/hyperlink" Target="https://lannuaire.service-public.gouv.fr/pays-de-la-loire/vendee/87d14a9d-ef21-48fe-aea6-0f1d0c3c0a4b" TargetMode="External" Id="rId3398" /><Relationship Type="http://schemas.openxmlformats.org/officeDocument/2006/relationships/hyperlink" Target="mailto:contact@iledenoirmoutier.org" TargetMode="External" Id="rId3399" /><Relationship Type="http://schemas.openxmlformats.org/officeDocument/2006/relationships/hyperlink" Target="https://www.cdc-iledenoirmoutier.com/" TargetMode="External" Id="rId3400" /><Relationship Type="http://schemas.openxmlformats.org/officeDocument/2006/relationships/hyperlink" Target="https://www.cdc-iledenoirmoutier.com/contact" TargetMode="External" Id="rId3401" /><Relationship Type="http://schemas.openxmlformats.org/officeDocument/2006/relationships/hyperlink" Target="https://lannuaire.service-public.gouv.fr/pays-de-la-loire/vendee/2fbb7f30-dc40-41b7-86a4-40b86b77c3bc" TargetMode="External" Id="rId3402" /><Relationship Type="http://schemas.openxmlformats.org/officeDocument/2006/relationships/hyperlink" Target="mailto:accueil@fontenayvendee.fr" TargetMode="External" Id="rId3403" /><Relationship Type="http://schemas.openxmlformats.org/officeDocument/2006/relationships/hyperlink" Target="https://www.fontenayvendee.fr/" TargetMode="External" Id="rId3404" /><Relationship Type="http://schemas.openxmlformats.org/officeDocument/2006/relationships/hyperlink" Target="https://www.fontenayvendee.fr/systeme/contact/" TargetMode="External" Id="rId3405" /><Relationship Type="http://schemas.openxmlformats.org/officeDocument/2006/relationships/hyperlink" Target="https://lannuaire.service-public.gouv.fr/pays-de-la-loire/vendee/257faded-4aa6-4f0f-bf13-43f968b836ce" TargetMode="External" Id="rId3406" /><Relationship Type="http://schemas.openxmlformats.org/officeDocument/2006/relationships/hyperlink" Target="mailto:contact@paysdemortagne.fr" TargetMode="External" Id="rId3407" /><Relationship Type="http://schemas.openxmlformats.org/officeDocument/2006/relationships/hyperlink" Target="https://www.paysdemortagne.fr/" TargetMode="External" Id="rId3408" /><Relationship Type="http://schemas.openxmlformats.org/officeDocument/2006/relationships/hyperlink" Target="https://www.paysdemortagne.fr/contact/" TargetMode="External" Id="rId3409" /><Relationship Type="http://schemas.openxmlformats.org/officeDocument/2006/relationships/hyperlink" Target="https://lannuaire.service-public.gouv.fr/pays-de-la-loire/vendee/99baa63c-66bd-4d0e-8cee-13baa4190695" TargetMode="External" Id="rId3410" /><Relationship Type="http://schemas.openxmlformats.org/officeDocument/2006/relationships/hyperlink" Target="mailto:contact@paysdepouzauges.fr" TargetMode="External" Id="rId3411" /><Relationship Type="http://schemas.openxmlformats.org/officeDocument/2006/relationships/hyperlink" Target="https://www.paysdepouzauges.fr/" TargetMode="External" Id="rId3412" /><Relationship Type="http://schemas.openxmlformats.org/officeDocument/2006/relationships/hyperlink" Target="https://www.paysdepouzauges.fr/la-communaute-de-communes/contact/" TargetMode="External" Id="rId3413" /><Relationship Type="http://schemas.openxmlformats.org/officeDocument/2006/relationships/hyperlink" Target="https://lannuaire.service-public.gouv.fr/pays-de-la-loire/vendee/e9324c54-9917-4b03-896c-4f609e16b807" TargetMode="External" Id="rId3414" /><Relationship Type="http://schemas.openxmlformats.org/officeDocument/2006/relationships/hyperlink" Target="mailto:contact@paysfulgentessarts.fr" TargetMode="External" Id="rId3415" /><Relationship Type="http://schemas.openxmlformats.org/officeDocument/2006/relationships/hyperlink" Target="https://www.paysfulgentessarts.fr/" TargetMode="External" Id="rId3416" /><Relationship Type="http://schemas.openxmlformats.org/officeDocument/2006/relationships/hyperlink" Target="https://www.paysfulgentessarts.fr/Contact" TargetMode="External" Id="rId3417" /><Relationship Type="http://schemas.openxmlformats.org/officeDocument/2006/relationships/hyperlink" Target="https://lannuaire.service-public.gouv.fr/pays-de-la-loire/vendee/99ebc9bd-ff35-4d8f-8f68-3c4c4e7a491b" TargetMode="External" Id="rId3418" /><Relationship Type="http://schemas.openxmlformats.org/officeDocument/2006/relationships/hyperlink" Target="mailto:info@ccplc.fr" TargetMode="External" Id="rId3419" /><Relationship Type="http://schemas.openxmlformats.org/officeDocument/2006/relationships/hyperlink" Target="https://www.pays-chataigneraie.fr/" TargetMode="External" Id="rId3420" /><Relationship Type="http://schemas.openxmlformats.org/officeDocument/2006/relationships/hyperlink" Target="https://www.pays-chataigneraie.fr/systeme/contact/" TargetMode="External" Id="rId3421" /><Relationship Type="http://schemas.openxmlformats.org/officeDocument/2006/relationships/hyperlink" Target="https://lannuaire.service-public.gouv.fr/pays-de-la-loire/vendee/7cc2a93e-e9e1-4900-ab8c-ad55eed890fa" TargetMode="External" Id="rId3422" /><Relationship Type="http://schemas.openxmlformats.org/officeDocument/2006/relationships/hyperlink" Target="mailto:contact@cc-paysdesachards.fr" TargetMode="External" Id="rId3423" /><Relationship Type="http://schemas.openxmlformats.org/officeDocument/2006/relationships/hyperlink" Target="https://www.cc-paysdesachards.fr/" TargetMode="External" Id="rId3424" /><Relationship Type="http://schemas.openxmlformats.org/officeDocument/2006/relationships/hyperlink" Target="https://www.cc-paysdesachards.fr/contact/" TargetMode="External" Id="rId3425" /><Relationship Type="http://schemas.openxmlformats.org/officeDocument/2006/relationships/hyperlink" Target="https://lannuaire.service-public.gouv.fr/pays-de-la-loire/vendee/a539e3d3-f6fc-41fa-b974-d7b41ce320d9" TargetMode="External" Id="rId3426" /><Relationship Type="http://schemas.openxmlformats.org/officeDocument/2006/relationships/hyperlink" Target="mailto:info@paysdesherbiers.fr" TargetMode="External" Id="rId3427" /><Relationship Type="http://schemas.openxmlformats.org/officeDocument/2006/relationships/hyperlink" Target="https://www.paysdesherbiers.fr/" TargetMode="External" Id="rId3428" /><Relationship Type="http://schemas.openxmlformats.org/officeDocument/2006/relationships/hyperlink" Target="https://www.paysdesherbiers.fr/systeme/nous-contacter/" TargetMode="External" Id="rId3429" /><Relationship Type="http://schemas.openxmlformats.org/officeDocument/2006/relationships/hyperlink" Target="https://lannuaire.service-public.gouv.fr/pays-de-la-loire/vendee/ee8f58f5-5ed3-4bcb-aee0-0531c1c7f7bb" TargetMode="External" Id="rId3430" /><Relationship Type="http://schemas.openxmlformats.org/officeDocument/2006/relationships/hyperlink" Target="mailto:contact@ccvg86.fr" TargetMode="External" Id="rId3431" /><Relationship Type="http://schemas.openxmlformats.org/officeDocument/2006/relationships/hyperlink" Target="https://www.vienneetgartempe.fr/" TargetMode="External" Id="rId3432" /><Relationship Type="http://schemas.openxmlformats.org/officeDocument/2006/relationships/hyperlink" Target="https://www.vienneetgartempe.fr/contact/" TargetMode="External" Id="rId3433" /><Relationship Type="http://schemas.openxmlformats.org/officeDocument/2006/relationships/hyperlink" Target="https://lannuaire.service-public.gouv.fr/nouvelle-aquitaine/vienne/bca388d4-3e7f-406f-b88a-86cdf2f78ca1" TargetMode="External" Id="rId3434" /><Relationship Type="http://schemas.openxmlformats.org/officeDocument/2006/relationships/hyperlink" Target="mailto:accueil@valleesduclain.fr" TargetMode="External" Id="rId3435" /><Relationship Type="http://schemas.openxmlformats.org/officeDocument/2006/relationships/hyperlink" Target="https://www.valleesduclain.fr/" TargetMode="External" Id="rId3436" /><Relationship Type="http://schemas.openxmlformats.org/officeDocument/2006/relationships/hyperlink" Target="https://lannuaire.service-public.gouv.fr/nouvelle-aquitaine/vienne/14417d18-1921-4644-b0a4-513b6e4140cc" TargetMode="External" Id="rId3437" /><Relationship Type="http://schemas.openxmlformats.org/officeDocument/2006/relationships/hyperlink" Target="mailto:contact@civraisienpoitou.fr" TargetMode="External" Id="rId3438" /><Relationship Type="http://schemas.openxmlformats.org/officeDocument/2006/relationships/hyperlink" Target="https://www.civraisienpoitou.fr/" TargetMode="External" Id="rId3439" /><Relationship Type="http://schemas.openxmlformats.org/officeDocument/2006/relationships/hyperlink" Target="https://www.civraisienpoitou.fr/contact" TargetMode="External" Id="rId3440" /><Relationship Type="http://schemas.openxmlformats.org/officeDocument/2006/relationships/hyperlink" Target="https://lannuaire.service-public.gouv.fr/nouvelle-aquitaine/vienne/509efa56-4fd7-47b2-b750-aff09858c34c" TargetMode="External" Id="rId3441" /><Relationship Type="http://schemas.openxmlformats.org/officeDocument/2006/relationships/hyperlink" Target="mailto:contact@cc-hautpoitou.fr" TargetMode="External" Id="rId3442" /><Relationship Type="http://schemas.openxmlformats.org/officeDocument/2006/relationships/hyperlink" Target="https://cc-hautpoitou.fr/" TargetMode="External" Id="rId3443" /><Relationship Type="http://schemas.openxmlformats.org/officeDocument/2006/relationships/hyperlink" Target="https://lannuaire.service-public.gouv.fr/nouvelle-aquitaine/vienne/4978a8ed-23cb-4375-81c6-99ceb4d3340e" TargetMode="External" Id="rId3444" /><Relationship Type="http://schemas.openxmlformats.org/officeDocument/2006/relationships/hyperlink" Target="mailto:contact@pays-loudunais.fr" TargetMode="External" Id="rId3445" /><Relationship Type="http://schemas.openxmlformats.org/officeDocument/2006/relationships/hyperlink" Target="https://www.pays-loudunais.fr/" TargetMode="External" Id="rId3446" /><Relationship Type="http://schemas.openxmlformats.org/officeDocument/2006/relationships/hyperlink" Target="https://www.pays-loudunais.fr/contact/" TargetMode="External" Id="rId3447" /><Relationship Type="http://schemas.openxmlformats.org/officeDocument/2006/relationships/hyperlink" Target="https://lannuaire.service-public.gouv.fr/nouvelle-aquitaine/vienne/244e8e3a-921e-43a5-be30-c56e07e78c77" TargetMode="External" Id="rId3448" /><Relationship Type="http://schemas.openxmlformats.org/officeDocument/2006/relationships/hyperlink" Target="mailto:contact@briancesudhautevienne.fr" TargetMode="External" Id="rId3449" /><Relationship Type="http://schemas.openxmlformats.org/officeDocument/2006/relationships/hyperlink" Target="https://www.briancesudhautevienne.fr/" TargetMode="External" Id="rId3450" /><Relationship Type="http://schemas.openxmlformats.org/officeDocument/2006/relationships/hyperlink" Target="https://www.briancesudhautevienne.fr/Contact" TargetMode="External" Id="rId3451" /><Relationship Type="http://schemas.openxmlformats.org/officeDocument/2006/relationships/hyperlink" Target="https://lannuaire.service-public.gouv.fr/nouvelle-aquitaine/haute-vienne/537e8fe4-9c1d-42b2-bdb2-ce8d707cce0e" TargetMode="External" Id="rId3452" /><Relationship Type="http://schemas.openxmlformats.org/officeDocument/2006/relationships/hyperlink" Target="mailto:cdc@briancecombade.fr" TargetMode="External" Id="rId3453" /><Relationship Type="http://schemas.openxmlformats.org/officeDocument/2006/relationships/hyperlink" Target="https://briancecombade.fr/" TargetMode="External" Id="rId3454" /><Relationship Type="http://schemas.openxmlformats.org/officeDocument/2006/relationships/hyperlink" Target="https://briancecombade.fr/communication/contact" TargetMode="External" Id="rId3455" /><Relationship Type="http://schemas.openxmlformats.org/officeDocument/2006/relationships/hyperlink" Target="https://lannuaire.service-public.gouv.fr/nouvelle-aquitaine/haute-vienne/6ee93216-6b89-4801-afc9-f87939b46ad7" TargetMode="External" Id="rId3456" /><Relationship Type="http://schemas.openxmlformats.org/officeDocument/2006/relationships/hyperlink" Target="mailto:secretariat@gartempe-saint-pardoux.fr" TargetMode="External" Id="rId3457" /><Relationship Type="http://schemas.openxmlformats.org/officeDocument/2006/relationships/hyperlink" Target="https://gartempe-saint-pardoux.fr/fr/" TargetMode="External" Id="rId3458" /><Relationship Type="http://schemas.openxmlformats.org/officeDocument/2006/relationships/hyperlink" Target="https://gartempe-saint-pardoux.fr/fr/" TargetMode="External" Id="rId3459" /><Relationship Type="http://schemas.openxmlformats.org/officeDocument/2006/relationships/hyperlink" Target="https://lannuaire.service-public.gouv.fr/nouvelle-aquitaine/haute-vienne/b202371f-a2d9-4397-aae3-8dc43f4f3263" TargetMode="External" Id="rId3460" /><Relationship Type="http://schemas.openxmlformats.org/officeDocument/2006/relationships/hyperlink" Target="mailto:hautlimousinenmarche@cchlem.fr" TargetMode="External" Id="rId3461" /><Relationship Type="http://schemas.openxmlformats.org/officeDocument/2006/relationships/hyperlink" Target="https://hautlimousinenmarche.fr/" TargetMode="External" Id="rId3462" /><Relationship Type="http://schemas.openxmlformats.org/officeDocument/2006/relationships/hyperlink" Target="https://hautlimousinenmarche.fr/contact/" TargetMode="External" Id="rId3463" /><Relationship Type="http://schemas.openxmlformats.org/officeDocument/2006/relationships/hyperlink" Target="https://lannuaire.service-public.gouv.fr/nouvelle-aquitaine/haute-vienne/c4680509-caec-4784-ab65-6e5bc2d4118f" TargetMode="External" Id="rId3464" /><Relationship Type="http://schemas.openxmlformats.org/officeDocument/2006/relationships/hyperlink" Target="mailto:contact@ouestlimousin.com" TargetMode="External" Id="rId3465" /><Relationship Type="http://schemas.openxmlformats.org/officeDocument/2006/relationships/hyperlink" Target="https://www.ouestlimousin.com/" TargetMode="External" Id="rId3466" /><Relationship Type="http://schemas.openxmlformats.org/officeDocument/2006/relationships/hyperlink" Target="https://lannuaire.service-public.gouv.fr/nouvelle-aquitaine/haute-vienne/38aacb95-2c79-4290-a556-c3040ca3001d" TargetMode="External" Id="rId3467" /><Relationship Type="http://schemas.openxmlformats.org/officeDocument/2006/relationships/hyperlink" Target="mailto:accueil@paysdenexon-montsdechalus.fr" TargetMode="External" Id="rId3468" /><Relationship Type="http://schemas.openxmlformats.org/officeDocument/2006/relationships/hyperlink" Target="https://www.paysdenexon-montsdechalus.fr" TargetMode="External" Id="rId3469" /><Relationship Type="http://schemas.openxmlformats.org/officeDocument/2006/relationships/hyperlink" Target="https://www.paysdenexon-montsdechalus.fr/contacts.html" TargetMode="External" Id="rId3470" /><Relationship Type="http://schemas.openxmlformats.org/officeDocument/2006/relationships/hyperlink" Target="https://lannuaire.service-public.gouv.fr/nouvelle-aquitaine/haute-vienne/4b178f0e-57c1-4a2f-9945-213ef921d9f6" TargetMode="External" Id="rId3471" /><Relationship Type="http://schemas.openxmlformats.org/officeDocument/2006/relationships/hyperlink" Target="mailto:contact@pol-cdc.fr" TargetMode="External" Id="rId3472" /><Relationship Type="http://schemas.openxmlformats.org/officeDocument/2006/relationships/hyperlink" Target="https://www.porteoceane-dulimousin.fr/" TargetMode="External" Id="rId3473" /><Relationship Type="http://schemas.openxmlformats.org/officeDocument/2006/relationships/hyperlink" Target="https://lannuaire.service-public.gouv.fr/nouvelle-aquitaine/haute-vienne/e11c45fa-4fb2-42cf-a910-6df71d15a7b1" TargetMode="External" Id="rId3474" /><Relationship Type="http://schemas.openxmlformats.org/officeDocument/2006/relationships/hyperlink" Target="mailto:accueil@ccnoblat.fr" TargetMode="External" Id="rId3475" /><Relationship Type="http://schemas.openxmlformats.org/officeDocument/2006/relationships/hyperlink" Target="https://ccnoblat.fr/" TargetMode="External" Id="rId3476" /><Relationship Type="http://schemas.openxmlformats.org/officeDocument/2006/relationships/hyperlink" Target="https://lannuaire.service-public.gouv.fr/nouvelle-aquitaine/haute-vienne/407fa58a-4bfc-4d77-b349-1e6508b88c95" TargetMode="External" Id="rId3477" /><Relationship Type="http://schemas.openxmlformats.org/officeDocument/2006/relationships/hyperlink" Target="mailto:contact@cc-portesdevassiviere.fr" TargetMode="External" Id="rId3478" /><Relationship Type="http://schemas.openxmlformats.org/officeDocument/2006/relationships/hyperlink" Target="https://www.cc-portesdevassiviere.fr/" TargetMode="External" Id="rId3479" /><Relationship Type="http://schemas.openxmlformats.org/officeDocument/2006/relationships/hyperlink" Target="https://www.cc-portesdevassiviere.fr/contact-et-liens/" TargetMode="External" Id="rId3480" /><Relationship Type="http://schemas.openxmlformats.org/officeDocument/2006/relationships/hyperlink" Target="https://lannuaire.service-public.gouv.fr/nouvelle-aquitaine/haute-vienne/865c9208-8d02-41eb-8f16-6c1bc20dccd1" TargetMode="External" Id="rId3481" /><Relationship Type="http://schemas.openxmlformats.org/officeDocument/2006/relationships/hyperlink" Target="mailto:info@cc-valdevienne.fr" TargetMode="External" Id="rId3482" /><Relationship Type="http://schemas.openxmlformats.org/officeDocument/2006/relationships/hyperlink" Target="https://valdevienne.fr/" TargetMode="External" Id="rId3483" /><Relationship Type="http://schemas.openxmlformats.org/officeDocument/2006/relationships/hyperlink" Target="https://valdevienne.fr/val-de-vienne-ccvv/contact/" TargetMode="External" Id="rId3484" /><Relationship Type="http://schemas.openxmlformats.org/officeDocument/2006/relationships/hyperlink" Target="https://lannuaire.service-public.gouv.fr/nouvelle-aquitaine/haute-vienne/963708ba-98ab-41da-91a8-4ad49fd4602d" TargetMode="External" Id="rId3485" /><Relationship Type="http://schemas.openxmlformats.org/officeDocument/2006/relationships/hyperlink" Target="mailto:accueil@elan87.fr" TargetMode="External" Id="rId3486" /><Relationship Type="http://schemas.openxmlformats.org/officeDocument/2006/relationships/hyperlink" Target="https://www.elan87.fr/" TargetMode="External" Id="rId3487" /><Relationship Type="http://schemas.openxmlformats.org/officeDocument/2006/relationships/hyperlink" Target="https://www.elan87.fr/contact/" TargetMode="External" Id="rId3488" /><Relationship Type="http://schemas.openxmlformats.org/officeDocument/2006/relationships/hyperlink" Target="https://lannuaire.service-public.gouv.fr/nouvelle-aquitaine/haute-vienne/9c0bc49a-b66e-4be7-8562-b17cc778a80b" TargetMode="External" Id="rId3489" /><Relationship Type="http://schemas.openxmlformats.org/officeDocument/2006/relationships/hyperlink" Target="mailto:accueil@cc-bruyeres.fr" TargetMode="External" Id="rId3490" /><Relationship Type="http://schemas.openxmlformats.org/officeDocument/2006/relationships/hyperlink" Target="https://www.ccb2v.fr/" TargetMode="External" Id="rId3491" /><Relationship Type="http://schemas.openxmlformats.org/officeDocument/2006/relationships/hyperlink" Target="https://www.ccb2v.fr/formulaire-de-contact/" TargetMode="External" Id="rId3492" /><Relationship Type="http://schemas.openxmlformats.org/officeDocument/2006/relationships/hyperlink" Target="https://lannuaire.service-public.gouv.fr/grand-est/vosges/37f79312-678a-496c-81cb-1f9bd868f04b" TargetMode="External" Id="rId3493" /><Relationship Type="http://schemas.openxmlformats.org/officeDocument/2006/relationships/hyperlink" Target="mailto:contact@ccghv.fr" TargetMode="External" Id="rId3494" /><Relationship Type="http://schemas.openxmlformats.org/officeDocument/2006/relationships/hyperlink" Target="https://ccghv.fr/" TargetMode="External" Id="rId3495" /><Relationship Type="http://schemas.openxmlformats.org/officeDocument/2006/relationships/hyperlink" Target="https://ccghv.fr/contact/" TargetMode="External" Id="rId3496" /><Relationship Type="http://schemas.openxmlformats.org/officeDocument/2006/relationships/hyperlink" Target="https://lannuaire.service-public.gouv.fr/grand-est/vosges/aa56f59f-0db8-4c12-877d-effd34e6f7d9" TargetMode="External" Id="rId3497" /><Relationship Type="http://schemas.openxmlformats.org/officeDocument/2006/relationships/hyperlink" Target="mailto:contact@cc-terredeau.fr" TargetMode="External" Id="rId3498" /><Relationship Type="http://schemas.openxmlformats.org/officeDocument/2006/relationships/hyperlink" Target="https://www.cc-terredeau.fr/" TargetMode="External" Id="rId3499" /><Relationship Type="http://schemas.openxmlformats.org/officeDocument/2006/relationships/hyperlink" Target="https://www.cc-terredeau.fr/fr/contact.html" TargetMode="External" Id="rId3500" /><Relationship Type="http://schemas.openxmlformats.org/officeDocument/2006/relationships/hyperlink" Target="https://lannuaire.service-public.gouv.fr/grand-est/vosges/e8a7f59c-9b57-4c8a-826c-c0d8953c20a4" TargetMode="External" Id="rId3501" /><Relationship Type="http://schemas.openxmlformats.org/officeDocument/2006/relationships/hyperlink" Target="mailto:secretariat@ccmirecourtdompaire.fr" TargetMode="External" Id="rId3502" /><Relationship Type="http://schemas.openxmlformats.org/officeDocument/2006/relationships/hyperlink" Target="https://www.ccmirecourtdompaire.fr/" TargetMode="External" Id="rId3503" /><Relationship Type="http://schemas.openxmlformats.org/officeDocument/2006/relationships/hyperlink" Target="https://www.ccmirecourtdompaire.fr/communaute-de-communes/contact/" TargetMode="External" Id="rId3504" /><Relationship Type="http://schemas.openxmlformats.org/officeDocument/2006/relationships/hyperlink" Target="https://lannuaire.service-public.gouv.fr/grand-est/vosges/a853e7aa-47e6-4b88-b946-55d799720265" TargetMode="External" Id="rId3505" /><Relationship Type="http://schemas.openxmlformats.org/officeDocument/2006/relationships/hyperlink" Target="mailto:bureaux@ccpvm.fr" TargetMode="External" Id="rId3506" /><Relationship Type="http://schemas.openxmlformats.org/officeDocument/2006/relationships/hyperlink" Target="https://www.ccpvm.fr/" TargetMode="External" Id="rId3507" /><Relationship Type="http://schemas.openxmlformats.org/officeDocument/2006/relationships/hyperlink" Target="https://www.ccpvm.fr/contactez-nous/" TargetMode="External" Id="rId3508" /><Relationship Type="http://schemas.openxmlformats.org/officeDocument/2006/relationships/hyperlink" Target="https://lannuaire.service-public.gouv.fr/grand-est/vosges/f4110c81-dbb2-4b90-8c9a-3385fc6da9b7" TargetMode="External" Id="rId3509" /><Relationship Type="http://schemas.openxmlformats.org/officeDocument/2006/relationships/hyperlink" Target="mailto:accueil@2c2r.fr" TargetMode="External" Id="rId3510" /><Relationship Type="http://schemas.openxmlformats.org/officeDocument/2006/relationships/hyperlink" Target="https://www.2c2r.fr/" TargetMode="External" Id="rId3511" /><Relationship Type="http://schemas.openxmlformats.org/officeDocument/2006/relationships/hyperlink" Target="https://www.2c2r.fr/contact/" TargetMode="External" Id="rId3512" /><Relationship Type="http://schemas.openxmlformats.org/officeDocument/2006/relationships/hyperlink" Target="https://lannuaire.service-public.gouv.fr/grand-est/vosges/e2b6d8fe-2c76-4e58-8901-0b6599ff975d" TargetMode="External" Id="rId3513" /><Relationship Type="http://schemas.openxmlformats.org/officeDocument/2006/relationships/hyperlink" Target="mailto:contact@cchautesvosges.fr" TargetMode="External" Id="rId3514" /><Relationship Type="http://schemas.openxmlformats.org/officeDocument/2006/relationships/hyperlink" Target="https://www.cchautesvosges.fr/" TargetMode="External" Id="rId3515" /><Relationship Type="http://schemas.openxmlformats.org/officeDocument/2006/relationships/hyperlink" Target="https://www.cchautesvosges.fr/contact" TargetMode="External" Id="rId3516" /><Relationship Type="http://schemas.openxmlformats.org/officeDocument/2006/relationships/hyperlink" Target="https://lannuaire.service-public.gouv.fr/grand-est/vosges/15ce96ad-bc51-4984-99fb-a1150dc0aad3" TargetMode="External" Id="rId3517" /><Relationship Type="http://schemas.openxmlformats.org/officeDocument/2006/relationships/hyperlink" Target="mailto:contact@vosgescotesudouest.fr" TargetMode="External" Id="rId3518" /><Relationship Type="http://schemas.openxmlformats.org/officeDocument/2006/relationships/hyperlink" Target="http://www.vosgescotesudouest.fr" TargetMode="External" Id="rId3519" /><Relationship Type="http://schemas.openxmlformats.org/officeDocument/2006/relationships/hyperlink" Target="http://www.vosgescotesudouest.fr/?c=contact&amp;id=8" TargetMode="External" Id="rId3520" /><Relationship Type="http://schemas.openxmlformats.org/officeDocument/2006/relationships/hyperlink" Target="https://lannuaire.service-public.gouv.fr/grand-est/vosges/f504cb0c-7dd2-4eed-b342-14d4aa7b3d04" TargetMode="External" Id="rId3521" /><Relationship Type="http://schemas.openxmlformats.org/officeDocument/2006/relationships/hyperlink" Target="mailto:contact@cc-avm.fr" TargetMode="External" Id="rId3522" /><Relationship Type="http://schemas.openxmlformats.org/officeDocument/2006/relationships/hyperlink" Target="https://cc-avm.com/" TargetMode="External" Id="rId3523" /><Relationship Type="http://schemas.openxmlformats.org/officeDocument/2006/relationships/hyperlink" Target="https://www.cc-avm.fr/contact" TargetMode="External" Id="rId3524" /><Relationship Type="http://schemas.openxmlformats.org/officeDocument/2006/relationships/hyperlink" Target="https://lannuaire.service-public.gouv.fr/bourgogne-franche-comte/yonne/b67e8260-3570-48f2-a22d-6b30d98384bf" TargetMode="External" Id="rId3525" /><Relationship Type="http://schemas.openxmlformats.org/officeDocument/2006/relationships/hyperlink" Target="mailto:secretariat.direction@3cvt.fr" TargetMode="External" Id="rId3526" /><Relationship Type="http://schemas.openxmlformats.org/officeDocument/2006/relationships/hyperlink" Target="https://www.3cvt.fr/" TargetMode="External" Id="rId3527" /><Relationship Type="http://schemas.openxmlformats.org/officeDocument/2006/relationships/hyperlink" Target="https://www.3cvt.fr/formulaire-de-saisine/" TargetMode="External" Id="rId3528" /><Relationship Type="http://schemas.openxmlformats.org/officeDocument/2006/relationships/hyperlink" Target="https://lannuaire.service-public.gouv.fr/bourgogne-franche-comte/yonne/7ffd30df-c070-4492-ab4f-bff9f42d1d0b" TargetMode="External" Id="rId3529" /><Relationship Type="http://schemas.openxmlformats.org/officeDocument/2006/relationships/hyperlink" Target="mailto:contact@ccltb.fr" TargetMode="External" Id="rId3530" /><Relationship Type="http://schemas.openxmlformats.org/officeDocument/2006/relationships/hyperlink" Target="https://www.letonnerroisenbourgogne.fr/" TargetMode="External" Id="rId3531" /><Relationship Type="http://schemas.openxmlformats.org/officeDocument/2006/relationships/hyperlink" Target="https://www.letonnerroisenbourgogne.fr/nous-contacter" TargetMode="External" Id="rId3532" /><Relationship Type="http://schemas.openxmlformats.org/officeDocument/2006/relationships/hyperlink" Target="https://lannuaire.service-public.gouv.fr/bourgogne-franche-comte/yonne/2ed681da-f374-4a7f-a3dd-9e0e8489ac85" TargetMode="External" Id="rId3533" /><Relationship Type="http://schemas.openxmlformats.org/officeDocument/2006/relationships/hyperlink" Target="mailto:contact@cc-sereinarmance.fr" TargetMode="External" Id="rId3534" /><Relationship Type="http://schemas.openxmlformats.org/officeDocument/2006/relationships/hyperlink" Target="https://cc-sereinarmance.fr/" TargetMode="External" Id="rId3535" /><Relationship Type="http://schemas.openxmlformats.org/officeDocument/2006/relationships/hyperlink" Target="https://cc-sereinarmance.fr/contacter-nos-services/" TargetMode="External" Id="rId3536" /><Relationship Type="http://schemas.openxmlformats.org/officeDocument/2006/relationships/hyperlink" Target="https://lannuaire.service-public.gouv.fr/bourgogne-franche-comte/yonne/54c1f0bb-c349-4a85-b390-23f93d3d6c06" TargetMode="External" Id="rId3537" /><Relationship Type="http://schemas.openxmlformats.org/officeDocument/2006/relationships/hyperlink" Target="mailto:ccyn@ccyn.fr" TargetMode="External" Id="rId3538" /><Relationship Type="http://schemas.openxmlformats.org/officeDocument/2006/relationships/hyperlink" Target="https://yonne-nord.fr/" TargetMode="External" Id="rId3539" /><Relationship Type="http://schemas.openxmlformats.org/officeDocument/2006/relationships/hyperlink" Target="https://yonne-nord.fr/contact/" TargetMode="External" Id="rId3540" /><Relationship Type="http://schemas.openxmlformats.org/officeDocument/2006/relationships/hyperlink" Target="https://lannuaire.service-public.gouv.fr/bourgogne-franche-comte/yonne/436403ba-e7c9-45b9-9448-8efcde0818d5" TargetMode="External" Id="rId3541" /><Relationship Type="http://schemas.openxmlformats.org/officeDocument/2006/relationships/hyperlink" Target="mailto:ccam@migennois.fr" TargetMode="External" Id="rId3542" /><Relationship Type="http://schemas.openxmlformats.org/officeDocument/2006/relationships/hyperlink" Target="https://www.migennois.fr/" TargetMode="External" Id="rId3543" /><Relationship Type="http://schemas.openxmlformats.org/officeDocument/2006/relationships/hyperlink" Target="https://www.migennois.fr/contact" TargetMode="External" Id="rId3544" /><Relationship Type="http://schemas.openxmlformats.org/officeDocument/2006/relationships/hyperlink" Target="https://lannuaire.service-public.gouv.fr/bourgogne-franche-comte/yonne/9bc86382-27cb-424b-8f60-e226d938ee48" TargetMode="External" Id="rId3545" /><Relationship Type="http://schemas.openxmlformats.org/officeDocument/2006/relationships/hyperlink" Target="mailto:contact@ccaillantais.fr" TargetMode="External" Id="rId3546" /><Relationship Type="http://schemas.openxmlformats.org/officeDocument/2006/relationships/hyperlink" Target="https://www.ccaillantais.fr/" TargetMode="External" Id="rId3547" /><Relationship Type="http://schemas.openxmlformats.org/officeDocument/2006/relationships/hyperlink" Target="https://www.ccaillantais.fr/contact/" TargetMode="External" Id="rId3548" /><Relationship Type="http://schemas.openxmlformats.org/officeDocument/2006/relationships/hyperlink" Target="https://lannuaire.service-public.gouv.fr/bourgogne-franche-comte/yonne/75ed7bbb-56fe-4e71-8504-aea4223fd04e" TargetMode="External" Id="rId3549" /><Relationship Type="http://schemas.openxmlformats.org/officeDocument/2006/relationships/hyperlink" Target="mailto:accueil@ccvpo.fr" TargetMode="External" Id="rId3550" /><Relationship Type="http://schemas.openxmlformats.org/officeDocument/2006/relationships/hyperlink" Target="https://ccvannepaysothe.fr/" TargetMode="External" Id="rId3551" /><Relationship Type="http://schemas.openxmlformats.org/officeDocument/2006/relationships/hyperlink" Target="https://lannuaire.service-public.gouv.fr/bourgogne-franche-comte/yonne/4cdec979-1d16-4e95-9f7d-0c5515fc86e9" TargetMode="External" Id="rId3552" /><Relationship Type="http://schemas.openxmlformats.org/officeDocument/2006/relationships/hyperlink" Target="mailto:contact@gatinais-bourgogne.fr" TargetMode="External" Id="rId3553" /><Relationship Type="http://schemas.openxmlformats.org/officeDocument/2006/relationships/hyperlink" Target="http://www.gatinais-bourgogne.fr" TargetMode="External" Id="rId3554" /><Relationship Type="http://schemas.openxmlformats.org/officeDocument/2006/relationships/hyperlink" Target="https://lannuaire.service-public.gouv.fr/bourgogne-franche-comte/yonne/f3215eaa-a826-4457-b36c-fd9bf6983d6f" TargetMode="External" Id="rId3555" /><Relationship Type="http://schemas.openxmlformats.org/officeDocument/2006/relationships/hyperlink" Target="mailto:accueil@ccjovinien.fr" TargetMode="External" Id="rId3556" /><Relationship Type="http://schemas.openxmlformats.org/officeDocument/2006/relationships/hyperlink" Target="https://www.ccjovinien.fr/" TargetMode="External" Id="rId3557" /><Relationship Type="http://schemas.openxmlformats.org/officeDocument/2006/relationships/hyperlink" Target="https://lannuaire.service-public.gouv.fr/bourgogne-franche-comte/yonne/fe12ee36-5e0b-4272-b755-24353d5dc66d" TargetMode="External" Id="rId3558" /><Relationship Type="http://schemas.openxmlformats.org/officeDocument/2006/relationships/hyperlink" Target="mailto:accueil@ccduserein.fr" TargetMode="External" Id="rId3559" /><Relationship Type="http://schemas.openxmlformats.org/officeDocument/2006/relationships/hyperlink" Target="https://www.ccduserein.fr/" TargetMode="External" Id="rId3560" /><Relationship Type="http://schemas.openxmlformats.org/officeDocument/2006/relationships/hyperlink" Target="https://www.ccduserein.fr/contact-cc-serein-89_fr.html" TargetMode="External" Id="rId3561" /><Relationship Type="http://schemas.openxmlformats.org/officeDocument/2006/relationships/hyperlink" Target="https://lannuaire.service-public.gouv.fr/bourgogne-franche-comte/yonne/ecb5ddb1-6fc5-49af-81d6-afa9a681bddb" TargetMode="External" Id="rId3562" /><Relationship Type="http://schemas.openxmlformats.org/officeDocument/2006/relationships/hyperlink" Target="mailto:contact@ccvosgesdusud.fr" TargetMode="External" Id="rId3563" /><Relationship Type="http://schemas.openxmlformats.org/officeDocument/2006/relationships/hyperlink" Target="https://www.ccvosgesdusud.fr/" TargetMode="External" Id="rId3564" /><Relationship Type="http://schemas.openxmlformats.org/officeDocument/2006/relationships/hyperlink" Target="https://lannuaire.service-public.gouv.fr/bourgogne-franche-comte/territoire-de-belfort/dce39bac-5cd1-4595-9cf9-bb7e1d707c34" TargetMode="External" Id="rId3565" /><Relationship Type="http://schemas.openxmlformats.org/officeDocument/2006/relationships/hyperlink" Target="mailto:ccst90@cc-sud-territoire.fr" TargetMode="External" Id="rId3566" /><Relationship Type="http://schemas.openxmlformats.org/officeDocument/2006/relationships/hyperlink" Target="https://www.cc-sud-territoire.fr/" TargetMode="External" Id="rId3567" /><Relationship Type="http://schemas.openxmlformats.org/officeDocument/2006/relationships/hyperlink" Target="https://www.cc-sud-territoire.fr/contact.htm" TargetMode="External" Id="rId3568" /><Relationship Type="http://schemas.openxmlformats.org/officeDocument/2006/relationships/hyperlink" Target="https://lannuaire.service-public.gouv.fr/bourgogne-franche-comte/territoire-de-belfort/c7530b17-24e5-4333-ab12-0a0bd2d7946f" TargetMode="External" Id="rId3569" /><Relationship Type="http://schemas.openxmlformats.org/officeDocument/2006/relationships/hyperlink" Target="mailto:accueil@ccejr.org" TargetMode="External" Id="rId3570" /><Relationship Type="http://schemas.openxmlformats.org/officeDocument/2006/relationships/hyperlink" Target="https://www.entrejuineetrenarde.org/" TargetMode="External" Id="rId3571" /><Relationship Type="http://schemas.openxmlformats.org/officeDocument/2006/relationships/hyperlink" Target="https://www.entrejuineetrenarde.org/contacter-la-ccejr" TargetMode="External" Id="rId3572" /><Relationship Type="http://schemas.openxmlformats.org/officeDocument/2006/relationships/hyperlink" Target="https://lannuaire.service-public.gouv.fr/ile-de-france/essonne/b26b7247-ef84-4783-b487-30ad4e1a78cf" TargetMode="External" Id="rId3573" /><Relationship Type="http://schemas.openxmlformats.org/officeDocument/2006/relationships/hyperlink" Target="mailto:cc2v@cc2v91.fr" TargetMode="External" Id="rId3574" /><Relationship Type="http://schemas.openxmlformats.org/officeDocument/2006/relationships/hyperlink" Target="https://cc2v91.fr/fr/" TargetMode="External" Id="rId3575" /><Relationship Type="http://schemas.openxmlformats.org/officeDocument/2006/relationships/hyperlink" Target="https://cc2v91.fr/fr/" TargetMode="External" Id="rId3576" /><Relationship Type="http://schemas.openxmlformats.org/officeDocument/2006/relationships/hyperlink" Target="https://lannuaire.service-public.gouv.fr/ile-de-france/essonne/6bb5e8ee-12d5-44c1-b0e6-ce3179bc682a" TargetMode="External" Id="rId3577" /><Relationship Type="http://schemas.openxmlformats.org/officeDocument/2006/relationships/hyperlink" Target="mailto:accueil@cc-paysdelimours.fr" TargetMode="External" Id="rId3578" /><Relationship Type="http://schemas.openxmlformats.org/officeDocument/2006/relationships/hyperlink" Target="https://www.cc-paysdelimours.fr/" TargetMode="External" Id="rId3579" /><Relationship Type="http://schemas.openxmlformats.org/officeDocument/2006/relationships/hyperlink" Target="https://www.cc-paysdelimours.fr/contact" TargetMode="External" Id="rId3580" /><Relationship Type="http://schemas.openxmlformats.org/officeDocument/2006/relationships/hyperlink" Target="https://lannuaire.service-public.gouv.fr/ile-de-france/essonne/9b8c9bc2-a523-4d97-8ab2-b550196270f5" TargetMode="External" Id="rId3581" /><Relationship Type="http://schemas.openxmlformats.org/officeDocument/2006/relationships/hyperlink" Target="mailto:ccve@ccvalessonne.com" TargetMode="External" Id="rId3582" /><Relationship Type="http://schemas.openxmlformats.org/officeDocument/2006/relationships/hyperlink" Target="https://valessonne.fr/" TargetMode="External" Id="rId3583" /><Relationship Type="http://schemas.openxmlformats.org/officeDocument/2006/relationships/hyperlink" Target="https://lannuaire.service-public.gouv.fr/ile-de-france/essonne/2717b775-fd05-4756-b130-c43f246ba8a7" TargetMode="External" Id="rId3584" /><Relationship Type="http://schemas.openxmlformats.org/officeDocument/2006/relationships/hyperlink" Target="mailto:contact@ccdourdannais.com" TargetMode="External" Id="rId3585" /><Relationship Type="http://schemas.openxmlformats.org/officeDocument/2006/relationships/hyperlink" Target="https://www.ccdourdannais.com/" TargetMode="External" Id="rId3586" /><Relationship Type="http://schemas.openxmlformats.org/officeDocument/2006/relationships/hyperlink" Target="https://www.ccdourdannais.com/contactez-nous/" TargetMode="External" Id="rId3587" /><Relationship Type="http://schemas.openxmlformats.org/officeDocument/2006/relationships/hyperlink" Target="https://lannuaire.service-public.gouv.fr/ile-de-france/essonne/60658850-d285-4f05-8510-f17a3711c5d3" TargetMode="External" Id="rId3588" /><Relationship Type="http://schemas.openxmlformats.org/officeDocument/2006/relationships/hyperlink" Target="mailto:contact@c3pf.fr" TargetMode="External" Id="rId3589" /><Relationship Type="http://schemas.openxmlformats.org/officeDocument/2006/relationships/hyperlink" Target="https://carnelle-pays-de-france.fr/" TargetMode="External" Id="rId3590" /><Relationship Type="http://schemas.openxmlformats.org/officeDocument/2006/relationships/hyperlink" Target="https://carnelle-pays-de-france.fr/contactez-nous/" TargetMode="External" Id="rId3591" /><Relationship Type="http://schemas.openxmlformats.org/officeDocument/2006/relationships/hyperlink" Target="https://lannuaire.service-public.gouv.fr/ile-de-france/val-d-oise/2f584dfe-1d35-4a11-a390-a9ce74e0d6ee" TargetMode="External" Id="rId3592" /><Relationship Type="http://schemas.openxmlformats.org/officeDocument/2006/relationships/hyperlink" Target="mailto:secretariat@sausseron-impressionnistes.fr" TargetMode="External" Id="rId3593" /><Relationship Type="http://schemas.openxmlformats.org/officeDocument/2006/relationships/hyperlink" Target="http://www.sausseron-impressionnistes.fr" TargetMode="External" Id="rId3594" /><Relationship Type="http://schemas.openxmlformats.org/officeDocument/2006/relationships/hyperlink" Target="https://lannuaire.service-public.gouv.fr/ile-de-france/val-d-oise/0c63942b-b5a0-40dc-9111-78e93e55543c" TargetMode="External" Id="rId3595" /><Relationship Type="http://schemas.openxmlformats.org/officeDocument/2006/relationships/hyperlink" Target="mailto:administration@ccvexincentre.fr" TargetMode="External" Id="rId3596" /><Relationship Type="http://schemas.openxmlformats.org/officeDocument/2006/relationships/hyperlink" Target="https://ccvexincentre.fr/" TargetMode="External" Id="rId3597" /><Relationship Type="http://schemas.openxmlformats.org/officeDocument/2006/relationships/hyperlink" Target="https://ccvexincentre.fr/" TargetMode="External" Id="rId3598" /><Relationship Type="http://schemas.openxmlformats.org/officeDocument/2006/relationships/hyperlink" Target="https://lannuaire.service-public.gouv.fr/ile-de-france/val-d-oise/7fbccef9-cd26-465f-82d0-771156eee9e6" TargetMode="External" Id="rId3599" /><Relationship Type="http://schemas.openxmlformats.org/officeDocument/2006/relationships/hyperlink" Target="mailto:contact@ccvo3f.fr" TargetMode="External" Id="rId3600" /><Relationship Type="http://schemas.openxmlformats.org/officeDocument/2006/relationships/hyperlink" Target="https://www.ccvo3f.fr/fr/" TargetMode="External" Id="rId3601" /><Relationship Type="http://schemas.openxmlformats.org/officeDocument/2006/relationships/hyperlink" Target="https://www.ccvo3f.fr/fr/contact" TargetMode="External" Id="rId3602" /><Relationship Type="http://schemas.openxmlformats.org/officeDocument/2006/relationships/hyperlink" Target="https://lannuaire.service-public.gouv.fr/ile-de-france/val-d-oise/dfba97ae-a5f8-4f2e-b855-8fbfb8f19cbe" TargetMode="External" Id="rId3603" /><Relationship Type="http://schemas.openxmlformats.org/officeDocument/2006/relationships/hyperlink" Target="mailto:accueil@cchvo.com" TargetMode="External" Id="rId3604" /><Relationship Type="http://schemas.openxmlformats.org/officeDocument/2006/relationships/hyperlink" Target="https://cc-hautvaldoise.fr/fr/" TargetMode="External" Id="rId3605" /><Relationship Type="http://schemas.openxmlformats.org/officeDocument/2006/relationships/hyperlink" Target="https://lannuaire.service-public.gouv.fr/ile-de-france/val-d-oise/7682524d-c84d-4e47-8009-5ece035ba07c" TargetMode="External" Id="rId3606" /><Relationship Type="http://schemas.openxmlformats.org/officeDocument/2006/relationships/hyperlink" Target="mailto:secretariat@vexinvaldeseine.fr" TargetMode="External" Id="rId3607" /><Relationship Type="http://schemas.openxmlformats.org/officeDocument/2006/relationships/hyperlink" Target="https://vexinvaldeseine.fr/" TargetMode="External" Id="rId3608" /><Relationship Type="http://schemas.openxmlformats.org/officeDocument/2006/relationships/hyperlink" Target="https://vexinvaldeseine.fr/contactez-la-ccvvs/" TargetMode="External" Id="rId3609" /><Relationship Type="http://schemas.openxmlformats.org/officeDocument/2006/relationships/hyperlink" Target="https://lannuaire.service-public.gouv.fr/ile-de-france/val-d-oise/31862daa-7cdf-44ad-a4cf-911c1c97782e" TargetMode="External" Id="rId3610" /><Relationship Type="http://schemas.openxmlformats.org/officeDocument/2006/relationships/hyperlink" Target="mailto:secretariat@paysmariegalante.fr" TargetMode="External" Id="rId3611" /><Relationship Type="http://schemas.openxmlformats.org/officeDocument/2006/relationships/hyperlink" Target="https://www.paysmariegalante.fr" TargetMode="External" Id="rId3612" /><Relationship Type="http://schemas.openxmlformats.org/officeDocument/2006/relationships/hyperlink" Target="https://paysmariegalante.fr/contact/" TargetMode="External" Id="rId3613" /><Relationship Type="http://schemas.openxmlformats.org/officeDocument/2006/relationships/hyperlink" Target="https://lannuaire.service-public.gouv.fr/guadeloupe/guadeloupe/fe656d4c-4103-491f-822d-788a5975e332" TargetMode="External" Id="rId3614" /><Relationship Type="http://schemas.openxmlformats.org/officeDocument/2006/relationships/hyperlink" Target="mailto:contact@cceg-973.fr" TargetMode="External" Id="rId3615" /><Relationship Type="http://schemas.openxmlformats.org/officeDocument/2006/relationships/hyperlink" Target="https://www.guyane-amazonie.fr/je-decouvre/territoires/est-guyanais/" TargetMode="External" Id="rId3616" /><Relationship Type="http://schemas.openxmlformats.org/officeDocument/2006/relationships/hyperlink" Target="https://ouestguyane.fr/" TargetMode="External" Id="rId3617" /><Relationship Type="http://schemas.openxmlformats.org/officeDocument/2006/relationships/hyperlink" Target="https://lannuaire.service-public.gouv.fr/guyane/guyane/acba5ff3-501c-4f27-b1bf-6b17eddb757f" TargetMode="External" Id="rId3618" /><Relationship Type="http://schemas.openxmlformats.org/officeDocument/2006/relationships/hyperlink" Target="mailto:info@ouestguyane.fr" TargetMode="External" Id="rId3619" /><Relationship Type="http://schemas.openxmlformats.org/officeDocument/2006/relationships/hyperlink" Target="https://ouestguyane.fr/" TargetMode="External" Id="rId3620" /><Relationship Type="http://schemas.openxmlformats.org/officeDocument/2006/relationships/hyperlink" Target="https://ouestguyane.fr/" TargetMode="External" Id="rId3621" /><Relationship Type="http://schemas.openxmlformats.org/officeDocument/2006/relationships/hyperlink" Target="https://lannuaire.service-public.gouv.fr/guyane/guyane/65254aa3-d0b2-40a7-a730-62896efa351e" TargetMode="External" Id="rId3622" /><Relationship Type="http://schemas.openxmlformats.org/officeDocument/2006/relationships/hyperlink" Target="mailto:info@ccdsguyane.fr" TargetMode="External" Id="rId3623" /><Relationship Type="http://schemas.openxmlformats.org/officeDocument/2006/relationships/hyperlink" Target="https://www.ccdsguyane.fr/" TargetMode="External" Id="rId3624" /><Relationship Type="http://schemas.openxmlformats.org/officeDocument/2006/relationships/hyperlink" Target="https://www.ccdsguyane.fr/contact/" TargetMode="External" Id="rId3625" /><Relationship Type="http://schemas.openxmlformats.org/officeDocument/2006/relationships/hyperlink" Target="https://lannuaire.service-public.gouv.fr/guyane/guyane/5bc85fe4-648e-4baf-8480-8ad0f3e9cca6" TargetMode="External" Id="rId3626" /><Relationship Type="http://schemas.openxmlformats.org/officeDocument/2006/relationships/hyperlink" Target="https://lannuaire.service-public.gouv.fr/mayotte/mayotte/60c3433e-1338-4695-8d95-1e417818039e" TargetMode="External" Id="rId3627" /><Relationship Type="http://schemas.openxmlformats.org/officeDocument/2006/relationships/hyperlink" Target="mailto:accueil@3co-mayotte.fr" TargetMode="External" Id="rId3628" /><Relationship Type="http://schemas.openxmlformats.org/officeDocument/2006/relationships/hyperlink" Target="https://www.3co-mayotte.fr" TargetMode="External" Id="rId3629" /><Relationship Type="http://schemas.openxmlformats.org/officeDocument/2006/relationships/hyperlink" Target="https://www.3co-mayotte.fr/contacts/" TargetMode="External" Id="rId3630" /><Relationship Type="http://schemas.openxmlformats.org/officeDocument/2006/relationships/hyperlink" Target="https://lannuaire.service-public.gouv.fr/mayotte/mayotte/4d2e62b6-b02f-4ab1-963f-6d10f896f187" TargetMode="External" Id="rId3631" /><Relationship Type="http://schemas.openxmlformats.org/officeDocument/2006/relationships/hyperlink" Target="mailto:contact@ccsud.yt" TargetMode="External" Id="rId3632" /><Relationship Type="http://schemas.openxmlformats.org/officeDocument/2006/relationships/hyperlink" Target="https://lannuaire.service-public.gouv.fr/mayotte/mayotte/ed3cd2df-ee8e-4651-b809-6795ac6b3fe9" TargetMode="External" Id="rId3633" /></Relationships>
</file>

<file path=xl/worksheets/_rels/sheet4.xml.rels><Relationships xmlns="http://schemas.openxmlformats.org/package/2006/relationships"><Relationship Type="http://schemas.openxmlformats.org/officeDocument/2006/relationships/hyperlink" Target="mailto:contact@hautbugey-agglomeration.fr" TargetMode="External" Id="rId1" /><Relationship Type="http://schemas.openxmlformats.org/officeDocument/2006/relationships/hyperlink" Target="https://www.hautbugey-agglomeration.fr/" TargetMode="External" Id="rId2" /><Relationship Type="http://schemas.openxmlformats.org/officeDocument/2006/relationships/hyperlink" Target="https://www.hautbugey-agglomeration.fr/contact/" TargetMode="External" Id="rId3" /><Relationship Type="http://schemas.openxmlformats.org/officeDocument/2006/relationships/hyperlink" Target="https://lannuaire.service-public.gouv.fr/auvergne-rhone-alpes/ain/962e7b55-0ddf-4a4f-a60a-ca707ad1b57f" TargetMode="External" Id="rId4" /><Relationship Type="http://schemas.openxmlformats.org/officeDocument/2006/relationships/hyperlink" Target="mailto:accueil@mb-agglo.com" TargetMode="External" Id="rId5" /><Relationship Type="http://schemas.openxmlformats.org/officeDocument/2006/relationships/hyperlink" Target="https://www.mb-agglo.com/" TargetMode="External" Id="rId6" /><Relationship Type="http://schemas.openxmlformats.org/officeDocument/2006/relationships/hyperlink" Target="https://www.mb-agglo.com/contactez-nous/" TargetMode="External" Id="rId7" /><Relationship Type="http://schemas.openxmlformats.org/officeDocument/2006/relationships/hyperlink" Target="https://lannuaire.service-public.gouv.fr/bourgogne-franche-comte/saone-et-loire/d3196a02-46c9-4f45-a8b9-903c09238373" TargetMode="External" Id="rId8" /><Relationship Type="http://schemas.openxmlformats.org/officeDocument/2006/relationships/hyperlink" Target="mailto:contact@agglo-villefranche.fr" TargetMode="External" Id="rId9" /><Relationship Type="http://schemas.openxmlformats.org/officeDocument/2006/relationships/hyperlink" Target="https://www.agglo-villefranche.fr/" TargetMode="External" Id="rId10" /><Relationship Type="http://schemas.openxmlformats.org/officeDocument/2006/relationships/hyperlink" Target="https://www.agglo-villefranche.fr/contact.html" TargetMode="External" Id="rId11" /><Relationship Type="http://schemas.openxmlformats.org/officeDocument/2006/relationships/hyperlink" Target="https://lannuaire.service-public.gouv.fr/auvergne-rhone-alpes/rhone/f1576417-82b5-4259-84ee-024d195afb6a" TargetMode="External" Id="rId12" /><Relationship Type="http://schemas.openxmlformats.org/officeDocument/2006/relationships/hyperlink" Target="mailto:courrier@grandbourg.fr" TargetMode="External" Id="rId13" /><Relationship Type="http://schemas.openxmlformats.org/officeDocument/2006/relationships/hyperlink" Target="https://www.grandbourg.fr/index.php" TargetMode="External" Id="rId14" /><Relationship Type="http://schemas.openxmlformats.org/officeDocument/2006/relationships/hyperlink" Target="https://www.grandbourg.fr/13-contact.htm" TargetMode="External" Id="rId15" /><Relationship Type="http://schemas.openxmlformats.org/officeDocument/2006/relationships/hyperlink" Target="https://lannuaire.service-public.gouv.fr/auvergne-rhone-alpes/ain/fc74a1a8-3b7f-42c3-8417-12b50fe31600" TargetMode="External" Id="rId16" /><Relationship Type="http://schemas.openxmlformats.org/officeDocument/2006/relationships/hyperlink" Target="mailto:info@paysdegexagglo.fr" TargetMode="External" Id="rId17" /><Relationship Type="http://schemas.openxmlformats.org/officeDocument/2006/relationships/hyperlink" Target="https://www.paysdegexagglo.fr/" TargetMode="External" Id="rId18" /><Relationship Type="http://schemas.openxmlformats.org/officeDocument/2006/relationships/hyperlink" Target="https://www.facebook.com/PaysdeGexagglo/" TargetMode="External" Id="rId19" /><Relationship Type="http://schemas.openxmlformats.org/officeDocument/2006/relationships/hyperlink" Target="https://lannuaire.service-public.gouv.fr/auvergne-rhone-alpes/ain/e585f86a-f226-409d-88fc-094773ba33fa" TargetMode="External" Id="rId20" /><Relationship Type="http://schemas.openxmlformats.org/officeDocument/2006/relationships/hyperlink" Target="mailto:accueil@ctlf.fr" TargetMode="External" Id="rId21" /><Relationship Type="http://schemas.openxmlformats.org/officeDocument/2006/relationships/hyperlink" Target="https://ctlf.fr/" TargetMode="External" Id="rId22" /><Relationship Type="http://schemas.openxmlformats.org/officeDocument/2006/relationships/hyperlink" Target="https://lannuaire.service-public.gouv.fr/hauts-de-france/aisne/c727e91b-1c70-40e2-becd-6749aa7bcd40" TargetMode="External" Id="rId23" /><Relationship Type="http://schemas.openxmlformats.org/officeDocument/2006/relationships/hyperlink" Target="mailto:accueilagglo@agglo-soissonnais.com" TargetMode="External" Id="rId24" /><Relationship Type="http://schemas.openxmlformats.org/officeDocument/2006/relationships/hyperlink" Target="https://www.grandsoissons.com/" TargetMode="External" Id="rId25" /><Relationship Type="http://schemas.openxmlformats.org/officeDocument/2006/relationships/hyperlink" Target="https://www.grandsoissons.com/contact-1/" TargetMode="External" Id="rId26" /><Relationship Type="http://schemas.openxmlformats.org/officeDocument/2006/relationships/hyperlink" Target="https://lannuaire.service-public.gouv.fr/hauts-de-france/aisne/c96ebd66-bf83-481a-ab48-1d6e4821cf09" TargetMode="External" Id="rId27" /><Relationship Type="http://schemas.openxmlformats.org/officeDocument/2006/relationships/hyperlink" Target="mailto:contact@carct.fr" TargetMode="External" Id="rId28" /><Relationship Type="http://schemas.openxmlformats.org/officeDocument/2006/relationships/hyperlink" Target="https://www.carct.fr/" TargetMode="External" Id="rId29" /><Relationship Type="http://schemas.openxmlformats.org/officeDocument/2006/relationships/hyperlink" Target="https://www.carct.fr/contact" TargetMode="External" Id="rId30" /><Relationship Type="http://schemas.openxmlformats.org/officeDocument/2006/relationships/hyperlink" Target="https://lannuaire.service-public.gouv.fr/hauts-de-france/aisne/6838c422-6b33-4d95-9982-99d5fadf3cca" TargetMode="External" Id="rId31" /><Relationship Type="http://schemas.openxmlformats.org/officeDocument/2006/relationships/hyperlink" Target="mailto:contact@ca-paysdelaon.fr" TargetMode="External" Id="rId32" /><Relationship Type="http://schemas.openxmlformats.org/officeDocument/2006/relationships/hyperlink" Target="https://www.ca-paysdelaon.fr/" TargetMode="External" Id="rId33" /><Relationship Type="http://schemas.openxmlformats.org/officeDocument/2006/relationships/hyperlink" Target="https://www.ca-paysdelaon.fr/contact/" TargetMode="External" Id="rId34" /><Relationship Type="http://schemas.openxmlformats.org/officeDocument/2006/relationships/hyperlink" Target="https://lannuaire.service-public.gouv.fr/hauts-de-france/aisne/c5c1d88b-fb06-4679-89d2-11fd865af4de" TargetMode="External" Id="rId35" /><Relationship Type="http://schemas.openxmlformats.org/officeDocument/2006/relationships/hyperlink" Target="mailto:agglojecoute@casq.fr" TargetMode="External" Id="rId36" /><Relationship Type="http://schemas.openxmlformats.org/officeDocument/2006/relationships/hyperlink" Target="https://www.agglo-saintquentinois.fr/" TargetMode="External" Id="rId37" /><Relationship Type="http://schemas.openxmlformats.org/officeDocument/2006/relationships/hyperlink" Target="https://www.agglo-saintquentinois.fr/formulaires/contactez-nous-9.html" TargetMode="External" Id="rId38" /><Relationship Type="http://schemas.openxmlformats.org/officeDocument/2006/relationships/hyperlink" Target="https://lannuaire.service-public.gouv.fr/hauts-de-france/aisne/66d47899-ac77-4a53-8a68-19569c321150" TargetMode="External" Id="rId39" /><Relationship Type="http://schemas.openxmlformats.org/officeDocument/2006/relationships/hyperlink" Target="mailto:contact@agglo-montlucon.fr" TargetMode="External" Id="rId40" /><Relationship Type="http://schemas.openxmlformats.org/officeDocument/2006/relationships/hyperlink" Target="https://www.montlucon-communaute.com/" TargetMode="External" Id="rId41" /><Relationship Type="http://schemas.openxmlformats.org/officeDocument/2006/relationships/hyperlink" Target="https://www.montlucon-communaute.com/divers/contactez-nous/" TargetMode="External" Id="rId42" /><Relationship Type="http://schemas.openxmlformats.org/officeDocument/2006/relationships/hyperlink" Target="https://lannuaire.service-public.gouv.fr/auvergne-rhone-alpes/allier/421d109f-86fe-4f13-81d0-181a17eb15f0" TargetMode="External" Id="rId43" /><Relationship Type="http://schemas.openxmlformats.org/officeDocument/2006/relationships/hyperlink" Target="mailto:contact.agglo@agglo-moulins.fr" TargetMode="External" Id="rId44" /><Relationship Type="http://schemas.openxmlformats.org/officeDocument/2006/relationships/hyperlink" Target="https://www.agglo-moulins.fr/" TargetMode="External" Id="rId45" /><Relationship Type="http://schemas.openxmlformats.org/officeDocument/2006/relationships/hyperlink" Target="https://www.agglo-moulins.fr/contact.html" TargetMode="External" Id="rId46" /><Relationship Type="http://schemas.openxmlformats.org/officeDocument/2006/relationships/hyperlink" Target="https://lannuaire.service-public.gouv.fr/auvergne-rhone-alpes/allier/7c1ae671-e9af-4b4b-b4fb-cc80ad8fa9df" TargetMode="External" Id="rId47" /><Relationship Type="http://schemas.openxmlformats.org/officeDocument/2006/relationships/hyperlink" Target="mailto:accueil@vichy-communaute.fr" TargetMode="External" Id="rId48" /><Relationship Type="http://schemas.openxmlformats.org/officeDocument/2006/relationships/hyperlink" Target="https://www.vichy-communaute.fr/" TargetMode="External" Id="rId49" /><Relationship Type="http://schemas.openxmlformats.org/officeDocument/2006/relationships/hyperlink" Target="https://www.vichy-communaute.fr/contact/" TargetMode="External" Id="rId50" /><Relationship Type="http://schemas.openxmlformats.org/officeDocument/2006/relationships/hyperlink" Target="https://lannuaire.service-public.gouv.fr/auvergne-rhone-alpes/allier/bd0f190a-8582-44ca-9210-e1de5a9aeed6" TargetMode="External" Id="rId51" /><Relationship Type="http://schemas.openxmlformats.org/officeDocument/2006/relationships/hyperlink" Target="mailto:accueil@dlva.fr" TargetMode="External" Id="rId52" /><Relationship Type="http://schemas.openxmlformats.org/officeDocument/2006/relationships/hyperlink" Target="https://www.dlva.fr/" TargetMode="External" Id="rId53" /><Relationship Type="http://schemas.openxmlformats.org/officeDocument/2006/relationships/hyperlink" Target="https://www.dlva.fr/nous-contacter/" TargetMode="External" Id="rId54" /><Relationship Type="http://schemas.openxmlformats.org/officeDocument/2006/relationships/hyperlink" Target="https://lannuaire.service-public.gouv.fr/provence-alpes-cote-d-azur/alpes-de-haute-provence/35dfb8cf-2695-4b64-94a9-eb9006a9d480" TargetMode="External" Id="rId55" /><Relationship Type="http://schemas.openxmlformats.org/officeDocument/2006/relationships/hyperlink" Target="mailto:contact@agglo-gap.fr" TargetMode="External" Id="rId56" /><Relationship Type="http://schemas.openxmlformats.org/officeDocument/2006/relationships/hyperlink" Target="https://www.gap-tallard-durance.fr/" TargetMode="External" Id="rId57" /><Relationship Type="http://schemas.openxmlformats.org/officeDocument/2006/relationships/hyperlink" Target="https://lannuaire.service-public.gouv.fr/provence-alpes-cote-d-azur/hautes-alpes/076f405f-c409-4f65-bf5b-e706237ecec5" TargetMode="External" Id="rId58" /><Relationship Type="http://schemas.openxmlformats.org/officeDocument/2006/relationships/hyperlink" Target="mailto:contact@provencealpesagglo.fr" TargetMode="External" Id="rId59" /><Relationship Type="http://schemas.openxmlformats.org/officeDocument/2006/relationships/hyperlink" Target="https://www.provencealpesagglo.fr/" TargetMode="External" Id="rId60" /><Relationship Type="http://schemas.openxmlformats.org/officeDocument/2006/relationships/hyperlink" Target="https://www.provencealpesagglo.fr/contact/" TargetMode="External" Id="rId61" /><Relationship Type="http://schemas.openxmlformats.org/officeDocument/2006/relationships/hyperlink" Target="https://lannuaire.service-public.gouv.fr/provence-alpes-cote-d-azur/alpes-de-haute-provence/3c4382b9-0937-4bd4-9c1d-b64700b28f16" TargetMode="External" Id="rId62" /><Relationship Type="http://schemas.openxmlformats.org/officeDocument/2006/relationships/hyperlink" Target="mailto:contact@cannespaysdelerins.fr" TargetMode="External" Id="rId63" /><Relationship Type="http://schemas.openxmlformats.org/officeDocument/2006/relationships/hyperlink" Target="https://cannespaysdelerins.fr/" TargetMode="External" Id="rId64" /><Relationship Type="http://schemas.openxmlformats.org/officeDocument/2006/relationships/hyperlink" Target="https://cannespaysdelerins.fr/index.php/contact/" TargetMode="External" Id="rId65" /><Relationship Type="http://schemas.openxmlformats.org/officeDocument/2006/relationships/hyperlink" Target="https://lannuaire.service-public.gouv.fr/provence-alpes-cote-d-azur/alpes-maritimes/c1c44a0d-3f55-4b32-ab49-63f0bcb62eba" TargetMode="External" Id="rId66" /><Relationship Type="http://schemas.openxmlformats.org/officeDocument/2006/relationships/hyperlink" Target="mailto:info@agglo-casa.fr" TargetMode="External" Id="rId67" /><Relationship Type="http://schemas.openxmlformats.org/officeDocument/2006/relationships/hyperlink" Target="https://casa-infos.fr/" TargetMode="External" Id="rId68" /><Relationship Type="http://schemas.openxmlformats.org/officeDocument/2006/relationships/hyperlink" Target="https://casa-infos.fr/contact/" TargetMode="External" Id="rId69" /><Relationship Type="http://schemas.openxmlformats.org/officeDocument/2006/relationships/hyperlink" Target="https://lannuaire.service-public.gouv.fr/provence-alpes-cote-d-azur/alpes-maritimes/de9d08f3-a6b4-4a2f-adf3-da96975e07ae" TargetMode="External" Id="rId70" /><Relationship Type="http://schemas.openxmlformats.org/officeDocument/2006/relationships/hyperlink" Target="mailto:direction.generale@carf.fr" TargetMode="External" Id="rId71" /><Relationship Type="http://schemas.openxmlformats.org/officeDocument/2006/relationships/hyperlink" Target="https://www.riviera-francaise.fr/" TargetMode="External" Id="rId72" /><Relationship Type="http://schemas.openxmlformats.org/officeDocument/2006/relationships/hyperlink" Target="https://lannuaire.service-public.gouv.fr/provence-alpes-cote-d-azur/alpes-maritimes/43576eda-b638-4dc1-90ad-1f029e1645ee" TargetMode="External" Id="rId73" /><Relationship Type="http://schemas.openxmlformats.org/officeDocument/2006/relationships/hyperlink" Target="mailto:contact@paysdegrasse.fr" TargetMode="External" Id="rId74" /><Relationship Type="http://schemas.openxmlformats.org/officeDocument/2006/relationships/hyperlink" Target="http://www.paysdegrasse.fr" TargetMode="External" Id="rId75" /><Relationship Type="http://schemas.openxmlformats.org/officeDocument/2006/relationships/hyperlink" Target="https://lannuaire.service-public.gouv.fr/provence-alpes-cote-d-azur/alpes-maritimes/17b17e6d-00a6-4796-87a9-9d35182bbea2" TargetMode="External" Id="rId76" /><Relationship Type="http://schemas.openxmlformats.org/officeDocument/2006/relationships/hyperlink" Target="https://www.nicecotedazur.org/" TargetMode="External" Id="rId77" /><Relationship Type="http://schemas.openxmlformats.org/officeDocument/2006/relationships/hyperlink" Target="https://www.nicecotedazur.org/contact/" TargetMode="External" Id="rId78" /><Relationship Type="http://schemas.openxmlformats.org/officeDocument/2006/relationships/hyperlink" Target="https://lannuaire.service-public.gouv.fr/provence-alpes-cote-d-azur/alpes-maritimes/ebf3793d-85cb-431c-bd02-b62a44a49e38" TargetMode="External" Id="rId79" /><Relationship Type="http://schemas.openxmlformats.org/officeDocument/2006/relationships/hyperlink" Target="mailto:courrier.agglo@annonayrhoneagglo.fr" TargetMode="External" Id="rId80" /><Relationship Type="http://schemas.openxmlformats.org/officeDocument/2006/relationships/hyperlink" Target="https://www.annonayrhoneagglo.fr/" TargetMode="External" Id="rId81" /><Relationship Type="http://schemas.openxmlformats.org/officeDocument/2006/relationships/hyperlink" Target="https://www.annonayrhoneagglo.fr/contact" TargetMode="External" Id="rId82" /><Relationship Type="http://schemas.openxmlformats.org/officeDocument/2006/relationships/hyperlink" Target="https://lannuaire.service-public.gouv.fr/auvergne-rhone-alpes/ardeche/32e8b582-9501-4d7c-98c9-92acafbcddc5" TargetMode="External" Id="rId83" /><Relationship Type="http://schemas.openxmlformats.org/officeDocument/2006/relationships/hyperlink" Target="mailto:accueil@archeagglo.fr" TargetMode="External" Id="rId84" /><Relationship Type="http://schemas.openxmlformats.org/officeDocument/2006/relationships/hyperlink" Target="https://www.archeagglo.fr/" TargetMode="External" Id="rId85" /><Relationship Type="http://schemas.openxmlformats.org/officeDocument/2006/relationships/hyperlink" Target="https://www.archeagglo.fr/contact/" TargetMode="External" Id="rId86" /><Relationship Type="http://schemas.openxmlformats.org/officeDocument/2006/relationships/hyperlink" Target="https://lannuaire.service-public.gouv.fr/auvergne-rhone-alpes/ardeche/6d735793-e336-4a73-b68a-7a28983fd534" TargetMode="External" Id="rId87" /><Relationship Type="http://schemas.openxmlformats.org/officeDocument/2006/relationships/hyperlink" Target="mailto:agglo@privas-centre-ardeche.fr" TargetMode="External" Id="rId88" /><Relationship Type="http://schemas.openxmlformats.org/officeDocument/2006/relationships/hyperlink" Target="https://www.privas-centre-ardeche.fr/" TargetMode="External" Id="rId89" /><Relationship Type="http://schemas.openxmlformats.org/officeDocument/2006/relationships/hyperlink" Target="https://www.privas-centre-ardeche.fr/contact/" TargetMode="External" Id="rId90" /><Relationship Type="http://schemas.openxmlformats.org/officeDocument/2006/relationships/hyperlink" Target="https://lannuaire.service-public.gouv.fr/auvergne-rhone-alpes/ardeche/f4c58669-23f8-4896-a814-5d48286ce7e5" TargetMode="External" Id="rId91" /><Relationship Type="http://schemas.openxmlformats.org/officeDocument/2006/relationships/hyperlink" Target="mailto:accueil@ardenne-metropole.fr" TargetMode="External" Id="rId92" /><Relationship Type="http://schemas.openxmlformats.org/officeDocument/2006/relationships/hyperlink" Target="https://ardenne-metropole.fr/" TargetMode="External" Id="rId93" /><Relationship Type="http://schemas.openxmlformats.org/officeDocument/2006/relationships/hyperlink" Target="https://ardenne-metropole.fr/contact/" TargetMode="External" Id="rId94" /><Relationship Type="http://schemas.openxmlformats.org/officeDocument/2006/relationships/hyperlink" Target="https://lannuaire.service-public.gouv.fr/grand-est/ardennes/7c8fe83d-2f74-464a-8782-0d1c781a33a7" TargetMode="External" Id="rId95" /><Relationship Type="http://schemas.openxmlformats.org/officeDocument/2006/relationships/hyperlink" Target="mailto:accueil@agglo-pfv.fr" TargetMode="External" Id="rId96" /><Relationship Type="http://schemas.openxmlformats.org/officeDocument/2006/relationships/hyperlink" Target="https://www.agglo-foix-varilhes.fr/" TargetMode="External" Id="rId97" /><Relationship Type="http://schemas.openxmlformats.org/officeDocument/2006/relationships/hyperlink" Target="https://www.agglo-foix-varilhes.fr/Contact/97/" TargetMode="External" Id="rId98" /><Relationship Type="http://schemas.openxmlformats.org/officeDocument/2006/relationships/hyperlink" Target="https://lannuaire.service-public.gouv.fr/occitanie/ariege/6fca2413-38c3-40ae-9ab8-08030aee6555" TargetMode="External" Id="rId99" /><Relationship Type="http://schemas.openxmlformats.org/officeDocument/2006/relationships/hyperlink" Target="mailto:accueil.tcm@troyes-cm.fr" TargetMode="External" Id="rId100" /><Relationship Type="http://schemas.openxmlformats.org/officeDocument/2006/relationships/hyperlink" Target="https://troyes-champagne-metropole.fr/" TargetMode="External" Id="rId101" /><Relationship Type="http://schemas.openxmlformats.org/officeDocument/2006/relationships/hyperlink" Target="https://lannuaire.service-public.gouv.fr/grand-est/aube/455d4194-6c9b-4b17-89a3-f2e19132a15d" TargetMode="External" Id="rId102" /><Relationship Type="http://schemas.openxmlformats.org/officeDocument/2006/relationships/hyperlink" Target="mailto:cabinet@carcassone-agglo.fr" TargetMode="External" Id="rId103" /><Relationship Type="http://schemas.openxmlformats.org/officeDocument/2006/relationships/hyperlink" Target="https://www.carcassonne-agglo.fr" TargetMode="External" Id="rId104" /><Relationship Type="http://schemas.openxmlformats.org/officeDocument/2006/relationships/hyperlink" Target="https://www.carcassonne-agglo.fr/fr/contact.html" TargetMode="External" Id="rId105" /><Relationship Type="http://schemas.openxmlformats.org/officeDocument/2006/relationships/hyperlink" Target="https://lannuaire.service-public.gouv.fr/occitanie/aude/03ad4bc6-785f-4857-a955-6417151d37f2" TargetMode="External" Id="rId106" /><Relationship Type="http://schemas.openxmlformats.org/officeDocument/2006/relationships/hyperlink" Target="mailto:contact@legrandnarbonne.com" TargetMode="External" Id="rId107" /><Relationship Type="http://schemas.openxmlformats.org/officeDocument/2006/relationships/hyperlink" Target="https://www.legrandnarbonne.com/" TargetMode="External" Id="rId108" /><Relationship Type="http://schemas.openxmlformats.org/officeDocument/2006/relationships/hyperlink" Target="https://www.legrandnarbonne.com/contact" TargetMode="External" Id="rId109" /><Relationship Type="http://schemas.openxmlformats.org/officeDocument/2006/relationships/hyperlink" Target="https://lannuaire.service-public.gouv.fr/occitanie/aude/6e6204c9-67dc-4f94-bb06-454971b76038" TargetMode="External" Id="rId110" /><Relationship Type="http://schemas.openxmlformats.org/officeDocument/2006/relationships/hyperlink" Target="mailto:rodezagglomeration@rodezagglo.fr" TargetMode="External" Id="rId111" /><Relationship Type="http://schemas.openxmlformats.org/officeDocument/2006/relationships/hyperlink" Target="https://www.rodezagglo.fr" TargetMode="External" Id="rId112" /><Relationship Type="http://schemas.openxmlformats.org/officeDocument/2006/relationships/hyperlink" Target="https://www.rodezagglo.fr/contact/" TargetMode="External" Id="rId113" /><Relationship Type="http://schemas.openxmlformats.org/officeDocument/2006/relationships/hyperlink" Target="https://lannuaire.service-public.gouv.fr/occitanie/aveyron/577968cc-400a-46b5-804c-f0d6db15efb6" TargetMode="External" Id="rId114" /><Relationship Type="http://schemas.openxmlformats.org/officeDocument/2006/relationships/hyperlink" Target="mailto:accueil@terredeprovence-agglo.com" TargetMode="External" Id="rId115" /><Relationship Type="http://schemas.openxmlformats.org/officeDocument/2006/relationships/hyperlink" Target="https://www.terredeprovence-agglo.com/page/eyragues" TargetMode="External" Id="rId116" /><Relationship Type="http://schemas.openxmlformats.org/officeDocument/2006/relationships/hyperlink" Target="https://www.terredeprovence-agglo.com/contact" TargetMode="External" Id="rId117" /><Relationship Type="http://schemas.openxmlformats.org/officeDocument/2006/relationships/hyperlink" Target="https://lannuaire.service-public.gouv.fr/provence-alpes-cote-d-azur/bouches-du-rhone/21bdaedc-c696-4757-a8b1-ee99a085d33f" TargetMode="External" Id="rId118" /><Relationship Type="http://schemas.openxmlformats.org/officeDocument/2006/relationships/hyperlink" Target="mailto:lepresident@agglo-accm.fr" TargetMode="External" Id="rId119" /><Relationship Type="http://schemas.openxmlformats.org/officeDocument/2006/relationships/hyperlink" Target="https://www.agglo-accm.fr/" TargetMode="External" Id="rId120" /><Relationship Type="http://schemas.openxmlformats.org/officeDocument/2006/relationships/hyperlink" Target="https://lannuaire.service-public.gouv.fr/provence-alpes-cote-d-azur/bouches-du-rhone/a77a7333-9766-4581-afad-684d31aa67b5" TargetMode="External" Id="rId121" /><Relationship Type="http://schemas.openxmlformats.org/officeDocument/2006/relationships/hyperlink" Target="https://ampmetropole.fr/" TargetMode="External" Id="rId122" /><Relationship Type="http://schemas.openxmlformats.org/officeDocument/2006/relationships/hyperlink" Target="https://ampmetropole.fr/nous-contacter/" TargetMode="External" Id="rId123" /><Relationship Type="http://schemas.openxmlformats.org/officeDocument/2006/relationships/hyperlink" Target="https://lannuaire.service-public.gouv.fr/provence-alpes-cote-d-azur/bouches-du-rhone/b1334731-396e-456d-8f9d-2e3868d6c688" TargetMode="External" Id="rId124" /><Relationship Type="http://schemas.openxmlformats.org/officeDocument/2006/relationships/hyperlink" Target="mailto:secretariat@agglo-lisieux.fr" TargetMode="External" Id="rId125" /><Relationship Type="http://schemas.openxmlformats.org/officeDocument/2006/relationships/hyperlink" Target="https://lisieux-normandie.fr/" TargetMode="External" Id="rId126" /><Relationship Type="http://schemas.openxmlformats.org/officeDocument/2006/relationships/hyperlink" Target="https://lisieux-normandie.fr/contact/" TargetMode="External" Id="rId127" /><Relationship Type="http://schemas.openxmlformats.org/officeDocument/2006/relationships/hyperlink" Target="https://lannuaire.service-public.gouv.fr/normandie/calvados/d340c45c-a8c3-452a-9dd2-fcbbe77ad842" TargetMode="External" Id="rId128" /><Relationship Type="http://schemas.openxmlformats.org/officeDocument/2006/relationships/hyperlink" Target="mailto:caenlamer@caenlamer.fr" TargetMode="External" Id="rId129" /><Relationship Type="http://schemas.openxmlformats.org/officeDocument/2006/relationships/hyperlink" Target="https://caenlamer.fr/" TargetMode="External" Id="rId130" /><Relationship Type="http://schemas.openxmlformats.org/officeDocument/2006/relationships/hyperlink" Target="https://caenlamer.fr/formulaire/contact" TargetMode="External" Id="rId131" /><Relationship Type="http://schemas.openxmlformats.org/officeDocument/2006/relationships/hyperlink" Target="https://lannuaire.service-public.gouv.fr/normandie/calvados/95128487-1958-49c5-a4ca-3cacf3cd0a05" TargetMode="External" Id="rId132" /><Relationship Type="http://schemas.openxmlformats.org/officeDocument/2006/relationships/hyperlink" Target="mailto:contact@caba.fr" TargetMode="External" Id="rId133" /><Relationship Type="http://schemas.openxmlformats.org/officeDocument/2006/relationships/hyperlink" Target="https://www.caba.fr/fr/" TargetMode="External" Id="rId134" /><Relationship Type="http://schemas.openxmlformats.org/officeDocument/2006/relationships/hyperlink" Target="https://www.caba.fr/fr/contact/" TargetMode="External" Id="rId135" /><Relationship Type="http://schemas.openxmlformats.org/officeDocument/2006/relationships/hyperlink" Target="https://lannuaire.service-public.gouv.fr/auvergne-rhone-alpes/cantal/043db1ce-a865-4d71-b1ac-c188793066d5" TargetMode="External" Id="rId136" /><Relationship Type="http://schemas.openxmlformats.org/officeDocument/2006/relationships/hyperlink" Target="mailto:contact@grandangouleme.fr" TargetMode="External" Id="rId137" /><Relationship Type="http://schemas.openxmlformats.org/officeDocument/2006/relationships/hyperlink" Target="https://www.grandangouleme.fr/" TargetMode="External" Id="rId138" /><Relationship Type="http://schemas.openxmlformats.org/officeDocument/2006/relationships/hyperlink" Target="https://lannuaire.service-public.gouv.fr/nouvelle-aquitaine/charente/3f329b4f-5e24-4ce7-b2c5-05616ee62307" TargetMode="External" Id="rId139" /><Relationship Type="http://schemas.openxmlformats.org/officeDocument/2006/relationships/hyperlink" Target="mailto:contact@grand-cognac.fr" TargetMode="External" Id="rId140" /><Relationship Type="http://schemas.openxmlformats.org/officeDocument/2006/relationships/hyperlink" Target="https://www.grand-cognac.fr/" TargetMode="External" Id="rId141" /><Relationship Type="http://schemas.openxmlformats.org/officeDocument/2006/relationships/hyperlink" Target="https://www.grand-cognac.fr/nous-contacter" TargetMode="External" Id="rId142" /><Relationship Type="http://schemas.openxmlformats.org/officeDocument/2006/relationships/hyperlink" Target="https://lannuaire.service-public.gouv.fr/nouvelle-aquitaine/charente/eabefdf6-c8ff-45a6-9e99-0cb25ee7ec56" TargetMode="External" Id="rId143" /><Relationship Type="http://schemas.openxmlformats.org/officeDocument/2006/relationships/hyperlink" Target="mailto:info@agglo-saintes.fr" TargetMode="External" Id="rId144" /><Relationship Type="http://schemas.openxmlformats.org/officeDocument/2006/relationships/hyperlink" Target="https://www.agglo-saintes.fr/" TargetMode="External" Id="rId145" /><Relationship Type="http://schemas.openxmlformats.org/officeDocument/2006/relationships/hyperlink" Target="https://lannuaire.service-public.gouv.fr/nouvelle-aquitaine/charente-maritime/09ef2bb5-de2c-4dfa-8339-40438bc212de" TargetMode="External" Id="rId146" /><Relationship Type="http://schemas.openxmlformats.org/officeDocument/2006/relationships/hyperlink" Target="mailto:contact@agglo-rochefortocean.fr" TargetMode="External" Id="rId147" /><Relationship Type="http://schemas.openxmlformats.org/officeDocument/2006/relationships/hyperlink" Target="https://www.agglo-rochefortocean.fr/" TargetMode="External" Id="rId148" /><Relationship Type="http://schemas.openxmlformats.org/officeDocument/2006/relationships/hyperlink" Target="https://www.agglo-rochefortocean.fr/contact" TargetMode="External" Id="rId149" /><Relationship Type="http://schemas.openxmlformats.org/officeDocument/2006/relationships/hyperlink" Target="https://lannuaire.service-public.gouv.fr/nouvelle-aquitaine/charente-maritime/8306682f-f64e-4c61-804d-d0fc19b6e8c6" TargetMode="External" Id="rId150" /><Relationship Type="http://schemas.openxmlformats.org/officeDocument/2006/relationships/hyperlink" Target="mailto:contact@agglo-royan.fr" TargetMode="External" Id="rId151" /><Relationship Type="http://schemas.openxmlformats.org/officeDocument/2006/relationships/hyperlink" Target="https://www.agglo-royan.fr/" TargetMode="External" Id="rId152" /><Relationship Type="http://schemas.openxmlformats.org/officeDocument/2006/relationships/hyperlink" Target="https://lannuaire.service-public.gouv.fr/nouvelle-aquitaine/charente-maritime/dbb8caeb-a95c-4578-a92e-53fbe46d54c8" TargetMode="External" Id="rId153" /><Relationship Type="http://schemas.openxmlformats.org/officeDocument/2006/relationships/hyperlink" Target="mailto:accueil@agglo-larochelle.fr" TargetMode="External" Id="rId154" /><Relationship Type="http://schemas.openxmlformats.org/officeDocument/2006/relationships/hyperlink" Target="https://www.agglo-larochelle.fr/" TargetMode="External" Id="rId155" /><Relationship Type="http://schemas.openxmlformats.org/officeDocument/2006/relationships/hyperlink" Target="https://www.agglo-larochelle.fr/contacter-l-agglo" TargetMode="External" Id="rId156" /><Relationship Type="http://schemas.openxmlformats.org/officeDocument/2006/relationships/hyperlink" Target="https://lannuaire.service-public.gouv.fr/nouvelle-aquitaine/charente-maritime/4829690c-ce89-4cd6-8f8c-5aa4eae83f99" TargetMode="External" Id="rId157" /><Relationship Type="http://schemas.openxmlformats.org/officeDocument/2006/relationships/hyperlink" Target="mailto:service.clientele@agglo-bourgesplus.fr" TargetMode="External" Id="rId158" /><Relationship Type="http://schemas.openxmlformats.org/officeDocument/2006/relationships/hyperlink" Target="https://www.agglo-bourgesplus.fr/" TargetMode="External" Id="rId159" /><Relationship Type="http://schemas.openxmlformats.org/officeDocument/2006/relationships/hyperlink" Target="https://lannuaire.service-public.gouv.fr/centre-val-de-loire/cher/32a6d646-b93b-48d9-8505-06664035e126" TargetMode="External" Id="rId160" /><Relationship Type="http://schemas.openxmlformats.org/officeDocument/2006/relationships/hyperlink" Target="mailto:tulleagglo@tulleagglo.fr" TargetMode="External" Id="rId161" /><Relationship Type="http://schemas.openxmlformats.org/officeDocument/2006/relationships/hyperlink" Target="https://www.tulleagglo.fr/" TargetMode="External" Id="rId162" /><Relationship Type="http://schemas.openxmlformats.org/officeDocument/2006/relationships/hyperlink" Target="https://www.tulleagglo.fr/nous-contacter/" TargetMode="External" Id="rId163" /><Relationship Type="http://schemas.openxmlformats.org/officeDocument/2006/relationships/hyperlink" Target="https://lannuaire.service-public.gouv.fr/nouvelle-aquitaine/correze/7ebd3fe4-fde4-472e-85d2-0478f2aaa09d" TargetMode="External" Id="rId164" /><Relationship Type="http://schemas.openxmlformats.org/officeDocument/2006/relationships/hyperlink" Target="mailto:contact@agglodebrive.fr" TargetMode="External" Id="rId165" /><Relationship Type="http://schemas.openxmlformats.org/officeDocument/2006/relationships/hyperlink" Target="http://www.agglodebrive.fr" TargetMode="External" Id="rId166" /><Relationship Type="http://schemas.openxmlformats.org/officeDocument/2006/relationships/hyperlink" Target="http://www.agglodebrive.fr/contactez-nous/" TargetMode="External" Id="rId167" /><Relationship Type="http://schemas.openxmlformats.org/officeDocument/2006/relationships/hyperlink" Target="https://lannuaire.service-public.gouv.fr/nouvelle-aquitaine/correze/58e78040-18d0-4384-a2ec-482634091e08" TargetMode="External" Id="rId168" /><Relationship Type="http://schemas.openxmlformats.org/officeDocument/2006/relationships/hyperlink" Target="mailto:dgs@beaunecoteetsud.com" TargetMode="External" Id="rId169" /><Relationship Type="http://schemas.openxmlformats.org/officeDocument/2006/relationships/hyperlink" Target="https://www.beaunecoteetsud.com/" TargetMode="External" Id="rId170" /><Relationship Type="http://schemas.openxmlformats.org/officeDocument/2006/relationships/hyperlink" Target="https://lannuaire.service-public.gouv.fr/bourgogne-franche-comte/cote-d-or/2541a6a7-3b3e-461e-bb52-9edfc742f593" TargetMode="External" Id="rId171" /><Relationship Type="http://schemas.openxmlformats.org/officeDocument/2006/relationships/hyperlink" Target="mailto:contact@metropole-dijon.fr" TargetMode="External" Id="rId172" /><Relationship Type="http://schemas.openxmlformats.org/officeDocument/2006/relationships/hyperlink" Target="https://www.dijon-metropole.fr/" TargetMode="External" Id="rId173" /><Relationship Type="http://schemas.openxmlformats.org/officeDocument/2006/relationships/hyperlink" Target="https://www.dijon-metropole.fr/nous-ecrire/" TargetMode="External" Id="rId174" /><Relationship Type="http://schemas.openxmlformats.org/officeDocument/2006/relationships/hyperlink" Target="https://lannuaire.service-public.gouv.fr/bourgogne-franche-comte/cote-d-or/5e1cd4d6-055a-4c7f-a09c-4c18ff3b944a" TargetMode="External" Id="rId175" /><Relationship Type="http://schemas.openxmlformats.org/officeDocument/2006/relationships/hyperlink" Target="mailto:contact@dinan-agglomeration.fr" TargetMode="External" Id="rId176" /><Relationship Type="http://schemas.openxmlformats.org/officeDocument/2006/relationships/hyperlink" Target="https://www.dinan-agglomeration.fr/" TargetMode="External" Id="rId177" /><Relationship Type="http://schemas.openxmlformats.org/officeDocument/2006/relationships/hyperlink" Target="https://www.dinan-agglomeration.fr/Nous-contacter" TargetMode="External" Id="rId178" /><Relationship Type="http://schemas.openxmlformats.org/officeDocument/2006/relationships/hyperlink" Target="https://lannuaire.service-public.gouv.fr/bretagne/cotes-d-armor/acf842eb-67f2-474c-8d9f-91a4fdb9122e" TargetMode="External" Id="rId179" /><Relationship Type="http://schemas.openxmlformats.org/officeDocument/2006/relationships/hyperlink" Target="mailto:contact@guingamp-paimpol.bzh" TargetMode="External" Id="rId180" /><Relationship Type="http://schemas.openxmlformats.org/officeDocument/2006/relationships/hyperlink" Target="https://www.guingamp-paimpol-agglo.bzh/" TargetMode="External" Id="rId181" /><Relationship Type="http://schemas.openxmlformats.org/officeDocument/2006/relationships/hyperlink" Target="https://www.guingamp-paimpol-agglo.bzh/nous-contacter/" TargetMode="External" Id="rId182" /><Relationship Type="http://schemas.openxmlformats.org/officeDocument/2006/relationships/hyperlink" Target="https://lannuaire.service-public.gouv.fr/bretagne/cotes-d-armor/98890f92-fe8f-479f-b7c8-fe9d2e9e8383" TargetMode="External" Id="rId183" /><Relationship Type="http://schemas.openxmlformats.org/officeDocument/2006/relationships/hyperlink" Target="mailto:contact@lamballe-terre-mer.bzh" TargetMode="External" Id="rId184" /><Relationship Type="http://schemas.openxmlformats.org/officeDocument/2006/relationships/hyperlink" Target="https://www.lamballe-terre-mer.bzh/accueil" TargetMode="External" Id="rId185" /><Relationship Type="http://schemas.openxmlformats.org/officeDocument/2006/relationships/hyperlink" Target="https://lannuaire.service-public.gouv.fr/bretagne/cotes-d-armor/1fafcb91-af73-4cea-b494-f9c75583ebfd" TargetMode="External" Id="rId186" /><Relationship Type="http://schemas.openxmlformats.org/officeDocument/2006/relationships/hyperlink" Target="mailto:contact@lannion-tregor.com" TargetMode="External" Id="rId187" /><Relationship Type="http://schemas.openxmlformats.org/officeDocument/2006/relationships/hyperlink" Target="https://www.lannion-tregor.com/" TargetMode="External" Id="rId188" /><Relationship Type="http://schemas.openxmlformats.org/officeDocument/2006/relationships/hyperlink" Target="https://www.lannion-tregor.com/fr/contact.html" TargetMode="External" Id="rId189" /><Relationship Type="http://schemas.openxmlformats.org/officeDocument/2006/relationships/hyperlink" Target="https://lannuaire.service-public.gouv.fr/bretagne/cotes-d-armor/bd1eb6f2-93fe-4868-88ac-6678d2b6efde" TargetMode="External" Id="rId190" /><Relationship Type="http://schemas.openxmlformats.org/officeDocument/2006/relationships/hyperlink" Target="mailto:accueil@sbaa.fr" TargetMode="External" Id="rId191" /><Relationship Type="http://schemas.openxmlformats.org/officeDocument/2006/relationships/hyperlink" Target="https://www.saintbrieuc-armor-agglo.bzh/" TargetMode="External" Id="rId192" /><Relationship Type="http://schemas.openxmlformats.org/officeDocument/2006/relationships/hyperlink" Target="https://www.saintbrieuc-armor-agglo.bzh/pages-pratiques/contact" TargetMode="External" Id="rId193" /><Relationship Type="http://schemas.openxmlformats.org/officeDocument/2006/relationships/hyperlink" Target="https://lannuaire.service-public.gouv.fr/bretagne/cotes-d-armor/72b96b1a-67d0-4700-8e6f-0e5f829d814d" TargetMode="External" Id="rId194" /><Relationship Type="http://schemas.openxmlformats.org/officeDocument/2006/relationships/hyperlink" Target="mailto:direction.generale@agglo-grandgueret.fr" TargetMode="External" Id="rId195" /><Relationship Type="http://schemas.openxmlformats.org/officeDocument/2006/relationships/hyperlink" Target="https://www.agglo-grandgueret.fr/" TargetMode="External" Id="rId196" /><Relationship Type="http://schemas.openxmlformats.org/officeDocument/2006/relationships/hyperlink" Target="https://lannuaire.service-public.gouv.fr/nouvelle-aquitaine/creuse/11b3f616-22c6-4e0d-b593-c83c9da31b31" TargetMode="External" Id="rId197" /><Relationship Type="http://schemas.openxmlformats.org/officeDocument/2006/relationships/hyperlink" Target="mailto:contact@la-cab.fr" TargetMode="External" Id="rId198" /><Relationship Type="http://schemas.openxmlformats.org/officeDocument/2006/relationships/hyperlink" Target="https://www.la-cab.fr/" TargetMode="External" Id="rId199" /><Relationship Type="http://schemas.openxmlformats.org/officeDocument/2006/relationships/hyperlink" Target="https://www.la-cab.fr/contact/" TargetMode="External" Id="rId200" /><Relationship Type="http://schemas.openxmlformats.org/officeDocument/2006/relationships/hyperlink" Target="https://lannuaire.service-public.gouv.fr/nouvelle-aquitaine/dordogne/36e84de1-06cd-44c9-a835-87515b97f146" TargetMode="External" Id="rId201" /><Relationship Type="http://schemas.openxmlformats.org/officeDocument/2006/relationships/hyperlink" Target="mailto:contact@grandperigueux.fr" TargetMode="External" Id="rId202" /><Relationship Type="http://schemas.openxmlformats.org/officeDocument/2006/relationships/hyperlink" Target="https://www.grandperigueux.fr/" TargetMode="External" Id="rId203" /><Relationship Type="http://schemas.openxmlformats.org/officeDocument/2006/relationships/hyperlink" Target="https://www.grandperigueux.fr/informations-pratiques/contact" TargetMode="External" Id="rId204" /><Relationship Type="http://schemas.openxmlformats.org/officeDocument/2006/relationships/hyperlink" Target="https://lannuaire.service-public.gouv.fr/nouvelle-aquitaine/dordogne/99794583-62bc-4ea8-861c-51ce457e918f" TargetMode="External" Id="rId205" /><Relationship Type="http://schemas.openxmlformats.org/officeDocument/2006/relationships/hyperlink" Target="https://www.agglo-montbeliard.fr/" TargetMode="External" Id="rId206" /><Relationship Type="http://schemas.openxmlformats.org/officeDocument/2006/relationships/hyperlink" Target="https://www.agglo-montbeliard.fr/contact" TargetMode="External" Id="rId207" /><Relationship Type="http://schemas.openxmlformats.org/officeDocument/2006/relationships/hyperlink" Target="https://lannuaire.service-public.gouv.fr/bourgogne-franche-comte/doubs/391918a0-18bb-467f-8c91-d94088efcde8" TargetMode="External" Id="rId208" /><Relationship Type="http://schemas.openxmlformats.org/officeDocument/2006/relationships/hyperlink" Target="mailto:contact.gbm@grandbesancon.fr" TargetMode="External" Id="rId209" /><Relationship Type="http://schemas.openxmlformats.org/officeDocument/2006/relationships/hyperlink" Target="https://www.grandbesancon.fr/" TargetMode="External" Id="rId210" /><Relationship Type="http://schemas.openxmlformats.org/officeDocument/2006/relationships/hyperlink" Target="https://www.grandbesancon.fr/grand-besancon-metropole-nous-contacter/" TargetMode="External" Id="rId211" /><Relationship Type="http://schemas.openxmlformats.org/officeDocument/2006/relationships/hyperlink" Target="https://lannuaire.service-public.gouv.fr/bourgogne-franche-comte/doubs/4a954010-1afe-472b-9d3f-f471cf546500" TargetMode="External" Id="rId212" /><Relationship Type="http://schemas.openxmlformats.org/officeDocument/2006/relationships/hyperlink" Target="mailto:contact@montelimar-agglo.fr" TargetMode="External" Id="rId213" /><Relationship Type="http://schemas.openxmlformats.org/officeDocument/2006/relationships/hyperlink" Target="https://www.montelimar-agglo.fr/" TargetMode="External" Id="rId214" /><Relationship Type="http://schemas.openxmlformats.org/officeDocument/2006/relationships/hyperlink" Target="https://www.montelimar-agglo.fr/vie-quotidienne/contact" TargetMode="External" Id="rId215" /><Relationship Type="http://schemas.openxmlformats.org/officeDocument/2006/relationships/hyperlink" Target="https://lannuaire.service-public.gouv.fr/auvergne-rhone-alpes/drome/e3dfe242-624f-4114-b34b-45bca540ccf1" TargetMode="External" Id="rId216" /><Relationship Type="http://schemas.openxmlformats.org/officeDocument/2006/relationships/hyperlink" Target="mailto:accueil@valenceromansagglo.fr" TargetMode="External" Id="rId217" /><Relationship Type="http://schemas.openxmlformats.org/officeDocument/2006/relationships/hyperlink" Target="https://www.valenceromansagglo.fr/fr/index.html" TargetMode="External" Id="rId218" /><Relationship Type="http://schemas.openxmlformats.org/officeDocument/2006/relationships/hyperlink" Target="https://lannuaire.service-public.gouv.fr/auvergne-rhone-alpes/drome/7f0de546-5ef7-4c28-9831-842f6b78ab78" TargetMode="External" Id="rId219" /><Relationship Type="http://schemas.openxmlformats.org/officeDocument/2006/relationships/hyperlink" Target="mailto:contact@dreux-agglomeration.fr" TargetMode="External" Id="rId220" /><Relationship Type="http://schemas.openxmlformats.org/officeDocument/2006/relationships/hyperlink" Target="https://www.dreux-agglomeration.fr/" TargetMode="External" Id="rId221" /><Relationship Type="http://schemas.openxmlformats.org/officeDocument/2006/relationships/hyperlink" Target="https://www.dreux-agglomeration.fr/nous-contacter/" TargetMode="External" Id="rId222" /><Relationship Type="http://schemas.openxmlformats.org/officeDocument/2006/relationships/hyperlink" Target="https://lannuaire.service-public.gouv.fr/centre-val-de-loire/eure-et-loir/cd135617-cbf4-49e4-9221-a83f5942243f" TargetMode="External" Id="rId223" /><Relationship Type="http://schemas.openxmlformats.org/officeDocument/2006/relationships/hyperlink" Target="mailto:dgs@epn-agglo.fr" TargetMode="External" Id="rId224" /><Relationship Type="http://schemas.openxmlformats.org/officeDocument/2006/relationships/hyperlink" Target="https://evreuxportesdenormandie.fr/" TargetMode="External" Id="rId225" /><Relationship Type="http://schemas.openxmlformats.org/officeDocument/2006/relationships/hyperlink" Target="https://lannuaire.service-public.gouv.fr/normandie/eure/cff36589-4122-4ced-906f-cae5af481abe" TargetMode="External" Id="rId226" /><Relationship Type="http://schemas.openxmlformats.org/officeDocument/2006/relationships/hyperlink" Target="mailto:accueil@sna27.fr" TargetMode="External" Id="rId227" /><Relationship Type="http://schemas.openxmlformats.org/officeDocument/2006/relationships/hyperlink" Target="https://www.sna27.fr/" TargetMode="External" Id="rId228" /><Relationship Type="http://schemas.openxmlformats.org/officeDocument/2006/relationships/hyperlink" Target="https://www.sna27.fr/nous-contacter/" TargetMode="External" Id="rId229" /><Relationship Type="http://schemas.openxmlformats.org/officeDocument/2006/relationships/hyperlink" Target="https://lannuaire.service-public.gouv.fr/normandie/eure/b073eb56-dc96-426b-bfda-389f0bf4950c" TargetMode="External" Id="rId230" /><Relationship Type="http://schemas.openxmlformats.org/officeDocument/2006/relationships/hyperlink" Target="mailto:agglo@seine-eure.com" TargetMode="External" Id="rId231" /><Relationship Type="http://schemas.openxmlformats.org/officeDocument/2006/relationships/hyperlink" Target="https://www.agglo-seine-eure.fr" TargetMode="External" Id="rId232" /><Relationship Type="http://schemas.openxmlformats.org/officeDocument/2006/relationships/hyperlink" Target="https://formulaires.demarches.seine-eure.fr/contact/contacter-agglomeration-seine-eure/" TargetMode="External" Id="rId233" /><Relationship Type="http://schemas.openxmlformats.org/officeDocument/2006/relationships/hyperlink" Target="https://lannuaire.service-public.gouv.fr/normandie/eure/6bff501d-4cd5-49a7-9151-746c6196eda5" TargetMode="External" Id="rId234" /><Relationship Type="http://schemas.openxmlformats.org/officeDocument/2006/relationships/hyperlink" Target="mailto:contact@agglo-ville.chartres.fr" TargetMode="External" Id="rId235" /><Relationship Type="http://schemas.openxmlformats.org/officeDocument/2006/relationships/hyperlink" Target="https://www.chartres-metropole.fr/" TargetMode="External" Id="rId236" /><Relationship Type="http://schemas.openxmlformats.org/officeDocument/2006/relationships/hyperlink" Target="https://www.chartres-metropole.fr/contacts" TargetMode="External" Id="rId237" /><Relationship Type="http://schemas.openxmlformats.org/officeDocument/2006/relationships/hyperlink" Target="https://lannuaire.service-public.gouv.fr/centre-val-de-loire/eure-et-loir/eb9313cf-a218-4554-aed0-17171be25368" TargetMode="External" Id="rId238" /><Relationship Type="http://schemas.openxmlformats.org/officeDocument/2006/relationships/hyperlink" Target="mailto:contact@brest-metropole.fr" TargetMode="External" Id="rId239" /><Relationship Type="http://schemas.openxmlformats.org/officeDocument/2006/relationships/hyperlink" Target="https://brest.fr/" TargetMode="External" Id="rId240" /><Relationship Type="http://schemas.openxmlformats.org/officeDocument/2006/relationships/hyperlink" Target="https://brest.fr/contacter-nos-services" TargetMode="External" Id="rId241" /><Relationship Type="http://schemas.openxmlformats.org/officeDocument/2006/relationships/hyperlink" Target="https://lannuaire.service-public.gouv.fr/bretagne/finistere/118a2e23-7918-43f9-a77a-09cf61e56bdf" TargetMode="External" Id="rId242" /><Relationship Type="http://schemas.openxmlformats.org/officeDocument/2006/relationships/hyperlink" Target="mailto:contact@cca.bzh" TargetMode="External" Id="rId243" /><Relationship Type="http://schemas.openxmlformats.org/officeDocument/2006/relationships/hyperlink" Target="https://www.cca.bzh/" TargetMode="External" Id="rId244" /><Relationship Type="http://schemas.openxmlformats.org/officeDocument/2006/relationships/hyperlink" Target="https://www.cca.bzh/contactez-nous/" TargetMode="External" Id="rId245" /><Relationship Type="http://schemas.openxmlformats.org/officeDocument/2006/relationships/hyperlink" Target="https://lannuaire.service-public.gouv.fr/bretagne/finistere/388f6841-9593-4d2b-96d2-6c42bdc4bb30" TargetMode="External" Id="rId246" /><Relationship Type="http://schemas.openxmlformats.org/officeDocument/2006/relationships/hyperlink" Target="mailto:contact@agglo.morlaix.fr" TargetMode="External" Id="rId247" /><Relationship Type="http://schemas.openxmlformats.org/officeDocument/2006/relationships/hyperlink" Target="https://www.morlaix-communaute.bzh/" TargetMode="External" Id="rId248" /><Relationship Type="http://schemas.openxmlformats.org/officeDocument/2006/relationships/hyperlink" Target="https://www.morlaix-communaute.bzh/contact" TargetMode="External" Id="rId249" /><Relationship Type="http://schemas.openxmlformats.org/officeDocument/2006/relationships/hyperlink" Target="https://lannuaire.service-public.gouv.fr/bretagne/finistere/ff97fd39-e15d-4d43-8d8c-0a805d859a72" TargetMode="External" Id="rId250" /><Relationship Type="http://schemas.openxmlformats.org/officeDocument/2006/relationships/hyperlink" Target="mailto:contact@quimper.bzh" TargetMode="External" Id="rId251" /><Relationship Type="http://schemas.openxmlformats.org/officeDocument/2006/relationships/hyperlink" Target="https://www.quimper-bretagne-occidentale.bzh/" TargetMode="External" Id="rId252" /><Relationship Type="http://schemas.openxmlformats.org/officeDocument/2006/relationships/hyperlink" Target="https://www.quimper-bretagne-occidentale.bzh/324-contact.htm" TargetMode="External" Id="rId253" /><Relationship Type="http://schemas.openxmlformats.org/officeDocument/2006/relationships/hyperlink" Target="https://lannuaire.service-public.gouv.fr/bretagne/finistere/78d0cdcc-418e-4d60-90cc-df1422330578" TargetMode="External" Id="rId254" /><Relationship Type="http://schemas.openxmlformats.org/officeDocument/2006/relationships/hyperlink" Target="mailto:contact@quimperle-co.bzh" TargetMode="External" Id="rId255" /><Relationship Type="http://schemas.openxmlformats.org/officeDocument/2006/relationships/hyperlink" Target="https://www.quimperle-communaute.bzh/" TargetMode="External" Id="rId256" /><Relationship Type="http://schemas.openxmlformats.org/officeDocument/2006/relationships/hyperlink" Target="https://www.quimperle-communaute.bzh/nous-contacter" TargetMode="External" Id="rId257" /><Relationship Type="http://schemas.openxmlformats.org/officeDocument/2006/relationships/hyperlink" Target="https://lannuaire.service-public.gouv.fr/bretagne/finistere/4a1e25da-8442-4cdf-a6d8-0250aceb67db" TargetMode="External" Id="rId258" /><Relationship Type="http://schemas.openxmlformats.org/officeDocument/2006/relationships/hyperlink" Target="mailto:assemblees@capld.bzh" TargetMode="External" Id="rId259" /><Relationship Type="http://schemas.openxmlformats.org/officeDocument/2006/relationships/hyperlink" Target="https://www.pays-landerneau-daoulas.fr/" TargetMode="External" Id="rId260" /><Relationship Type="http://schemas.openxmlformats.org/officeDocument/2006/relationships/hyperlink" Target="https://www.pays-landerneau-daoulas.fr/systeme/nous-contacter/" TargetMode="External" Id="rId261" /><Relationship Type="http://schemas.openxmlformats.org/officeDocument/2006/relationships/hyperlink" Target="https://lannuaire.service-public.gouv.fr/bretagne/finistere/a2dde166-94fa-4bd3-a957-36c884e81b10" TargetMode="External" Id="rId262" /><Relationship Type="http://schemas.openxmlformats.org/officeDocument/2006/relationships/hyperlink" Target="mailto:contact@ca-ajaccien.fr" TargetMode="External" Id="rId263" /><Relationship Type="http://schemas.openxmlformats.org/officeDocument/2006/relationships/hyperlink" Target="https://www.ca-ajaccien.corsica/" TargetMode="External" Id="rId264" /><Relationship Type="http://schemas.openxmlformats.org/officeDocument/2006/relationships/hyperlink" Target="https://lannuaire.service-public.gouv.fr/corse/corse-du-sud/6aed69f9-1ea4-4b35-8190-fa6bc29f0899" TargetMode="External" Id="rId265" /><Relationship Type="http://schemas.openxmlformats.org/officeDocument/2006/relationships/hyperlink" Target="mailto:contact@agglo-bastia.corsica" TargetMode="External" Id="rId266" /><Relationship Type="http://schemas.openxmlformats.org/officeDocument/2006/relationships/hyperlink" Target="https://www.bastia-agglomeration.corsica/" TargetMode="External" Id="rId267" /><Relationship Type="http://schemas.openxmlformats.org/officeDocument/2006/relationships/hyperlink" Target="https://www.bastia-agglomeration.corsica/contact/" TargetMode="External" Id="rId268" /><Relationship Type="http://schemas.openxmlformats.org/officeDocument/2006/relationships/hyperlink" Target="https://lannuaire.service-public.gouv.fr/corse/haute-corse/4d2fa6f9-0111-4544-b42d-45fdd7e8e56b" TargetMode="External" Id="rId269" /><Relationship Type="http://schemas.openxmlformats.org/officeDocument/2006/relationships/hyperlink" Target="mailto:accueil.atome@alesagglo.fr" TargetMode="External" Id="rId270" /><Relationship Type="http://schemas.openxmlformats.org/officeDocument/2006/relationships/hyperlink" Target="https://www.ales.fr" TargetMode="External" Id="rId271" /><Relationship Type="http://schemas.openxmlformats.org/officeDocument/2006/relationships/hyperlink" Target="https://www.ales.fr/contact/" TargetMode="External" Id="rId272" /><Relationship Type="http://schemas.openxmlformats.org/officeDocument/2006/relationships/hyperlink" Target="https://lannuaire.service-public.gouv.fr/occitanie/gard/8efdd582-964f-4f45-aae2-43f4c29e0503" TargetMode="External" Id="rId273" /><Relationship Type="http://schemas.openxmlformats.org/officeDocument/2006/relationships/hyperlink" Target="https://www.nimes-metropole.fr/accueil.html" TargetMode="External" Id="rId274" /><Relationship Type="http://schemas.openxmlformats.org/officeDocument/2006/relationships/hyperlink" Target="https://www.nimes-metropole.fr/contact-presse.html" TargetMode="External" Id="rId275" /><Relationship Type="http://schemas.openxmlformats.org/officeDocument/2006/relationships/hyperlink" Target="https://lannuaire.service-public.gouv.fr/occitanie/gard/55f805c7-f216-4d91-854c-3924871f20bf" TargetMode="External" Id="rId276" /><Relationship Type="http://schemas.openxmlformats.org/officeDocument/2006/relationships/hyperlink" Target="mailto:agglo@gardrhodanien.fr" TargetMode="External" Id="rId277" /><Relationship Type="http://schemas.openxmlformats.org/officeDocument/2006/relationships/hyperlink" Target="https://www.gardrhodanien.fr/" TargetMode="External" Id="rId278" /><Relationship Type="http://schemas.openxmlformats.org/officeDocument/2006/relationships/hyperlink" Target="https://www.gardrhodanien.fr/nous-contacter/" TargetMode="External" Id="rId279" /><Relationship Type="http://schemas.openxmlformats.org/officeDocument/2006/relationships/hyperlink" Target="https://lannuaire.service-public.gouv.fr/occitanie/gard/a235555b-17f3-4de5-811b-344dbc127401" TargetMode="External" Id="rId280" /><Relationship Type="http://schemas.openxmlformats.org/officeDocument/2006/relationships/hyperlink" Target="mailto:contact@grandavignon.fr" TargetMode="External" Id="rId281" /><Relationship Type="http://schemas.openxmlformats.org/officeDocument/2006/relationships/hyperlink" Target="https://www.grandavignon.fr/fr" TargetMode="External" Id="rId282" /><Relationship Type="http://schemas.openxmlformats.org/officeDocument/2006/relationships/hyperlink" Target="https://www.grandavignon.fr/fr/nous-contacter" TargetMode="External" Id="rId283" /><Relationship Type="http://schemas.openxmlformats.org/officeDocument/2006/relationships/hyperlink" Target="https://lannuaire.service-public.gouv.fr/provence-alpes-cote-d-azur/vaucluse/56b52a62-107f-4d3e-bf21-3b7a899676ef" TargetMode="External" Id="rId284" /><Relationship Type="http://schemas.openxmlformats.org/officeDocument/2006/relationships/hyperlink" Target="mailto:accueil@agglo-muretain.fr" TargetMode="External" Id="rId285" /><Relationship Type="http://schemas.openxmlformats.org/officeDocument/2006/relationships/hyperlink" Target="http://www.agglo-muretain.fr" TargetMode="External" Id="rId286" /><Relationship Type="http://schemas.openxmlformats.org/officeDocument/2006/relationships/hyperlink" Target="https://lannuaire.service-public.gouv.fr/occitanie/haute-garonne/0949e812-0105-46f8-9bee-4e180a8e5098" TargetMode="External" Id="rId287" /><Relationship Type="http://schemas.openxmlformats.org/officeDocument/2006/relationships/hyperlink" Target="mailto:info@sicoval.fr" TargetMode="External" Id="rId288" /><Relationship Type="http://schemas.openxmlformats.org/officeDocument/2006/relationships/hyperlink" Target="https://www.sicoval.fr/" TargetMode="External" Id="rId289" /><Relationship Type="http://schemas.openxmlformats.org/officeDocument/2006/relationships/hyperlink" Target="https://www.sicoval.fr/mon-agglo/infos-pratiques/contactez-nous/" TargetMode="External" Id="rId290" /><Relationship Type="http://schemas.openxmlformats.org/officeDocument/2006/relationships/hyperlink" Target="https://lannuaire.service-public.gouv.fr/occitanie/haute-garonne/1b2c5dea-d387-4c1c-b1b2-3edbef4defed" TargetMode="External" Id="rId291" /><Relationship Type="http://schemas.openxmlformats.org/officeDocument/2006/relationships/hyperlink" Target="mailto:accueil@toulouse-metropole.fr" TargetMode="External" Id="rId292" /><Relationship Type="http://schemas.openxmlformats.org/officeDocument/2006/relationships/hyperlink" Target="https://metropole.toulouse.fr/" TargetMode="External" Id="rId293" /><Relationship Type="http://schemas.openxmlformats.org/officeDocument/2006/relationships/hyperlink" Target="https://metropole.toulouse.fr/nous-contacter" TargetMode="External" Id="rId294" /><Relationship Type="http://schemas.openxmlformats.org/officeDocument/2006/relationships/hyperlink" Target="https://lannuaire.service-public.gouv.fr/occitanie/haute-garonne/2ed537d3-c022-4864-9dda-090ebea0202a" TargetMode="External" Id="rId295" /><Relationship Type="http://schemas.openxmlformats.org/officeDocument/2006/relationships/hyperlink" Target="mailto:accueil@grand-auch.fr" TargetMode="External" Id="rId296" /><Relationship Type="http://schemas.openxmlformats.org/officeDocument/2006/relationships/hyperlink" Target="https://www.grandauch.com/" TargetMode="External" Id="rId297" /><Relationship Type="http://schemas.openxmlformats.org/officeDocument/2006/relationships/hyperlink" Target="https://www.grandauch.com/contact" TargetMode="External" Id="rId298" /><Relationship Type="http://schemas.openxmlformats.org/officeDocument/2006/relationships/hyperlink" Target="https://lannuaire.service-public.gouv.fr/occitanie/gers/9368c218-812d-4474-9228-506694d16166" TargetMode="External" Id="rId299" /><Relationship Type="http://schemas.openxmlformats.org/officeDocument/2006/relationships/hyperlink" Target="https://www.bordeaux-metropole.fr/" TargetMode="External" Id="rId300" /><Relationship Type="http://schemas.openxmlformats.org/officeDocument/2006/relationships/hyperlink" Target="https://mesdemarches.bordeaux-metropole.fr/" TargetMode="External" Id="rId301" /><Relationship Type="http://schemas.openxmlformats.org/officeDocument/2006/relationships/hyperlink" Target="https://lannuaire.service-public.gouv.fr/nouvelle-aquitaine/gironde/9e2406f5-c496-4b3b-9b9c-faa3ca7b6aba" TargetMode="External" Id="rId302" /><Relationship Type="http://schemas.openxmlformats.org/officeDocument/2006/relationships/hyperlink" Target="mailto:cobas@agglo-cobas.fr" TargetMode="External" Id="rId303" /><Relationship Type="http://schemas.openxmlformats.org/officeDocument/2006/relationships/hyperlink" Target="https://www.agglo-cobas.fr/" TargetMode="External" Id="rId304" /><Relationship Type="http://schemas.openxmlformats.org/officeDocument/2006/relationships/hyperlink" Target="https://www.agglo-cobas.fr/contact/" TargetMode="External" Id="rId305" /><Relationship Type="http://schemas.openxmlformats.org/officeDocument/2006/relationships/hyperlink" Target="https://lannuaire.service-public.gouv.fr/nouvelle-aquitaine/gironde/df8d3915-fa4f-42c4-8c6a-954235f99d86" TargetMode="External" Id="rId306" /><Relationship Type="http://schemas.openxmlformats.org/officeDocument/2006/relationships/hyperlink" Target="mailto:contact@coban-atlantique.fr" TargetMode="External" Id="rId307" /><Relationship Type="http://schemas.openxmlformats.org/officeDocument/2006/relationships/hyperlink" Target="https://coban-atlantique.fr/" TargetMode="External" Id="rId308" /><Relationship Type="http://schemas.openxmlformats.org/officeDocument/2006/relationships/hyperlink" Target="https://coban-atlantique.fr/contact/" TargetMode="External" Id="rId309" /><Relationship Type="http://schemas.openxmlformats.org/officeDocument/2006/relationships/hyperlink" Target="https://lannuaire.service-public.gouv.fr/nouvelle-aquitaine/gironde/fa9d8bc3-560c-4536-a6b3-71b4e5aa41d3" TargetMode="External" Id="rId310" /><Relationship Type="http://schemas.openxmlformats.org/officeDocument/2006/relationships/hyperlink" Target="mailto:contact@lacali.fr" TargetMode="External" Id="rId311" /><Relationship Type="http://schemas.openxmlformats.org/officeDocument/2006/relationships/hyperlink" Target="https://www.lacali.fr/" TargetMode="External" Id="rId312" /><Relationship Type="http://schemas.openxmlformats.org/officeDocument/2006/relationships/hyperlink" Target="https://www.lacali.fr/contact" TargetMode="External" Id="rId313" /><Relationship Type="http://schemas.openxmlformats.org/officeDocument/2006/relationships/hyperlink" Target="https://lannuaire.service-public.gouv.fr/nouvelle-aquitaine/gironde/51f5fa3c-f0ba-4a62-a7df-0f45fc00f2bc" TargetMode="External" Id="rId314" /><Relationship Type="http://schemas.openxmlformats.org/officeDocument/2006/relationships/hyperlink" Target="mailto:accueil@agglohm.net" TargetMode="External" Id="rId315" /><Relationship Type="http://schemas.openxmlformats.org/officeDocument/2006/relationships/hyperlink" Target="https://www.agglo-heraultmediterranee.net/" TargetMode="External" Id="rId316" /><Relationship Type="http://schemas.openxmlformats.org/officeDocument/2006/relationships/hyperlink" Target="https://www.agglo-heraultmediterranee.net/contact/" TargetMode="External" Id="rId317" /><Relationship Type="http://schemas.openxmlformats.org/officeDocument/2006/relationships/hyperlink" Target="https://lannuaire.service-public.gouv.fr/occitanie/herault/ac55b92e-0eae-4955-be97-38a6a4de65fd" TargetMode="External" Id="rId318" /><Relationship Type="http://schemas.openxmlformats.org/officeDocument/2006/relationships/hyperlink" Target="mailto:secretariat.general@lunelagglo.fr" TargetMode="External" Id="rId319" /><Relationship Type="http://schemas.openxmlformats.org/officeDocument/2006/relationships/hyperlink" Target="https://www.lunelagglo.fr/" TargetMode="External" Id="rId320" /><Relationship Type="http://schemas.openxmlformats.org/officeDocument/2006/relationships/hyperlink" Target="https://www.lunelagglo.fr/nous-contacter/" TargetMode="External" Id="rId321" /><Relationship Type="http://schemas.openxmlformats.org/officeDocument/2006/relationships/hyperlink" Target="https://lannuaire.service-public.gouv.fr/occitanie/herault/4372dbbf-1f75-40ec-bc99-12f76045e9cf" TargetMode="External" Id="rId322" /><Relationship Type="http://schemas.openxmlformats.org/officeDocument/2006/relationships/hyperlink" Target="mailto:mg@agglopole.fr" TargetMode="External" Id="rId323" /><Relationship Type="http://schemas.openxmlformats.org/officeDocument/2006/relationships/hyperlink" Target="https://www.agglopole.fr/" TargetMode="External" Id="rId324" /><Relationship Type="http://schemas.openxmlformats.org/officeDocument/2006/relationships/hyperlink" Target="https://lannuaire.service-public.gouv.fr/occitanie/herault/88f7eab4-ff50-44c7-9ef2-fdcad42a82a5" TargetMode="External" Id="rId325" /><Relationship Type="http://schemas.openxmlformats.org/officeDocument/2006/relationships/hyperlink" Target="mailto:lagglo@beziers-mediterranee.fr" TargetMode="External" Id="rId326" /><Relationship Type="http://schemas.openxmlformats.org/officeDocument/2006/relationships/hyperlink" Target="https://agglobeziers.fr/" TargetMode="External" Id="rId327" /><Relationship Type="http://schemas.openxmlformats.org/officeDocument/2006/relationships/hyperlink" Target="https://lannuaire.service-public.gouv.fr/occitanie/herault/e770f5f7-3609-465f-b0d8-e61d913cffe8" TargetMode="External" Id="rId328" /><Relationship Type="http://schemas.openxmlformats.org/officeDocument/2006/relationships/hyperlink" Target="mailto:secretariat@paysdelor.fr" TargetMode="External" Id="rId329" /><Relationship Type="http://schemas.openxmlformats.org/officeDocument/2006/relationships/hyperlink" Target="https://paysdelor.fr/" TargetMode="External" Id="rId330" /><Relationship Type="http://schemas.openxmlformats.org/officeDocument/2006/relationships/hyperlink" Target="https://paysdelor.fr/le-pays-de-lor/nous-contacter/" TargetMode="External" Id="rId331" /><Relationship Type="http://schemas.openxmlformats.org/officeDocument/2006/relationships/hyperlink" Target="https://lannuaire.service-public.gouv.fr/occitanie/herault/2af2db79-858d-4be5-b0a5-5595c1ec5d83" TargetMode="External" Id="rId332" /><Relationship Type="http://schemas.openxmlformats.org/officeDocument/2006/relationships/hyperlink" Target="mailto:contact@montpellier3m.fr" TargetMode="External" Id="rId333" /><Relationship Type="http://schemas.openxmlformats.org/officeDocument/2006/relationships/hyperlink" Target="https://www.montpellier3m.fr/" TargetMode="External" Id="rId334" /><Relationship Type="http://schemas.openxmlformats.org/officeDocument/2006/relationships/hyperlink" Target="https://lannuaire.service-public.gouv.fr/occitanie/herault/372c0430-860c-4faf-8d7b-9c4fc51471de" TargetMode="External" Id="rId335" /><Relationship Type="http://schemas.openxmlformats.org/officeDocument/2006/relationships/hyperlink" Target="mailto:accueil@fougeres-agglo.bzh" TargetMode="External" Id="rId336" /><Relationship Type="http://schemas.openxmlformats.org/officeDocument/2006/relationships/hyperlink" Target="https://fougeres-agglo.bzh/" TargetMode="External" Id="rId337" /><Relationship Type="http://schemas.openxmlformats.org/officeDocument/2006/relationships/hyperlink" Target="https://fougeres-agglo.bzh/contact/" TargetMode="External" Id="rId338" /><Relationship Type="http://schemas.openxmlformats.org/officeDocument/2006/relationships/hyperlink" Target="https://lannuaire.service-public.gouv.fr/bretagne/ille-et-vilaine/f1b939e4-2fcf-435f-af19-d2768fd98ddd" TargetMode="External" Id="rId339" /><Relationship Type="http://schemas.openxmlformats.org/officeDocument/2006/relationships/hyperlink" Target="mailto:contact@redon-agglomeration.bzh" TargetMode="External" Id="rId340" /><Relationship Type="http://schemas.openxmlformats.org/officeDocument/2006/relationships/hyperlink" Target="https://www.redon-agglomeration.bzh/" TargetMode="External" Id="rId341" /><Relationship Type="http://schemas.openxmlformats.org/officeDocument/2006/relationships/hyperlink" Target="https://www.redon-agglomeration.bzh/contact" TargetMode="External" Id="rId342" /><Relationship Type="http://schemas.openxmlformats.org/officeDocument/2006/relationships/hyperlink" Target="https://lannuaire.service-public.gouv.fr/bretagne/ille-et-vilaine/c4aafb49-0f9f-4eed-b5be-c74f41bbe9d8" TargetMode="External" Id="rId343" /><Relationship Type="http://schemas.openxmlformats.org/officeDocument/2006/relationships/hyperlink" Target="mailto:c.agglo@vitrecommunaute.org" TargetMode="External" Id="rId344" /><Relationship Type="http://schemas.openxmlformats.org/officeDocument/2006/relationships/hyperlink" Target="https://www.vitrecommunaute.org/" TargetMode="External" Id="rId345" /><Relationship Type="http://schemas.openxmlformats.org/officeDocument/2006/relationships/hyperlink" Target="https://www.vitrecommunaute.org/systeme/nous-contacter/" TargetMode="External" Id="rId346" /><Relationship Type="http://schemas.openxmlformats.org/officeDocument/2006/relationships/hyperlink" Target="https://lannuaire.service-public.gouv.fr/bretagne/ille-et-vilaine/4c96717a-3ec6-4364-8620-4c3f81846517" TargetMode="External" Id="rId347" /><Relationship Type="http://schemas.openxmlformats.org/officeDocument/2006/relationships/hyperlink" Target="mailto:accueil@stmalo-agglomeration.fr" TargetMode="External" Id="rId348" /><Relationship Type="http://schemas.openxmlformats.org/officeDocument/2006/relationships/hyperlink" Target="https://www.stmalo-agglomeration.fr/" TargetMode="External" Id="rId349" /><Relationship Type="http://schemas.openxmlformats.org/officeDocument/2006/relationships/hyperlink" Target="https://www.stmalo-agglomeration.fr/contactez-nous/" TargetMode="External" Id="rId350" /><Relationship Type="http://schemas.openxmlformats.org/officeDocument/2006/relationships/hyperlink" Target="https://lannuaire.service-public.gouv.fr/bretagne/ille-et-vilaine/fb885b51-bcb0-4064-97fb-c621fe80dbfa" TargetMode="External" Id="rId351" /><Relationship Type="http://schemas.openxmlformats.org/officeDocument/2006/relationships/hyperlink" Target="mailto:accueil@rennesmetropole.fr" TargetMode="External" Id="rId352" /><Relationship Type="http://schemas.openxmlformats.org/officeDocument/2006/relationships/hyperlink" Target="https://metropole.rennes.fr" TargetMode="External" Id="rId353" /><Relationship Type="http://schemas.openxmlformats.org/officeDocument/2006/relationships/hyperlink" Target="https://lannuaire.service-public.gouv.fr/bretagne/ille-et-vilaine/9c843b17-826c-4b99-be0c-ffa090632c21" TargetMode="External" Id="rId354" /><Relationship Type="http://schemas.openxmlformats.org/officeDocument/2006/relationships/hyperlink" Target="mailto:communication@chateauroux-metropole.fr" TargetMode="External" Id="rId355" /><Relationship Type="http://schemas.openxmlformats.org/officeDocument/2006/relationships/hyperlink" Target="https://www.chateauroux-metropole.fr/" TargetMode="External" Id="rId356" /><Relationship Type="http://schemas.openxmlformats.org/officeDocument/2006/relationships/hyperlink" Target="https://www.chateauroux-metropole.fr/pages-pratiques/contact" TargetMode="External" Id="rId357" /><Relationship Type="http://schemas.openxmlformats.org/officeDocument/2006/relationships/hyperlink" Target="https://lannuaire.service-public.gouv.fr/centre-val-de-loire/indre/faa707af-c1e9-473b-ab40-d1f521b8b10e" TargetMode="External" Id="rId358" /><Relationship Type="http://schemas.openxmlformats.org/officeDocument/2006/relationships/hyperlink" Target="mailto:communication@tours-metropole.fr" TargetMode="External" Id="rId359" /><Relationship Type="http://schemas.openxmlformats.org/officeDocument/2006/relationships/hyperlink" Target="https://www.tours-metropole.fr/" TargetMode="External" Id="rId360" /><Relationship Type="http://schemas.openxmlformats.org/officeDocument/2006/relationships/hyperlink" Target="https://www.tours-metropole.fr/formulaire-de-contact" TargetMode="External" Id="rId361" /><Relationship Type="http://schemas.openxmlformats.org/officeDocument/2006/relationships/hyperlink" Target="https://lannuaire.service-public.gouv.fr/centre-val-de-loire/indre-et-loire/b6a8d424-7c48-4e0e-aa0e-ce5e8e3c9c35" TargetMode="External" Id="rId362" /><Relationship Type="http://schemas.openxmlformats.org/officeDocument/2006/relationships/hyperlink" Target="mailto:capi@capi38.fr" TargetMode="External" Id="rId363" /><Relationship Type="http://schemas.openxmlformats.org/officeDocument/2006/relationships/hyperlink" Target="https://capi-agglo.fr/" TargetMode="External" Id="rId364" /><Relationship Type="http://schemas.openxmlformats.org/officeDocument/2006/relationships/hyperlink" Target="https://capi-agglo.fr/nous-contacter/" TargetMode="External" Id="rId365" /><Relationship Type="http://schemas.openxmlformats.org/officeDocument/2006/relationships/hyperlink" Target="https://lannuaire.service-public.gouv.fr/auvergne-rhone-alpes/isere/bb1045cd-6eb2-4af1-ad91-d564e0ed2450" TargetMode="External" Id="rId366" /><Relationship Type="http://schemas.openxmlformats.org/officeDocument/2006/relationships/hyperlink" Target="mailto:info@vienne-condrieu-agglomeration.fr" TargetMode="External" Id="rId367" /><Relationship Type="http://schemas.openxmlformats.org/officeDocument/2006/relationships/hyperlink" Target="https://www.vienne-condrieu-agglomeration.fr/" TargetMode="External" Id="rId368" /><Relationship Type="http://schemas.openxmlformats.org/officeDocument/2006/relationships/hyperlink" Target="https://www.vienne-condrieu-agglomeration.fr/contact" TargetMode="External" Id="rId369" /><Relationship Type="http://schemas.openxmlformats.org/officeDocument/2006/relationships/hyperlink" Target="https://lannuaire.service-public.gouv.fr/auvergne-rhone-alpes/isere/878d7684-c95d-430e-a726-7b1634ecf6c1" TargetMode="External" Id="rId370" /><Relationship Type="http://schemas.openxmlformats.org/officeDocument/2006/relationships/hyperlink" Target="mailto:info@paysvoironnais.com" TargetMode="External" Id="rId371" /><Relationship Type="http://schemas.openxmlformats.org/officeDocument/2006/relationships/hyperlink" Target="https://www.paysvoironnais.com/" TargetMode="External" Id="rId372" /><Relationship Type="http://schemas.openxmlformats.org/officeDocument/2006/relationships/hyperlink" Target="https://www.paysvoironnais.com/contact-9.html" TargetMode="External" Id="rId373" /><Relationship Type="http://schemas.openxmlformats.org/officeDocument/2006/relationships/hyperlink" Target="https://lannuaire.service-public.gouv.fr/auvergne-rhone-alpes/isere/226eb39d-4b47-48c8-83e2-5921c2e2f162" TargetMode="External" Id="rId374" /><Relationship Type="http://schemas.openxmlformats.org/officeDocument/2006/relationships/hyperlink" Target="https://www.grenoblealpesmetropole.fr/" TargetMode="External" Id="rId375" /><Relationship Type="http://schemas.openxmlformats.org/officeDocument/2006/relationships/hyperlink" Target="https://www.grenoblealpesmetropole.fr/263-via-nos-formulaires-de-contact.htm" TargetMode="External" Id="rId376" /><Relationship Type="http://schemas.openxmlformats.org/officeDocument/2006/relationships/hyperlink" Target="https://lannuaire.service-public.gouv.fr/auvergne-rhone-alpes/isere/f6bb5305-3ef0-41da-8850-d0a44de6cb35" TargetMode="External" Id="rId377" /><Relationship Type="http://schemas.openxmlformats.org/officeDocument/2006/relationships/hyperlink" Target="mailto:contact@ecla-jura.fr" TargetMode="External" Id="rId378" /><Relationship Type="http://schemas.openxmlformats.org/officeDocument/2006/relationships/hyperlink" Target="https://www.ecla-jura.fr/" TargetMode="External" Id="rId379" /><Relationship Type="http://schemas.openxmlformats.org/officeDocument/2006/relationships/hyperlink" Target="https://lannuaire.service-public.gouv.fr/bourgogne-franche-comte/jura/b1989671-90c3-483a-a536-fa0a33d70dab" TargetMode="External" Id="rId380" /><Relationship Type="http://schemas.openxmlformats.org/officeDocument/2006/relationships/hyperlink" Target="mailto:info@grand-dole.fr" TargetMode="External" Id="rId381" /><Relationship Type="http://schemas.openxmlformats.org/officeDocument/2006/relationships/hyperlink" Target="https://www.grand-dole.fr/" TargetMode="External" Id="rId382" /><Relationship Type="http://schemas.openxmlformats.org/officeDocument/2006/relationships/hyperlink" Target="https://www.grand-dole.fr/contactez-nous" TargetMode="External" Id="rId383" /><Relationship Type="http://schemas.openxmlformats.org/officeDocument/2006/relationships/hyperlink" Target="https://lannuaire.service-public.gouv.fr/bourgogne-franche-comte/jura/b93534f5-828e-4838-b8d5-789934968e04" TargetMode="External" Id="rId384" /><Relationship Type="http://schemas.openxmlformats.org/officeDocument/2006/relationships/hyperlink" Target="mailto:accueil.agglo@montdemarsan-agglo.fr" TargetMode="External" Id="rId385" /><Relationship Type="http://schemas.openxmlformats.org/officeDocument/2006/relationships/hyperlink" Target="http://www.montdemarsan-agglo.fr" TargetMode="External" Id="rId386" /><Relationship Type="http://schemas.openxmlformats.org/officeDocument/2006/relationships/hyperlink" Target="https://lannuaire.service-public.gouv.fr/nouvelle-aquitaine/landes/ea9830f0-27bd-483e-ae0e-3fa4f01267b2" TargetMode="External" Id="rId387" /><Relationship Type="http://schemas.openxmlformats.org/officeDocument/2006/relationships/hyperlink" Target="mailto:contact@grand-dax.fr" TargetMode="External" Id="rId388" /><Relationship Type="http://schemas.openxmlformats.org/officeDocument/2006/relationships/hyperlink" Target="https://www.grand-dax.fr/" TargetMode="External" Id="rId389" /><Relationship Type="http://schemas.openxmlformats.org/officeDocument/2006/relationships/hyperlink" Target="https://www.grand-dax.fr/nous-contacter" TargetMode="External" Id="rId390" /><Relationship Type="http://schemas.openxmlformats.org/officeDocument/2006/relationships/hyperlink" Target="https://lannuaire.service-public.gouv.fr/nouvelle-aquitaine/landes/c65ede47-56a1-47d1-be9b-41c7e2d9e425" TargetMode="External" Id="rId391" /><Relationship Type="http://schemas.openxmlformats.org/officeDocument/2006/relationships/hyperlink" Target="mailto:courrier@catv41.fr" TargetMode="External" Id="rId392" /><Relationship Type="http://schemas.openxmlformats.org/officeDocument/2006/relationships/hyperlink" Target="https://www.territoiresvendomois.fr/" TargetMode="External" Id="rId393" /><Relationship Type="http://schemas.openxmlformats.org/officeDocument/2006/relationships/hyperlink" Target="https://www.territoiresvendomois.fr/contactez-nous/" TargetMode="External" Id="rId394" /><Relationship Type="http://schemas.openxmlformats.org/officeDocument/2006/relationships/hyperlink" Target="https://lannuaire.service-public.gouv.fr/centre-val-de-loire/loir-et-cher/6ec56d5c-8925-4eb5-8b68-ba5ba265a6cc" TargetMode="External" Id="rId395" /><Relationship Type="http://schemas.openxmlformats.org/officeDocument/2006/relationships/hyperlink" Target="mailto:contact@agglopolys.fr" TargetMode="External" Id="rId396" /><Relationship Type="http://schemas.openxmlformats.org/officeDocument/2006/relationships/hyperlink" Target="http://www.agglopolys.fr" TargetMode="External" Id="rId397" /><Relationship Type="http://schemas.openxmlformats.org/officeDocument/2006/relationships/hyperlink" Target="https://m.agglopolys.fr/" TargetMode="External" Id="rId398" /><Relationship Type="http://schemas.openxmlformats.org/officeDocument/2006/relationships/hyperlink" Target="https://lannuaire.service-public.gouv.fr/centre-val-de-loire/loir-et-cher/f2045ea3-baa1-414c-b50b-4ce49de959f5" TargetMode="External" Id="rId399" /><Relationship Type="http://schemas.openxmlformats.org/officeDocument/2006/relationships/hyperlink" Target="mailto:agglomeration@loireforez.fr" TargetMode="External" Id="rId400" /><Relationship Type="http://schemas.openxmlformats.org/officeDocument/2006/relationships/hyperlink" Target="https://www.loireforez.fr" TargetMode="External" Id="rId401" /><Relationship Type="http://schemas.openxmlformats.org/officeDocument/2006/relationships/hyperlink" Target="https://lannuaire.service-public.gouv.fr/auvergne-rhone-alpes/loire/084d41a6-93e1-404a-a54a-a339822f810f" TargetMode="External" Id="rId402" /><Relationship Type="http://schemas.openxmlformats.org/officeDocument/2006/relationships/hyperlink" Target="mailto:info@roannais-agglomeration.fr" TargetMode="External" Id="rId403" /><Relationship Type="http://schemas.openxmlformats.org/officeDocument/2006/relationships/hyperlink" Target="https://www.aggloroanne.fr/" TargetMode="External" Id="rId404" /><Relationship Type="http://schemas.openxmlformats.org/officeDocument/2006/relationships/hyperlink" Target="https://www.aggloroanne.fr/prendre-contact-avec-la-ville-de-roanne-468.html" TargetMode="External" Id="rId405" /><Relationship Type="http://schemas.openxmlformats.org/officeDocument/2006/relationships/hyperlink" Target="https://lannuaire.service-public.gouv.fr/auvergne-rhone-alpes/loire/3c35a518-bdfc-42da-959c-7d7657e81104" TargetMode="External" Id="rId406" /><Relationship Type="http://schemas.openxmlformats.org/officeDocument/2006/relationships/hyperlink" Target="mailto:accueil@saint-etienne-metropole.fr" TargetMode="External" Id="rId407" /><Relationship Type="http://schemas.openxmlformats.org/officeDocument/2006/relationships/hyperlink" Target="https://www.saint-etienne-metropole.fr/" TargetMode="External" Id="rId408" /><Relationship Type="http://schemas.openxmlformats.org/officeDocument/2006/relationships/hyperlink" Target="https://www.saint-etienne-metropole.fr/contacter-saint-etienne-metropole" TargetMode="External" Id="rId409" /><Relationship Type="http://schemas.openxmlformats.org/officeDocument/2006/relationships/hyperlink" Target="https://lannuaire.service-public.gouv.fr/auvergne-rhone-alpes/loire/c05ed861-1909-4042-b168-1f8fbe23bf91" TargetMode="External" Id="rId410" /><Relationship Type="http://schemas.openxmlformats.org/officeDocument/2006/relationships/hyperlink" Target="mailto:contact.agglo@lepuyenvelay.fr" TargetMode="External" Id="rId411" /><Relationship Type="http://schemas.openxmlformats.org/officeDocument/2006/relationships/hyperlink" Target="https://www.agglo-lepuyenvelay.fr/" TargetMode="External" Id="rId412" /><Relationship Type="http://schemas.openxmlformats.org/officeDocument/2006/relationships/hyperlink" Target="https://www.citoyens.agglo-lepuyenvelay.fr/nous-contacter" TargetMode="External" Id="rId413" /><Relationship Type="http://schemas.openxmlformats.org/officeDocument/2006/relationships/hyperlink" Target="https://lannuaire.service-public.gouv.fr/auvergne-rhone-alpes/haute-loire/01c91802-fe88-4a64-aa64-163271b93f0e" TargetMode="External" Id="rId414" /><Relationship Type="http://schemas.openxmlformats.org/officeDocument/2006/relationships/hyperlink" Target="mailto:accueil@clissonsevremaine.fr" TargetMode="External" Id="rId415" /><Relationship Type="http://schemas.openxmlformats.org/officeDocument/2006/relationships/hyperlink" Target="https://www.clissonsevremaine.fr/" TargetMode="External" Id="rId416" /><Relationship Type="http://schemas.openxmlformats.org/officeDocument/2006/relationships/hyperlink" Target="https://mesdemarches.clissonsevremaine.fr/contacter-l-agglo/contacter-clisson-sevre-et-maine-agglo/" TargetMode="External" Id="rId417" /><Relationship Type="http://schemas.openxmlformats.org/officeDocument/2006/relationships/hyperlink" Target="https://lannuaire.service-public.gouv.fr/pays-de-la-loire/loire-atlantique/6c315f8c-c3a7-4370-aba6-e919252dad10" TargetMode="External" Id="rId418" /><Relationship Type="http://schemas.openxmlformats.org/officeDocument/2006/relationships/hyperlink" Target="mailto:contact@pornicagglo.fr" TargetMode="External" Id="rId419" /><Relationship Type="http://schemas.openxmlformats.org/officeDocument/2006/relationships/hyperlink" Target="https://www.pornicagglo.fr/" TargetMode="External" Id="rId420" /><Relationship Type="http://schemas.openxmlformats.org/officeDocument/2006/relationships/hyperlink" Target="https://www.pornicagglo.fr/contact/" TargetMode="External" Id="rId421" /><Relationship Type="http://schemas.openxmlformats.org/officeDocument/2006/relationships/hyperlink" Target="https://lannuaire.service-public.gouv.fr/pays-de-la-loire/loire-atlantique/631ce663-3dbf-4eda-84d4-2621a81348e9" TargetMode="External" Id="rId422" /><Relationship Type="http://schemas.openxmlformats.org/officeDocument/2006/relationships/hyperlink" Target="mailto:accueil@cap-atlantique.fr" TargetMode="External" Id="rId423" /><Relationship Type="http://schemas.openxmlformats.org/officeDocument/2006/relationships/hyperlink" Target="https://www.cap-atlantique.fr/" TargetMode="External" Id="rId424" /><Relationship Type="http://schemas.openxmlformats.org/officeDocument/2006/relationships/hyperlink" Target="https://formulaires.mesdemarches.cap-atlantique.fr/une-infos-une-remarque-une-idee/contact/" TargetMode="External" Id="rId425" /><Relationship Type="http://schemas.openxmlformats.org/officeDocument/2006/relationships/hyperlink" Target="https://lannuaire.service-public.gouv.fr/pays-de-la-loire/loire-atlantique/5aa1713e-38e7-489d-bcd3-7e8c9e547225" TargetMode="External" Id="rId426" /><Relationship Type="http://schemas.openxmlformats.org/officeDocument/2006/relationships/hyperlink" Target="mailto:carene@saintnazaireagglo.fr" TargetMode="External" Id="rId427" /><Relationship Type="http://schemas.openxmlformats.org/officeDocument/2006/relationships/hyperlink" Target="https://www.saintnazaireagglo.fr/" TargetMode="External" Id="rId428" /><Relationship Type="http://schemas.openxmlformats.org/officeDocument/2006/relationships/hyperlink" Target="https://www.saintnazaireagglo.fr/liens-utiles/contact" TargetMode="External" Id="rId429" /><Relationship Type="http://schemas.openxmlformats.org/officeDocument/2006/relationships/hyperlink" Target="https://lannuaire.service-public.gouv.fr/pays-de-la-loire/loire-atlantique/e8062953-63b3-4e4d-af59-c72c0fee0c7b" TargetMode="External" Id="rId430" /><Relationship Type="http://schemas.openxmlformats.org/officeDocument/2006/relationships/hyperlink" Target="mailto:contact@nantesmetropole.fr" TargetMode="External" Id="rId431" /><Relationship Type="http://schemas.openxmlformats.org/officeDocument/2006/relationships/hyperlink" Target="https://metropole.nantes.fr/" TargetMode="External" Id="rId432" /><Relationship Type="http://schemas.openxmlformats.org/officeDocument/2006/relationships/hyperlink" Target="https://lannuaire.service-public.gouv.fr/pays-de-la-loire/loire-atlantique/56df4149-fe3e-4d1a-aaca-1598242d175c" TargetMode="External" Id="rId433" /><Relationship Type="http://schemas.openxmlformats.org/officeDocument/2006/relationships/hyperlink" Target="mailto:contact@agglo-montargoise.fr" TargetMode="External" Id="rId434" /><Relationship Type="http://schemas.openxmlformats.org/officeDocument/2006/relationships/hyperlink" Target="https://www.agglo-montargoise.fr" TargetMode="External" Id="rId435" /><Relationship Type="http://schemas.openxmlformats.org/officeDocument/2006/relationships/hyperlink" Target="https://lannuaire.service-public.gouv.fr/centre-val-de-loire/loiret/37f4e54c-54a9-4b47-a056-5f7edb3712b4" TargetMode="External" Id="rId436" /><Relationship Type="http://schemas.openxmlformats.org/officeDocument/2006/relationships/hyperlink" Target="mailto:info@orleans-metropole.fr" TargetMode="External" Id="rId437" /><Relationship Type="http://schemas.openxmlformats.org/officeDocument/2006/relationships/hyperlink" Target="https://www.orleans-metropole.fr/" TargetMode="External" Id="rId438" /><Relationship Type="http://schemas.openxmlformats.org/officeDocument/2006/relationships/hyperlink" Target="https://www.orleans-metropole.fr/contact" TargetMode="External" Id="rId439" /><Relationship Type="http://schemas.openxmlformats.org/officeDocument/2006/relationships/hyperlink" Target="https://lannuaire.service-public.gouv.fr/centre-val-de-loire/loiret/f3ad88f1-9969-49dd-993b-1881d0defb50" TargetMode="External" Id="rId440" /><Relationship Type="http://schemas.openxmlformats.org/officeDocument/2006/relationships/hyperlink" Target="mailto:communication@mairie-cahors.fr" TargetMode="External" Id="rId441" /><Relationship Type="http://schemas.openxmlformats.org/officeDocument/2006/relationships/hyperlink" Target="https://cahorsagglo.fr/" TargetMode="External" Id="rId442" /><Relationship Type="http://schemas.openxmlformats.org/officeDocument/2006/relationships/hyperlink" Target="https://cahorsagglo.fr/contact-0" TargetMode="External" Id="rId443" /><Relationship Type="http://schemas.openxmlformats.org/officeDocument/2006/relationships/hyperlink" Target="https://lannuaire.service-public.gouv.fr/occitanie/lot/d9599850-0b16-4ff2-a765-5676cbecdc9d" TargetMode="External" Id="rId444" /><Relationship Type="http://schemas.openxmlformats.org/officeDocument/2006/relationships/hyperlink" Target="mailto:espace.accueil@agglo-agen.fr" TargetMode="External" Id="rId445" /><Relationship Type="http://schemas.openxmlformats.org/officeDocument/2006/relationships/hyperlink" Target="https://www.agglo-agen.net/" TargetMode="External" Id="rId446" /><Relationship Type="http://schemas.openxmlformats.org/officeDocument/2006/relationships/hyperlink" Target="https://www.agglo-agen.net/contact" TargetMode="External" Id="rId447" /><Relationship Type="http://schemas.openxmlformats.org/officeDocument/2006/relationships/hyperlink" Target="https://lannuaire.service-public.gouv.fr/nouvelle-aquitaine/lot-et-garonne/1e00284d-7248-4124-8108-6aa98c02d8bf" TargetMode="External" Id="rId448" /><Relationship Type="http://schemas.openxmlformats.org/officeDocument/2006/relationships/hyperlink" Target="mailto:vga@valdegaronne.fr" TargetMode="External" Id="rId449" /><Relationship Type="http://schemas.openxmlformats.org/officeDocument/2006/relationships/hyperlink" Target="https://www.vg-agglo.com/" TargetMode="External" Id="rId450" /><Relationship Type="http://schemas.openxmlformats.org/officeDocument/2006/relationships/hyperlink" Target="https://www.facebook.com/valdegaronneagglo/" TargetMode="External" Id="rId451" /><Relationship Type="http://schemas.openxmlformats.org/officeDocument/2006/relationships/hyperlink" Target="https://lannuaire.service-public.gouv.fr/nouvelle-aquitaine/lot-et-garonne/a4a02e33-9f63-4f35-9b7b-6ef885bfcf2a" TargetMode="External" Id="rId452" /><Relationship Type="http://schemas.openxmlformats.org/officeDocument/2006/relationships/hyperlink" Target="mailto:contact@grand-villeneuvois.fr" TargetMode="External" Id="rId453" /><Relationship Type="http://schemas.openxmlformats.org/officeDocument/2006/relationships/hyperlink" Target="https://www.grand-villeneuvois.fr" TargetMode="External" Id="rId454" /><Relationship Type="http://schemas.openxmlformats.org/officeDocument/2006/relationships/hyperlink" Target="http://www.grand-villeneuvois.fr/contact.html" TargetMode="External" Id="rId455" /><Relationship Type="http://schemas.openxmlformats.org/officeDocument/2006/relationships/hyperlink" Target="https://lannuaire.service-public.gouv.fr/nouvelle-aquitaine/lot-et-garonne/1f0cae85-8db2-4151-bde7-966ae220615c" TargetMode="External" Id="rId456" /><Relationship Type="http://schemas.openxmlformats.org/officeDocument/2006/relationships/hyperlink" Target="mailto:contact@choletagglomeration.fr" TargetMode="External" Id="rId457" /><Relationship Type="http://schemas.openxmlformats.org/officeDocument/2006/relationships/hyperlink" Target="https://www.cholet.fr/welcome/" TargetMode="External" Id="rId458" /><Relationship Type="http://schemas.openxmlformats.org/officeDocument/2006/relationships/hyperlink" Target="https://lannuaire.service-public.gouv.fr/pays-de-la-loire/maine-et-loire/78ddc726-c889-4b84-aa7f-64a7c83b9379" TargetMode="External" Id="rId459" /><Relationship Type="http://schemas.openxmlformats.org/officeDocument/2006/relationships/hyperlink" Target="mailto:contact@maugescommunaute.fr" TargetMode="External" Id="rId460" /><Relationship Type="http://schemas.openxmlformats.org/officeDocument/2006/relationships/hyperlink" Target="https://www.maugescommunaute.fr/" TargetMode="External" Id="rId461" /><Relationship Type="http://schemas.openxmlformats.org/officeDocument/2006/relationships/hyperlink" Target="https://lannuaire.service-public.gouv.fr/pays-de-la-loire/maine-et-loire/a5bf9f84-010d-43aa-a141-77c52f290a0d" TargetMode="External" Id="rId462" /><Relationship Type="http://schemas.openxmlformats.org/officeDocument/2006/relationships/hyperlink" Target="mailto:contact@saumurvaldeloire.fr" TargetMode="External" Id="rId463" /><Relationship Type="http://schemas.openxmlformats.org/officeDocument/2006/relationships/hyperlink" Target="https://www.saumurvaldeloire.fr/" TargetMode="External" Id="rId464" /><Relationship Type="http://schemas.openxmlformats.org/officeDocument/2006/relationships/hyperlink" Target="https://www.saumurvaldeloire.fr/contactez-nous" TargetMode="External" Id="rId465" /><Relationship Type="http://schemas.openxmlformats.org/officeDocument/2006/relationships/hyperlink" Target="https://lannuaire.service-public.gouv.fr/pays-de-la-loire/maine-et-loire/83f2b710-fc54-4325-be9d-5cde5d0998aa" TargetMode="External" Id="rId466" /><Relationship Type="http://schemas.openxmlformats.org/officeDocument/2006/relationships/hyperlink" Target="https://www.angersloiremetropole.fr/" TargetMode="External" Id="rId467" /><Relationship Type="http://schemas.openxmlformats.org/officeDocument/2006/relationships/hyperlink" Target="https://www.angersloiremetropole.fr/contact/formulaire-de-contact/index.html" TargetMode="External" Id="rId468" /><Relationship Type="http://schemas.openxmlformats.org/officeDocument/2006/relationships/hyperlink" Target="https://lannuaire.service-public.gouv.fr/pays-de-la-loire/maine-et-loire/d4ac6f56-0ec4-4c92-b5cf-2a8638b11ecc" TargetMode="External" Id="rId469" /><Relationship Type="http://schemas.openxmlformats.org/officeDocument/2006/relationships/hyperlink" Target="mailto:accueil@msm-normandie.fr" TargetMode="External" Id="rId470" /><Relationship Type="http://schemas.openxmlformats.org/officeDocument/2006/relationships/hyperlink" Target="https://www.msm-normandie.fr/fr/" TargetMode="External" Id="rId471" /><Relationship Type="http://schemas.openxmlformats.org/officeDocument/2006/relationships/hyperlink" Target="https://www.msm-normandie.fr/fr/formulaire-de-contact" TargetMode="External" Id="rId472" /><Relationship Type="http://schemas.openxmlformats.org/officeDocument/2006/relationships/hyperlink" Target="https://lannuaire.service-public.gouv.fr/normandie/manche/97fbe4c4-351b-4f0e-a41d-a6f9dfb558b7" TargetMode="External" Id="rId473" /><Relationship Type="http://schemas.openxmlformats.org/officeDocument/2006/relationships/hyperlink" Target="mailto:contact@saint-lo-agglo.fr" TargetMode="External" Id="rId474" /><Relationship Type="http://schemas.openxmlformats.org/officeDocument/2006/relationships/hyperlink" Target="https://www.saint-lo-agglo.fr/fr" TargetMode="External" Id="rId475" /><Relationship Type="http://schemas.openxmlformats.org/officeDocument/2006/relationships/hyperlink" Target="https://www.saint-lo-agglo.fr/fr/contacter" TargetMode="External" Id="rId476" /><Relationship Type="http://schemas.openxmlformats.org/officeDocument/2006/relationships/hyperlink" Target="https://lannuaire.service-public.gouv.fr/normandie/manche/4c5d2a3c-a8df-4d05-b44d-34133b59a05b" TargetMode="External" Id="rId477" /><Relationship Type="http://schemas.openxmlformats.org/officeDocument/2006/relationships/hyperlink" Target="mailto:contact@lecotentin.fr" TargetMode="External" Id="rId478" /><Relationship Type="http://schemas.openxmlformats.org/officeDocument/2006/relationships/hyperlink" Target="https://www.lecotentin.fr/" TargetMode="External" Id="rId479" /><Relationship Type="http://schemas.openxmlformats.org/officeDocument/2006/relationships/hyperlink" Target="https://www.lecotentin.fr/les-points-daccueil" TargetMode="External" Id="rId480" /><Relationship Type="http://schemas.openxmlformats.org/officeDocument/2006/relationships/hyperlink" Target="https://lannuaire.service-public.gouv.fr/normandie/manche/5114b30a-d0f4-4ee7-b622-595d90a8268d" TargetMode="External" Id="rId481" /><Relationship Type="http://schemas.openxmlformats.org/officeDocument/2006/relationships/hyperlink" Target="mailto:accueil@epernay-agglo.fr" TargetMode="External" Id="rId482" /><Relationship Type="http://schemas.openxmlformats.org/officeDocument/2006/relationships/hyperlink" Target="https://epernay-agglo.fr/" TargetMode="External" Id="rId483" /><Relationship Type="http://schemas.openxmlformats.org/officeDocument/2006/relationships/hyperlink" Target="https://lannuaire.service-public.gouv.fr/grand-est/marne/b2b1a939-0841-402e-b305-35eb3700bcce" TargetMode="External" Id="rId484" /><Relationship Type="http://schemas.openxmlformats.org/officeDocument/2006/relationships/hyperlink" Target="mailto:contact@chalons-agglo.fr" TargetMode="External" Id="rId485" /><Relationship Type="http://schemas.openxmlformats.org/officeDocument/2006/relationships/hyperlink" Target="https://www.chalons-agglo.fr/cac" TargetMode="External" Id="rId486" /><Relationship Type="http://schemas.openxmlformats.org/officeDocument/2006/relationships/hyperlink" Target="https://citoyen.chalons-agglo.fr/demandes/question" TargetMode="External" Id="rId487" /><Relationship Type="http://schemas.openxmlformats.org/officeDocument/2006/relationships/hyperlink" Target="https://lannuaire.service-public.gouv.fr/grand-est/marne/51bd69a9-ff15-4593-aa0a-c14579a88d8b" TargetMode="External" Id="rId488" /><Relationship Type="http://schemas.openxmlformats.org/officeDocument/2006/relationships/hyperlink" Target="mailto:codecom@mairie-saintdizier.fr" TargetMode="External" Id="rId489" /><Relationship Type="http://schemas.openxmlformats.org/officeDocument/2006/relationships/hyperlink" Target="https://www.saint-dizier.fr/" TargetMode="External" Id="rId490" /><Relationship Type="http://schemas.openxmlformats.org/officeDocument/2006/relationships/hyperlink" Target="https://www.saint-dizier.fr/contact.html" TargetMode="External" Id="rId491" /><Relationship Type="http://schemas.openxmlformats.org/officeDocument/2006/relationships/hyperlink" Target="https://lannuaire.service-public.gouv.fr/grand-est/haute-marne/830fd7bb-06b1-4605-8024-73fa9d9caaa6" TargetMode="External" Id="rId492" /><Relationship Type="http://schemas.openxmlformats.org/officeDocument/2006/relationships/hyperlink" Target="mailto:accueil@reims-contact.fr" TargetMode="External" Id="rId493" /><Relationship Type="http://schemas.openxmlformats.org/officeDocument/2006/relationships/hyperlink" Target="https://www.grandreims.fr/" TargetMode="External" Id="rId494" /><Relationship Type="http://schemas.openxmlformats.org/officeDocument/2006/relationships/hyperlink" Target="https://mesdemarchesenligne.reims.fr/SEWSaaS.Guichet/workflow_url?ECITIZ_ACTIVITY_PATH=Citoyen&amp;IDORG=GREIMS&amp;TS=SVE&amp;TASK=CREATION&amp;ANONYME=1&amp;THEMATIQUE=PQ_PQ_PQAS&amp;CONTEXTE=GRANDR&amp;CTX_ST=GRANDR" TargetMode="External" Id="rId495" /><Relationship Type="http://schemas.openxmlformats.org/officeDocument/2006/relationships/hyperlink" Target="https://lannuaire.service-public.gouv.fr/grand-est/marne/ea16f802-b050-46de-93de-e90dc7171e45" TargetMode="External" Id="rId496" /><Relationship Type="http://schemas.openxmlformats.org/officeDocument/2006/relationships/hyperlink" Target="mailto:standard@ville-chaumont.fr" TargetMode="External" Id="rId497" /><Relationship Type="http://schemas.openxmlformats.org/officeDocument/2006/relationships/hyperlink" Target="https://www.agglo-chaumont.fr/" TargetMode="External" Id="rId498" /><Relationship Type="http://schemas.openxmlformats.org/officeDocument/2006/relationships/hyperlink" Target="https://www.agglo-chaumont.fr/nous-contacter/" TargetMode="External" Id="rId499" /><Relationship Type="http://schemas.openxmlformats.org/officeDocument/2006/relationships/hyperlink" Target="https://lannuaire.service-public.gouv.fr/grand-est/haute-marne/4467924f-28f5-4cc1-8b4d-8ed77cd26d68" TargetMode="External" Id="rId500" /><Relationship Type="http://schemas.openxmlformats.org/officeDocument/2006/relationships/hyperlink" Target="mailto:laval-agglo@agglo-laval.fr" TargetMode="External" Id="rId501" /><Relationship Type="http://schemas.openxmlformats.org/officeDocument/2006/relationships/hyperlink" Target="https://www.agglo-laval.fr/accueil" TargetMode="External" Id="rId502" /><Relationship Type="http://schemas.openxmlformats.org/officeDocument/2006/relationships/hyperlink" Target="https://www.agglo-laval.fr/lagglo-mon-territoire/nous-contacter" TargetMode="External" Id="rId503" /><Relationship Type="http://schemas.openxmlformats.org/officeDocument/2006/relationships/hyperlink" Target="https://lannuaire.service-public.gouv.fr/pays-de-la-loire/mayenne/a4707521-2d68-4d32-b92e-ee8fea76418f" TargetMode="External" Id="rId504" /><Relationship Type="http://schemas.openxmlformats.org/officeDocument/2006/relationships/hyperlink" Target="https://grandlongwy.fr/" TargetMode="External" Id="rId505" /><Relationship Type="http://schemas.openxmlformats.org/officeDocument/2006/relationships/hyperlink" Target="https://grandlongwy.fr/contact/" TargetMode="External" Id="rId506" /><Relationship Type="http://schemas.openxmlformats.org/officeDocument/2006/relationships/hyperlink" Target="https://lannuaire.service-public.gouv.fr/grand-est/meurthe-et-moselle/cadd83b6-7bed-4fea-8ff3-0e0f05e5cb54" TargetMode="External" Id="rId507" /><Relationship Type="http://schemas.openxmlformats.org/officeDocument/2006/relationships/hyperlink" Target="mailto:contact@ca-saintdie.fr" TargetMode="External" Id="rId508" /><Relationship Type="http://schemas.openxmlformats.org/officeDocument/2006/relationships/hyperlink" Target="https://www.ca-saintdie.fr" TargetMode="External" Id="rId509" /><Relationship Type="http://schemas.openxmlformats.org/officeDocument/2006/relationships/hyperlink" Target="https://lannuaire.service-public.gouv.fr/grand-est/vosges/0f92fff0-dd36-484c-8458-a0dd7c72fad5" TargetMode="External" Id="rId510" /><Relationship Type="http://schemas.openxmlformats.org/officeDocument/2006/relationships/hyperlink" Target="https://www.grandnancy.eu/accueil" TargetMode="External" Id="rId511" /><Relationship Type="http://schemas.openxmlformats.org/officeDocument/2006/relationships/hyperlink" Target="https://www.grandnancy.eu/formulaires/guichet-des-formulaires/autre-demande" TargetMode="External" Id="rId512" /><Relationship Type="http://schemas.openxmlformats.org/officeDocument/2006/relationships/hyperlink" Target="https://lannuaire.service-public.gouv.fr/grand-est/meurthe-et-moselle/24b8e3c9-72f4-4724-9d2a-8d247cb910e5" TargetMode="External" Id="rId513" /><Relationship Type="http://schemas.openxmlformats.org/officeDocument/2006/relationships/hyperlink" Target="mailto:contact@meusegrandsud.fr" TargetMode="External" Id="rId514" /><Relationship Type="http://schemas.openxmlformats.org/officeDocument/2006/relationships/hyperlink" Target="https://www.meusegrandsud.fr" TargetMode="External" Id="rId515" /><Relationship Type="http://schemas.openxmlformats.org/officeDocument/2006/relationships/hyperlink" Target="https://www.meusegrandsud.fr/contact" TargetMode="External" Id="rId516" /><Relationship Type="http://schemas.openxmlformats.org/officeDocument/2006/relationships/hyperlink" Target="https://lannuaire.service-public.gouv.fr/grand-est/meuse/557e5b45-102b-475d-b7b1-28ac33db3fd5" TargetMode="External" Id="rId517" /><Relationship Type="http://schemas.openxmlformats.org/officeDocument/2006/relationships/hyperlink" Target="mailto:contact@grandverdun.fr" TargetMode="External" Id="rId518" /><Relationship Type="http://schemas.openxmlformats.org/officeDocument/2006/relationships/hyperlink" Target="https://www.verdun.fr/" TargetMode="External" Id="rId519" /><Relationship Type="http://schemas.openxmlformats.org/officeDocument/2006/relationships/hyperlink" Target="https://www.verdun.fr/nous-contacter/" TargetMode="External" Id="rId520" /><Relationship Type="http://schemas.openxmlformats.org/officeDocument/2006/relationships/hyperlink" Target="https://lannuaire.service-public.gouv.fr/grand-est/meuse/25550430-c7c1-47bf-a8e7-43e95d4541d8" TargetMode="External" Id="rId521" /><Relationship Type="http://schemas.openxmlformats.org/officeDocument/2006/relationships/hyperlink" Target="mailto:courrier@gmvagglo.bzh" TargetMode="External" Id="rId522" /><Relationship Type="http://schemas.openxmlformats.org/officeDocument/2006/relationships/hyperlink" Target="https://www.golfedumorbihan-vannesagglomeration.bzh/" TargetMode="External" Id="rId523" /><Relationship Type="http://schemas.openxmlformats.org/officeDocument/2006/relationships/hyperlink" Target="https://www.golfedumorbihan-vannesagglomeration.bzh/nous-contacter/" TargetMode="External" Id="rId524" /><Relationship Type="http://schemas.openxmlformats.org/officeDocument/2006/relationships/hyperlink" Target="https://lannuaire.service-public.gouv.fr/bretagne/morbihan/d502f4f3-3e3a-4618-b42b-ed47b9db1bc6" TargetMode="External" Id="rId525" /><Relationship Type="http://schemas.openxmlformats.org/officeDocument/2006/relationships/hyperlink" Target="mailto:contact@agglo-lorient.fr" TargetMode="External" Id="rId526" /><Relationship Type="http://schemas.openxmlformats.org/officeDocument/2006/relationships/hyperlink" Target="https://www.lorient-agglo.bzh/" TargetMode="External" Id="rId527" /><Relationship Type="http://schemas.openxmlformats.org/officeDocument/2006/relationships/hyperlink" Target="https://www.lorient-agglo.bzh/agglo/contact/" TargetMode="External" Id="rId528" /><Relationship Type="http://schemas.openxmlformats.org/officeDocument/2006/relationships/hyperlink" Target="https://lannuaire.service-public.gouv.fr/bretagne/morbihan/abab3da3-4cd6-42f1-ac88-9fa3f1bc4154" TargetMode="External" Id="rId529" /><Relationship Type="http://schemas.openxmlformats.org/officeDocument/2006/relationships/hyperlink" Target="mailto:communaute@casas57.fr" TargetMode="External" Id="rId530" /><Relationship Type="http://schemas.openxmlformats.org/officeDocument/2006/relationships/hyperlink" Target="https://casas57.fr/" TargetMode="External" Id="rId531" /><Relationship Type="http://schemas.openxmlformats.org/officeDocument/2006/relationships/hyperlink" Target="https://casas57.fr/contact/" TargetMode="External" Id="rId532" /><Relationship Type="http://schemas.openxmlformats.org/officeDocument/2006/relationships/hyperlink" Target="https://lannuaire.service-public.gouv.fr/grand-est/moselle/e7737507-fb39-46c0-b954-4277d5463282" TargetMode="External" Id="rId533" /><Relationship Type="http://schemas.openxmlformats.org/officeDocument/2006/relationships/hyperlink" Target="mailto:contact@agglo-sarreguemines.fr" TargetMode="External" Id="rId534" /><Relationship Type="http://schemas.openxmlformats.org/officeDocument/2006/relationships/hyperlink" Target="https://www.agglo-sarreguemines.fr/" TargetMode="External" Id="rId535" /><Relationship Type="http://schemas.openxmlformats.org/officeDocument/2006/relationships/hyperlink" Target="https://www.agglo-sarreguemines.fr/contact/" TargetMode="External" Id="rId536" /><Relationship Type="http://schemas.openxmlformats.org/officeDocument/2006/relationships/hyperlink" Target="https://lannuaire.service-public.gouv.fr/grand-est/moselle/bba7e4ed-8a2f-4ccd-9e12-acd13415c418" TargetMode="External" Id="rId537" /><Relationship Type="http://schemas.openxmlformats.org/officeDocument/2006/relationships/hyperlink" Target="mailto:courrier@agglo-forbach.fr" TargetMode="External" Id="rId538" /><Relationship Type="http://schemas.openxmlformats.org/officeDocument/2006/relationships/hyperlink" Target="https://www.agglo-forbach.fr/" TargetMode="External" Id="rId539" /><Relationship Type="http://schemas.openxmlformats.org/officeDocument/2006/relationships/hyperlink" Target="https://www.agglo-forbach.fr/fr/contact.html" TargetMode="External" Id="rId540" /><Relationship Type="http://schemas.openxmlformats.org/officeDocument/2006/relationships/hyperlink" Target="https://lannuaire.service-public.gouv.fr/grand-est/moselle/084856a4-4202-44f2-8641-0b807290f752" TargetMode="External" Id="rId541" /><Relationship Type="http://schemas.openxmlformats.org/officeDocument/2006/relationships/hyperlink" Target="mailto:accueilsiege@eurometropolemetz.eu" TargetMode="External" Id="rId542" /><Relationship Type="http://schemas.openxmlformats.org/officeDocument/2006/relationships/hyperlink" Target="https://www.eurometropolemetz.eu/" TargetMode="External" Id="rId543" /><Relationship Type="http://schemas.openxmlformats.org/officeDocument/2006/relationships/hyperlink" Target="https://demarches.services.eurometropolemetz.eu/metz-metropole/formulaire-de-contact-mm/" TargetMode="External" Id="rId544" /><Relationship Type="http://schemas.openxmlformats.org/officeDocument/2006/relationships/hyperlink" Target="https://lannuaire.service-public.gouv.fr/grand-est/moselle/5faa58c0-5de6-4b10-9de2-42c4323cbe61" TargetMode="External" Id="rId545" /><Relationship Type="http://schemas.openxmlformats.org/officeDocument/2006/relationships/hyperlink" Target="mailto:contact@agglo-nevers.fr" TargetMode="External" Id="rId546" /><Relationship Type="http://schemas.openxmlformats.org/officeDocument/2006/relationships/hyperlink" Target="https://www.agglo-nevers.net/" TargetMode="External" Id="rId547" /><Relationship Type="http://schemas.openxmlformats.org/officeDocument/2006/relationships/hyperlink" Target="https://lannuaire.service-public.gouv.fr/bourgogne-franche-comte/nievre/18336d96-68cb-4ef1-baa8-ad9539e44501" TargetMode="External" Id="rId548" /><Relationship Type="http://schemas.openxmlformats.org/officeDocument/2006/relationships/hyperlink" Target="mailto:contact@coeurdostreventagglo.fr" TargetMode="External" Id="rId549" /><Relationship Type="http://schemas.openxmlformats.org/officeDocument/2006/relationships/hyperlink" Target="https://coeurdostrevent.fr/" TargetMode="External" Id="rId550" /><Relationship Type="http://schemas.openxmlformats.org/officeDocument/2006/relationships/hyperlink" Target="https://coeurdostrevent.fr/nous-contacter/" TargetMode="External" Id="rId551" /><Relationship Type="http://schemas.openxmlformats.org/officeDocument/2006/relationships/hyperlink" Target="https://lannuaire.service-public.gouv.fr/hauts-de-france/nord/19325ac3-de97-4764-b8bf-02bdbeff871e" TargetMode="External" Id="rId552" /><Relationship Type="http://schemas.openxmlformats.org/officeDocument/2006/relationships/hyperlink" Target="mailto:mailccom@cc-flandreinterieure.fr" TargetMode="External" Id="rId553" /><Relationship Type="http://schemas.openxmlformats.org/officeDocument/2006/relationships/hyperlink" Target="https://ca-coeurdeflandre.fr/" TargetMode="External" Id="rId554" /><Relationship Type="http://schemas.openxmlformats.org/officeDocument/2006/relationships/hyperlink" Target="https://lannuaire.service-public.gouv.fr/hauts-de-france/nord/7eac9709-b2db-4f4b-be38-c2570faf8b70" TargetMode="External" Id="rId555" /><Relationship Type="http://schemas.openxmlformats.org/officeDocument/2006/relationships/hyperlink" Target="mailto:contact@douaisis-agglo.com" TargetMode="External" Id="rId556" /><Relationship Type="http://schemas.openxmlformats.org/officeDocument/2006/relationships/hyperlink" Target="https://www.douaisis-agglo.com/" TargetMode="External" Id="rId557" /><Relationship Type="http://schemas.openxmlformats.org/officeDocument/2006/relationships/hyperlink" Target="https://www.douaisis-agglo.com/contacter-un-service-de-douaisis-agglo" TargetMode="External" Id="rId558" /><Relationship Type="http://schemas.openxmlformats.org/officeDocument/2006/relationships/hyperlink" Target="https://lannuaire.service-public.gouv.fr/hauts-de-france/nord/be8bfe3b-cd29-4558-94b7-416e62525ef4" TargetMode="External" Id="rId559" /><Relationship Type="http://schemas.openxmlformats.org/officeDocument/2006/relationships/hyperlink" Target="mailto:amvs@amvs.fr" TargetMode="External" Id="rId560" /><Relationship Type="http://schemas.openxmlformats.org/officeDocument/2006/relationships/hyperlink" Target="https://agglo-maubeugevaldesambre.fr/" TargetMode="External" Id="rId561" /><Relationship Type="http://schemas.openxmlformats.org/officeDocument/2006/relationships/hyperlink" Target="https://agglo-maubeugevaldesambre.fr/contact/" TargetMode="External" Id="rId562" /><Relationship Type="http://schemas.openxmlformats.org/officeDocument/2006/relationships/hyperlink" Target="https://lannuaire.service-public.gouv.fr/hauts-de-france/nord/0a98fa2b-758f-4dcb-92a5-33b0191c81f9" TargetMode="External" Id="rId563" /><Relationship Type="http://schemas.openxmlformats.org/officeDocument/2006/relationships/hyperlink" Target="mailto:communication.cavm@valenciennes-metropole.fr" TargetMode="External" Id="rId564" /><Relationship Type="http://schemas.openxmlformats.org/officeDocument/2006/relationships/hyperlink" Target="https://www.valenciennes-metropole.fr/" TargetMode="External" Id="rId565" /><Relationship Type="http://schemas.openxmlformats.org/officeDocument/2006/relationships/hyperlink" Target="https://www.valenciennes-metropole.fr/contact/" TargetMode="External" Id="rId566" /><Relationship Type="http://schemas.openxmlformats.org/officeDocument/2006/relationships/hyperlink" Target="https://lannuaire.service-public.gouv.fr/hauts-de-france/nord/3440f7da-c14d-489e-9a85-05ffa3dfde2d" TargetMode="External" Id="rId567" /><Relationship Type="http://schemas.openxmlformats.org/officeDocument/2006/relationships/hyperlink" Target="mailto:contact@agglo-cambrai.fr" TargetMode="External" Id="rId568" /><Relationship Type="http://schemas.openxmlformats.org/officeDocument/2006/relationships/hyperlink" Target="https://www.agglo-cambrai.fr/" TargetMode="External" Id="rId569" /><Relationship Type="http://schemas.openxmlformats.org/officeDocument/2006/relationships/hyperlink" Target="https://lannuaire.service-public.gouv.fr/hauts-de-france/nord/12093c70-ef1c-49e4-b89c-38d85e8e2f32" TargetMode="External" Id="rId570" /><Relationship Type="http://schemas.openxmlformats.org/officeDocument/2006/relationships/hyperlink" Target="mailto:contact@agglo-porteduhainaut.fr" TargetMode="External" Id="rId571" /><Relationship Type="http://schemas.openxmlformats.org/officeDocument/2006/relationships/hyperlink" Target="https://www.agglo-porteduhainaut.fr/" TargetMode="External" Id="rId572" /><Relationship Type="http://schemas.openxmlformats.org/officeDocument/2006/relationships/hyperlink" Target="https://lannuaire.service-public.gouv.fr/hauts-de-france/nord/2cd6860d-259b-4d53-8d32-273a3a42bf99" TargetMode="External" Id="rId573" /><Relationship Type="http://schemas.openxmlformats.org/officeDocument/2006/relationships/hyperlink" Target="mailto:secretariat@caudresis-catesis.fr" TargetMode="External" Id="rId574" /><Relationship Type="http://schemas.openxmlformats.org/officeDocument/2006/relationships/hyperlink" Target="https://www.caudresis-catesis.fr/" TargetMode="External" Id="rId575" /><Relationship Type="http://schemas.openxmlformats.org/officeDocument/2006/relationships/hyperlink" Target="https://www.caudresis-catesis.fr/contact.html" TargetMode="External" Id="rId576" /><Relationship Type="http://schemas.openxmlformats.org/officeDocument/2006/relationships/hyperlink" Target="https://lannuaire.service-public.gouv.fr/hauts-de-france/nord/eff253d1-b5bb-4b73-8c09-3cdb35ccdd60" TargetMode="External" Id="rId577" /><Relationship Type="http://schemas.openxmlformats.org/officeDocument/2006/relationships/hyperlink" Target="mailto:contact@ville-dunkerque.fr" TargetMode="External" Id="rId578" /><Relationship Type="http://schemas.openxmlformats.org/officeDocument/2006/relationships/hyperlink" Target="https://www.communaute-urbaine-dunkerque.fr/" TargetMode="External" Id="rId579" /><Relationship Type="http://schemas.openxmlformats.org/officeDocument/2006/relationships/hyperlink" Target="https://demarches.cud.fr/demarche/DPO?form=site&amp;id=6a636d382ea6e05f020d182f&amp;trackcode=BAY74Y6C33" TargetMode="External" Id="rId580" /><Relationship Type="http://schemas.openxmlformats.org/officeDocument/2006/relationships/hyperlink" Target="https://lannuaire.service-public.gouv.fr/hauts-de-france/nord/b5ca3353-de16-4003-ac42-2199d77e2884" TargetMode="External" Id="rId581" /><Relationship Type="http://schemas.openxmlformats.org/officeDocument/2006/relationships/hyperlink" Target="mailto:contact@lillemetropole.fr" TargetMode="External" Id="rId582" /><Relationship Type="http://schemas.openxmlformats.org/officeDocument/2006/relationships/hyperlink" Target="https://www.lillemetropole.fr/" TargetMode="External" Id="rId583" /><Relationship Type="http://schemas.openxmlformats.org/officeDocument/2006/relationships/hyperlink" Target="https://lannuaire.service-public.gouv.fr/hauts-de-france/nord/11205853-0de1-4cd7-8410-c7cf6f498a3e" TargetMode="External" Id="rId584" /><Relationship Type="http://schemas.openxmlformats.org/officeDocument/2006/relationships/hyperlink" Target="mailto:contact@creilsudoise.fr" TargetMode="External" Id="rId585" /><Relationship Type="http://schemas.openxmlformats.org/officeDocument/2006/relationships/hyperlink" Target="https://www.creilsudoise.fr/" TargetMode="External" Id="rId586" /><Relationship Type="http://schemas.openxmlformats.org/officeDocument/2006/relationships/hyperlink" Target="https://www.creilsudoise.fr/mon-actu/contact/" TargetMode="External" Id="rId587" /><Relationship Type="http://schemas.openxmlformats.org/officeDocument/2006/relationships/hyperlink" Target="https://lannuaire.service-public.gouv.fr/hauts-de-france/oise/2162ab3b-c15e-4994-9fc6-da4872fab180" TargetMode="External" Id="rId588" /><Relationship Type="http://schemas.openxmlformats.org/officeDocument/2006/relationships/hyperlink" Target="mailto:accueil@agglo-compiegne.fr" TargetMode="External" Id="rId589" /><Relationship Type="http://schemas.openxmlformats.org/officeDocument/2006/relationships/hyperlink" Target="https://www.agglo-compiegne.fr/" TargetMode="External" Id="rId590" /><Relationship Type="http://schemas.openxmlformats.org/officeDocument/2006/relationships/hyperlink" Target="https://www.agglo-compiegne.fr/nous-contacter" TargetMode="External" Id="rId591" /><Relationship Type="http://schemas.openxmlformats.org/officeDocument/2006/relationships/hyperlink" Target="https://lannuaire.service-public.gouv.fr/hauts-de-france/oise/aa07aa46-9b6a-4d03-8493-0dee4f481374" TargetMode="External" Id="rId592" /><Relationship Type="http://schemas.openxmlformats.org/officeDocument/2006/relationships/hyperlink" Target="mailto:contact@beauvaisis.fr" TargetMode="External" Id="rId593" /><Relationship Type="http://schemas.openxmlformats.org/officeDocument/2006/relationships/hyperlink" Target="https://www.beauvaisis.fr/" TargetMode="External" Id="rId594" /><Relationship Type="http://schemas.openxmlformats.org/officeDocument/2006/relationships/hyperlink" Target="http://www.beauvaisis.fr/communaute-agglomeration/nous-contacter.html" TargetMode="External" Id="rId595" /><Relationship Type="http://schemas.openxmlformats.org/officeDocument/2006/relationships/hyperlink" Target="https://lannuaire.service-public.gouv.fr/hauts-de-france/oise/556c0aac-f6fc-487c-96cd-e1bf24db6acc" TargetMode="External" Id="rId596" /><Relationship Type="http://schemas.openxmlformats.org/officeDocument/2006/relationships/hyperlink" Target="mailto:accueil@flers-agglo.fr" TargetMode="External" Id="rId597" /><Relationship Type="http://schemas.openxmlformats.org/officeDocument/2006/relationships/hyperlink" Target="https://www.flers-agglo.fr/" TargetMode="External" Id="rId598" /><Relationship Type="http://schemas.openxmlformats.org/officeDocument/2006/relationships/hyperlink" Target="https://www.flers-agglo.fr/nous-contacter/" TargetMode="External" Id="rId599" /><Relationship Type="http://schemas.openxmlformats.org/officeDocument/2006/relationships/hyperlink" Target="https://lannuaire.service-public.gouv.fr/normandie/orne/49558ef4-24ad-444c-b343-a655e03e15fb" TargetMode="External" Id="rId600" /><Relationship Type="http://schemas.openxmlformats.org/officeDocument/2006/relationships/hyperlink" Target="mailto:cabinet@cu-alencon.fr" TargetMode="External" Id="rId601" /><Relationship Type="http://schemas.openxmlformats.org/officeDocument/2006/relationships/hyperlink" Target="https://www.cu-alencon.fr/" TargetMode="External" Id="rId602" /><Relationship Type="http://schemas.openxmlformats.org/officeDocument/2006/relationships/hyperlink" Target="https://www.cu-alencon.fr/contact/" TargetMode="External" Id="rId603" /><Relationship Type="http://schemas.openxmlformats.org/officeDocument/2006/relationships/hyperlink" Target="https://lannuaire.service-public.gouv.fr/normandie/orne/813f7994-06aa-4369-96f8-8a81dc707c24" TargetMode="External" Id="rId604" /><Relationship Type="http://schemas.openxmlformats.org/officeDocument/2006/relationships/hyperlink" Target="mailto:info@grandcalais.fr" TargetMode="External" Id="rId605" /><Relationship Type="http://schemas.openxmlformats.org/officeDocument/2006/relationships/hyperlink" Target="https://www.grandcalais.fr/" TargetMode="External" Id="rId606" /><Relationship Type="http://schemas.openxmlformats.org/officeDocument/2006/relationships/hyperlink" Target="https://www.grandcalais.fr/linstitution-2/nous-contacter/" TargetMode="External" Id="rId607" /><Relationship Type="http://schemas.openxmlformats.org/officeDocument/2006/relationships/hyperlink" Target="https://lannuaire.service-public.gouv.fr/hauts-de-france/pas-de-calais/6957769e-da94-45fb-afac-29ec81b879bd" TargetMode="External" Id="rId608" /><Relationship Type="http://schemas.openxmlformats.org/officeDocument/2006/relationships/hyperlink" Target="mailto:communication@agglo-henincarvin.fr" TargetMode="External" Id="rId609" /><Relationship Type="http://schemas.openxmlformats.org/officeDocument/2006/relationships/hyperlink" Target="https://www.agglo-henincarvin.fr/" TargetMode="External" Id="rId610" /><Relationship Type="http://schemas.openxmlformats.org/officeDocument/2006/relationships/hyperlink" Target="https://www.agglo-henincarvin.fr/Nous-contacter" TargetMode="External" Id="rId611" /><Relationship Type="http://schemas.openxmlformats.org/officeDocument/2006/relationships/hyperlink" Target="https://lannuaire.service-public.gouv.fr/hauts-de-france/pas-de-calais/1814283b-94c6-42b8-a0be-48ac94a2dae3" TargetMode="External" Id="rId612" /><Relationship Type="http://schemas.openxmlformats.org/officeDocument/2006/relationships/hyperlink" Target="mailto:contact@bethunebruay.fr" TargetMode="External" Id="rId613" /><Relationship Type="http://schemas.openxmlformats.org/officeDocument/2006/relationships/hyperlink" Target="https://www.bethunebruay.fr/" TargetMode="External" Id="rId614" /><Relationship Type="http://schemas.openxmlformats.org/officeDocument/2006/relationships/hyperlink" Target="https://formulaires.demarches.bethunebruay.fr/contact/demande-generale/" TargetMode="External" Id="rId615" /><Relationship Type="http://schemas.openxmlformats.org/officeDocument/2006/relationships/hyperlink" Target="https://lannuaire.service-public.gouv.fr/hauts-de-france/pas-de-calais/ec3fce83-3fd8-45da-8906-d4f515c839e9" TargetMode="External" Id="rId616" /><Relationship Type="http://schemas.openxmlformats.org/officeDocument/2006/relationships/hyperlink" Target="mailto:contact@agglo-lenslievin.fr" TargetMode="External" Id="rId617" /><Relationship Type="http://schemas.openxmlformats.org/officeDocument/2006/relationships/hyperlink" Target="https://www.agglo-lenslievin.fr/" TargetMode="External" Id="rId618" /><Relationship Type="http://schemas.openxmlformats.org/officeDocument/2006/relationships/hyperlink" Target="https://www.agglo-lenslievin.fr/lagglomeration-pratique/contact/" TargetMode="External" Id="rId619" /><Relationship Type="http://schemas.openxmlformats.org/officeDocument/2006/relationships/hyperlink" Target="https://lannuaire.service-public.gouv.fr/hauts-de-france/pas-de-calais/5544c465-ec24-4b32-a967-adbc5943fca6" TargetMode="External" Id="rId620" /><Relationship Type="http://schemas.openxmlformats.org/officeDocument/2006/relationships/hyperlink" Target="mailto:contact@ca2bm.fr" TargetMode="External" Id="rId621" /><Relationship Type="http://schemas.openxmlformats.org/officeDocument/2006/relationships/hyperlink" Target="https://www.ca2bm.fr/" TargetMode="External" Id="rId622" /><Relationship Type="http://schemas.openxmlformats.org/officeDocument/2006/relationships/hyperlink" Target="https://lannuaire.service-public.gouv.fr/hauts-de-france/pas-de-calais/ca25a1bc-da52-4f3c-aaa6-e9d6b4e0cbba" TargetMode="External" Id="rId623" /><Relationship Type="http://schemas.openxmlformats.org/officeDocument/2006/relationships/hyperlink" Target="mailto:contact@agglo-boulonnais.fr" TargetMode="External" Id="rId624" /><Relationship Type="http://schemas.openxmlformats.org/officeDocument/2006/relationships/hyperlink" Target="https://www.agglo-boulonnais.fr/" TargetMode="External" Id="rId625" /><Relationship Type="http://schemas.openxmlformats.org/officeDocument/2006/relationships/hyperlink" Target="https://www.agglo-boulonnais.fr/pages-pratiques/contact" TargetMode="External" Id="rId626" /><Relationship Type="http://schemas.openxmlformats.org/officeDocument/2006/relationships/hyperlink" Target="https://lannuaire.service-public.gouv.fr/hauts-de-france/pas-de-calais/d2d3c836-791d-4cff-a90f-da130f5f4283" TargetMode="External" Id="rId627" /><Relationship Type="http://schemas.openxmlformats.org/officeDocument/2006/relationships/hyperlink" Target="mailto:contact@ca-pso.fr" TargetMode="External" Id="rId628" /><Relationship Type="http://schemas.openxmlformats.org/officeDocument/2006/relationships/hyperlink" Target="https://www.ca-pso.fr" TargetMode="External" Id="rId629" /><Relationship Type="http://schemas.openxmlformats.org/officeDocument/2006/relationships/hyperlink" Target="https://www.ca-pso.fr/contact/" TargetMode="External" Id="rId630" /><Relationship Type="http://schemas.openxmlformats.org/officeDocument/2006/relationships/hyperlink" Target="https://lannuaire.service-public.gouv.fr/hauts-de-france/pas-de-calais/fdff0965-fc8c-44ea-bec7-9e15e37c9387" TargetMode="External" Id="rId631" /><Relationship Type="http://schemas.openxmlformats.org/officeDocument/2006/relationships/hyperlink" Target="mailto:contact@cu-arras.org" TargetMode="External" Id="rId632" /><Relationship Type="http://schemas.openxmlformats.org/officeDocument/2006/relationships/hyperlink" Target="https://www.cu-arras.fr/" TargetMode="External" Id="rId633" /><Relationship Type="http://schemas.openxmlformats.org/officeDocument/2006/relationships/hyperlink" Target="https://www.cu-arras.fr/" TargetMode="External" Id="rId634" /><Relationship Type="http://schemas.openxmlformats.org/officeDocument/2006/relationships/hyperlink" Target="https://lannuaire.service-public.gouv.fr/hauts-de-france/pas-de-calais/2c22fe9e-f835-48fd-a1a9-edbfb18c2276" TargetMode="External" Id="rId635" /><Relationship Type="http://schemas.openxmlformats.org/officeDocument/2006/relationships/hyperlink" Target="mailto:acceuil@capissoire.fr" TargetMode="External" Id="rId636" /><Relationship Type="http://schemas.openxmlformats.org/officeDocument/2006/relationships/hyperlink" Target="https://www.capissoire.fr/" TargetMode="External" Id="rId637" /><Relationship Type="http://schemas.openxmlformats.org/officeDocument/2006/relationships/hyperlink" Target="https://www.capissoire.fr/nous-contacter/" TargetMode="External" Id="rId638" /><Relationship Type="http://schemas.openxmlformats.org/officeDocument/2006/relationships/hyperlink" Target="https://lannuaire.service-public.gouv.fr/auvergne-rhone-alpes/puy-de-dome/b9295536-d66a-45ad-8952-bb5d549d01d9" TargetMode="External" Id="rId639" /><Relationship Type="http://schemas.openxmlformats.org/officeDocument/2006/relationships/hyperlink" Target="mailto:contact@rlv.eu" TargetMode="External" Id="rId640" /><Relationship Type="http://schemas.openxmlformats.org/officeDocument/2006/relationships/hyperlink" Target="https://www.rlv.eu/" TargetMode="External" Id="rId641" /><Relationship Type="http://schemas.openxmlformats.org/officeDocument/2006/relationships/hyperlink" Target="https://www.rlv.eu/contact" TargetMode="External" Id="rId642" /><Relationship Type="http://schemas.openxmlformats.org/officeDocument/2006/relationships/hyperlink" Target="https://lannuaire.service-public.gouv.fr/auvergne-rhone-alpes/puy-de-dome/84828004-7159-47b0-85c4-068e20244355" TargetMode="External" Id="rId643" /><Relationship Type="http://schemas.openxmlformats.org/officeDocument/2006/relationships/hyperlink" Target="mailto:communication@clermontmetropole.eu" TargetMode="External" Id="rId644" /><Relationship Type="http://schemas.openxmlformats.org/officeDocument/2006/relationships/hyperlink" Target="http://www.clermontmetropole.fr" TargetMode="External" Id="rId645" /><Relationship Type="http://schemas.openxmlformats.org/officeDocument/2006/relationships/hyperlink" Target="https://lannuaire.service-public.gouv.fr/auvergne-rhone-alpes/puy-de-dome/0e9015bf-78dd-46d4-afbe-96b556e74cde" TargetMode="External" Id="rId646" /><Relationship Type="http://schemas.openxmlformats.org/officeDocument/2006/relationships/hyperlink" Target="mailto:courrier@ville-pau.fr" TargetMode="External" Id="rId647" /><Relationship Type="http://schemas.openxmlformats.org/officeDocument/2006/relationships/hyperlink" Target="https://www.pau.fr/" TargetMode="External" Id="rId648" /><Relationship Type="http://schemas.openxmlformats.org/officeDocument/2006/relationships/hyperlink" Target="https://lannuaire.service-public.gouv.fr/nouvelle-aquitaine/pyrenees-atlantiques/dd849c87-29f9-4599-a837-14ef15a92858" TargetMode="External" Id="rId649" /><Relationship Type="http://schemas.openxmlformats.org/officeDocument/2006/relationships/hyperlink" Target="mailto:contact@communaute-paysbasque.fr" TargetMode="External" Id="rId650" /><Relationship Type="http://schemas.openxmlformats.org/officeDocument/2006/relationships/hyperlink" Target="https://www.communaute-paysbasque.fr/" TargetMode="External" Id="rId651" /><Relationship Type="http://schemas.openxmlformats.org/officeDocument/2006/relationships/hyperlink" Target="https://www.communaute-paysbasque.fr/mes-demarches/demarches/contacter-les-services-de-la-communaute-pays-basque" TargetMode="External" Id="rId652" /><Relationship Type="http://schemas.openxmlformats.org/officeDocument/2006/relationships/hyperlink" Target="https://lannuaire.service-public.gouv.fr/nouvelle-aquitaine/pyrenees-atlantiques/c4d86624-1bd8-485a-b767-b338e6964dc3" TargetMode="External" Id="rId653" /><Relationship Type="http://schemas.openxmlformats.org/officeDocument/2006/relationships/hyperlink" Target="https://www.agglo-tlp.fr/" TargetMode="External" Id="rId654" /><Relationship Type="http://schemas.openxmlformats.org/officeDocument/2006/relationships/hyperlink" Target="https://www.agglo-tlp.fr/page/contact" TargetMode="External" Id="rId655" /><Relationship Type="http://schemas.openxmlformats.org/officeDocument/2006/relationships/hyperlink" Target="https://lannuaire.service-public.gouv.fr/occitanie/hautes-pyrenees/75a170b6-528b-456c-aec0-fe339a3a01df" TargetMode="External" Id="rId656" /><Relationship Type="http://schemas.openxmlformats.org/officeDocument/2006/relationships/hyperlink" Target="mailto:accueil.pmca@perpignan-mediterranee.org" TargetMode="External" Id="rId657" /><Relationship Type="http://schemas.openxmlformats.org/officeDocument/2006/relationships/hyperlink" Target="https://www.perpignanmediterraneemetropole.fr" TargetMode="External" Id="rId658" /><Relationship Type="http://schemas.openxmlformats.org/officeDocument/2006/relationships/hyperlink" Target="https://lannuaire.service-public.gouv.fr/occitanie/pyrenees-orientales/a970b8c1-9090-488e-9308-7332c4cf83f2" TargetMode="External" Id="rId659" /><Relationship Type="http://schemas.openxmlformats.org/officeDocument/2006/relationships/hyperlink" Target="mailto:ecrire@agglo-haguenau.fr" TargetMode="External" Id="rId660" /><Relationship Type="http://schemas.openxmlformats.org/officeDocument/2006/relationships/hyperlink" Target="https://www.agglo-haguenau.fr/" TargetMode="External" Id="rId661" /><Relationship Type="http://schemas.openxmlformats.org/officeDocument/2006/relationships/hyperlink" Target="https://www.agglo-haguenau.fr/contact/" TargetMode="External" Id="rId662" /><Relationship Type="http://schemas.openxmlformats.org/officeDocument/2006/relationships/hyperlink" Target="https://lannuaire.service-public.gouv.fr/grand-est/bas-rhin/8e27619c-651a-491a-94b7-5ba6881e7901" TargetMode="External" Id="rId663" /><Relationship Type="http://schemas.openxmlformats.org/officeDocument/2006/relationships/hyperlink" Target="https://www.strasbourg.eu/" TargetMode="External" Id="rId664" /><Relationship Type="http://schemas.openxmlformats.org/officeDocument/2006/relationships/hyperlink" Target="https://demarches.strasbourg.eu/contactez-nous/contactez-nous/" TargetMode="External" Id="rId665" /><Relationship Type="http://schemas.openxmlformats.org/officeDocument/2006/relationships/hyperlink" Target="https://lannuaire.service-public.gouv.fr/grand-est/bas-rhin/db057bfd-ee8f-49eb-83a9-156c8f87bc3a" TargetMode="External" Id="rId666" /><Relationship Type="http://schemas.openxmlformats.org/officeDocument/2006/relationships/hyperlink" Target="mailto:contact@agglo-colmar.fr" TargetMode="External" Id="rId667" /><Relationship Type="http://schemas.openxmlformats.org/officeDocument/2006/relationships/hyperlink" Target="https://www.agglo-colmar.fr/" TargetMode="External" Id="rId668" /><Relationship Type="http://schemas.openxmlformats.org/officeDocument/2006/relationships/hyperlink" Target="https://lannuaire.service-public.gouv.fr/grand-est/haut-rhin/d5d2347e-8656-4a5a-95f5-d1afb887c009" TargetMode="External" Id="rId669" /><Relationship Type="http://schemas.openxmlformats.org/officeDocument/2006/relationships/hyperlink" Target="mailto:mulhouse@mulhouse.fr" TargetMode="External" Id="rId670" /><Relationship Type="http://schemas.openxmlformats.org/officeDocument/2006/relationships/hyperlink" Target="https://www.m2a.fr/" TargetMode="External" Id="rId671" /><Relationship Type="http://schemas.openxmlformats.org/officeDocument/2006/relationships/hyperlink" Target="https://www.m2a.fr/contact/" TargetMode="External" Id="rId672" /><Relationship Type="http://schemas.openxmlformats.org/officeDocument/2006/relationships/hyperlink" Target="https://lannuaire.service-public.gouv.fr/grand-est/haut-rhin/ae46ad43-c37b-40d9-8b23-4105804085c9" TargetMode="External" Id="rId673" /><Relationship Type="http://schemas.openxmlformats.org/officeDocument/2006/relationships/hyperlink" Target="mailto:direction@agglo-saint-louis.fr" TargetMode="External" Id="rId674" /><Relationship Type="http://schemas.openxmlformats.org/officeDocument/2006/relationships/hyperlink" Target="https://www.agglo-saint-louis.fr/fr/" TargetMode="External" Id="rId675" /><Relationship Type="http://schemas.openxmlformats.org/officeDocument/2006/relationships/hyperlink" Target="https://www.agglo-saint-louis.fr/fr/contact/" TargetMode="External" Id="rId676" /><Relationship Type="http://schemas.openxmlformats.org/officeDocument/2006/relationships/hyperlink" Target="https://lannuaire.service-public.gouv.fr/grand-est/haut-rhin/45b4105a-804b-4b55-ae0d-32d60d01f49e" TargetMode="External" Id="rId677" /><Relationship Type="http://schemas.openxmlformats.org/officeDocument/2006/relationships/hyperlink" Target="mailto:contact@c-or.fr" TargetMode="External" Id="rId678" /><Relationship Type="http://schemas.openxmlformats.org/officeDocument/2006/relationships/hyperlink" Target="https://www.ouestrhodanien.fr/" TargetMode="External" Id="rId679" /><Relationship Type="http://schemas.openxmlformats.org/officeDocument/2006/relationships/hyperlink" Target="https://www.ouestrhodanien.fr/nous-contacter/" TargetMode="External" Id="rId680" /><Relationship Type="http://schemas.openxmlformats.org/officeDocument/2006/relationships/hyperlink" Target="https://lannuaire.service-public.gouv.fr/auvergne-rhone-alpes/rhone/4655d371-6205-4bff-ac42-d3109648d84e" TargetMode="External" Id="rId681" /><Relationship Type="http://schemas.openxmlformats.org/officeDocument/2006/relationships/hyperlink" Target="mailto:agglomerationvesoul@vesoul.fr" TargetMode="External" Id="rId682" /><Relationship Type="http://schemas.openxmlformats.org/officeDocument/2006/relationships/hyperlink" Target="https://www.vesoul.fr/" TargetMode="External" Id="rId683" /><Relationship Type="http://schemas.openxmlformats.org/officeDocument/2006/relationships/hyperlink" Target="https://www.vesoul.fr/ville-agglo/l-agglomeration-de-vesoul/contacter-l-agglomeration.html" TargetMode="External" Id="rId684" /><Relationship Type="http://schemas.openxmlformats.org/officeDocument/2006/relationships/hyperlink" Target="https://lannuaire.service-public.gouv.fr/bourgogne-franche-comte/haute-saone/7c05b07f-7585-460b-acfd-5965891c2ccb" TargetMode="External" Id="rId685" /><Relationship Type="http://schemas.openxmlformats.org/officeDocument/2006/relationships/hyperlink" Target="mailto:contact@legrandchalon.fr" TargetMode="External" Id="rId686" /><Relationship Type="http://schemas.openxmlformats.org/officeDocument/2006/relationships/hyperlink" Target="https://www.legrandchalon.fr/" TargetMode="External" Id="rId687" /><Relationship Type="http://schemas.openxmlformats.org/officeDocument/2006/relationships/hyperlink" Target="https://www.legrandchalon.fr/contactez-nous/" TargetMode="External" Id="rId688" /><Relationship Type="http://schemas.openxmlformats.org/officeDocument/2006/relationships/hyperlink" Target="https://lannuaire.service-public.gouv.fr/bourgogne-franche-comte/saone-et-loire/9d0bcc3b-d74d-420b-ae45-56b211071546" TargetMode="External" Id="rId689" /><Relationship Type="http://schemas.openxmlformats.org/officeDocument/2006/relationships/hyperlink" Target="mailto:info@creusot-montceau.org" TargetMode="External" Id="rId690" /><Relationship Type="http://schemas.openxmlformats.org/officeDocument/2006/relationships/hyperlink" Target="https://www.creusot-montceau.org/" TargetMode="External" Id="rId691" /><Relationship Type="http://schemas.openxmlformats.org/officeDocument/2006/relationships/hyperlink" Target="https://www.creusot-montceau.org/nous-contacter/" TargetMode="External" Id="rId692" /><Relationship Type="http://schemas.openxmlformats.org/officeDocument/2006/relationships/hyperlink" Target="https://lannuaire.service-public.gouv.fr/bourgogne-franche-comte/saone-et-loire/1474feb1-b2fe-4f62-a473-9e01c48baf8e" TargetMode="External" Id="rId693" /><Relationship Type="http://schemas.openxmlformats.org/officeDocument/2006/relationships/hyperlink" Target="https://www.lemansmetropole.fr/" TargetMode="External" Id="rId694" /><Relationship Type="http://schemas.openxmlformats.org/officeDocument/2006/relationships/hyperlink" Target="https://www.lemansmetropole.fr/contactez-nous" TargetMode="External" Id="rId695" /><Relationship Type="http://schemas.openxmlformats.org/officeDocument/2006/relationships/hyperlink" Target="https://lannuaire.service-public.gouv.fr/pays-de-la-loire/sarthe/95a9cc44-acf5-4032-9333-2e7bfb969622" TargetMode="External" Id="rId696" /><Relationship Type="http://schemas.openxmlformats.org/officeDocument/2006/relationships/hyperlink" Target="mailto:contact@arlysere.fr" TargetMode="External" Id="rId697" /><Relationship Type="http://schemas.openxmlformats.org/officeDocument/2006/relationships/hyperlink" Target="https://www.arlysere.fr/" TargetMode="External" Id="rId698" /><Relationship Type="http://schemas.openxmlformats.org/officeDocument/2006/relationships/hyperlink" Target="https://smart-agglo-arlysere.fr/categories/nous-contacter" TargetMode="External" Id="rId699" /><Relationship Type="http://schemas.openxmlformats.org/officeDocument/2006/relationships/hyperlink" Target="https://lannuaire.service-public.gouv.fr/auvergne-rhone-alpes/savoie/b70923fd-24ea-46cf-9a18-0fa6a9d6ca12" TargetMode="External" Id="rId700" /><Relationship Type="http://schemas.openxmlformats.org/officeDocument/2006/relationships/hyperlink" Target="mailto:contact@grand-lac.fr" TargetMode="External" Id="rId701" /><Relationship Type="http://schemas.openxmlformats.org/officeDocument/2006/relationships/hyperlink" Target="https://grand-lac.fr/" TargetMode="External" Id="rId702" /><Relationship Type="http://schemas.openxmlformats.org/officeDocument/2006/relationships/hyperlink" Target="https://grand-lac.fr/pages-pratiques/contact" TargetMode="External" Id="rId703" /><Relationship Type="http://schemas.openxmlformats.org/officeDocument/2006/relationships/hyperlink" Target="https://lannuaire.service-public.gouv.fr/auvergne-rhone-alpes/savoie/9a2482d6-25b0-45a8-854f-057541162cdc" TargetMode="External" Id="rId704" /><Relationship Type="http://schemas.openxmlformats.org/officeDocument/2006/relationships/hyperlink" Target="https://www.grandchambery.fr" TargetMode="External" Id="rId705" /><Relationship Type="http://schemas.openxmlformats.org/officeDocument/2006/relationships/hyperlink" Target="https://formulaires.simplici.grandchambery.fr/administration-generale/nous-ecrire-en-ligne/" TargetMode="External" Id="rId706" /><Relationship Type="http://schemas.openxmlformats.org/officeDocument/2006/relationships/hyperlink" Target="https://lannuaire.service-public.gouv.fr/auvergne-rhone-alpes/savoie/052be6ab-fa3e-45e7-b740-8e31a52abf06" TargetMode="External" Id="rId707" /><Relationship Type="http://schemas.openxmlformats.org/officeDocument/2006/relationships/hyperlink" Target="mailto:contact@annemasse-agglo.fr" TargetMode="External" Id="rId708" /><Relationship Type="http://schemas.openxmlformats.org/officeDocument/2006/relationships/hyperlink" Target="https://www.annemasse-agglo.fr/" TargetMode="External" Id="rId709" /><Relationship Type="http://schemas.openxmlformats.org/officeDocument/2006/relationships/hyperlink" Target="https://www.annemasse-agglo.fr/contact" TargetMode="External" Id="rId710" /><Relationship Type="http://schemas.openxmlformats.org/officeDocument/2006/relationships/hyperlink" Target="https://lannuaire.service-public.gouv.fr/auvergne-rhone-alpes/haute-savoie/6253917a-1cf3-4c35-8b72-e26be4bd9428" TargetMode="External" Id="rId711" /><Relationship Type="http://schemas.openxmlformats.org/officeDocument/2006/relationships/hyperlink" Target="mailto:accueil@thononagglo.fr" TargetMode="External" Id="rId712" /><Relationship Type="http://schemas.openxmlformats.org/officeDocument/2006/relationships/hyperlink" Target="https://www.thononagglo.fr/" TargetMode="External" Id="rId713" /><Relationship Type="http://schemas.openxmlformats.org/officeDocument/2006/relationships/hyperlink" Target="https://lannuaire.service-public.gouv.fr/auvergne-rhone-alpes/haute-savoie/e1357262-5054-455a-ba10-6bab4f2c1334" TargetMode="External" Id="rId714" /><Relationship Type="http://schemas.openxmlformats.org/officeDocument/2006/relationships/hyperlink" Target="mailto:agglo@grandannecy.fr" TargetMode="External" Id="rId715" /><Relationship Type="http://schemas.openxmlformats.org/officeDocument/2006/relationships/hyperlink" Target="https://www.grandannecy.fr/" TargetMode="External" Id="rId716" /><Relationship Type="http://schemas.openxmlformats.org/officeDocument/2006/relationships/hyperlink" Target="https://www.grandannecy.fr/contact" TargetMode="External" Id="rId717" /><Relationship Type="http://schemas.openxmlformats.org/officeDocument/2006/relationships/hyperlink" Target="https://lannuaire.service-public.gouv.fr/auvergne-rhone-alpes/haute-savoie/aaf24976-83e8-4270-93b1-980fc91988c4" TargetMode="External" Id="rId718" /><Relationship Type="http://schemas.openxmlformats.org/officeDocument/2006/relationships/hyperlink" Target="mailto:contact@metropolegrandparis.fr" TargetMode="External" Id="rId719" /><Relationship Type="http://schemas.openxmlformats.org/officeDocument/2006/relationships/hyperlink" Target="https://www.metropolegrandparis.fr/fr" TargetMode="External" Id="rId720" /><Relationship Type="http://schemas.openxmlformats.org/officeDocument/2006/relationships/hyperlink" Target="https://lannuaire.service-public.gouv.fr/ile-de-france/paris/cd6d613b-65e4-4392-932a-58e98aaaa933" TargetMode="External" Id="rId721" /><Relationship Type="http://schemas.openxmlformats.org/officeDocument/2006/relationships/hyperlink" Target="mailto:accueil@cauxseine.fr" TargetMode="External" Id="rId722" /><Relationship Type="http://schemas.openxmlformats.org/officeDocument/2006/relationships/hyperlink" Target="https://www.cauxseine.fr/" TargetMode="External" Id="rId723" /><Relationship Type="http://schemas.openxmlformats.org/officeDocument/2006/relationships/hyperlink" Target="https://www.cauxseine.fr/nous-contacter/" TargetMode="External" Id="rId724" /><Relationship Type="http://schemas.openxmlformats.org/officeDocument/2006/relationships/hyperlink" Target="https://lannuaire.service-public.gouv.fr/normandie/seine-maritime/43afec30-2190-44fb-b0bc-1972de247156" TargetMode="External" Id="rId725" /><Relationship Type="http://schemas.openxmlformats.org/officeDocument/2006/relationships/hyperlink" Target="mailto:contact@agglo-fecampcauxlittoral.fr" TargetMode="External" Id="rId726" /><Relationship Type="http://schemas.openxmlformats.org/officeDocument/2006/relationships/hyperlink" Target="https://www.agglo-fecampcauxlittoral.fr/" TargetMode="External" Id="rId727" /><Relationship Type="http://schemas.openxmlformats.org/officeDocument/2006/relationships/hyperlink" Target="https://www.agglo-fecampcauxlittoral.fr/nous-contacter/" TargetMode="External" Id="rId728" /><Relationship Type="http://schemas.openxmlformats.org/officeDocument/2006/relationships/hyperlink" Target="https://lannuaire.service-public.gouv.fr/normandie/seine-maritime/e7581982-9224-4d32-993c-47d683135ff9" TargetMode="External" Id="rId729" /><Relationship Type="http://schemas.openxmlformats.org/officeDocument/2006/relationships/hyperlink" Target="mailto:contact@agglodieppe-maritime.com" TargetMode="External" Id="rId730" /><Relationship Type="http://schemas.openxmlformats.org/officeDocument/2006/relationships/hyperlink" Target="http://www.agglodieppe-maritime.com" TargetMode="External" Id="rId731" /><Relationship Type="http://schemas.openxmlformats.org/officeDocument/2006/relationships/hyperlink" Target="https://lannuaire.service-public.gouv.fr/normandie/seine-maritime/0a48d46c-64ee-4c14-a15d-0cdfce4cdfe6" TargetMode="External" Id="rId732" /><Relationship Type="http://schemas.openxmlformats.org/officeDocument/2006/relationships/hyperlink" Target="https://www.lehavreseinemetropole.fr/" TargetMode="External" Id="rId733" /><Relationship Type="http://schemas.openxmlformats.org/officeDocument/2006/relationships/hyperlink" Target="https://formulaires.mesdemarches.lehavreseinemetropole.fr/contactez-nous/formulaire-de-contact-import/" TargetMode="External" Id="rId734" /><Relationship Type="http://schemas.openxmlformats.org/officeDocument/2006/relationships/hyperlink" Target="https://lannuaire.service-public.gouv.fr/normandie/seine-maritime/15ae2e5a-dce1-4835-96c5-d9099d677f64" TargetMode="External" Id="rId735" /><Relationship Type="http://schemas.openxmlformats.org/officeDocument/2006/relationships/hyperlink" Target="mailto:contact@metropole-rouen-normandie.fr" TargetMode="External" Id="rId736" /><Relationship Type="http://schemas.openxmlformats.org/officeDocument/2006/relationships/hyperlink" Target="https://www.metropole-rouen-normandie.fr/" TargetMode="External" Id="rId737" /><Relationship Type="http://schemas.openxmlformats.org/officeDocument/2006/relationships/hyperlink" Target="https://mrn.metropole-rouen-normandie.fr/ma-metropole" TargetMode="External" Id="rId738" /><Relationship Type="http://schemas.openxmlformats.org/officeDocument/2006/relationships/hyperlink" Target="https://lannuaire.service-public.gouv.fr/normandie/seine-maritime/c5883058-7a68-4314-98fb-0d07ddee2349" TargetMode="External" Id="rId739" /><Relationship Type="http://schemas.openxmlformats.org/officeDocument/2006/relationships/hyperlink" Target="mailto:accueil@coulommierspaysdebrie.fr" TargetMode="External" Id="rId740" /><Relationship Type="http://schemas.openxmlformats.org/officeDocument/2006/relationships/hyperlink" Target="https://www.coulommierspaysdebrie.fr/" TargetMode="External" Id="rId741" /><Relationship Type="http://schemas.openxmlformats.org/officeDocument/2006/relationships/hyperlink" Target="https://www.coulommierspaysdebrie.fr/contactez-nous/" TargetMode="External" Id="rId742" /><Relationship Type="http://schemas.openxmlformats.org/officeDocument/2006/relationships/hyperlink" Target="https://lannuaire.service-public.gouv.fr/ile-de-france/seine-et-marne/3af84158-b16e-4a65-a3b3-384e547ed38f" TargetMode="External" Id="rId743" /><Relationship Type="http://schemas.openxmlformats.org/officeDocument/2006/relationships/hyperlink" Target="mailto:contact@grandparissud.fr" TargetMode="External" Id="rId744" /><Relationship Type="http://schemas.openxmlformats.org/officeDocument/2006/relationships/hyperlink" Target="https://www.grandparissud.fr" TargetMode="External" Id="rId745" /><Relationship Type="http://schemas.openxmlformats.org/officeDocument/2006/relationships/hyperlink" Target="https://www.grandparissud.fr/contactez-nous/" TargetMode="External" Id="rId746" /><Relationship Type="http://schemas.openxmlformats.org/officeDocument/2006/relationships/hyperlink" Target="https://lannuaire.service-public.gouv.fr/ile-de-france/essonne/8f840c86-548d-46f7-bd03-0595ef774235" TargetMode="External" Id="rId747" /><Relationship Type="http://schemas.openxmlformats.org/officeDocument/2006/relationships/hyperlink" Target="mailto:accueil@marneetgondoire.fr" TargetMode="External" Id="rId748" /><Relationship Type="http://schemas.openxmlformats.org/officeDocument/2006/relationships/hyperlink" Target="https://www.marneetgondoire.fr/" TargetMode="External" Id="rId749" /><Relationship Type="http://schemas.openxmlformats.org/officeDocument/2006/relationships/hyperlink" Target="https://www.marneetgondoire.fr/nous-ecrire-9.html" TargetMode="External" Id="rId750" /><Relationship Type="http://schemas.openxmlformats.org/officeDocument/2006/relationships/hyperlink" Target="https://lannuaire.service-public.gouv.fr/ile-de-france/seine-et-marne/d6316e54-b310-4104-9e23-85e9d31b1593" TargetMode="External" Id="rId751" /><Relationship Type="http://schemas.openxmlformats.org/officeDocument/2006/relationships/hyperlink" Target="https://www.melunvaldeseine.fr/" TargetMode="External" Id="rId752" /><Relationship Type="http://schemas.openxmlformats.org/officeDocument/2006/relationships/hyperlink" Target="https://www.melunvaldeseine.fr/informations-pratiques/contact" TargetMode="External" Id="rId753" /><Relationship Type="http://schemas.openxmlformats.org/officeDocument/2006/relationships/hyperlink" Target="https://lannuaire.service-public.gouv.fr/ile-de-france/seine-et-marne/e470bd88-2b3e-423b-8978-d93935df66d2" TargetMode="External" Id="rId754" /><Relationship Type="http://schemas.openxmlformats.org/officeDocument/2006/relationships/hyperlink" Target="mailto:contact@agglo-pvm.fr" TargetMode="External" Id="rId755" /><Relationship Type="http://schemas.openxmlformats.org/officeDocument/2006/relationships/hyperlink" Target="https://www.agglo-pvm.fr/" TargetMode="External" Id="rId756" /><Relationship Type="http://schemas.openxmlformats.org/officeDocument/2006/relationships/hyperlink" Target="https://www.agglo-pvm.fr/informations-pratiques/contact" TargetMode="External" Id="rId757" /><Relationship Type="http://schemas.openxmlformats.org/officeDocument/2006/relationships/hyperlink" Target="https://lannuaire.service-public.gouv.fr/ile-de-france/seine-et-marne/67d8ec99-6e9b-440b-aa5f-2fb5370b8e3c" TargetMode="External" Id="rId758" /><Relationship Type="http://schemas.openxmlformats.org/officeDocument/2006/relationships/hyperlink" Target="mailto:info@roissypaysdefrance.fr" TargetMode="External" Id="rId759" /><Relationship Type="http://schemas.openxmlformats.org/officeDocument/2006/relationships/hyperlink" Target="https://www.roissypaysdefrance.fr/" TargetMode="External" Id="rId760" /><Relationship Type="http://schemas.openxmlformats.org/officeDocument/2006/relationships/hyperlink" Target="https://www.roissypaysdefrance.fr/lagglo/nous-contacter" TargetMode="External" Id="rId761" /><Relationship Type="http://schemas.openxmlformats.org/officeDocument/2006/relationships/hyperlink" Target="https://lannuaire.service-public.gouv.fr/ile-de-france/val-d-oise/95e36cb4-6046-46b8-95d5-1397a63520ab" TargetMode="External" Id="rId762" /><Relationship Type="http://schemas.openxmlformats.org/officeDocument/2006/relationships/hyperlink" Target="mailto:contact@vdeagglo.fr" TargetMode="External" Id="rId763" /><Relationship Type="http://schemas.openxmlformats.org/officeDocument/2006/relationships/hyperlink" Target="https://www.valdeuropeagglo.fr/" TargetMode="External" Id="rId764" /><Relationship Type="http://schemas.openxmlformats.org/officeDocument/2006/relationships/hyperlink" Target="https://www.valdeuropeagglo.fr/contact/" TargetMode="External" Id="rId765" /><Relationship Type="http://schemas.openxmlformats.org/officeDocument/2006/relationships/hyperlink" Target="https://lannuaire.service-public.gouv.fr/ile-de-france/seine-et-marne/fb913f9f-2b02-4073-b84c-e0b69618a823" TargetMode="External" Id="rId766" /><Relationship Type="http://schemas.openxmlformats.org/officeDocument/2006/relationships/hyperlink" Target="mailto:accueil@pays-fontainebleau.fr" TargetMode="External" Id="rId767" /><Relationship Type="http://schemas.openxmlformats.org/officeDocument/2006/relationships/hyperlink" Target="https://www.pays-fontainebleau.fr/" TargetMode="External" Id="rId768" /><Relationship Type="http://schemas.openxmlformats.org/officeDocument/2006/relationships/hyperlink" Target="https://www.pays-fontainebleau.fr/contact/" TargetMode="External" Id="rId769" /><Relationship Type="http://schemas.openxmlformats.org/officeDocument/2006/relationships/hyperlink" Target="https://lannuaire.service-public.gouv.fr/ile-de-france/seine-et-marne/64e07ac1-11d9-40a6-8e99-88166648641c" TargetMode="External" Id="rId770" /><Relationship Type="http://schemas.openxmlformats.org/officeDocument/2006/relationships/hyperlink" Target="mailto:contact@meaux.fr" TargetMode="External" Id="rId771" /><Relationship Type="http://schemas.openxmlformats.org/officeDocument/2006/relationships/hyperlink" Target="https://www.agglo-paysdemeaux.fr/" TargetMode="External" Id="rId772" /><Relationship Type="http://schemas.openxmlformats.org/officeDocument/2006/relationships/hyperlink" Target="https://www.espace-citoyens.net/meaux/espace-citoyens/Demande/NouvelleDemande/CONTACTJFC/MSG_JFC" TargetMode="External" Id="rId773" /><Relationship Type="http://schemas.openxmlformats.org/officeDocument/2006/relationships/hyperlink" Target="https://lannuaire.service-public.gouv.fr/ile-de-france/seine-et-marne/83a9e8af-91bb-4b18-bee7-5b62efaf2866" TargetMode="External" Id="rId774" /><Relationship Type="http://schemas.openxmlformats.org/officeDocument/2006/relationships/hyperlink" Target="mailto:accueil@rt78.fr" TargetMode="External" Id="rId775" /><Relationship Type="http://schemas.openxmlformats.org/officeDocument/2006/relationships/hyperlink" Target="https://www.rt78.fr/" TargetMode="External" Id="rId776" /><Relationship Type="http://schemas.openxmlformats.org/officeDocument/2006/relationships/hyperlink" Target="https://lannuaire.service-public.gouv.fr/ile-de-france/yvelines/f26b30cd-3a03-44f9-bed0-b05878e56266" TargetMode="External" Id="rId777" /><Relationship Type="http://schemas.openxmlformats.org/officeDocument/2006/relationships/hyperlink" Target="mailto:contact@casgbs.fr" TargetMode="External" Id="rId778" /><Relationship Type="http://schemas.openxmlformats.org/officeDocument/2006/relationships/hyperlink" Target="https://www.saintgermainbouclesdeseine.fr/" TargetMode="External" Id="rId779" /><Relationship Type="http://schemas.openxmlformats.org/officeDocument/2006/relationships/hyperlink" Target="https://www.saintgermainbouclesdeseine.fr/nous-contacter/" TargetMode="External" Id="rId780" /><Relationship Type="http://schemas.openxmlformats.org/officeDocument/2006/relationships/hyperlink" Target="https://lannuaire.service-public.gouv.fr/ile-de-france/yvelines/9cb9c2f1-3519-422e-bc2e-76bc8b5216cf" TargetMode="External" Id="rId781" /><Relationship Type="http://schemas.openxmlformats.org/officeDocument/2006/relationships/hyperlink" Target="mailto:contact@agglovgp.fr" TargetMode="External" Id="rId782" /><Relationship Type="http://schemas.openxmlformats.org/officeDocument/2006/relationships/hyperlink" Target="https://www.versaillesgrandparc.fr/" TargetMode="External" Id="rId783" /><Relationship Type="http://schemas.openxmlformats.org/officeDocument/2006/relationships/hyperlink" Target="https://www.versaillesgrandparc.fr/contact" TargetMode="External" Id="rId784" /><Relationship Type="http://schemas.openxmlformats.org/officeDocument/2006/relationships/hyperlink" Target="https://lannuaire.service-public.gouv.fr/ile-de-france/yvelines/440915fa-991f-4ca9-963d-c1dc232f9a1d" TargetMode="External" Id="rId785" /><Relationship Type="http://schemas.openxmlformats.org/officeDocument/2006/relationships/hyperlink" Target="mailto:courrier@cergypontoise.fr" TargetMode="External" Id="rId786" /><Relationship Type="http://schemas.openxmlformats.org/officeDocument/2006/relationships/hyperlink" Target="https://www.cergypontoise.fr" TargetMode="External" Id="rId787" /><Relationship Type="http://schemas.openxmlformats.org/officeDocument/2006/relationships/hyperlink" Target="https://www.cergypontoise.fr/directagglo#/" TargetMode="External" Id="rId788" /><Relationship Type="http://schemas.openxmlformats.org/officeDocument/2006/relationships/hyperlink" Target="https://lannuaire.service-public.gouv.fr/ile-de-france/val-d-oise/1d37d547-4812-4ef0-a59d-4b03b2d9a9ea" TargetMode="External" Id="rId789" /><Relationship Type="http://schemas.openxmlformats.org/officeDocument/2006/relationships/hyperlink" Target="https://www.saint-quentin-en-yvelines.fr/" TargetMode="External" Id="rId790" /><Relationship Type="http://schemas.openxmlformats.org/officeDocument/2006/relationships/hyperlink" Target="https://www.saint-quentin-en-yvelines.fr/contact/" TargetMode="External" Id="rId791" /><Relationship Type="http://schemas.openxmlformats.org/officeDocument/2006/relationships/hyperlink" Target="https://lannuaire.service-public.gouv.fr/ile-de-france/yvelines/2270fd07-f2a2-4f69-92be-df1dcac32303" TargetMode="External" Id="rId792" /><Relationship Type="http://schemas.openxmlformats.org/officeDocument/2006/relationships/hyperlink" Target="https://www.gpseo.fr" TargetMode="External" Id="rId793" /><Relationship Type="http://schemas.openxmlformats.org/officeDocument/2006/relationships/hyperlink" Target="https://formulaires.demarches.gpseo.fr/formulaire-de-contact/nous-contacter/" TargetMode="External" Id="rId794" /><Relationship Type="http://schemas.openxmlformats.org/officeDocument/2006/relationships/hyperlink" Target="https://lannuaire.service-public.gouv.fr/ile-de-france/yvelines/3213b523-3f7e-4a6f-9912-303add774cbb" TargetMode="External" Id="rId795" /><Relationship Type="http://schemas.openxmlformats.org/officeDocument/2006/relationships/hyperlink" Target="mailto:contact@agglo2b.fr" TargetMode="External" Id="rId796" /><Relationship Type="http://schemas.openxmlformats.org/officeDocument/2006/relationships/hyperlink" Target="https://www.agglo2b.fr/" TargetMode="External" Id="rId797" /><Relationship Type="http://schemas.openxmlformats.org/officeDocument/2006/relationships/hyperlink" Target="https://wp01.hellyum.com/agglo2b/depot-de-demande-sve/" TargetMode="External" Id="rId798" /><Relationship Type="http://schemas.openxmlformats.org/officeDocument/2006/relationships/hyperlink" Target="https://lannuaire.service-public.gouv.fr/nouvelle-aquitaine/deux-sevres/b33ce726-b46f-4e26-a993-124ae6359eaf" TargetMode="External" Id="rId799" /><Relationship Type="http://schemas.openxmlformats.org/officeDocument/2006/relationships/hyperlink" Target="mailto:agglo@agglo-niort.fr" TargetMode="External" Id="rId800" /><Relationship Type="http://schemas.openxmlformats.org/officeDocument/2006/relationships/hyperlink" Target="https://www.niortagglo.fr/" TargetMode="External" Id="rId801" /><Relationship Type="http://schemas.openxmlformats.org/officeDocument/2006/relationships/hyperlink" Target="https://www.niortagglo.fr/acces-directs/contactez-nous/index.html" TargetMode="External" Id="rId802" /><Relationship Type="http://schemas.openxmlformats.org/officeDocument/2006/relationships/hyperlink" Target="https://lannuaire.service-public.gouv.fr/nouvelle-aquitaine/deux-sevres/cca236b9-da26-4def-92c4-3da9603b5069" TargetMode="External" Id="rId803" /><Relationship Type="http://schemas.openxmlformats.org/officeDocument/2006/relationships/hyperlink" Target="mailto:maire-amiens@amiens-metropole.com" TargetMode="External" Id="rId804" /><Relationship Type="http://schemas.openxmlformats.org/officeDocument/2006/relationships/hyperlink" Target="https://www.amiens.fr/" TargetMode="External" Id="rId805" /><Relationship Type="http://schemas.openxmlformats.org/officeDocument/2006/relationships/hyperlink" Target="https://lannuaire.service-public.gouv.fr/hauts-de-france/somme/efc23c87-0dcf-4537-a78a-5a3185a7eea2" TargetMode="External" Id="rId806" /><Relationship Type="http://schemas.openxmlformats.org/officeDocument/2006/relationships/hyperlink" Target="mailto:contact@ca-baiedesomme.fr" TargetMode="External" Id="rId807" /><Relationship Type="http://schemas.openxmlformats.org/officeDocument/2006/relationships/hyperlink" Target="http://www.baiedesommeagglo.fr" TargetMode="External" Id="rId808" /><Relationship Type="http://schemas.openxmlformats.org/officeDocument/2006/relationships/hyperlink" Target="https://www.baiedesommeagglo.fr/contact/" TargetMode="External" Id="rId809" /><Relationship Type="http://schemas.openxmlformats.org/officeDocument/2006/relationships/hyperlink" Target="https://lannuaire.service-public.gouv.fr/hauts-de-france/somme/1a93978f-bc9f-46ea-83db-329bee5d1592" TargetMode="External" Id="rId810" /><Relationship Type="http://schemas.openxmlformats.org/officeDocument/2006/relationships/hyperlink" Target="mailto:accueil@gaillac-graulhet.fr" TargetMode="External" Id="rId811" /><Relationship Type="http://schemas.openxmlformats.org/officeDocument/2006/relationships/hyperlink" Target="https://www.gaillac-graulhet.fr/" TargetMode="External" Id="rId812" /><Relationship Type="http://schemas.openxmlformats.org/officeDocument/2006/relationships/hyperlink" Target="https://www.gaillac-graulhet.fr/contactez-nous/" TargetMode="External" Id="rId813" /><Relationship Type="http://schemas.openxmlformats.org/officeDocument/2006/relationships/hyperlink" Target="https://lannuaire.service-public.gouv.fr/occitanie/tarn/4ee89124-76c9-4e53-9b46-84d8da2707e0" TargetMode="External" Id="rId814" /><Relationship Type="http://schemas.openxmlformats.org/officeDocument/2006/relationships/hyperlink" Target="mailto:agglomeration@castres-mazamet.com" TargetMode="External" Id="rId815" /><Relationship Type="http://schemas.openxmlformats.org/officeDocument/2006/relationships/hyperlink" Target="https://www.castres-mazamet.fr/" TargetMode="External" Id="rId816" /><Relationship Type="http://schemas.openxmlformats.org/officeDocument/2006/relationships/hyperlink" Target="https://www.castres-mazamet.fr/contact" TargetMode="External" Id="rId817" /><Relationship Type="http://schemas.openxmlformats.org/officeDocument/2006/relationships/hyperlink" Target="https://lannuaire.service-public.gouv.fr/occitanie/tarn/b20a4cf4-2920-4cb8-897a-ea66b4be388c" TargetMode="External" Id="rId818" /><Relationship Type="http://schemas.openxmlformats.org/officeDocument/2006/relationships/hyperlink" Target="mailto:secretariat.general@grand-albigeois.fr" TargetMode="External" Id="rId819" /><Relationship Type="http://schemas.openxmlformats.org/officeDocument/2006/relationships/hyperlink" Target="https://www.grand-albigeois.fr/" TargetMode="External" Id="rId820" /><Relationship Type="http://schemas.openxmlformats.org/officeDocument/2006/relationships/hyperlink" Target="https://www.grand-albigeois.fr/nous-contacter/" TargetMode="External" Id="rId821" /><Relationship Type="http://schemas.openxmlformats.org/officeDocument/2006/relationships/hyperlink" Target="https://lannuaire.service-public.gouv.fr/occitanie/tarn/9becab73-9a6f-48ac-bee7-69c4eebd080e" TargetMode="External" Id="rId822" /><Relationship Type="http://schemas.openxmlformats.org/officeDocument/2006/relationships/hyperlink" Target="mailto:contact@ville-montauban.fr" TargetMode="External" Id="rId823" /><Relationship Type="http://schemas.openxmlformats.org/officeDocument/2006/relationships/hyperlink" Target="https://www.montauban.com/" TargetMode="External" Id="rId824" /><Relationship Type="http://schemas.openxmlformats.org/officeDocument/2006/relationships/hyperlink" Target="https://lannuaire.service-public.gouv.fr/occitanie/tarn-et-garonne/d7f6b316-ae1a-4251-a85c-f4e92c26386e" TargetMode="External" Id="rId825" /><Relationship Type="http://schemas.openxmlformats.org/officeDocument/2006/relationships/hyperlink" Target="mailto:accueil@dracenie.com" TargetMode="External" Id="rId826" /><Relationship Type="http://schemas.openxmlformats.org/officeDocument/2006/relationships/hyperlink" Target="https://www.dracenie.com/" TargetMode="External" Id="rId827" /><Relationship Type="http://schemas.openxmlformats.org/officeDocument/2006/relationships/hyperlink" Target="https://www.dracenie.com/contact" TargetMode="External" Id="rId828" /><Relationship Type="http://schemas.openxmlformats.org/officeDocument/2006/relationships/hyperlink" Target="https://lannuaire.service-public.gouv.fr/provence-alpes-cote-d-azur/var/a61432f9-b1eb-47b7-9dea-6d9a3ecbd23b" TargetMode="External" Id="rId829" /><Relationship Type="http://schemas.openxmlformats.org/officeDocument/2006/relationships/hyperlink" Target="mailto:contact@esterelcotedazur-agglo.fr" TargetMode="External" Id="rId830" /><Relationship Type="http://schemas.openxmlformats.org/officeDocument/2006/relationships/hyperlink" Target="https://esterelcotedazur-agglo.fr/" TargetMode="External" Id="rId831" /><Relationship Type="http://schemas.openxmlformats.org/officeDocument/2006/relationships/hyperlink" Target="https://esterelcotedazur-agglo.fr/contacter-un-service/" TargetMode="External" Id="rId832" /><Relationship Type="http://schemas.openxmlformats.org/officeDocument/2006/relationships/hyperlink" Target="https://lannuaire.service-public.gouv.fr/provence-alpes-cote-d-azur/var/49c9d5d0-70d5-4392-9504-19e7319b964d" TargetMode="External" Id="rId833" /><Relationship Type="http://schemas.openxmlformats.org/officeDocument/2006/relationships/hyperlink" Target="mailto:agglo@sudsaintebaume.fr" TargetMode="External" Id="rId834" /><Relationship Type="http://schemas.openxmlformats.org/officeDocument/2006/relationships/hyperlink" Target="https://www.agglo-sudsaintebaume.fr" TargetMode="External" Id="rId835" /><Relationship Type="http://schemas.openxmlformats.org/officeDocument/2006/relationships/hyperlink" Target="https://www.agglo-sudsaintebaume.fr/contact/" TargetMode="External" Id="rId836" /><Relationship Type="http://schemas.openxmlformats.org/officeDocument/2006/relationships/hyperlink" Target="https://lannuaire.service-public.gouv.fr/provence-alpes-cote-d-azur/var/cf2954b7-c7bd-40b7-b96c-a0e9e6536e4f" TargetMode="External" Id="rId837" /><Relationship Type="http://schemas.openxmlformats.org/officeDocument/2006/relationships/hyperlink" Target="mailto:contact@caprovenceverte.fr" TargetMode="External" Id="rId838" /><Relationship Type="http://schemas.openxmlformats.org/officeDocument/2006/relationships/hyperlink" Target="https://www.caprovenceverte.fr/" TargetMode="External" Id="rId839" /><Relationship Type="http://schemas.openxmlformats.org/officeDocument/2006/relationships/hyperlink" Target="https://www.caprovenceverte.fr/contact/" TargetMode="External" Id="rId840" /><Relationship Type="http://schemas.openxmlformats.org/officeDocument/2006/relationships/hyperlink" Target="https://lannuaire.service-public.gouv.fr/provence-alpes-cote-d-azur/var/aee0f90d-f149-4f3a-971c-10644ebbb0e8" TargetMode="External" Id="rId841" /><Relationship Type="http://schemas.openxmlformats.org/officeDocument/2006/relationships/hyperlink" Target="mailto:contact@metropoletpm.fr" TargetMode="External" Id="rId842" /><Relationship Type="http://schemas.openxmlformats.org/officeDocument/2006/relationships/hyperlink" Target="https://metropoletpm.fr/" TargetMode="External" Id="rId843" /><Relationship Type="http://schemas.openxmlformats.org/officeDocument/2006/relationships/hyperlink" Target="https://lannuaire.service-public.gouv.fr/provence-alpes-cote-d-azur/var/dfdbc330-f97a-4922-92b8-68dfab3ddcdd" TargetMode="External" Id="rId844" /><Relationship Type="http://schemas.openxmlformats.org/officeDocument/2006/relationships/hyperlink" Target="mailto:accueil@c-lmv.fr" TargetMode="External" Id="rId845" /><Relationship Type="http://schemas.openxmlformats.org/officeDocument/2006/relationships/hyperlink" Target="https://www.luberonmontsdevaucluse.fr/" TargetMode="External" Id="rId846" /><Relationship Type="http://schemas.openxmlformats.org/officeDocument/2006/relationships/hyperlink" Target="https://www.luberonmontsdevaucluse.fr/contactez-nous/" TargetMode="External" Id="rId847" /><Relationship Type="http://schemas.openxmlformats.org/officeDocument/2006/relationships/hyperlink" Target="https://lannuaire.service-public.gouv.fr/provence-alpes-cote-d-azur/vaucluse/6bf50d99-6688-40c4-99cd-a57024d23dcc" TargetMode="External" Id="rId848" /><Relationship Type="http://schemas.openxmlformats.org/officeDocument/2006/relationships/hyperlink" Target="mailto:accueil-cove@lacove.fr" TargetMode="External" Id="rId849" /><Relationship Type="http://schemas.openxmlformats.org/officeDocument/2006/relationships/hyperlink" Target="https://www.lacove.fr/accueil.html" TargetMode="External" Id="rId850" /><Relationship Type="http://schemas.openxmlformats.org/officeDocument/2006/relationships/hyperlink" Target="https://www.lacove.fr/nous-contacter.html" TargetMode="External" Id="rId851" /><Relationship Type="http://schemas.openxmlformats.org/officeDocument/2006/relationships/hyperlink" Target="https://lannuaire.service-public.gouv.fr/provence-alpes-cote-d-azur/vaucluse/9b14f873-e961-4f89-8911-9b6a07dc2ed3" TargetMode="External" Id="rId852" /><Relationship Type="http://schemas.openxmlformats.org/officeDocument/2006/relationships/hyperlink" Target="mailto:accueil@sorguesducomtat.fr" TargetMode="External" Id="rId853" /><Relationship Type="http://schemas.openxmlformats.org/officeDocument/2006/relationships/hyperlink" Target="https://sorguesducomtat.fr/fr/" TargetMode="External" Id="rId854" /><Relationship Type="http://schemas.openxmlformats.org/officeDocument/2006/relationships/hyperlink" Target="https://lannuaire.service-public.gouv.fr/provence-alpes-cote-d-azur/vaucluse/ec01309b-1f8c-4aa2-af79-54cb21f195a5" TargetMode="External" Id="rId855" /><Relationship Type="http://schemas.openxmlformats.org/officeDocument/2006/relationships/hyperlink" Target="mailto:accueil@larochesuryon.fr" TargetMode="External" Id="rId856" /><Relationship Type="http://schemas.openxmlformats.org/officeDocument/2006/relationships/hyperlink" Target="https://www.larochesuryon.fr/" TargetMode="External" Id="rId857" /><Relationship Type="http://schemas.openxmlformats.org/officeDocument/2006/relationships/hyperlink" Target="https://www.espace-citoyens.net/larochesuryon/espace-citoyens/Demande/NouvelleDemande/COURRIER/CONTACT" TargetMode="External" Id="rId858" /><Relationship Type="http://schemas.openxmlformats.org/officeDocument/2006/relationships/hyperlink" Target="https://lannuaire.service-public.gouv.fr/pays-de-la-loire/vendee/b126aee6-75e9-496b-abc8-84b0360de7ce" TargetMode="External" Id="rId859" /><Relationship Type="http://schemas.openxmlformats.org/officeDocument/2006/relationships/hyperlink" Target="mailto:info@lsoagglo.fr" TargetMode="External" Id="rId860" /><Relationship Type="http://schemas.openxmlformats.org/officeDocument/2006/relationships/hyperlink" Target="https://www.lsoagglo.fr/" TargetMode="External" Id="rId861" /><Relationship Type="http://schemas.openxmlformats.org/officeDocument/2006/relationships/hyperlink" Target="https://lannuaire.service-public.gouv.fr/pays-de-la-loire/vendee/1c285ec2-4db7-42c1-9f0d-c05fb8b820a1" TargetMode="External" Id="rId862" /><Relationship Type="http://schemas.openxmlformats.org/officeDocument/2006/relationships/hyperlink" Target="mailto:contact@terresdemontaigu.fr" TargetMode="External" Id="rId863" /><Relationship Type="http://schemas.openxmlformats.org/officeDocument/2006/relationships/hyperlink" Target="https://www.terresdemontaigu.fr/" TargetMode="External" Id="rId864" /><Relationship Type="http://schemas.openxmlformats.org/officeDocument/2006/relationships/hyperlink" Target="https://www.terresdemontaigu.fr/contact/" TargetMode="External" Id="rId865" /><Relationship Type="http://schemas.openxmlformats.org/officeDocument/2006/relationships/hyperlink" Target="https://lannuaire.service-public.gouv.fr/pays-de-la-loire/vendee/596ed788-401e-46f2-a5c7-5ba4eebc3a35" TargetMode="External" Id="rId866" /><Relationship Type="http://schemas.openxmlformats.org/officeDocument/2006/relationships/hyperlink" Target="mailto:accueil@payssaintgilles.fr" TargetMode="External" Id="rId867" /><Relationship Type="http://schemas.openxmlformats.org/officeDocument/2006/relationships/hyperlink" Target="https://payssaintgilles.fr/" TargetMode="External" Id="rId868" /><Relationship Type="http://schemas.openxmlformats.org/officeDocument/2006/relationships/hyperlink" Target="https://payssaintgilles.fr/contact/" TargetMode="External" Id="rId869" /><Relationship Type="http://schemas.openxmlformats.org/officeDocument/2006/relationships/hyperlink" Target="https://lannuaire.service-public.gouv.fr/pays-de-la-loire/vendee/49fab78b-d1fd-48d8-8eca-892455177b28" TargetMode="External" Id="rId870" /><Relationship Type="http://schemas.openxmlformats.org/officeDocument/2006/relationships/hyperlink" Target="mailto:communication@grand-chatellerault.fr" TargetMode="External" Id="rId871" /><Relationship Type="http://schemas.openxmlformats.org/officeDocument/2006/relationships/hyperlink" Target="https://www.grand-chatellerault.fr" TargetMode="External" Id="rId872" /><Relationship Type="http://schemas.openxmlformats.org/officeDocument/2006/relationships/hyperlink" Target="https://lannuaire.service-public.gouv.fr/nouvelle-aquitaine/vienne/c585cbd5-65a3-41a5-b1c6-303320e6a532" TargetMode="External" Id="rId873" /><Relationship Type="http://schemas.openxmlformats.org/officeDocument/2006/relationships/hyperlink" Target="mailto:communication@grandpoitiers.fr" TargetMode="External" Id="rId874" /><Relationship Type="http://schemas.openxmlformats.org/officeDocument/2006/relationships/hyperlink" Target="https://www.grandpoitiers.fr/" TargetMode="External" Id="rId875" /><Relationship Type="http://schemas.openxmlformats.org/officeDocument/2006/relationships/hyperlink" Target="https://www.grandpoitiers.fr/informations-pratiques/contact" TargetMode="External" Id="rId876" /><Relationship Type="http://schemas.openxmlformats.org/officeDocument/2006/relationships/hyperlink" Target="https://lannuaire.service-public.gouv.fr/nouvelle-aquitaine/vienne/24e7b7c8-6a27-474b-8542-42ee50759869" TargetMode="External" Id="rId877" /><Relationship Type="http://schemas.openxmlformats.org/officeDocument/2006/relationships/hyperlink" Target="mailto:communaute-urbaine@limoges-metropole.fr" TargetMode="External" Id="rId878" /><Relationship Type="http://schemas.openxmlformats.org/officeDocument/2006/relationships/hyperlink" Target="https://www.limoges-metropole.fr" TargetMode="External" Id="rId879" /><Relationship Type="http://schemas.openxmlformats.org/officeDocument/2006/relationships/hyperlink" Target="https://www.limoges-metropole.fr/informations-pratiques/nous-contacter" TargetMode="External" Id="rId880" /><Relationship Type="http://schemas.openxmlformats.org/officeDocument/2006/relationships/hyperlink" Target="https://lannuaire.service-public.gouv.fr/nouvelle-aquitaine/haute-vienne/e85a63e9-98d7-4172-b885-f483445de877" TargetMode="External" Id="rId881" /><Relationship Type="http://schemas.openxmlformats.org/officeDocument/2006/relationships/hyperlink" Target="mailto:direction@agglo-epinal.fr" TargetMode="External" Id="rId882" /><Relationship Type="http://schemas.openxmlformats.org/officeDocument/2006/relationships/hyperlink" Target="https://www.agglo-epinal.fr/" TargetMode="External" Id="rId883" /><Relationship Type="http://schemas.openxmlformats.org/officeDocument/2006/relationships/hyperlink" Target="https://www.agglo-epinal.fr/nous-contacter/" TargetMode="External" Id="rId884" /><Relationship Type="http://schemas.openxmlformats.org/officeDocument/2006/relationships/hyperlink" Target="https://lannuaire.service-public.gouv.fr/grand-est/vosges/58c63a10-6527-4e6b-8ab3-17d8c26a6ffe" TargetMode="External" Id="rId885" /><Relationship Type="http://schemas.openxmlformats.org/officeDocument/2006/relationships/hyperlink" Target="mailto:contact@agglo-auxerrois.fr" TargetMode="External" Id="rId886" /><Relationship Type="http://schemas.openxmlformats.org/officeDocument/2006/relationships/hyperlink" Target="https://www.agglo-auxerrois.fr" TargetMode="External" Id="rId887" /><Relationship Type="http://schemas.openxmlformats.org/officeDocument/2006/relationships/hyperlink" Target="https://www.agglo-auxerrois.fr/nous-contacter-0" TargetMode="External" Id="rId888" /><Relationship Type="http://schemas.openxmlformats.org/officeDocument/2006/relationships/hyperlink" Target="https://lannuaire.service-public.gouv.fr/bourgogne-franche-comte/yonne/a113637f-5ba3-48d7-8ea2-148d4e0099c1" TargetMode="External" Id="rId889" /><Relationship Type="http://schemas.openxmlformats.org/officeDocument/2006/relationships/hyperlink" Target="mailto:courrier@grand-senonais.fr" TargetMode="External" Id="rId890" /><Relationship Type="http://schemas.openxmlformats.org/officeDocument/2006/relationships/hyperlink" Target="https://www.grand-senonais.fr" TargetMode="External" Id="rId891" /><Relationship Type="http://schemas.openxmlformats.org/officeDocument/2006/relationships/hyperlink" Target="https://www.grand-senonais.fr/contact/" TargetMode="External" Id="rId892" /><Relationship Type="http://schemas.openxmlformats.org/officeDocument/2006/relationships/hyperlink" Target="https://lannuaire.service-public.gouv.fr/bourgogne-franche-comte/yonne/931df22e-72d8-4d50-8245-52ca90c884fc" TargetMode="External" Id="rId893" /><Relationship Type="http://schemas.openxmlformats.org/officeDocument/2006/relationships/hyperlink" Target="mailto:courrier@grandbelfort.fr" TargetMode="External" Id="rId894" /><Relationship Type="http://schemas.openxmlformats.org/officeDocument/2006/relationships/hyperlink" Target="https://www.grandbelfort.fr/" TargetMode="External" Id="rId895" /><Relationship Type="http://schemas.openxmlformats.org/officeDocument/2006/relationships/hyperlink" Target="https://www.grandbelfort.fr/contact.html" TargetMode="External" Id="rId896" /><Relationship Type="http://schemas.openxmlformats.org/officeDocument/2006/relationships/hyperlink" Target="https://lannuaire.service-public.gouv.fr/bourgogne-franche-comte/territoire-de-belfort/70434e10-3df2-45fe-9ec3-04c4570d03f4" TargetMode="External" Id="rId897" /><Relationship Type="http://schemas.openxmlformats.org/officeDocument/2006/relationships/hyperlink" Target="mailto:communaute@coeuressonne.fr" TargetMode="External" Id="rId898" /><Relationship Type="http://schemas.openxmlformats.org/officeDocument/2006/relationships/hyperlink" Target="https://www.coeuressonne.fr/" TargetMode="External" Id="rId899" /><Relationship Type="http://schemas.openxmlformats.org/officeDocument/2006/relationships/hyperlink" Target="https://www.coeuressonne.fr/nous-contacter/" TargetMode="External" Id="rId900" /><Relationship Type="http://schemas.openxmlformats.org/officeDocument/2006/relationships/hyperlink" Target="https://lannuaire.service-public.gouv.fr/ile-de-france/essonne/7a59e3bb-f911-48b8-abc3-29a576caf321" TargetMode="External" Id="rId901" /><Relationship Type="http://schemas.openxmlformats.org/officeDocument/2006/relationships/hyperlink" Target="mailto:contact@paris-saclay.com" TargetMode="External" Id="rId902" /><Relationship Type="http://schemas.openxmlformats.org/officeDocument/2006/relationships/hyperlink" Target="https://www.paris-saclay.com/accueil-3.html" TargetMode="External" Id="rId903" /><Relationship Type="http://schemas.openxmlformats.org/officeDocument/2006/relationships/hyperlink" Target="https://www.paris-saclay.com/contact-9.html" TargetMode="External" Id="rId904" /><Relationship Type="http://schemas.openxmlformats.org/officeDocument/2006/relationships/hyperlink" Target="https://lannuaire.service-public.gouv.fr/ile-de-france/essonne/1cf28bfe-a8f1-4340-83b4-d3bd46acf644" TargetMode="External" Id="rId905" /><Relationship Type="http://schemas.openxmlformats.org/officeDocument/2006/relationships/hyperlink" Target="mailto:accueil@vyvs.fr" TargetMode="External" Id="rId906" /><Relationship Type="http://schemas.openxmlformats.org/officeDocument/2006/relationships/hyperlink" Target="https://www.vyvs.fr/" TargetMode="External" Id="rId907" /><Relationship Type="http://schemas.openxmlformats.org/officeDocument/2006/relationships/hyperlink" Target="https://lannuaire.service-public.gouv.fr/ile-de-france/essonne/a2294a3e-a979-45ea-b8f7-75910e11ea67" TargetMode="External" Id="rId908" /><Relationship Type="http://schemas.openxmlformats.org/officeDocument/2006/relationships/hyperlink" Target="mailto:contact@caese.fr" TargetMode="External" Id="rId909" /><Relationship Type="http://schemas.openxmlformats.org/officeDocument/2006/relationships/hyperlink" Target="https://www.caese.fr/" TargetMode="External" Id="rId910" /><Relationship Type="http://schemas.openxmlformats.org/officeDocument/2006/relationships/hyperlink" Target="https://www.caese.fr/nous-contacter/" TargetMode="External" Id="rId911" /><Relationship Type="http://schemas.openxmlformats.org/officeDocument/2006/relationships/hyperlink" Target="https://lannuaire.service-public.gouv.fr/ile-de-france/essonne/e1a0f770-0bb1-4543-b787-8df2a511781a" TargetMode="External" Id="rId912" /><Relationship Type="http://schemas.openxmlformats.org/officeDocument/2006/relationships/hyperlink" Target="mailto:contact@agglo-plainevallee.fr" TargetMode="External" Id="rId913" /><Relationship Type="http://schemas.openxmlformats.org/officeDocument/2006/relationships/hyperlink" Target="https://www.agglo-plainevallee.fr" TargetMode="External" Id="rId914" /><Relationship Type="http://schemas.openxmlformats.org/officeDocument/2006/relationships/hyperlink" Target="https://www.agglo-plainevallee.fr/nous-contacter/" TargetMode="External" Id="rId915" /><Relationship Type="http://schemas.openxmlformats.org/officeDocument/2006/relationships/hyperlink" Target="https://lannuaire.service-public.gouv.fr/ile-de-france/val-d-oise/8c33ac93-a890-4ce7-8faf-65e0d09c9634" TargetMode="External" Id="rId916" /><Relationship Type="http://schemas.openxmlformats.org/officeDocument/2006/relationships/hyperlink" Target="mailto:communication@valparisis.fr" TargetMode="External" Id="rId917" /><Relationship Type="http://schemas.openxmlformats.org/officeDocument/2006/relationships/hyperlink" Target="https://valparisis.fr/" TargetMode="External" Id="rId918" /><Relationship Type="http://schemas.openxmlformats.org/officeDocument/2006/relationships/hyperlink" Target="https://valparisis.fr/contact" TargetMode="External" Id="rId919" /><Relationship Type="http://schemas.openxmlformats.org/officeDocument/2006/relationships/hyperlink" Target="https://lannuaire.service-public.gouv.fr/ile-de-france/val-d-oise/a0c620c2-2687-4f3f-b06d-6ead390d41d0" TargetMode="External" Id="rId920" /><Relationship Type="http://schemas.openxmlformats.org/officeDocument/2006/relationships/hyperlink" Target="mailto:contact@capexcellence.net" TargetMode="External" Id="rId921" /><Relationship Type="http://schemas.openxmlformats.org/officeDocument/2006/relationships/hyperlink" Target="https://www.capexcellence.net/" TargetMode="External" Id="rId922" /><Relationship Type="http://schemas.openxmlformats.org/officeDocument/2006/relationships/hyperlink" Target="https://lannuaire.service-public.gouv.fr/guadeloupe/guadeloupe/80e7600c-a7e6-47d3-a0b9-665f6d9e4394" TargetMode="External" Id="rId923" /><Relationship Type="http://schemas.openxmlformats.org/officeDocument/2006/relationships/hyperlink" Target="mailto:ccsbt2@wanadoo.fr" TargetMode="External" Id="rId924" /><Relationship Type="http://schemas.openxmlformats.org/officeDocument/2006/relationships/hyperlink" Target="https://www.grandsudcaraibe.fr/" TargetMode="External" Id="rId925" /><Relationship Type="http://schemas.openxmlformats.org/officeDocument/2006/relationships/hyperlink" Target="https://www.grandsudcaraibe.fr/non-classe/contactez-nous/" TargetMode="External" Id="rId926" /><Relationship Type="http://schemas.openxmlformats.org/officeDocument/2006/relationships/hyperlink" Target="https://lannuaire.service-public.gouv.fr/guadeloupe/guadeloupe/85d64ea4-9595-4f82-87c7-365285222ea8" TargetMode="External" Id="rId927" /><Relationship Type="http://schemas.openxmlformats.org/officeDocument/2006/relationships/hyperlink" Target="mailto:carl@rivieradulevant.fr" TargetMode="External" Id="rId928" /><Relationship Type="http://schemas.openxmlformats.org/officeDocument/2006/relationships/hyperlink" Target="https://www.rivieradulevant.fr" TargetMode="External" Id="rId929" /><Relationship Type="http://schemas.openxmlformats.org/officeDocument/2006/relationships/hyperlink" Target="https://lannuaire.service-public.gouv.fr/guadeloupe/guadeloupe/f7fa91b0-a8d5-4fb1-b7a3-b33802927351" TargetMode="External" Id="rId930" /><Relationship Type="http://schemas.openxmlformats.org/officeDocument/2006/relationships/hyperlink" Target="mailto:contact@canbt.fr" TargetMode="External" Id="rId931" /><Relationship Type="http://schemas.openxmlformats.org/officeDocument/2006/relationships/hyperlink" Target="https://canbt.fr/" TargetMode="External" Id="rId932" /><Relationship Type="http://schemas.openxmlformats.org/officeDocument/2006/relationships/hyperlink" Target="https://lannuaire.service-public.gouv.fr/guadeloupe/guadeloupe/e68a4a8d-872b-4470-a2eb-b630680d7ada" TargetMode="External" Id="rId933" /><Relationship Type="http://schemas.openxmlformats.org/officeDocument/2006/relationships/hyperlink" Target="mailto:communaute@cangt-guadeloupe.fr" TargetMode="External" Id="rId934" /><Relationship Type="http://schemas.openxmlformats.org/officeDocument/2006/relationships/hyperlink" Target="https://www.cangt.fr/" TargetMode="External" Id="rId935" /><Relationship Type="http://schemas.openxmlformats.org/officeDocument/2006/relationships/hyperlink" Target="https://www.cangt.fr/contact-mairie-de-cangt/" TargetMode="External" Id="rId936" /><Relationship Type="http://schemas.openxmlformats.org/officeDocument/2006/relationships/hyperlink" Target="https://lannuaire.service-public.gouv.fr/guadeloupe/guadeloupe/50468cee-7965-439d-831d-c76c928318a5" TargetMode="External" Id="rId937" /><Relationship Type="http://schemas.openxmlformats.org/officeDocument/2006/relationships/hyperlink" Target="mailto:caesm@espacesud.fr" TargetMode="External" Id="rId938" /><Relationship Type="http://schemas.openxmlformats.org/officeDocument/2006/relationships/hyperlink" Target="https://espacesud.fr/" TargetMode="External" Id="rId939" /><Relationship Type="http://schemas.openxmlformats.org/officeDocument/2006/relationships/hyperlink" Target="https://lannuaire.service-public.gouv.fr/martinique/martinique/429a43d1-b34c-4fe6-b3f4-e67a867b03d8" TargetMode="External" Id="rId940" /><Relationship Type="http://schemas.openxmlformats.org/officeDocument/2006/relationships/hyperlink" Target="mailto:contact@cacem-mq.org" TargetMode="External" Id="rId941" /><Relationship Type="http://schemas.openxmlformats.org/officeDocument/2006/relationships/hyperlink" Target="https://www.cacem.org/" TargetMode="External" Id="rId942" /><Relationship Type="http://schemas.openxmlformats.org/officeDocument/2006/relationships/hyperlink" Target="https://www.cacem.org/contact/" TargetMode="External" Id="rId943" /><Relationship Type="http://schemas.openxmlformats.org/officeDocument/2006/relationships/hyperlink" Target="https://lannuaire.service-public.gouv.fr/martinique/martinique/3c58359a-4232-4f56-898e-d98c4c3581c4" TargetMode="External" Id="rId944" /><Relationship Type="http://schemas.openxmlformats.org/officeDocument/2006/relationships/hyperlink" Target="mailto:contact@capnordmartinique.fr" TargetMode="External" Id="rId945" /><Relationship Type="http://schemas.openxmlformats.org/officeDocument/2006/relationships/hyperlink" Target="http://www.capnordmartinique.fr" TargetMode="External" Id="rId946" /><Relationship Type="http://schemas.openxmlformats.org/officeDocument/2006/relationships/hyperlink" Target="http://www.capnordmartinique.fr/contact" TargetMode="External" Id="rId947" /><Relationship Type="http://schemas.openxmlformats.org/officeDocument/2006/relationships/hyperlink" Target="https://lannuaire.service-public.gouv.fr/martinique/martinique/b22db8ba-c4c5-4cac-8b0c-ffdc6c5209c1" TargetMode="External" Id="rId948" /><Relationship Type="http://schemas.openxmlformats.org/officeDocument/2006/relationships/hyperlink" Target="mailto:infos@cacl-guyane.fr" TargetMode="External" Id="rId949" /><Relationship Type="http://schemas.openxmlformats.org/officeDocument/2006/relationships/hyperlink" Target="https://www.cacl-guyane.fr/" TargetMode="External" Id="rId950" /><Relationship Type="http://schemas.openxmlformats.org/officeDocument/2006/relationships/hyperlink" Target="https://www.cacl-guyane.fr/" TargetMode="External" Id="rId951" /><Relationship Type="http://schemas.openxmlformats.org/officeDocument/2006/relationships/hyperlink" Target="https://lannuaire.service-public.gouv.fr/guyane/guyane/d6fc63a0-9d09-44d3-afb1-ad471694bc01" TargetMode="External" Id="rId952" /><Relationship Type="http://schemas.openxmlformats.org/officeDocument/2006/relationships/hyperlink" Target="mailto:accueil@civis.re" TargetMode="External" Id="rId953" /><Relationship Type="http://schemas.openxmlformats.org/officeDocument/2006/relationships/hyperlink" Target="https://www.civis.re/" TargetMode="External" Id="rId954" /><Relationship Type="http://schemas.openxmlformats.org/officeDocument/2006/relationships/hyperlink" Target="https://lannuaire.service-public.gouv.fr/la-reunion/la-reunion/c4e462e5-7603-4569-9be4-a2c887951483" TargetMode="External" Id="rId955" /><Relationship Type="http://schemas.openxmlformats.org/officeDocument/2006/relationships/hyperlink" Target="mailto:cirest@cirest.fr" TargetMode="External" Id="rId956" /><Relationship Type="http://schemas.openxmlformats.org/officeDocument/2006/relationships/hyperlink" Target="https://www.cirest.fr/" TargetMode="External" Id="rId957" /><Relationship Type="http://schemas.openxmlformats.org/officeDocument/2006/relationships/hyperlink" Target="https://www.cirest.fr/contact/" TargetMode="External" Id="rId958" /><Relationship Type="http://schemas.openxmlformats.org/officeDocument/2006/relationships/hyperlink" Target="https://lannuaire.service-public.gouv.fr/la-reunion/la-reunion/629659a0-949b-445b-9004-dfe32147b5d9" TargetMode="External" Id="rId959" /><Relationship Type="http://schemas.openxmlformats.org/officeDocument/2006/relationships/hyperlink" Target="mailto:direction.generale@cinor.org" TargetMode="External" Id="rId960" /><Relationship Type="http://schemas.openxmlformats.org/officeDocument/2006/relationships/hyperlink" Target="https://www.cinor.re/" TargetMode="External" Id="rId961" /><Relationship Type="http://schemas.openxmlformats.org/officeDocument/2006/relationships/hyperlink" Target="https://www.cinor.re/contact/" TargetMode="External" Id="rId962" /><Relationship Type="http://schemas.openxmlformats.org/officeDocument/2006/relationships/hyperlink" Target="https://lannuaire.service-public.gouv.fr/la-reunion/la-reunion/4a664769-1a44-49fe-aab5-b7c4b350db34" TargetMode="External" Id="rId963" /><Relationship Type="http://schemas.openxmlformats.org/officeDocument/2006/relationships/hyperlink" Target="mailto:courrier@tco.re" TargetMode="External" Id="rId964" /><Relationship Type="http://schemas.openxmlformats.org/officeDocument/2006/relationships/hyperlink" Target="https://www.tco.re/" TargetMode="External" Id="rId965" /><Relationship Type="http://schemas.openxmlformats.org/officeDocument/2006/relationships/hyperlink" Target="https://lannuaire.service-public.gouv.fr/la-reunion/la-reunion/1cd57a4f-44c8-4435-8f32-18b0cdd9e225" TargetMode="External" Id="rId966" /><Relationship Type="http://schemas.openxmlformats.org/officeDocument/2006/relationships/hyperlink" Target="mailto:contact@casud.re" TargetMode="External" Id="rId967" /><Relationship Type="http://schemas.openxmlformats.org/officeDocument/2006/relationships/hyperlink" Target="https://www.casud.re/" TargetMode="External" Id="rId968" /><Relationship Type="http://schemas.openxmlformats.org/officeDocument/2006/relationships/hyperlink" Target="https://www.casud.re/contactez-nous" TargetMode="External" Id="rId969" /><Relationship Type="http://schemas.openxmlformats.org/officeDocument/2006/relationships/hyperlink" Target="https://lannuaire.service-public.gouv.fr/la-reunion/la-reunion/72c04217-fc47-4cd8-93bf-35f9f363ad93" TargetMode="External" Id="rId970" /><Relationship Type="http://schemas.openxmlformats.org/officeDocument/2006/relationships/hyperlink" Target="mailto:contact@cadema.yt" TargetMode="External" Id="rId971" /><Relationship Type="http://schemas.openxmlformats.org/officeDocument/2006/relationships/hyperlink" Target="https://cadema.yt/" TargetMode="External" Id="rId972" /><Relationship Type="http://schemas.openxmlformats.org/officeDocument/2006/relationships/hyperlink" Target="https://cadema.yt/nous-contacter/" TargetMode="External" Id="rId973" /><Relationship Type="http://schemas.openxmlformats.org/officeDocument/2006/relationships/hyperlink" Target="https://lannuaire.service-public.gouv.fr/mayotte/mayotte/7e8faba9-b32b-4f05-b160-4f89dc64b910" TargetMode="External" Id="rId974" /><Relationship Type="http://schemas.openxmlformats.org/officeDocument/2006/relationships/hyperlink" Target="mailto:communication.cagnm@cagnm.fr" TargetMode="External" Id="rId975" /><Relationship Type="http://schemas.openxmlformats.org/officeDocument/2006/relationships/hyperlink" Target="https://www.cagnm.yt" TargetMode="External" Id="rId976" /><Relationship Type="http://schemas.openxmlformats.org/officeDocument/2006/relationships/hyperlink" Target="https://www.cagnm.yt/nous-contacter/" TargetMode="External" Id="rId977" /><Relationship Type="http://schemas.openxmlformats.org/officeDocument/2006/relationships/hyperlink" Target="https://lannuaire.service-public.gouv.fr/mayotte/mayotte/9029bd0a-5953-4aab-ab34-c592eb6d724b" TargetMode="External" Id="rId9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12" customWidth="1" min="3" max="3"/>
    <col width="11" customWidth="1" min="4" max="4"/>
    <col width="22" customWidth="1" min="5" max="5"/>
    <col width="26" customWidth="1" min="6" max="6"/>
    <col width="11" customWidth="1" min="7" max="7"/>
    <col width="10" customWidth="1" min="8" max="8"/>
    <col width="38" customWidth="1" min="9" max="9"/>
    <col width="11" customWidth="1" min="10" max="10"/>
    <col width="26" customWidth="1" min="11" max="11"/>
    <col width="18" customWidth="1" min="12" max="12"/>
    <col width="34" customWidth="1" min="13" max="13"/>
    <col width="34" customWidth="1" min="14" max="14"/>
    <col width="30" customWidth="1" min="15" max="15"/>
    <col width="30" customWidth="1" min="16" max="16"/>
    <col width="26" customWidth="1" min="17" max="17"/>
    <col width="18" customWidth="1" min="18" max="18"/>
    <col width="22" customWidth="1" min="19" max="19"/>
    <col width="40" customWidth="1" min="20" max="20"/>
  </cols>
  <sheetData>
    <row r="1" ht="32" customHeight="1">
      <c r="A1" s="1" t="inlineStr">
        <is>
          <t>Nom</t>
        </is>
      </c>
      <c r="B1" s="1" t="inlineStr">
        <is>
          <t>Type</t>
        </is>
      </c>
      <c r="C1" s="1" t="inlineStr">
        <is>
          <t>SIREN</t>
        </is>
      </c>
      <c r="D1" s="1" t="inlineStr">
        <is>
          <t>Code département</t>
        </is>
      </c>
      <c r="E1" s="1" t="inlineStr">
        <is>
          <t>Département</t>
        </is>
      </c>
      <c r="F1" s="1" t="inlineStr">
        <is>
          <t>Région</t>
        </is>
      </c>
      <c r="G1" s="1" t="inlineStr">
        <is>
          <t>Population</t>
        </is>
      </c>
      <c r="H1" s="1" t="inlineStr">
        <is>
          <t>Communes</t>
        </is>
      </c>
      <c r="I1" s="1" t="inlineStr">
        <is>
          <t>Adresse</t>
        </is>
      </c>
      <c r="J1" s="1" t="inlineStr">
        <is>
          <t>Code postal</t>
        </is>
      </c>
      <c r="K1" s="1" t="inlineStr">
        <is>
          <t>Commune</t>
        </is>
      </c>
      <c r="L1" s="1" t="inlineStr">
        <is>
          <t>Téléphone</t>
        </is>
      </c>
      <c r="M1" s="1" t="inlineStr">
        <is>
          <t>Courriel</t>
        </is>
      </c>
      <c r="N1" s="1" t="inlineStr">
        <is>
          <t>Site web</t>
        </is>
      </c>
      <c r="O1" s="1" t="inlineStr">
        <is>
          <t>Formulaire de contact</t>
        </is>
      </c>
      <c r="P1" s="1" t="inlineStr">
        <is>
          <t>Fiche Service-public.fr</t>
        </is>
      </c>
      <c r="Q1" s="1" t="inlineStr">
        <is>
          <t>Source des coordonnées</t>
        </is>
      </c>
      <c r="R1" s="2" t="inlineStr">
        <is>
          <t>Statut prospection</t>
        </is>
      </c>
      <c r="S1" s="2" t="inlineStr">
        <is>
          <t>Interlocuteur</t>
        </is>
      </c>
      <c r="T1" s="2" t="inlineStr">
        <is>
          <t>Notes</t>
        </is>
      </c>
    </row>
    <row r="2">
      <c r="A2" t="inlineStr">
        <is>
          <t>CA Haut-Bugey Agglomération</t>
        </is>
      </c>
      <c r="B2" t="inlineStr">
        <is>
          <t>Communauté d’agglomération</t>
        </is>
      </c>
      <c r="C2" t="inlineStr">
        <is>
          <t>200042935</t>
        </is>
      </c>
      <c r="D2" t="inlineStr">
        <is>
          <t>01</t>
        </is>
      </c>
      <c r="E2" t="inlineStr">
        <is>
          <t>Ain</t>
        </is>
      </c>
      <c r="F2" t="inlineStr">
        <is>
          <t>Auvergne-Rhône-Alpes</t>
        </is>
      </c>
      <c r="G2" s="3" t="n">
        <v>63653</v>
      </c>
      <c r="H2" t="n">
        <v>42</v>
      </c>
      <c r="I2" t="inlineStr">
        <is>
          <t>57 rue René-Nicod, CS 80502</t>
        </is>
      </c>
      <c r="J2" t="inlineStr">
        <is>
          <t>01117</t>
        </is>
      </c>
      <c r="K2" t="inlineStr">
        <is>
          <t>Oyonnax Cedex</t>
        </is>
      </c>
      <c r="L2" t="inlineStr">
        <is>
          <t>04 74 81 23 70</t>
        </is>
      </c>
      <c r="M2" s="4" t="inlineStr">
        <is>
          <t>contact@hautbugey-agglomeration.fr</t>
        </is>
      </c>
      <c r="N2" s="4" t="inlineStr">
        <is>
          <t>https://www.hautbugey-agglomeration.fr/</t>
        </is>
      </c>
      <c r="O2" s="4" t="inlineStr">
        <is>
          <t>https://www.hautbugey-agglomeration.fr/contact/</t>
        </is>
      </c>
      <c r="P2" s="4" t="inlineStr">
        <is>
          <t>https://lannuaire.service-public.gouv.fr/auvergne-rhone-alpes/ain/962e7b55-0ddf-4a4f-a60a-ca707ad1b57f</t>
        </is>
      </c>
      <c r="Q2" t="inlineStr">
        <is>
          <t>Annuaire Service-public.fr</t>
        </is>
      </c>
      <c r="R2" t="inlineStr"/>
      <c r="S2" t="inlineStr"/>
      <c r="T2" t="inlineStr"/>
    </row>
    <row r="3">
      <c r="A3" t="inlineStr">
        <is>
          <t>CA du Bassin de Bourg-en-Bresse</t>
        </is>
      </c>
      <c r="B3" t="inlineStr">
        <is>
          <t>Communauté d’agglomération</t>
        </is>
      </c>
      <c r="C3" t="inlineStr">
        <is>
          <t>200071751</t>
        </is>
      </c>
      <c r="D3" t="inlineStr">
        <is>
          <t>01</t>
        </is>
      </c>
      <c r="E3" t="inlineStr">
        <is>
          <t>Ain</t>
        </is>
      </c>
      <c r="F3" t="inlineStr">
        <is>
          <t>Auvergne-Rhône-Alpes</t>
        </is>
      </c>
      <c r="G3" s="3" t="n">
        <v>135794</v>
      </c>
      <c r="H3" t="n">
        <v>74</v>
      </c>
      <c r="I3" t="inlineStr">
        <is>
          <t>3 avenue Arsène-d'Arsonval</t>
        </is>
      </c>
      <c r="J3" t="inlineStr">
        <is>
          <t>01000</t>
        </is>
      </c>
      <c r="K3" t="inlineStr">
        <is>
          <t>Bourg-en-Bresse</t>
        </is>
      </c>
      <c r="L3" t="inlineStr">
        <is>
          <t>04 74 24 75 15</t>
        </is>
      </c>
      <c r="M3" s="4" t="inlineStr">
        <is>
          <t>courrier@grandbourg.fr</t>
        </is>
      </c>
      <c r="N3" s="4" t="inlineStr">
        <is>
          <t>https://www.grandbourg.fr/index.php</t>
        </is>
      </c>
      <c r="O3" s="4" t="inlineStr">
        <is>
          <t>https://www.grandbourg.fr/13-contact.htm</t>
        </is>
      </c>
      <c r="P3" s="4" t="inlineStr">
        <is>
          <t>https://lannuaire.service-public.gouv.fr/auvergne-rhone-alpes/ain/fc74a1a8-3b7f-42c3-8417-12b50fe31600</t>
        </is>
      </c>
      <c r="Q3" t="inlineStr">
        <is>
          <t>Annuaire Service-public.fr</t>
        </is>
      </c>
      <c r="R3" t="inlineStr"/>
      <c r="S3" t="inlineStr"/>
      <c r="T3" t="inlineStr"/>
    </row>
    <row r="4">
      <c r="A4" t="inlineStr">
        <is>
          <t>CA du Pays de Gex</t>
        </is>
      </c>
      <c r="B4" t="inlineStr">
        <is>
          <t>Communauté d’agglomération</t>
        </is>
      </c>
      <c r="C4" t="inlineStr">
        <is>
          <t>240100750</t>
        </is>
      </c>
      <c r="D4" t="inlineStr">
        <is>
          <t>01</t>
        </is>
      </c>
      <c r="E4" t="inlineStr">
        <is>
          <t>Ain</t>
        </is>
      </c>
      <c r="F4" t="inlineStr">
        <is>
          <t>Auvergne-Rhône-Alpes</t>
        </is>
      </c>
      <c r="G4" s="3" t="n">
        <v>104770</v>
      </c>
      <c r="H4" t="n">
        <v>27</v>
      </c>
      <c r="I4" t="inlineStr">
        <is>
          <t>135 rue de Genève</t>
        </is>
      </c>
      <c r="J4" t="inlineStr">
        <is>
          <t>01170</t>
        </is>
      </c>
      <c r="K4" t="inlineStr">
        <is>
          <t>Gex</t>
        </is>
      </c>
      <c r="L4" t="inlineStr">
        <is>
          <t>04 50 42 65 00</t>
        </is>
      </c>
      <c r="M4" s="4" t="inlineStr">
        <is>
          <t>info@paysdegexagglo.fr</t>
        </is>
      </c>
      <c r="N4" s="4" t="inlineStr">
        <is>
          <t>https://www.paysdegexagglo.fr/</t>
        </is>
      </c>
      <c r="O4" s="4" t="inlineStr">
        <is>
          <t>https://www.facebook.com/PaysdeGexagglo/</t>
        </is>
      </c>
      <c r="P4" s="4" t="inlineStr">
        <is>
          <t>https://lannuaire.service-public.gouv.fr/auvergne-rhone-alpes/ain/e585f86a-f226-409d-88fc-094773ba33fa</t>
        </is>
      </c>
      <c r="Q4" t="inlineStr">
        <is>
          <t>Annuaire Service-public.fr</t>
        </is>
      </c>
      <c r="R4" t="inlineStr"/>
      <c r="S4" t="inlineStr"/>
      <c r="T4" t="inlineStr"/>
    </row>
    <row r="5">
      <c r="A5" t="inlineStr">
        <is>
          <t>CC Bresse et Saône</t>
        </is>
      </c>
      <c r="B5" t="inlineStr">
        <is>
          <t>Communauté de communes</t>
        </is>
      </c>
      <c r="C5" t="inlineStr">
        <is>
          <t>200071371</t>
        </is>
      </c>
      <c r="D5" t="inlineStr">
        <is>
          <t>01</t>
        </is>
      </c>
      <c r="E5" t="inlineStr">
        <is>
          <t>Ain</t>
        </is>
      </c>
      <c r="F5" t="inlineStr">
        <is>
          <t>Auvergne-Rhône-Alpes</t>
        </is>
      </c>
      <c r="G5" s="3" t="n">
        <v>25700</v>
      </c>
      <c r="H5" t="n">
        <v>20</v>
      </c>
      <c r="I5" t="inlineStr">
        <is>
          <t>50 chemin de la Glaine</t>
        </is>
      </c>
      <c r="J5" t="inlineStr">
        <is>
          <t>01380</t>
        </is>
      </c>
      <c r="K5" t="inlineStr">
        <is>
          <t>Bagé-le-Chatel</t>
        </is>
      </c>
      <c r="L5" t="inlineStr">
        <is>
          <t>03 85 36 37 18</t>
        </is>
      </c>
      <c r="M5" s="4" t="inlineStr">
        <is>
          <t>accueil@ccbresseetsaone.fr</t>
        </is>
      </c>
      <c r="N5" s="4" t="inlineStr">
        <is>
          <t>https://www.ccbresseetsaone.fr/</t>
        </is>
      </c>
      <c r="O5" s="4" t="inlineStr">
        <is>
          <t>https://www.ccbresseetsaone.fr/nous-contacter/</t>
        </is>
      </c>
      <c r="P5" s="4" t="inlineStr">
        <is>
          <t>https://lannuaire.service-public.gouv.fr/auvergne-rhone-alpes/ain/31de1c7a-3bb6-4c7c-a672-816f2af0b87a</t>
        </is>
      </c>
      <c r="Q5" t="inlineStr">
        <is>
          <t>Annuaire Service-public.fr</t>
        </is>
      </c>
      <c r="R5" t="inlineStr"/>
      <c r="S5" t="inlineStr"/>
      <c r="T5" t="inlineStr"/>
    </row>
    <row r="6">
      <c r="A6" t="inlineStr">
        <is>
          <t>CC Bugey Sud</t>
        </is>
      </c>
      <c r="B6" t="inlineStr">
        <is>
          <t>Communauté de communes</t>
        </is>
      </c>
      <c r="C6" t="inlineStr">
        <is>
          <t>200040350</t>
        </is>
      </c>
      <c r="D6" t="inlineStr">
        <is>
          <t>01</t>
        </is>
      </c>
      <c r="E6" t="inlineStr">
        <is>
          <t>Ain</t>
        </is>
      </c>
      <c r="F6" t="inlineStr">
        <is>
          <t>Auvergne-Rhône-Alpes</t>
        </is>
      </c>
      <c r="G6" s="3" t="n">
        <v>34086</v>
      </c>
      <c r="H6" t="n">
        <v>41</v>
      </c>
      <c r="I6" t="inlineStr">
        <is>
          <t>34 Grande rue</t>
        </is>
      </c>
      <c r="J6" t="inlineStr">
        <is>
          <t>01300</t>
        </is>
      </c>
      <c r="K6" t="inlineStr">
        <is>
          <t>Belley</t>
        </is>
      </c>
      <c r="L6" t="inlineStr">
        <is>
          <t>04 79 81 41 05</t>
        </is>
      </c>
      <c r="M6" s="4" t="inlineStr">
        <is>
          <t>accueil@ccbugeysud.com</t>
        </is>
      </c>
      <c r="N6" s="4" t="inlineStr">
        <is>
          <t>https://www.ccbugeysud.com/</t>
        </is>
      </c>
      <c r="O6" s="4" t="inlineStr">
        <is>
          <t>https://www.ccbugeysud.com/la-collectivite/contacts-et-logo/</t>
        </is>
      </c>
      <c r="P6" s="4" t="inlineStr">
        <is>
          <t>https://lannuaire.service-public.gouv.fr/auvergne-rhone-alpes/ain/51b6052a-73af-4c3e-bd45-5ac214ff4c71</t>
        </is>
      </c>
      <c r="Q6" t="inlineStr">
        <is>
          <t>Annuaire Service-public.fr</t>
        </is>
      </c>
      <c r="R6" t="inlineStr"/>
      <c r="S6" t="inlineStr"/>
      <c r="T6" t="inlineStr"/>
    </row>
    <row r="7">
      <c r="A7" t="inlineStr">
        <is>
          <t>CC Dombes Saône Vallée</t>
        </is>
      </c>
      <c r="B7" t="inlineStr">
        <is>
          <t>Communauté de communes</t>
        </is>
      </c>
      <c r="C7" t="inlineStr">
        <is>
          <t>200042497</t>
        </is>
      </c>
      <c r="D7" t="inlineStr">
        <is>
          <t>01</t>
        </is>
      </c>
      <c r="E7" t="inlineStr">
        <is>
          <t>Ain</t>
        </is>
      </c>
      <c r="F7" t="inlineStr">
        <is>
          <t>Auvergne-Rhône-Alpes</t>
        </is>
      </c>
      <c r="G7" s="3" t="n">
        <v>40893</v>
      </c>
      <c r="H7" t="n">
        <v>19</v>
      </c>
      <c r="I7" t="inlineStr">
        <is>
          <t>627 route de Jassans</t>
        </is>
      </c>
      <c r="J7" t="inlineStr">
        <is>
          <t>01600</t>
        </is>
      </c>
      <c r="K7" t="inlineStr">
        <is>
          <t>Trévoux</t>
        </is>
      </c>
      <c r="L7" t="inlineStr">
        <is>
          <t>04 74 08 97 66</t>
        </is>
      </c>
      <c r="M7" s="4" t="inlineStr">
        <is>
          <t>contact@ccdsv.fr</t>
        </is>
      </c>
      <c r="N7" s="4" t="inlineStr">
        <is>
          <t>https://www.ccdsv.fr/</t>
        </is>
      </c>
      <c r="O7" t="inlineStr"/>
      <c r="P7" s="4" t="inlineStr">
        <is>
          <t>https://lannuaire.service-public.gouv.fr/auvergne-rhone-alpes/ain/32c18409-c830-4ba1-988f-53798fd4b9a2</t>
        </is>
      </c>
      <c r="Q7" t="inlineStr">
        <is>
          <t>Annuaire Service-public.fr</t>
        </is>
      </c>
      <c r="R7" t="inlineStr"/>
      <c r="S7" t="inlineStr"/>
      <c r="T7" t="inlineStr"/>
    </row>
    <row r="8">
      <c r="A8" t="inlineStr">
        <is>
          <t>CC Rives de l'Ain - Pays du Cerdon</t>
        </is>
      </c>
      <c r="B8" t="inlineStr">
        <is>
          <t>Communauté de communes</t>
        </is>
      </c>
      <c r="C8" t="inlineStr">
        <is>
          <t>200029999</t>
        </is>
      </c>
      <c r="D8" t="inlineStr">
        <is>
          <t>01</t>
        </is>
      </c>
      <c r="E8" t="inlineStr">
        <is>
          <t>Ain</t>
        </is>
      </c>
      <c r="F8" t="inlineStr">
        <is>
          <t>Auvergne-Rhône-Alpes</t>
        </is>
      </c>
      <c r="G8" s="3" t="n">
        <v>14873</v>
      </c>
      <c r="H8" t="n">
        <v>14</v>
      </c>
      <c r="I8" t="inlineStr">
        <is>
          <t>Place de l'Hôtel-de-Ville</t>
        </is>
      </c>
      <c r="J8" t="inlineStr">
        <is>
          <t>01640</t>
        </is>
      </c>
      <c r="K8" t="inlineStr">
        <is>
          <t>Jujurieux</t>
        </is>
      </c>
      <c r="L8" t="inlineStr">
        <is>
          <t>04 74 37 13 32</t>
        </is>
      </c>
      <c r="M8" s="4" t="inlineStr">
        <is>
          <t>accueil@ain-cerdon.fr</t>
        </is>
      </c>
      <c r="N8" s="4" t="inlineStr">
        <is>
          <t>https://www.ain-cerdon.fr/</t>
        </is>
      </c>
      <c r="O8" s="4" t="inlineStr">
        <is>
          <t>https://www.ain-cerdon.fr/contact/</t>
        </is>
      </c>
      <c r="P8" s="4" t="inlineStr">
        <is>
          <t>https://lannuaire.service-public.gouv.fr/auvergne-rhone-alpes/ain/7c54a81b-bfe4-4256-8884-5fd8703fb853</t>
        </is>
      </c>
      <c r="Q8" t="inlineStr">
        <is>
          <t>Annuaire Service-public.fr</t>
        </is>
      </c>
      <c r="R8" t="inlineStr"/>
      <c r="S8" t="inlineStr"/>
      <c r="T8" t="inlineStr"/>
    </row>
    <row r="9">
      <c r="A9" t="inlineStr">
        <is>
          <t>CC Terre Valserhône (CCTV)</t>
        </is>
      </c>
      <c r="B9" t="inlineStr">
        <is>
          <t>Communauté de communes</t>
        </is>
      </c>
      <c r="C9" t="inlineStr">
        <is>
          <t>240100891</t>
        </is>
      </c>
      <c r="D9" t="inlineStr">
        <is>
          <t>01</t>
        </is>
      </c>
      <c r="E9" t="inlineStr">
        <is>
          <t>Ain</t>
        </is>
      </c>
      <c r="F9" t="inlineStr">
        <is>
          <t>Auvergne-Rhône-Alpes</t>
        </is>
      </c>
      <c r="G9" s="3" t="n">
        <v>21657</v>
      </c>
      <c r="H9" t="n">
        <v>12</v>
      </c>
      <c r="I9" t="inlineStr">
        <is>
          <t>35 rue de la Poste, Châtillon-en-Michaille</t>
        </is>
      </c>
      <c r="J9" t="inlineStr">
        <is>
          <t>01200</t>
        </is>
      </c>
      <c r="K9" t="inlineStr">
        <is>
          <t>Valserhône</t>
        </is>
      </c>
      <c r="L9" t="inlineStr">
        <is>
          <t>04 50 48 19 78</t>
        </is>
      </c>
      <c r="M9" s="4" t="inlineStr">
        <is>
          <t>info@terrevalserhone.fr</t>
        </is>
      </c>
      <c r="N9" s="4" t="inlineStr">
        <is>
          <t>https://terrevalserhone.fr/</t>
        </is>
      </c>
      <c r="O9" t="inlineStr"/>
      <c r="P9" s="4" t="inlineStr">
        <is>
          <t>https://lannuaire.service-public.gouv.fr/auvergne-rhone-alpes/ain/f6bc123d-9ed3-4ad9-bc18-685e4142da05</t>
        </is>
      </c>
      <c r="Q9" t="inlineStr">
        <is>
          <t>Annuaire Service-public.fr</t>
        </is>
      </c>
      <c r="R9" t="inlineStr"/>
      <c r="S9" t="inlineStr"/>
      <c r="T9" t="inlineStr"/>
    </row>
    <row r="10">
      <c r="A10" t="inlineStr">
        <is>
          <t>CC Val de Saône Centre</t>
        </is>
      </c>
      <c r="B10" t="inlineStr">
        <is>
          <t>Communauté de communes</t>
        </is>
      </c>
      <c r="C10" t="inlineStr">
        <is>
          <t>200070118</t>
        </is>
      </c>
      <c r="D10" t="inlineStr">
        <is>
          <t>01</t>
        </is>
      </c>
      <c r="E10" t="inlineStr">
        <is>
          <t>Ain</t>
        </is>
      </c>
      <c r="F10" t="inlineStr">
        <is>
          <t>Auvergne-Rhône-Alpes</t>
        </is>
      </c>
      <c r="G10" s="3" t="n">
        <v>21022</v>
      </c>
      <c r="H10" t="n">
        <v>15</v>
      </c>
      <c r="I10" t="inlineStr">
        <is>
          <t>Parc Visiosport, 166 route de Francheleins</t>
        </is>
      </c>
      <c r="J10" t="inlineStr">
        <is>
          <t>01090</t>
        </is>
      </c>
      <c r="K10" t="inlineStr">
        <is>
          <t>Montceaux</t>
        </is>
      </c>
      <c r="L10" t="inlineStr">
        <is>
          <t>04 74 06 46 26</t>
        </is>
      </c>
      <c r="M10" s="4" t="inlineStr">
        <is>
          <t>accueil@ccvsc01.org</t>
        </is>
      </c>
      <c r="N10" s="4" t="inlineStr">
        <is>
          <t>https://www.ccvsc01.org/</t>
        </is>
      </c>
      <c r="O10" t="inlineStr"/>
      <c r="P10" s="4" t="inlineStr">
        <is>
          <t>https://lannuaire.service-public.gouv.fr/auvergne-rhone-alpes/ain/85a7aa66-fdb6-469b-8274-feb81b44a106</t>
        </is>
      </c>
      <c r="Q10" t="inlineStr">
        <is>
          <t>Annuaire Service-public.fr</t>
        </is>
      </c>
      <c r="R10" t="inlineStr"/>
      <c r="S10" t="inlineStr"/>
      <c r="T10" t="inlineStr"/>
    </row>
    <row r="11">
      <c r="A11" t="inlineStr">
        <is>
          <t>CC de Miribel et du Plateau</t>
        </is>
      </c>
      <c r="B11" t="inlineStr">
        <is>
          <t>Communauté de communes</t>
        </is>
      </c>
      <c r="C11" t="inlineStr">
        <is>
          <t>240100800</t>
        </is>
      </c>
      <c r="D11" t="inlineStr">
        <is>
          <t>01</t>
        </is>
      </c>
      <c r="E11" t="inlineStr">
        <is>
          <t>Ain</t>
        </is>
      </c>
      <c r="F11" t="inlineStr">
        <is>
          <t>Auvergne-Rhône-Alpes</t>
        </is>
      </c>
      <c r="G11" s="3" t="n">
        <v>25161</v>
      </c>
      <c r="H11" t="n">
        <v>6</v>
      </c>
      <c r="I11" t="inlineStr">
        <is>
          <t>238 rue des Breteaux</t>
        </is>
      </c>
      <c r="J11" t="inlineStr">
        <is>
          <t>01700</t>
        </is>
      </c>
      <c r="K11" t="inlineStr">
        <is>
          <t>Miribel</t>
        </is>
      </c>
      <c r="L11" t="inlineStr">
        <is>
          <t>04 78 55 52 18</t>
        </is>
      </c>
      <c r="M11" s="4" t="inlineStr">
        <is>
          <t>contact@cc-miribel.fr</t>
        </is>
      </c>
      <c r="N11" s="4" t="inlineStr">
        <is>
          <t>https://cc-miribel.fr/</t>
        </is>
      </c>
      <c r="O11" t="inlineStr"/>
      <c r="P11" s="4" t="inlineStr">
        <is>
          <t>https://lannuaire.service-public.gouv.fr/auvergne-rhone-alpes/ain/b311e423-fcc1-41cb-bbec-067819eef761</t>
        </is>
      </c>
      <c r="Q11" t="inlineStr">
        <is>
          <t>Annuaire Service-public.fr</t>
        </is>
      </c>
      <c r="R11" t="inlineStr"/>
      <c r="S11" t="inlineStr"/>
      <c r="T11" t="inlineStr"/>
    </row>
    <row r="12">
      <c r="A12" t="inlineStr">
        <is>
          <t>CC de la Côtière à Montluel</t>
        </is>
      </c>
      <c r="B12" t="inlineStr">
        <is>
          <t>Communauté de communes</t>
        </is>
      </c>
      <c r="C12" t="inlineStr">
        <is>
          <t>240100610</t>
        </is>
      </c>
      <c r="D12" t="inlineStr">
        <is>
          <t>01</t>
        </is>
      </c>
      <c r="E12" t="inlineStr">
        <is>
          <t>Ain</t>
        </is>
      </c>
      <c r="F12" t="inlineStr">
        <is>
          <t>Auvergne-Rhône-Alpes</t>
        </is>
      </c>
      <c r="G12" s="3" t="n">
        <v>25504</v>
      </c>
      <c r="H12" t="n">
        <v>9</v>
      </c>
      <c r="I12" t="inlineStr">
        <is>
          <t>485 rue des Valets, ZAC Cap &amp; Co</t>
        </is>
      </c>
      <c r="J12" t="inlineStr">
        <is>
          <t>01120</t>
        </is>
      </c>
      <c r="K12" t="inlineStr">
        <is>
          <t>Montluel</t>
        </is>
      </c>
      <c r="L12" t="inlineStr">
        <is>
          <t>04 78 06 39 37</t>
        </is>
      </c>
      <c r="M12" s="4" t="inlineStr">
        <is>
          <t>infos@3cm.fr</t>
        </is>
      </c>
      <c r="N12" s="4" t="inlineStr">
        <is>
          <t>https://www.3cm.fr/</t>
        </is>
      </c>
      <c r="O12" t="inlineStr"/>
      <c r="P12" s="4" t="inlineStr">
        <is>
          <t>https://lannuaire.service-public.gouv.fr/auvergne-rhone-alpes/ain/1055a5d1-81c2-4d92-960d-5095cbffc5bf</t>
        </is>
      </c>
      <c r="Q12" t="inlineStr">
        <is>
          <t>Annuaire Service-public.fr</t>
        </is>
      </c>
      <c r="R12" t="inlineStr"/>
      <c r="S12" t="inlineStr"/>
      <c r="T12" t="inlineStr"/>
    </row>
    <row r="13">
      <c r="A13" t="inlineStr">
        <is>
          <t>CC de la Dombes</t>
        </is>
      </c>
      <c r="B13" t="inlineStr">
        <is>
          <t>Communauté de communes</t>
        </is>
      </c>
      <c r="C13" t="inlineStr">
        <is>
          <t>200069193</t>
        </is>
      </c>
      <c r="D13" t="inlineStr">
        <is>
          <t>01</t>
        </is>
      </c>
      <c r="E13" t="inlineStr">
        <is>
          <t>Ain</t>
        </is>
      </c>
      <c r="F13" t="inlineStr">
        <is>
          <t>Auvergne-Rhône-Alpes</t>
        </is>
      </c>
      <c r="G13" s="3" t="n">
        <v>40570</v>
      </c>
      <c r="H13" t="n">
        <v>36</v>
      </c>
      <c r="I13" t="inlineStr">
        <is>
          <t>100 avenue Foch</t>
        </is>
      </c>
      <c r="J13" t="inlineStr">
        <is>
          <t>01400</t>
        </is>
      </c>
      <c r="K13" t="inlineStr">
        <is>
          <t>Châtillon-sur-Chalaronne</t>
        </is>
      </c>
      <c r="L13" t="inlineStr">
        <is>
          <t>04 28 36 12 12</t>
        </is>
      </c>
      <c r="M13" s="4" t="inlineStr">
        <is>
          <t>contact@ccdombes.fr</t>
        </is>
      </c>
      <c r="N13" s="4" t="inlineStr">
        <is>
          <t>https://www.ccdombes.fr</t>
        </is>
      </c>
      <c r="O13" s="4" t="inlineStr">
        <is>
          <t>https://www.ccdombes.fr/contact/</t>
        </is>
      </c>
      <c r="P13" s="4" t="inlineStr">
        <is>
          <t>https://lannuaire.service-public.gouv.fr/auvergne-rhone-alpes/ain/1c3d258e-06a9-446b-a607-c962b4232c0f</t>
        </is>
      </c>
      <c r="Q13" t="inlineStr">
        <is>
          <t>Annuaire Service-public.fr</t>
        </is>
      </c>
      <c r="R13" t="inlineStr"/>
      <c r="S13" t="inlineStr"/>
      <c r="T13" t="inlineStr"/>
    </row>
    <row r="14">
      <c r="A14" t="inlineStr">
        <is>
          <t>CC de la Plaine de l'Ain</t>
        </is>
      </c>
      <c r="B14" t="inlineStr">
        <is>
          <t>Communauté de communes</t>
        </is>
      </c>
      <c r="C14" t="inlineStr">
        <is>
          <t>240100883</t>
        </is>
      </c>
      <c r="D14" t="inlineStr">
        <is>
          <t>01</t>
        </is>
      </c>
      <c r="E14" t="inlineStr">
        <is>
          <t>Ain</t>
        </is>
      </c>
      <c r="F14" t="inlineStr">
        <is>
          <t>Auvergne-Rhône-Alpes</t>
        </is>
      </c>
      <c r="G14" s="3" t="n">
        <v>82840</v>
      </c>
      <c r="H14" t="n">
        <v>53</v>
      </c>
      <c r="I14" t="inlineStr">
        <is>
          <t>143 rue du Château</t>
        </is>
      </c>
      <c r="J14" t="inlineStr">
        <is>
          <t>01150</t>
        </is>
      </c>
      <c r="K14" t="inlineStr">
        <is>
          <t>Chazey-sur-Ain</t>
        </is>
      </c>
      <c r="L14" t="inlineStr">
        <is>
          <t>04 74 61 96 40</t>
        </is>
      </c>
      <c r="M14" s="4" t="inlineStr">
        <is>
          <t>contact@cc-plainedelain.fr</t>
        </is>
      </c>
      <c r="N14" s="4" t="inlineStr">
        <is>
          <t>https://cc-plainedelain.fr</t>
        </is>
      </c>
      <c r="O14" s="4" t="inlineStr">
        <is>
          <t>https://www.cc-plainedelain.fr/fr/contact.html</t>
        </is>
      </c>
      <c r="P14" s="4" t="inlineStr">
        <is>
          <t>https://lannuaire.service-public.gouv.fr/auvergne-rhone-alpes/ain/c832c350-2fb4-44f2-b465-4cab3844b8f0</t>
        </is>
      </c>
      <c r="Q14" t="inlineStr">
        <is>
          <t>Annuaire Service-public.fr</t>
        </is>
      </c>
      <c r="R14" t="inlineStr"/>
      <c r="S14" t="inlineStr"/>
      <c r="T14" t="inlineStr"/>
    </row>
    <row r="15">
      <c r="A15" t="inlineStr">
        <is>
          <t>CC de la Veyle</t>
        </is>
      </c>
      <c r="B15" t="inlineStr">
        <is>
          <t>Communauté de communes</t>
        </is>
      </c>
      <c r="C15" t="inlineStr">
        <is>
          <t>200070555</t>
        </is>
      </c>
      <c r="D15" t="inlineStr">
        <is>
          <t>01</t>
        </is>
      </c>
      <c r="E15" t="inlineStr">
        <is>
          <t>Ain</t>
        </is>
      </c>
      <c r="F15" t="inlineStr">
        <is>
          <t>Auvergne-Rhône-Alpes</t>
        </is>
      </c>
      <c r="G15" s="3" t="n">
        <v>23254</v>
      </c>
      <c r="H15" t="n">
        <v>18</v>
      </c>
      <c r="I15" t="inlineStr">
        <is>
          <t>10 rue de la Poste, Pôle des services publics</t>
        </is>
      </c>
      <c r="J15" t="inlineStr">
        <is>
          <t>01290</t>
        </is>
      </c>
      <c r="K15" t="inlineStr">
        <is>
          <t>Pont-de-Veyle</t>
        </is>
      </c>
      <c r="L15" t="inlineStr">
        <is>
          <t>03 85 23 90 15</t>
        </is>
      </c>
      <c r="M15" s="4" t="inlineStr">
        <is>
          <t>accueil@cc-laveyle.fr</t>
        </is>
      </c>
      <c r="N15" s="4" t="inlineStr">
        <is>
          <t>https://www.cc-laveyle.fr/</t>
        </is>
      </c>
      <c r="O15" t="inlineStr"/>
      <c r="P15" s="4" t="inlineStr">
        <is>
          <t>https://lannuaire.service-public.gouv.fr/auvergne-rhone-alpes/ain/c727991c-62e6-454a-9e74-ae42f76963b9</t>
        </is>
      </c>
      <c r="Q15" t="inlineStr">
        <is>
          <t>Annuaire Service-public.fr</t>
        </is>
      </c>
      <c r="R15" t="inlineStr"/>
      <c r="S15" t="inlineStr"/>
      <c r="T15" t="inlineStr"/>
    </row>
    <row r="16">
      <c r="A16" t="inlineStr">
        <is>
          <t>CA Villefranche Beaujolais Saône</t>
        </is>
      </c>
      <c r="B16" t="inlineStr">
        <is>
          <t>Communauté d’agglomération</t>
        </is>
      </c>
      <c r="C16" t="inlineStr">
        <is>
          <t>200040590</t>
        </is>
      </c>
      <c r="D16" t="inlineStr">
        <is>
          <t>01, 69</t>
        </is>
      </c>
      <c r="E16" t="inlineStr">
        <is>
          <t>Ain, Rhône</t>
        </is>
      </c>
      <c r="F16" t="inlineStr">
        <is>
          <t>Auvergne-Rhône-Alpes</t>
        </is>
      </c>
      <c r="G16" s="3" t="n">
        <v>73717</v>
      </c>
      <c r="H16" t="n">
        <v>18</v>
      </c>
      <c r="I16" t="inlineStr">
        <is>
          <t>115 rue Paul-Bert</t>
        </is>
      </c>
      <c r="J16" t="inlineStr">
        <is>
          <t>69400</t>
        </is>
      </c>
      <c r="K16" t="inlineStr">
        <is>
          <t>Villefranche-sur-Saône</t>
        </is>
      </c>
      <c r="L16" t="inlineStr">
        <is>
          <t>04 74 68 23 08</t>
        </is>
      </c>
      <c r="M16" s="4" t="inlineStr">
        <is>
          <t>contact@agglo-villefranche.fr</t>
        </is>
      </c>
      <c r="N16" s="4" t="inlineStr">
        <is>
          <t>https://www.agglo-villefranche.fr/</t>
        </is>
      </c>
      <c r="O16" s="4" t="inlineStr">
        <is>
          <t>https://www.agglo-villefranche.fr/contact.html</t>
        </is>
      </c>
      <c r="P16" s="4" t="inlineStr">
        <is>
          <t>https://lannuaire.service-public.gouv.fr/auvergne-rhone-alpes/rhone/f1576417-82b5-4259-84ee-024d195afb6a</t>
        </is>
      </c>
      <c r="Q16" t="inlineStr">
        <is>
          <t>Annuaire Service-public.fr</t>
        </is>
      </c>
      <c r="R16" t="inlineStr"/>
      <c r="S16" t="inlineStr"/>
      <c r="T16" t="inlineStr"/>
    </row>
    <row r="17">
      <c r="A17" t="inlineStr">
        <is>
          <t>CA Mâconnais Beaujolais Agglomération</t>
        </is>
      </c>
      <c r="B17" t="inlineStr">
        <is>
          <t>Communauté d’agglomération</t>
        </is>
      </c>
      <c r="C17" t="inlineStr">
        <is>
          <t>200070308</t>
        </is>
      </c>
      <c r="D17" t="inlineStr">
        <is>
          <t>01, 71</t>
        </is>
      </c>
      <c r="E17" t="inlineStr">
        <is>
          <t>Ain, Saône-et-Loire</t>
        </is>
      </c>
      <c r="F17" t="inlineStr">
        <is>
          <t>Bourgogne-Franche-Comté, Auvergne-Rhône-Alpes</t>
        </is>
      </c>
      <c r="G17" s="3" t="n">
        <v>79589</v>
      </c>
      <c r="H17" t="n">
        <v>39</v>
      </c>
      <c r="I17" t="inlineStr">
        <is>
          <t>67 esplanade du Breuil, CS 20811</t>
        </is>
      </c>
      <c r="J17" t="inlineStr">
        <is>
          <t>71011</t>
        </is>
      </c>
      <c r="K17" t="inlineStr">
        <is>
          <t>Mâcon Cedex</t>
        </is>
      </c>
      <c r="L17" t="inlineStr">
        <is>
          <t>03 85 21 07 70</t>
        </is>
      </c>
      <c r="M17" s="4" t="inlineStr">
        <is>
          <t>accueil@mb-agglo.com</t>
        </is>
      </c>
      <c r="N17" s="4" t="inlineStr">
        <is>
          <t>https://www.mb-agglo.com/</t>
        </is>
      </c>
      <c r="O17" s="4" t="inlineStr">
        <is>
          <t>https://www.mb-agglo.com/contactez-nous/</t>
        </is>
      </c>
      <c r="P17" s="4" t="inlineStr">
        <is>
          <t>https://lannuaire.service-public.gouv.fr/bourgogne-franche-comte/saone-et-loire/d3196a02-46c9-4f45-a8b9-903c09238373</t>
        </is>
      </c>
      <c r="Q17" t="inlineStr">
        <is>
          <t>Annuaire Service-public.fr</t>
        </is>
      </c>
      <c r="R17" t="inlineStr"/>
      <c r="S17" t="inlineStr"/>
      <c r="T17" t="inlineStr"/>
    </row>
    <row r="18">
      <c r="A18" t="inlineStr">
        <is>
          <t>CC Usses et Rhône</t>
        </is>
      </c>
      <c r="B18" t="inlineStr">
        <is>
          <t>Communauté de communes</t>
        </is>
      </c>
      <c r="C18" t="inlineStr">
        <is>
          <t>200070852</t>
        </is>
      </c>
      <c r="D18" t="inlineStr">
        <is>
          <t>01, 74</t>
        </is>
      </c>
      <c r="E18" t="inlineStr">
        <is>
          <t>Ain, Haute-Savoie</t>
        </is>
      </c>
      <c r="F18" t="inlineStr">
        <is>
          <t>Auvergne-Rhône-Alpes</t>
        </is>
      </c>
      <c r="G18" s="3" t="n">
        <v>21475</v>
      </c>
      <c r="H18" t="n">
        <v>26</v>
      </c>
      <c r="I18" t="inlineStr">
        <is>
          <t>24 place de l'Orme</t>
        </is>
      </c>
      <c r="J18" t="inlineStr">
        <is>
          <t>74910</t>
        </is>
      </c>
      <c r="K18" t="inlineStr">
        <is>
          <t>Seyssel</t>
        </is>
      </c>
      <c r="L18" t="inlineStr">
        <is>
          <t>04 50 56 15 30</t>
        </is>
      </c>
      <c r="M18" s="4" t="inlineStr">
        <is>
          <t>accueil@cc-ur.fr</t>
        </is>
      </c>
      <c r="N18" s="4" t="inlineStr">
        <is>
          <t>https://www.usses-et-rhone.fr/</t>
        </is>
      </c>
      <c r="O18" t="inlineStr"/>
      <c r="P18" s="4" t="inlineStr">
        <is>
          <t>https://lannuaire.service-public.gouv.fr/auvergne-rhone-alpes/haute-savoie/1197ee22-f148-4d3f-880f-b5373ab2b987</t>
        </is>
      </c>
      <c r="Q18" t="inlineStr">
        <is>
          <t>Annuaire Service-public.fr</t>
        </is>
      </c>
      <c r="R18" t="inlineStr"/>
      <c r="S18" t="inlineStr"/>
      <c r="T18" t="inlineStr"/>
    </row>
    <row r="19">
      <c r="A19" t="inlineStr">
        <is>
          <t>CA Chauny Tergnier La Fère</t>
        </is>
      </c>
      <c r="B19" t="inlineStr">
        <is>
          <t>Communauté d’agglomération</t>
        </is>
      </c>
      <c r="C19" t="inlineStr">
        <is>
          <t>200071785</t>
        </is>
      </c>
      <c r="D19" t="inlineStr">
        <is>
          <t>02</t>
        </is>
      </c>
      <c r="E19" t="inlineStr">
        <is>
          <t>Aisne</t>
        </is>
      </c>
      <c r="F19" t="inlineStr">
        <is>
          <t>Hauts-de-France</t>
        </is>
      </c>
      <c r="G19" s="3" t="n">
        <v>54316</v>
      </c>
      <c r="H19" t="n">
        <v>48</v>
      </c>
      <c r="I19" t="inlineStr">
        <is>
          <t>57 boulevard Gambetta</t>
        </is>
      </c>
      <c r="J19" t="inlineStr">
        <is>
          <t>02300</t>
        </is>
      </c>
      <c r="K19" t="inlineStr">
        <is>
          <t>Chauny</t>
        </is>
      </c>
      <c r="L19" t="inlineStr">
        <is>
          <t>03 23 39 94 94</t>
        </is>
      </c>
      <c r="M19" s="4" t="inlineStr">
        <is>
          <t>accueil@ctlf.fr</t>
        </is>
      </c>
      <c r="N19" s="4" t="inlineStr">
        <is>
          <t>https://ctlf.fr/</t>
        </is>
      </c>
      <c r="O19" t="inlineStr"/>
      <c r="P19" s="4" t="inlineStr">
        <is>
          <t>https://lannuaire.service-public.gouv.fr/hauts-de-france/aisne/c727e91b-1c70-40e2-becd-6749aa7bcd40</t>
        </is>
      </c>
      <c r="Q19" t="inlineStr">
        <is>
          <t>Annuaire Service-public.fr</t>
        </is>
      </c>
      <c r="R19" t="inlineStr"/>
      <c r="S19" t="inlineStr"/>
      <c r="T19" t="inlineStr"/>
    </row>
    <row r="20">
      <c r="A20" t="inlineStr">
        <is>
          <t>CA GrandSoissons Agglomération</t>
        </is>
      </c>
      <c r="B20" t="inlineStr">
        <is>
          <t>Communauté d’agglomération</t>
        </is>
      </c>
      <c r="C20" t="inlineStr">
        <is>
          <t>240200477</t>
        </is>
      </c>
      <c r="D20" t="inlineStr">
        <is>
          <t>02</t>
        </is>
      </c>
      <c r="E20" t="inlineStr">
        <is>
          <t>Aisne</t>
        </is>
      </c>
      <c r="F20" t="inlineStr">
        <is>
          <t>Hauts-de-France</t>
        </is>
      </c>
      <c r="G20" s="3" t="n">
        <v>52447</v>
      </c>
      <c r="H20" t="n">
        <v>27</v>
      </c>
      <c r="I20" t="inlineStr">
        <is>
          <t>11 avenue François-Mitterand</t>
        </is>
      </c>
      <c r="J20" t="inlineStr">
        <is>
          <t>02880</t>
        </is>
      </c>
      <c r="K20" t="inlineStr">
        <is>
          <t>Cuffies</t>
        </is>
      </c>
      <c r="L20" t="inlineStr">
        <is>
          <t>03 23 53 88 40</t>
        </is>
      </c>
      <c r="M20" s="4" t="inlineStr">
        <is>
          <t>accueilagglo@agglo-soissonnais.com</t>
        </is>
      </c>
      <c r="N20" s="4" t="inlineStr">
        <is>
          <t>https://www.grandsoissons.com/</t>
        </is>
      </c>
      <c r="O20" s="4" t="inlineStr">
        <is>
          <t>https://www.grandsoissons.com/contact-1/</t>
        </is>
      </c>
      <c r="P20" s="4" t="inlineStr">
        <is>
          <t>https://lannuaire.service-public.gouv.fr/hauts-de-france/aisne/c96ebd66-bf83-481a-ab48-1d6e4821cf09</t>
        </is>
      </c>
      <c r="Q20" t="inlineStr">
        <is>
          <t>Annuaire Service-public.fr</t>
        </is>
      </c>
      <c r="R20" t="inlineStr"/>
      <c r="S20" t="inlineStr"/>
      <c r="T20" t="inlineStr"/>
    </row>
    <row r="21">
      <c r="A21" t="inlineStr">
        <is>
          <t>CA de la Région de Château-Thierry</t>
        </is>
      </c>
      <c r="B21" t="inlineStr">
        <is>
          <t>Communauté d’agglomération</t>
        </is>
      </c>
      <c r="C21" t="inlineStr">
        <is>
          <t>200072031</t>
        </is>
      </c>
      <c r="D21" t="inlineStr">
        <is>
          <t>02</t>
        </is>
      </c>
      <c r="E21" t="inlineStr">
        <is>
          <t>Aisne</t>
        </is>
      </c>
      <c r="F21" t="inlineStr">
        <is>
          <t>Hauts-de-France</t>
        </is>
      </c>
      <c r="G21" s="3" t="n">
        <v>54077</v>
      </c>
      <c r="H21" t="n">
        <v>87</v>
      </c>
      <c r="I21" t="inlineStr">
        <is>
          <t>2 avenue Ernest-Couvrecelle, LAiguillage</t>
        </is>
      </c>
      <c r="J21" t="inlineStr">
        <is>
          <t>02400</t>
        </is>
      </c>
      <c r="K21" t="inlineStr">
        <is>
          <t>Étampes-sur-Marne</t>
        </is>
      </c>
      <c r="L21" t="inlineStr">
        <is>
          <t>03 23 69 75 41</t>
        </is>
      </c>
      <c r="M21" s="4" t="inlineStr">
        <is>
          <t>contact@carct.fr</t>
        </is>
      </c>
      <c r="N21" s="4" t="inlineStr">
        <is>
          <t>https://www.carct.fr/</t>
        </is>
      </c>
      <c r="O21" s="4" t="inlineStr">
        <is>
          <t>https://www.carct.fr/contact</t>
        </is>
      </c>
      <c r="P21" s="4" t="inlineStr">
        <is>
          <t>https://lannuaire.service-public.gouv.fr/hauts-de-france/aisne/6838c422-6b33-4d95-9982-99d5fadf3cca</t>
        </is>
      </c>
      <c r="Q21" t="inlineStr">
        <is>
          <t>Annuaire Service-public.fr</t>
        </is>
      </c>
      <c r="R21" t="inlineStr"/>
      <c r="S21" t="inlineStr"/>
      <c r="T21" t="inlineStr"/>
    </row>
    <row r="22">
      <c r="A22" t="inlineStr">
        <is>
          <t>CA du Pays de Laon</t>
        </is>
      </c>
      <c r="B22" t="inlineStr">
        <is>
          <t>Communauté d’agglomération</t>
        </is>
      </c>
      <c r="C22" t="inlineStr">
        <is>
          <t>200043495</t>
        </is>
      </c>
      <c r="D22" t="inlineStr">
        <is>
          <t>02</t>
        </is>
      </c>
      <c r="E22" t="inlineStr">
        <is>
          <t>Aisne</t>
        </is>
      </c>
      <c r="F22" t="inlineStr">
        <is>
          <t>Hauts-de-France</t>
        </is>
      </c>
      <c r="G22" s="3" t="n">
        <v>41771</v>
      </c>
      <c r="H22" t="n">
        <v>38</v>
      </c>
      <c r="I22" t="inlineStr">
        <is>
          <t>60 rue de Chambry</t>
        </is>
      </c>
      <c r="J22" t="inlineStr">
        <is>
          <t>02000</t>
        </is>
      </c>
      <c r="K22" t="inlineStr">
        <is>
          <t>Aulnois-sous-Laon</t>
        </is>
      </c>
      <c r="L22" t="inlineStr">
        <is>
          <t>03 23 22 31 00</t>
        </is>
      </c>
      <c r="M22" s="4" t="inlineStr">
        <is>
          <t>contact@ca-paysdelaon.fr</t>
        </is>
      </c>
      <c r="N22" s="4" t="inlineStr">
        <is>
          <t>https://www.ca-paysdelaon.fr/</t>
        </is>
      </c>
      <c r="O22" s="4" t="inlineStr">
        <is>
          <t>https://www.ca-paysdelaon.fr/contact/</t>
        </is>
      </c>
      <c r="P22" s="4" t="inlineStr">
        <is>
          <t>https://lannuaire.service-public.gouv.fr/hauts-de-france/aisne/c5c1d88b-fb06-4679-89d2-11fd865af4de</t>
        </is>
      </c>
      <c r="Q22" t="inlineStr">
        <is>
          <t>Annuaire Service-public.fr</t>
        </is>
      </c>
      <c r="R22" t="inlineStr"/>
      <c r="S22" t="inlineStr"/>
      <c r="T22" t="inlineStr"/>
    </row>
    <row r="23">
      <c r="A23" t="inlineStr">
        <is>
          <t>CA du Saint-Quentinois</t>
        </is>
      </c>
      <c r="B23" t="inlineStr">
        <is>
          <t>Communauté d’agglomération</t>
        </is>
      </c>
      <c r="C23" t="inlineStr">
        <is>
          <t>200071892</t>
        </is>
      </c>
      <c r="D23" t="inlineStr">
        <is>
          <t>02</t>
        </is>
      </c>
      <c r="E23" t="inlineStr">
        <is>
          <t>Aisne</t>
        </is>
      </c>
      <c r="F23" t="inlineStr">
        <is>
          <t>Hauts-de-France</t>
        </is>
      </c>
      <c r="G23" s="3" t="n">
        <v>79327</v>
      </c>
      <c r="H23" t="n">
        <v>39</v>
      </c>
      <c r="I23" t="inlineStr">
        <is>
          <t>58 boulevard Victor-Hugo</t>
        </is>
      </c>
      <c r="J23" t="inlineStr">
        <is>
          <t>02108</t>
        </is>
      </c>
      <c r="K23" t="inlineStr">
        <is>
          <t>Saint-Quentin</t>
        </is>
      </c>
      <c r="L23" t="inlineStr">
        <is>
          <t>03 23 06 30 06</t>
        </is>
      </c>
      <c r="M23" s="4" t="inlineStr">
        <is>
          <t>agglojecoute@casq.fr</t>
        </is>
      </c>
      <c r="N23" s="4" t="inlineStr">
        <is>
          <t>https://www.agglo-saintquentinois.fr/</t>
        </is>
      </c>
      <c r="O23" s="4" t="inlineStr">
        <is>
          <t>https://www.agglo-saintquentinois.fr/formulaires/contactez-nous-9.html</t>
        </is>
      </c>
      <c r="P23" s="4" t="inlineStr">
        <is>
          <t>https://lannuaire.service-public.gouv.fr/hauts-de-france/aisne/66d47899-ac77-4a53-8a68-19569c321150</t>
        </is>
      </c>
      <c r="Q23" t="inlineStr">
        <is>
          <t>Annuaire Service-public.fr</t>
        </is>
      </c>
      <c r="R23" t="inlineStr"/>
      <c r="S23" t="inlineStr"/>
      <c r="T23" t="inlineStr"/>
    </row>
    <row r="24">
      <c r="A24" t="inlineStr">
        <is>
          <t>CC Picardie des Châteaux</t>
        </is>
      </c>
      <c r="B24" t="inlineStr">
        <is>
          <t>Communauté de communes</t>
        </is>
      </c>
      <c r="C24" t="inlineStr">
        <is>
          <t>200071769</t>
        </is>
      </c>
      <c r="D24" t="inlineStr">
        <is>
          <t>02</t>
        </is>
      </c>
      <c r="E24" t="inlineStr">
        <is>
          <t>Aisne</t>
        </is>
      </c>
      <c r="F24" t="inlineStr">
        <is>
          <t>Hauts-de-France</t>
        </is>
      </c>
      <c r="G24" s="3" t="n">
        <v>16677</v>
      </c>
      <c r="H24" t="n">
        <v>36</v>
      </c>
      <c r="I24" t="inlineStr">
        <is>
          <t>6-8 place Charles-De-Gaulle</t>
        </is>
      </c>
      <c r="J24" t="inlineStr">
        <is>
          <t>02320</t>
        </is>
      </c>
      <c r="K24" t="inlineStr">
        <is>
          <t>Pinon</t>
        </is>
      </c>
      <c r="L24" t="inlineStr">
        <is>
          <t>03 23 80 18 13</t>
        </is>
      </c>
      <c r="M24" s="4" t="inlineStr">
        <is>
          <t>accueil@picardiedeschateaux.fr</t>
        </is>
      </c>
      <c r="N24" s="4" t="inlineStr">
        <is>
          <t>https://picardiedeschateaux.fr/</t>
        </is>
      </c>
      <c r="O24" t="inlineStr"/>
      <c r="P24" s="4" t="inlineStr">
        <is>
          <t>https://lannuaire.service-public.gouv.fr/hauts-de-france/aisne/39032582-3389-4d71-b35d-c4788cfcacdb</t>
        </is>
      </c>
      <c r="Q24" t="inlineStr">
        <is>
          <t>Annuaire Service-public.fr</t>
        </is>
      </c>
      <c r="R24" t="inlineStr"/>
      <c r="S24" t="inlineStr"/>
      <c r="T24" t="inlineStr"/>
    </row>
    <row r="25">
      <c r="A25" t="inlineStr">
        <is>
          <t>CC Retz en Valois</t>
        </is>
      </c>
      <c r="B25" t="inlineStr">
        <is>
          <t>Communauté de communes</t>
        </is>
      </c>
      <c r="C25" t="inlineStr">
        <is>
          <t>200071991</t>
        </is>
      </c>
      <c r="D25" t="inlineStr">
        <is>
          <t>02</t>
        </is>
      </c>
      <c r="E25" t="inlineStr">
        <is>
          <t>Aisne</t>
        </is>
      </c>
      <c r="F25" t="inlineStr">
        <is>
          <t>Hauts-de-France</t>
        </is>
      </c>
      <c r="G25" s="3" t="n">
        <v>28939</v>
      </c>
      <c r="H25" t="n">
        <v>54</v>
      </c>
      <c r="I25" t="inlineStr">
        <is>
          <t>9 rue Marx-Dormoy</t>
        </is>
      </c>
      <c r="J25" t="inlineStr">
        <is>
          <t>02600</t>
        </is>
      </c>
      <c r="K25" t="inlineStr">
        <is>
          <t>Villers-Cotterêts</t>
        </is>
      </c>
      <c r="L25" t="inlineStr">
        <is>
          <t>03 23 96 13 01</t>
        </is>
      </c>
      <c r="M25" s="4" t="inlineStr">
        <is>
          <t>communautedecommunes@retzenvalois.fr</t>
        </is>
      </c>
      <c r="N25" s="4" t="inlineStr">
        <is>
          <t>https://www.cc-retz-en-valois.fr/</t>
        </is>
      </c>
      <c r="O25" s="4" t="inlineStr">
        <is>
          <t>https://www.cc-retz-en-valois.fr/contact/</t>
        </is>
      </c>
      <c r="P25" s="4" t="inlineStr">
        <is>
          <t>https://lannuaire.service-public.gouv.fr/hauts-de-france/aisne/8e3e9bb2-ac56-4bde-aead-1b97e57fe3ee</t>
        </is>
      </c>
      <c r="Q25" t="inlineStr">
        <is>
          <t>Annuaire Service-public.fr</t>
        </is>
      </c>
      <c r="R25" t="inlineStr"/>
      <c r="S25" t="inlineStr"/>
      <c r="T25" t="inlineStr"/>
    </row>
    <row r="26">
      <c r="A26" t="inlineStr">
        <is>
          <t>CC Thiérache Sambre et Oise</t>
        </is>
      </c>
      <c r="B26" t="inlineStr">
        <is>
          <t>Communauté de communes</t>
        </is>
      </c>
      <c r="C26" t="inlineStr">
        <is>
          <t>200071983</t>
        </is>
      </c>
      <c r="D26" t="inlineStr">
        <is>
          <t>02</t>
        </is>
      </c>
      <c r="E26" t="inlineStr">
        <is>
          <t>Aisne</t>
        </is>
      </c>
      <c r="F26" t="inlineStr">
        <is>
          <t>Hauts-de-France</t>
        </is>
      </c>
      <c r="G26" s="3" t="n">
        <v>16396</v>
      </c>
      <c r="H26" t="n">
        <v>36</v>
      </c>
      <c r="I26" t="inlineStr">
        <is>
          <t>469 rue Sadi-Carnot</t>
        </is>
      </c>
      <c r="J26" t="inlineStr">
        <is>
          <t>02120</t>
        </is>
      </c>
      <c r="K26" t="inlineStr">
        <is>
          <t>Guise</t>
        </is>
      </c>
      <c r="L26" t="inlineStr">
        <is>
          <t>03 23 61 12 17</t>
        </is>
      </c>
      <c r="M26" s="4" t="inlineStr">
        <is>
          <t>contact@cctso.fr</t>
        </is>
      </c>
      <c r="N26" s="4" t="inlineStr">
        <is>
          <t>https://www.cctso.fr/</t>
        </is>
      </c>
      <c r="O26" s="4" t="inlineStr">
        <is>
          <t>https://www.cctso.fr/contact/</t>
        </is>
      </c>
      <c r="P26" s="4" t="inlineStr">
        <is>
          <t>https://lannuaire.service-public.gouv.fr/hauts-de-france/aisne/5576b748-5d51-41a2-8dc6-aa17041c0379</t>
        </is>
      </c>
      <c r="Q26" t="inlineStr">
        <is>
          <t>Annuaire Service-public.fr</t>
        </is>
      </c>
      <c r="R26" t="inlineStr"/>
      <c r="S26" t="inlineStr"/>
      <c r="T26" t="inlineStr"/>
    </row>
    <row r="27">
      <c r="A27" t="inlineStr">
        <is>
          <t>CC de la Champagne Picarde</t>
        </is>
      </c>
      <c r="B27" t="inlineStr">
        <is>
          <t>Communauté de communes</t>
        </is>
      </c>
      <c r="C27" t="inlineStr">
        <is>
          <t>240200576</t>
        </is>
      </c>
      <c r="D27" t="inlineStr">
        <is>
          <t>02</t>
        </is>
      </c>
      <c r="E27" t="inlineStr">
        <is>
          <t>Aisne</t>
        </is>
      </c>
      <c r="F27" t="inlineStr">
        <is>
          <t>Hauts-de-France</t>
        </is>
      </c>
      <c r="G27" s="3" t="n">
        <v>20858</v>
      </c>
      <c r="H27" t="n">
        <v>46</v>
      </c>
      <c r="I27" t="inlineStr">
        <is>
          <t>2 route de Montaigu</t>
        </is>
      </c>
      <c r="J27" t="inlineStr">
        <is>
          <t>02820</t>
        </is>
      </c>
      <c r="K27" t="inlineStr">
        <is>
          <t>Saint-Erme-Outre-et-Ramecourt</t>
        </is>
      </c>
      <c r="L27" t="inlineStr">
        <is>
          <t>03 23 22 36 80</t>
        </is>
      </c>
      <c r="M27" s="4" t="inlineStr">
        <is>
          <t>info@cc-champagnepicarde.fr</t>
        </is>
      </c>
      <c r="N27" s="4" t="inlineStr">
        <is>
          <t>https://www.cc-champagnepicarde.fr/</t>
        </is>
      </c>
      <c r="O27" s="4" t="inlineStr">
        <is>
          <t>https://www.cc-champagnepicarde.fr/contact</t>
        </is>
      </c>
      <c r="P27" s="4" t="inlineStr">
        <is>
          <t>https://lannuaire.service-public.gouv.fr/hauts-de-france/aisne/7f98afca-1ab2-44f6-9b11-ac66219b723c</t>
        </is>
      </c>
      <c r="Q27" t="inlineStr">
        <is>
          <t>Annuaire Service-public.fr</t>
        </is>
      </c>
      <c r="R27" t="inlineStr"/>
      <c r="S27" t="inlineStr"/>
      <c r="T27" t="inlineStr"/>
    </row>
    <row r="28">
      <c r="A28" t="inlineStr">
        <is>
          <t>CC de la Thiérache du Centre</t>
        </is>
      </c>
      <c r="B28" t="inlineStr">
        <is>
          <t>Communauté de communes</t>
        </is>
      </c>
      <c r="C28" t="inlineStr">
        <is>
          <t>240200444</t>
        </is>
      </c>
      <c r="D28" t="inlineStr">
        <is>
          <t>02</t>
        </is>
      </c>
      <c r="E28" t="inlineStr">
        <is>
          <t>Aisne</t>
        </is>
      </c>
      <c r="F28" t="inlineStr">
        <is>
          <t>Hauts-de-France</t>
        </is>
      </c>
      <c r="G28" s="3" t="n">
        <v>25752</v>
      </c>
      <c r="H28" t="n">
        <v>68</v>
      </c>
      <c r="I28" t="inlineStr">
        <is>
          <t>Villa Pasques, 13 rue de l'Armistice</t>
        </is>
      </c>
      <c r="J28" t="inlineStr">
        <is>
          <t>02260</t>
        </is>
      </c>
      <c r="K28" t="inlineStr">
        <is>
          <t>La Capelle</t>
        </is>
      </c>
      <c r="L28" t="inlineStr">
        <is>
          <t>03 23 97 36 00</t>
        </is>
      </c>
      <c r="M28" s="4" t="inlineStr">
        <is>
          <t>contact@thieracheducentre.fr</t>
        </is>
      </c>
      <c r="N28" t="inlineStr"/>
      <c r="O28" t="inlineStr"/>
      <c r="P28" s="4" t="inlineStr">
        <is>
          <t>https://lannuaire.service-public.gouv.fr/hauts-de-france/aisne/25f43a15-0a87-4620-8849-29b690c94af2</t>
        </is>
      </c>
      <c r="Q28" t="inlineStr">
        <is>
          <t>Annuaire Service-public.fr</t>
        </is>
      </c>
      <c r="R28" t="inlineStr"/>
      <c r="S28" t="inlineStr"/>
      <c r="T28" t="inlineStr"/>
    </row>
    <row r="29">
      <c r="A29" t="inlineStr">
        <is>
          <t>CC des Portes de la Thiérache</t>
        </is>
      </c>
      <c r="B29" t="inlineStr">
        <is>
          <t>Communauté de communes</t>
        </is>
      </c>
      <c r="C29" t="inlineStr">
        <is>
          <t>240200634</t>
        </is>
      </c>
      <c r="D29" t="inlineStr">
        <is>
          <t>02</t>
        </is>
      </c>
      <c r="E29" t="inlineStr">
        <is>
          <t>Aisne</t>
        </is>
      </c>
      <c r="F29" t="inlineStr">
        <is>
          <t>Hauts-de-France</t>
        </is>
      </c>
      <c r="G29" s="3" t="n">
        <v>6651</v>
      </c>
      <c r="H29" t="n">
        <v>30</v>
      </c>
      <c r="I29" t="inlineStr">
        <is>
          <t>320 rue des Verseaux</t>
        </is>
      </c>
      <c r="J29" t="inlineStr">
        <is>
          <t>02360</t>
        </is>
      </c>
      <c r="K29" t="inlineStr">
        <is>
          <t>Rozoy-sur-Serre</t>
        </is>
      </c>
      <c r="L29" t="inlineStr">
        <is>
          <t>03 23 98 04 54</t>
        </is>
      </c>
      <c r="M29" s="4" t="inlineStr">
        <is>
          <t>contact@portes-de-thierache.fr</t>
        </is>
      </c>
      <c r="N29" s="4" t="inlineStr">
        <is>
          <t>https://www.portes-de-thierache.fr/</t>
        </is>
      </c>
      <c r="O29" s="4" t="inlineStr">
        <is>
          <t>https://www.portes-de-thierache.fr/</t>
        </is>
      </c>
      <c r="P29" s="4" t="inlineStr">
        <is>
          <t>https://lannuaire.service-public.gouv.fr/hauts-de-france/aisne/aaf459a6-2f1c-43f1-957e-0a766cccb1c9</t>
        </is>
      </c>
      <c r="Q29" t="inlineStr">
        <is>
          <t>Annuaire Service-public.fr</t>
        </is>
      </c>
      <c r="R29" t="inlineStr"/>
      <c r="S29" t="inlineStr"/>
      <c r="T29" t="inlineStr"/>
    </row>
    <row r="30">
      <c r="A30" t="inlineStr">
        <is>
          <t>CC des Trois Rivières</t>
        </is>
      </c>
      <c r="B30" t="inlineStr">
        <is>
          <t>Communauté de communes</t>
        </is>
      </c>
      <c r="C30" t="inlineStr">
        <is>
          <t>240200600</t>
        </is>
      </c>
      <c r="D30" t="inlineStr">
        <is>
          <t>02</t>
        </is>
      </c>
      <c r="E30" t="inlineStr">
        <is>
          <t>Aisne</t>
        </is>
      </c>
      <c r="F30" t="inlineStr">
        <is>
          <t>Hauts-de-France</t>
        </is>
      </c>
      <c r="G30" s="3" t="n">
        <v>20540</v>
      </c>
      <c r="H30" t="n">
        <v>26</v>
      </c>
      <c r="I30" t="inlineStr">
        <is>
          <t>Espace Rotonde-Florentine, Bâtiment C, Le Sémaphore</t>
        </is>
      </c>
      <c r="J30" t="inlineStr">
        <is>
          <t>02500</t>
        </is>
      </c>
      <c r="K30" t="inlineStr">
        <is>
          <t>Buire</t>
        </is>
      </c>
      <c r="L30" t="inlineStr">
        <is>
          <t>03 23 99 35 35</t>
        </is>
      </c>
      <c r="M30" s="4" t="inlineStr">
        <is>
          <t>administratif@cc3r.fr</t>
        </is>
      </c>
      <c r="N30" s="4" t="inlineStr">
        <is>
          <t>https://cc3r.fr/</t>
        </is>
      </c>
      <c r="O30" s="4" t="inlineStr">
        <is>
          <t>http://www.cc3r.fr/contact.html</t>
        </is>
      </c>
      <c r="P30" s="4" t="inlineStr">
        <is>
          <t>https://lannuaire.service-public.gouv.fr/hauts-de-france/aisne/afc0adbf-171d-40f4-b571-dd21bdc49032</t>
        </is>
      </c>
      <c r="Q30" t="inlineStr">
        <is>
          <t>Annuaire Service-public.fr</t>
        </is>
      </c>
      <c r="R30" t="inlineStr"/>
      <c r="S30" t="inlineStr"/>
      <c r="T30" t="inlineStr"/>
    </row>
    <row r="31">
      <c r="A31" t="inlineStr">
        <is>
          <t>CC du Canton d'Oulchy-le-Château</t>
        </is>
      </c>
      <c r="B31" t="inlineStr">
        <is>
          <t>Communauté de communes</t>
        </is>
      </c>
      <c r="C31" t="inlineStr">
        <is>
          <t>240200519</t>
        </is>
      </c>
      <c r="D31" t="inlineStr">
        <is>
          <t>02</t>
        </is>
      </c>
      <c r="E31" t="inlineStr">
        <is>
          <t>Aisne</t>
        </is>
      </c>
      <c r="F31" t="inlineStr">
        <is>
          <t>Hauts-de-France</t>
        </is>
      </c>
      <c r="G31" s="3" t="n">
        <v>5536</v>
      </c>
      <c r="H31" t="n">
        <v>26</v>
      </c>
      <c r="I31" t="inlineStr">
        <is>
          <t>17 rue Potel</t>
        </is>
      </c>
      <c r="J31" t="inlineStr">
        <is>
          <t>02210</t>
        </is>
      </c>
      <c r="K31" t="inlineStr">
        <is>
          <t>Oulchy-le-Château</t>
        </is>
      </c>
      <c r="L31" t="inlineStr">
        <is>
          <t>03 23 55 65 20</t>
        </is>
      </c>
      <c r="M31" s="4" t="inlineStr">
        <is>
          <t>contact@cc-oulchylechateau.fr</t>
        </is>
      </c>
      <c r="N31" s="4" t="inlineStr">
        <is>
          <t>https://www.cc-oulchylechateau.fr/</t>
        </is>
      </c>
      <c r="O31" s="4" t="inlineStr">
        <is>
          <t>https://www.cc-oulchylechateau.fr/contact/</t>
        </is>
      </c>
      <c r="P31" s="4" t="inlineStr">
        <is>
          <t>https://lannuaire.service-public.gouv.fr/hauts-de-france/aisne/21e42e96-f87f-484a-ae22-3992807abb25</t>
        </is>
      </c>
      <c r="Q31" t="inlineStr">
        <is>
          <t>Annuaire Service-public.fr</t>
        </is>
      </c>
      <c r="R31" t="inlineStr"/>
      <c r="S31" t="inlineStr"/>
      <c r="T31" t="inlineStr"/>
    </row>
    <row r="32">
      <c r="A32" t="inlineStr">
        <is>
          <t>CC du Canton de Charly-sur-Marne</t>
        </is>
      </c>
      <c r="B32" t="inlineStr">
        <is>
          <t>Communauté de communes</t>
        </is>
      </c>
      <c r="C32" t="inlineStr">
        <is>
          <t>240200584</t>
        </is>
      </c>
      <c r="D32" t="inlineStr">
        <is>
          <t>02</t>
        </is>
      </c>
      <c r="E32" t="inlineStr">
        <is>
          <t>Aisne</t>
        </is>
      </c>
      <c r="F32" t="inlineStr">
        <is>
          <t>Hauts-de-France</t>
        </is>
      </c>
      <c r="G32" s="3" t="n">
        <v>15339</v>
      </c>
      <c r="H32" t="n">
        <v>21</v>
      </c>
      <c r="I32" t="inlineStr">
        <is>
          <t>2 voie André-Rossi</t>
        </is>
      </c>
      <c r="J32" t="inlineStr">
        <is>
          <t>02310</t>
        </is>
      </c>
      <c r="K32" t="inlineStr">
        <is>
          <t>Charly-sur-Marne</t>
        </is>
      </c>
      <c r="L32" t="inlineStr">
        <is>
          <t>03 23 82 24 69</t>
        </is>
      </c>
      <c r="M32" s="4" t="inlineStr">
        <is>
          <t>accueil.c4@c4charly.fr</t>
        </is>
      </c>
      <c r="N32" s="4" t="inlineStr">
        <is>
          <t>https://www.c4-charlysurmarne.fr/</t>
        </is>
      </c>
      <c r="O32" t="inlineStr"/>
      <c r="P32" s="4" t="inlineStr">
        <is>
          <t>https://lannuaire.service-public.gouv.fr/hauts-de-france/aisne/d5dc72fc-9c23-4f46-a904-dc15bfea30b6</t>
        </is>
      </c>
      <c r="Q32" t="inlineStr">
        <is>
          <t>Annuaire Service-public.fr</t>
        </is>
      </c>
      <c r="R32" t="inlineStr"/>
      <c r="S32" t="inlineStr"/>
      <c r="T32" t="inlineStr"/>
    </row>
    <row r="33">
      <c r="A33" t="inlineStr">
        <is>
          <t>CC du Chemin des Dames</t>
        </is>
      </c>
      <c r="B33" t="inlineStr">
        <is>
          <t>Communauté de communes</t>
        </is>
      </c>
      <c r="C33" t="inlineStr">
        <is>
          <t>240200592</t>
        </is>
      </c>
      <c r="D33" t="inlineStr">
        <is>
          <t>02</t>
        </is>
      </c>
      <c r="E33" t="inlineStr">
        <is>
          <t>Aisne</t>
        </is>
      </c>
      <c r="F33" t="inlineStr">
        <is>
          <t>Hauts-de-France</t>
        </is>
      </c>
      <c r="G33" s="3" t="n">
        <v>5501</v>
      </c>
      <c r="H33" t="n">
        <v>30</v>
      </c>
      <c r="I33" t="inlineStr">
        <is>
          <t>1 rue de l'Église</t>
        </is>
      </c>
      <c r="J33" t="inlineStr">
        <is>
          <t>02160</t>
        </is>
      </c>
      <c r="K33" t="inlineStr">
        <is>
          <t>Craonne</t>
        </is>
      </c>
      <c r="L33" t="inlineStr">
        <is>
          <t>03 23 22 69 72</t>
        </is>
      </c>
      <c r="M33" s="4" t="inlineStr">
        <is>
          <t>administration@cc-cheminsdesdames.fr</t>
        </is>
      </c>
      <c r="N33" s="4" t="inlineStr">
        <is>
          <t>https://www.cc-chemindesdames.fr</t>
        </is>
      </c>
      <c r="O33" s="4" t="inlineStr">
        <is>
          <t>https://www.cc-chemindesdames.fr/contact</t>
        </is>
      </c>
      <c r="P33" s="4" t="inlineStr">
        <is>
          <t>https://lannuaire.service-public.gouv.fr/hauts-de-france/aisne/8c046bd4-3033-4345-8450-65f23b9f3c24</t>
        </is>
      </c>
      <c r="Q33" t="inlineStr">
        <is>
          <t>Annuaire Service-public.fr</t>
        </is>
      </c>
      <c r="R33" t="inlineStr"/>
      <c r="S33" t="inlineStr"/>
      <c r="T33" t="inlineStr"/>
    </row>
    <row r="34">
      <c r="A34" t="inlineStr">
        <is>
          <t>CC du Pays de la Serre</t>
        </is>
      </c>
      <c r="B34" t="inlineStr">
        <is>
          <t>Communauté de communes</t>
        </is>
      </c>
      <c r="C34" t="inlineStr">
        <is>
          <t>240200469</t>
        </is>
      </c>
      <c r="D34" t="inlineStr">
        <is>
          <t>02</t>
        </is>
      </c>
      <c r="E34" t="inlineStr">
        <is>
          <t>Aisne</t>
        </is>
      </c>
      <c r="F34" t="inlineStr">
        <is>
          <t>Hauts-de-France</t>
        </is>
      </c>
      <c r="G34" s="3" t="n">
        <v>14372</v>
      </c>
      <c r="H34" t="n">
        <v>42</v>
      </c>
      <c r="I34" t="inlineStr">
        <is>
          <t>1 rue des Telliers</t>
        </is>
      </c>
      <c r="J34" t="inlineStr">
        <is>
          <t>02270</t>
        </is>
      </c>
      <c r="K34" t="inlineStr">
        <is>
          <t>Crécy-sur-Serre</t>
        </is>
      </c>
      <c r="L34" t="inlineStr">
        <is>
          <t>03 23 80 77 22</t>
        </is>
      </c>
      <c r="M34" s="4" t="inlineStr">
        <is>
          <t>contact@paysdelaserre.fr</t>
        </is>
      </c>
      <c r="N34" s="4" t="inlineStr">
        <is>
          <t>https://paysdelaserre.fr/</t>
        </is>
      </c>
      <c r="O34" s="4" t="inlineStr">
        <is>
          <t>https://paysdelaserre.fr/informations-utiles/nous-contacter/</t>
        </is>
      </c>
      <c r="P34" s="4" t="inlineStr">
        <is>
          <t>https://lannuaire.service-public.gouv.fr/hauts-de-france/aisne/5cb550d9-0183-4531-9094-a293f5bfe7dc</t>
        </is>
      </c>
      <c r="Q34" t="inlineStr">
        <is>
          <t>Annuaire Service-public.fr</t>
        </is>
      </c>
      <c r="R34" t="inlineStr"/>
      <c r="S34" t="inlineStr"/>
      <c r="T34" t="inlineStr"/>
    </row>
    <row r="35">
      <c r="A35" t="inlineStr">
        <is>
          <t>CC du Pays du Vermandois</t>
        </is>
      </c>
      <c r="B35" t="inlineStr">
        <is>
          <t>Communauté de communes</t>
        </is>
      </c>
      <c r="C35" t="inlineStr">
        <is>
          <t>240200493</t>
        </is>
      </c>
      <c r="D35" t="inlineStr">
        <is>
          <t>02</t>
        </is>
      </c>
      <c r="E35" t="inlineStr">
        <is>
          <t>Aisne</t>
        </is>
      </c>
      <c r="F35" t="inlineStr">
        <is>
          <t>Hauts-de-France</t>
        </is>
      </c>
      <c r="G35" s="3" t="n">
        <v>30859</v>
      </c>
      <c r="H35" t="n">
        <v>54</v>
      </c>
      <c r="I35" t="inlineStr">
        <is>
          <t>Hameau de Riqueval</t>
        </is>
      </c>
      <c r="J35" t="inlineStr">
        <is>
          <t>02420</t>
        </is>
      </c>
      <c r="K35" t="inlineStr">
        <is>
          <t>Bellicourt</t>
        </is>
      </c>
      <c r="L35" t="inlineStr">
        <is>
          <t>03 23 09 50 51</t>
        </is>
      </c>
      <c r="M35" s="4" t="inlineStr">
        <is>
          <t>contact@cc-vermandois.com</t>
        </is>
      </c>
      <c r="N35" s="4" t="inlineStr">
        <is>
          <t>https://www.cc-vermandois.com/</t>
        </is>
      </c>
      <c r="O35" s="4" t="inlineStr">
        <is>
          <t>https://www.cc-vermandois.com/nous-contacter</t>
        </is>
      </c>
      <c r="P35" s="4" t="inlineStr">
        <is>
          <t>https://lannuaire.service-public.gouv.fr/hauts-de-france/aisne/3e99c6f3-b886-476e-8687-89195cb252be</t>
        </is>
      </c>
      <c r="Q35" t="inlineStr">
        <is>
          <t>Annuaire Service-public.fr</t>
        </is>
      </c>
      <c r="R35" t="inlineStr"/>
      <c r="S35" t="inlineStr"/>
      <c r="T35" t="inlineStr"/>
    </row>
    <row r="36">
      <c r="A36" t="inlineStr">
        <is>
          <t>CC du Val de l'Aisne</t>
        </is>
      </c>
      <c r="B36" t="inlineStr">
        <is>
          <t>Communauté de communes</t>
        </is>
      </c>
      <c r="C36" t="inlineStr">
        <is>
          <t>240200501</t>
        </is>
      </c>
      <c r="D36" t="inlineStr">
        <is>
          <t>02</t>
        </is>
      </c>
      <c r="E36" t="inlineStr">
        <is>
          <t>Aisne</t>
        </is>
      </c>
      <c r="F36" t="inlineStr">
        <is>
          <t>Hauts-de-France</t>
        </is>
      </c>
      <c r="G36" s="3" t="n">
        <v>20284</v>
      </c>
      <c r="H36" t="n">
        <v>56</v>
      </c>
      <c r="I36" t="inlineStr">
        <is>
          <t>20 ter rue du Bois-Morin</t>
        </is>
      </c>
      <c r="J36" t="inlineStr">
        <is>
          <t>02370</t>
        </is>
      </c>
      <c r="K36" t="inlineStr">
        <is>
          <t>Presles-et-Boves</t>
        </is>
      </c>
      <c r="L36" t="inlineStr">
        <is>
          <t>03 23 54 05 81</t>
        </is>
      </c>
      <c r="M36" s="4" t="inlineStr">
        <is>
          <t>accueil@cc-valdeaisne.fr</t>
        </is>
      </c>
      <c r="N36" s="4" t="inlineStr">
        <is>
          <t>http://www.cc-valdeaisne.fr</t>
        </is>
      </c>
      <c r="O36" t="inlineStr"/>
      <c r="P36" s="4" t="inlineStr">
        <is>
          <t>https://lannuaire.service-public.gouv.fr/hauts-de-france/aisne/1a4ba3af-b3c2-4409-8804-6809875c1502</t>
        </is>
      </c>
      <c r="Q36" t="inlineStr">
        <is>
          <t>Annuaire Service-public.fr</t>
        </is>
      </c>
      <c r="R36" t="inlineStr"/>
      <c r="S36" t="inlineStr"/>
      <c r="T36" t="inlineStr"/>
    </row>
    <row r="37">
      <c r="A37" t="inlineStr">
        <is>
          <t>CC du Val de l'Oise</t>
        </is>
      </c>
      <c r="B37" t="inlineStr">
        <is>
          <t>Communauté de communes</t>
        </is>
      </c>
      <c r="C37" t="inlineStr">
        <is>
          <t>200040426</t>
        </is>
      </c>
      <c r="D37" t="inlineStr">
        <is>
          <t>02</t>
        </is>
      </c>
      <c r="E37" t="inlineStr">
        <is>
          <t>Aisne</t>
        </is>
      </c>
      <c r="F37" t="inlineStr">
        <is>
          <t>Hauts-de-France</t>
        </is>
      </c>
      <c r="G37" s="3" t="n">
        <v>15838</v>
      </c>
      <c r="H37" t="n">
        <v>32</v>
      </c>
      <c r="I37" t="inlineStr">
        <is>
          <t>1 route d'Itancourt</t>
        </is>
      </c>
      <c r="J37" t="inlineStr">
        <is>
          <t>02240</t>
        </is>
      </c>
      <c r="K37" t="inlineStr">
        <is>
          <t>Mézières-sur-Oise</t>
        </is>
      </c>
      <c r="L37" t="inlineStr">
        <is>
          <t>03 23 66 73 17</t>
        </is>
      </c>
      <c r="M37" s="4" t="inlineStr">
        <is>
          <t>contact@ccvo.fr</t>
        </is>
      </c>
      <c r="N37" s="4" t="inlineStr">
        <is>
          <t>https://www.ccvo.fr/</t>
        </is>
      </c>
      <c r="O37" t="inlineStr"/>
      <c r="P37" s="4" t="inlineStr">
        <is>
          <t>https://lannuaire.service-public.gouv.fr/hauts-de-france/aisne/0e647563-373e-41fa-b670-06f79ca36401</t>
        </is>
      </c>
      <c r="Q37" t="inlineStr">
        <is>
          <t>Annuaire Service-public.fr</t>
        </is>
      </c>
      <c r="R37" t="inlineStr"/>
      <c r="S37" t="inlineStr"/>
      <c r="T37" t="inlineStr"/>
    </row>
    <row r="38">
      <c r="A38" t="inlineStr">
        <is>
          <t>CC de l'Est de la Somme</t>
        </is>
      </c>
      <c r="B38" t="inlineStr">
        <is>
          <t>Communauté de communes</t>
        </is>
      </c>
      <c r="C38" t="inlineStr">
        <is>
          <t>200070985</t>
        </is>
      </c>
      <c r="D38" t="inlineStr">
        <is>
          <t>02, 80</t>
        </is>
      </c>
      <c r="E38" t="inlineStr">
        <is>
          <t>Aisne, Somme</t>
        </is>
      </c>
      <c r="F38" t="inlineStr">
        <is>
          <t>Hauts-de-France</t>
        </is>
      </c>
      <c r="G38" s="3" t="n">
        <v>19688</v>
      </c>
      <c r="H38" t="n">
        <v>41</v>
      </c>
      <c r="I38" t="inlineStr">
        <is>
          <t>106 rue du Marechal-Leclerc</t>
        </is>
      </c>
      <c r="J38" t="inlineStr">
        <is>
          <t>80400</t>
        </is>
      </c>
      <c r="K38" t="inlineStr">
        <is>
          <t>Eppeville</t>
        </is>
      </c>
      <c r="L38" t="inlineStr">
        <is>
          <t>03 23 81 33 21</t>
        </is>
      </c>
      <c r="M38" s="4" t="inlineStr">
        <is>
          <t>contact@estdelasomme.fr</t>
        </is>
      </c>
      <c r="N38" s="4" t="inlineStr">
        <is>
          <t>https://estdelasomme.fr/</t>
        </is>
      </c>
      <c r="O38" t="inlineStr"/>
      <c r="P38" s="4" t="inlineStr">
        <is>
          <t>https://lannuaire.service-public.gouv.fr/hauts-de-france/somme/889262fe-2f8f-4ed7-aae0-82633096bad4</t>
        </is>
      </c>
      <c r="Q38" t="inlineStr">
        <is>
          <t>Annuaire Service-public.fr</t>
        </is>
      </c>
      <c r="R38" t="inlineStr"/>
      <c r="S38" t="inlineStr"/>
      <c r="T38" t="inlineStr"/>
    </row>
    <row r="39">
      <c r="A39" t="inlineStr">
        <is>
          <t>CA Montluçon Communauté</t>
        </is>
      </c>
      <c r="B39" t="inlineStr">
        <is>
          <t>Communauté d’agglomération</t>
        </is>
      </c>
      <c r="C39" t="inlineStr">
        <is>
          <t>200071082</t>
        </is>
      </c>
      <c r="D39" t="inlineStr">
        <is>
          <t>03</t>
        </is>
      </c>
      <c r="E39" t="inlineStr">
        <is>
          <t>Allier</t>
        </is>
      </c>
      <c r="F39" t="inlineStr">
        <is>
          <t>Auvergne-Rhône-Alpes</t>
        </is>
      </c>
      <c r="G39" s="3" t="n">
        <v>59380</v>
      </c>
      <c r="H39" t="n">
        <v>21</v>
      </c>
      <c r="I39" t="inlineStr">
        <is>
          <t>Cité administrative, 1 rue des Conches</t>
        </is>
      </c>
      <c r="J39" t="inlineStr">
        <is>
          <t>03100</t>
        </is>
      </c>
      <c r="K39" t="inlineStr">
        <is>
          <t>Montluçon</t>
        </is>
      </c>
      <c r="L39" t="inlineStr">
        <is>
          <t>04 70 02 55 00</t>
        </is>
      </c>
      <c r="M39" s="4" t="inlineStr">
        <is>
          <t>contact@agglo-montlucon.fr</t>
        </is>
      </c>
      <c r="N39" s="4" t="inlineStr">
        <is>
          <t>https://www.montlucon-communaute.com/</t>
        </is>
      </c>
      <c r="O39" s="4" t="inlineStr">
        <is>
          <t>https://www.montlucon-communaute.com/divers/contactez-nous/</t>
        </is>
      </c>
      <c r="P39" s="4" t="inlineStr">
        <is>
          <t>https://lannuaire.service-public.gouv.fr/auvergne-rhone-alpes/allier/421d109f-86fe-4f13-81d0-181a17eb15f0</t>
        </is>
      </c>
      <c r="Q39" t="inlineStr">
        <is>
          <t>Annuaire Service-public.fr</t>
        </is>
      </c>
      <c r="R39" t="inlineStr"/>
      <c r="S39" t="inlineStr"/>
      <c r="T39" t="inlineStr"/>
    </row>
    <row r="40">
      <c r="A40" t="inlineStr">
        <is>
          <t>CA Vichy Communauté</t>
        </is>
      </c>
      <c r="B40" t="inlineStr">
        <is>
          <t>Communauté d’agglomération</t>
        </is>
      </c>
      <c r="C40" t="inlineStr">
        <is>
          <t>200071363</t>
        </is>
      </c>
      <c r="D40" t="inlineStr">
        <is>
          <t>03</t>
        </is>
      </c>
      <c r="E40" t="inlineStr">
        <is>
          <t>Allier</t>
        </is>
      </c>
      <c r="F40" t="inlineStr">
        <is>
          <t>Auvergne-Rhône-Alpes</t>
        </is>
      </c>
      <c r="G40" s="3" t="n">
        <v>84566</v>
      </c>
      <c r="H40" t="n">
        <v>39</v>
      </c>
      <c r="I40" t="inlineStr">
        <is>
          <t>9 place Charles-de-Gaulle</t>
        </is>
      </c>
      <c r="J40" t="inlineStr">
        <is>
          <t>03200</t>
        </is>
      </c>
      <c r="K40" t="inlineStr">
        <is>
          <t>Vichy</t>
        </is>
      </c>
      <c r="L40" t="inlineStr">
        <is>
          <t>04 70 96 57 00</t>
        </is>
      </c>
      <c r="M40" s="4" t="inlineStr">
        <is>
          <t>accueil@vichy-communaute.fr</t>
        </is>
      </c>
      <c r="N40" s="4" t="inlineStr">
        <is>
          <t>https://www.vichy-communaute.fr/</t>
        </is>
      </c>
      <c r="O40" s="4" t="inlineStr">
        <is>
          <t>https://www.vichy-communaute.fr/contact/</t>
        </is>
      </c>
      <c r="P40" s="4" t="inlineStr">
        <is>
          <t>https://lannuaire.service-public.gouv.fr/auvergne-rhone-alpes/allier/bd0f190a-8582-44ca-9210-e1de5a9aeed6</t>
        </is>
      </c>
      <c r="Q40" t="inlineStr">
        <is>
          <t>Annuaire Service-public.fr</t>
        </is>
      </c>
      <c r="R40" t="inlineStr"/>
      <c r="S40" t="inlineStr"/>
      <c r="T40" t="inlineStr"/>
    </row>
    <row r="41">
      <c r="A41" t="inlineStr">
        <is>
          <t>CC Commentry Montmarault Néris Communauté</t>
        </is>
      </c>
      <c r="B41" t="inlineStr">
        <is>
          <t>Communauté de communes</t>
        </is>
      </c>
      <c r="C41" t="inlineStr">
        <is>
          <t>200071512</t>
        </is>
      </c>
      <c r="D41" t="inlineStr">
        <is>
          <t>03</t>
        </is>
      </c>
      <c r="E41" t="inlineStr">
        <is>
          <t>Allier</t>
        </is>
      </c>
      <c r="F41" t="inlineStr">
        <is>
          <t>Auvergne-Rhône-Alpes</t>
        </is>
      </c>
      <c r="G41" s="3" t="n">
        <v>25346</v>
      </c>
      <c r="H41" t="n">
        <v>33</v>
      </c>
      <c r="I41" t="inlineStr"/>
      <c r="J41" t="inlineStr">
        <is>
          <t>03600</t>
        </is>
      </c>
      <c r="K41" t="inlineStr">
        <is>
          <t>Commentry</t>
        </is>
      </c>
      <c r="L41" t="inlineStr">
        <is>
          <t>04 70 34 39 03</t>
        </is>
      </c>
      <c r="M41" s="4" t="inlineStr">
        <is>
          <t>cmnc@cmnc03.fr</t>
        </is>
      </c>
      <c r="N41" s="4" t="inlineStr">
        <is>
          <t>https://www.cmnc03.fr/</t>
        </is>
      </c>
      <c r="O41" t="inlineStr"/>
      <c r="P41" s="4" t="inlineStr">
        <is>
          <t>https://lannuaire.service-public.gouv.fr/auvergne-rhone-alpes/allier/8d068ead-d162-4dc1-a0f3-0438d5e0279a</t>
        </is>
      </c>
      <c r="Q41" t="inlineStr">
        <is>
          <t>Annuaire Service-public.fr</t>
        </is>
      </c>
      <c r="R41" t="inlineStr"/>
      <c r="S41" t="inlineStr"/>
      <c r="T41" t="inlineStr"/>
    </row>
    <row r="42">
      <c r="A42" t="inlineStr">
        <is>
          <t>CC Entr'Allier Besbre et Loire</t>
        </is>
      </c>
      <c r="B42" t="inlineStr">
        <is>
          <t>Communauté de communes</t>
        </is>
      </c>
      <c r="C42" t="inlineStr">
        <is>
          <t>200071470</t>
        </is>
      </c>
      <c r="D42" t="inlineStr">
        <is>
          <t>03</t>
        </is>
      </c>
      <c r="E42" t="inlineStr">
        <is>
          <t>Allier</t>
        </is>
      </c>
      <c r="F42" t="inlineStr">
        <is>
          <t>Auvergne-Rhône-Alpes</t>
        </is>
      </c>
      <c r="G42" s="3" t="n">
        <v>24322</v>
      </c>
      <c r="H42" t="n">
        <v>44</v>
      </c>
      <c r="I42" t="inlineStr">
        <is>
          <t>18 rue de Vouroux</t>
        </is>
      </c>
      <c r="J42" t="inlineStr">
        <is>
          <t>03150</t>
        </is>
      </c>
      <c r="K42" t="inlineStr">
        <is>
          <t>Varennes-sur-Allier</t>
        </is>
      </c>
      <c r="L42" t="inlineStr">
        <is>
          <t>04 70 45 00 99</t>
        </is>
      </c>
      <c r="M42" s="4" t="inlineStr">
        <is>
          <t>contact@interco-abl.fr</t>
        </is>
      </c>
      <c r="N42" s="4" t="inlineStr">
        <is>
          <t>https://www.interco-abl.fr/</t>
        </is>
      </c>
      <c r="O42" s="4" t="inlineStr">
        <is>
          <t>https://www.interco-abl.fr/index.php/territoire/contact</t>
        </is>
      </c>
      <c r="P42" s="4" t="inlineStr">
        <is>
          <t>https://lannuaire.service-public.gouv.fr/auvergne-rhone-alpes/allier/4ca3cd61-cb44-4afb-857e-6ca95f90d60c</t>
        </is>
      </c>
      <c r="Q42" t="inlineStr">
        <is>
          <t>Annuaire Service-public.fr</t>
        </is>
      </c>
      <c r="R42" t="inlineStr"/>
      <c r="S42" t="inlineStr"/>
      <c r="T42" t="inlineStr"/>
    </row>
    <row r="43">
      <c r="A43" t="inlineStr">
        <is>
          <t>CC Saint-Pourçain Sioule Limagne</t>
        </is>
      </c>
      <c r="B43" t="inlineStr">
        <is>
          <t>Communauté de communes</t>
        </is>
      </c>
      <c r="C43" t="inlineStr">
        <is>
          <t>200071389</t>
        </is>
      </c>
      <c r="D43" t="inlineStr">
        <is>
          <t>03</t>
        </is>
      </c>
      <c r="E43" t="inlineStr">
        <is>
          <t>Allier</t>
        </is>
      </c>
      <c r="F43" t="inlineStr">
        <is>
          <t>Auvergne-Rhône-Alpes</t>
        </is>
      </c>
      <c r="G43" s="3" t="n">
        <v>33672</v>
      </c>
      <c r="H43" t="n">
        <v>60</v>
      </c>
      <c r="I43" t="inlineStr">
        <is>
          <t>29 rue Marcelin-Berthelot</t>
        </is>
      </c>
      <c r="J43" t="inlineStr">
        <is>
          <t>03500</t>
        </is>
      </c>
      <c r="K43" t="inlineStr">
        <is>
          <t>Saint-Pourçain-sur-Sioule</t>
        </is>
      </c>
      <c r="L43" t="inlineStr">
        <is>
          <t>04 70 47 67 20</t>
        </is>
      </c>
      <c r="M43" s="4" t="inlineStr">
        <is>
          <t>accueil@ccspsl.fr</t>
        </is>
      </c>
      <c r="N43" s="4" t="inlineStr">
        <is>
          <t>https://www.comcom-ccspsl.fr/</t>
        </is>
      </c>
      <c r="O43" s="4" t="inlineStr">
        <is>
          <t>https://www.comcom-ccspsl.fr/nous-contacter/</t>
        </is>
      </c>
      <c r="P43" s="4" t="inlineStr">
        <is>
          <t>https://lannuaire.service-public.gouv.fr/auvergne-rhone-alpes/allier/85039543-6ba3-464f-944e-7b24507e2e3c</t>
        </is>
      </c>
      <c r="Q43" t="inlineStr">
        <is>
          <t>Annuaire Service-public.fr</t>
        </is>
      </c>
      <c r="R43" t="inlineStr"/>
      <c r="S43" t="inlineStr"/>
      <c r="T43" t="inlineStr"/>
    </row>
    <row r="44">
      <c r="A44" t="inlineStr">
        <is>
          <t>CC du Bocage Bourbonnais</t>
        </is>
      </c>
      <c r="B44" t="inlineStr">
        <is>
          <t>Communauté de communes</t>
        </is>
      </c>
      <c r="C44" t="inlineStr">
        <is>
          <t>200071496</t>
        </is>
      </c>
      <c r="D44" t="inlineStr">
        <is>
          <t>03</t>
        </is>
      </c>
      <c r="E44" t="inlineStr">
        <is>
          <t>Allier</t>
        </is>
      </c>
      <c r="F44" t="inlineStr">
        <is>
          <t>Auvergne-Rhône-Alpes</t>
        </is>
      </c>
      <c r="G44" s="3" t="n">
        <v>13654</v>
      </c>
      <c r="H44" t="n">
        <v>25</v>
      </c>
      <c r="I44" t="inlineStr">
        <is>
          <t>1 place de l'Hôtel-de-Ville</t>
        </is>
      </c>
      <c r="J44" t="inlineStr">
        <is>
          <t>03160</t>
        </is>
      </c>
      <c r="K44" t="inlineStr">
        <is>
          <t>Bourbon-l'Archambault</t>
        </is>
      </c>
      <c r="L44" t="inlineStr">
        <is>
          <t>04 70 67 11 89</t>
        </is>
      </c>
      <c r="M44" s="4" t="inlineStr">
        <is>
          <t>contact@ccbb.fr</t>
        </is>
      </c>
      <c r="N44" s="4" t="inlineStr">
        <is>
          <t>https://www.cc-bocage-bourbonnais.com/</t>
        </is>
      </c>
      <c r="O44" s="4" t="inlineStr">
        <is>
          <t>https://www.cc-bocage-bourbonnais.com/contacter-ma-comcom.html</t>
        </is>
      </c>
      <c r="P44" s="4" t="inlineStr">
        <is>
          <t>https://lannuaire.service-public.gouv.fr/auvergne-rhone-alpes/allier/1a06c556-12c6-470d-bc74-3929fc79193f</t>
        </is>
      </c>
      <c r="Q44" t="inlineStr">
        <is>
          <t>Annuaire Service-public.fr</t>
        </is>
      </c>
      <c r="R44" t="inlineStr"/>
      <c r="S44" t="inlineStr"/>
      <c r="T44" t="inlineStr"/>
    </row>
    <row r="45">
      <c r="A45" t="inlineStr">
        <is>
          <t>CC du Pays d'Huriel</t>
        </is>
      </c>
      <c r="B45" t="inlineStr">
        <is>
          <t>Communauté de communes</t>
        </is>
      </c>
      <c r="C45" t="inlineStr">
        <is>
          <t>240300657</t>
        </is>
      </c>
      <c r="D45" t="inlineStr">
        <is>
          <t>03</t>
        </is>
      </c>
      <c r="E45" t="inlineStr">
        <is>
          <t>Allier</t>
        </is>
      </c>
      <c r="F45" t="inlineStr">
        <is>
          <t>Auvergne-Rhône-Alpes</t>
        </is>
      </c>
      <c r="G45" s="3" t="n">
        <v>7332</v>
      </c>
      <c r="H45" t="n">
        <v>14</v>
      </c>
      <c r="I45" t="inlineStr">
        <is>
          <t>6 rue des Calaubys</t>
        </is>
      </c>
      <c r="J45" t="inlineStr">
        <is>
          <t>03380</t>
        </is>
      </c>
      <c r="K45" t="inlineStr">
        <is>
          <t>Huriel</t>
        </is>
      </c>
      <c r="L45" t="inlineStr">
        <is>
          <t>04 70 28 60 22</t>
        </is>
      </c>
      <c r="M45" s="4" t="inlineStr">
        <is>
          <t>contact@cc-pays-huriel.com</t>
        </is>
      </c>
      <c r="N45" s="4" t="inlineStr">
        <is>
          <t>https://www.cc-pays-huriel.com/</t>
        </is>
      </c>
      <c r="O45" s="4" t="inlineStr">
        <is>
          <t>https://www.cc-pays-huriel.com/contact/</t>
        </is>
      </c>
      <c r="P45" s="4" t="inlineStr">
        <is>
          <t>https://lannuaire.service-public.gouv.fr/auvergne-rhone-alpes/allier/4ced9a02-3ba4-4d1b-a392-25e6a5448093</t>
        </is>
      </c>
      <c r="Q45" t="inlineStr">
        <is>
          <t>Annuaire Service-public.fr</t>
        </is>
      </c>
      <c r="R45" t="inlineStr"/>
      <c r="S45" t="inlineStr"/>
      <c r="T45" t="inlineStr"/>
    </row>
    <row r="46">
      <c r="A46" t="inlineStr">
        <is>
          <t>CC du Pays de Lapalisse</t>
        </is>
      </c>
      <c r="B46" t="inlineStr">
        <is>
          <t>Communauté de communes</t>
        </is>
      </c>
      <c r="C46" t="inlineStr">
        <is>
          <t>240300491</t>
        </is>
      </c>
      <c r="D46" t="inlineStr">
        <is>
          <t>03</t>
        </is>
      </c>
      <c r="E46" t="inlineStr">
        <is>
          <t>Allier</t>
        </is>
      </c>
      <c r="F46" t="inlineStr">
        <is>
          <t>Auvergne-Rhône-Alpes</t>
        </is>
      </c>
      <c r="G46" s="3" t="n">
        <v>8460</v>
      </c>
      <c r="H46" t="n">
        <v>14</v>
      </c>
      <c r="I46" t="inlineStr">
        <is>
          <t>Place du 14-Juillet, BP 63</t>
        </is>
      </c>
      <c r="J46" t="inlineStr">
        <is>
          <t>03120</t>
        </is>
      </c>
      <c r="K46" t="inlineStr">
        <is>
          <t>Lapalisse</t>
        </is>
      </c>
      <c r="L46" t="inlineStr">
        <is>
          <t>04 70 99 76 29</t>
        </is>
      </c>
      <c r="M46" s="4" t="inlineStr">
        <is>
          <t>contact@cc-paysdelapalisse.fr</t>
        </is>
      </c>
      <c r="N46" s="4" t="inlineStr">
        <is>
          <t>https://www.cc-paysdelapalisse.fr/fr/</t>
        </is>
      </c>
      <c r="O46" s="4" t="inlineStr">
        <is>
          <t>https://www.cc-paysdelapalisse.fr/fr/nous-contacter.html</t>
        </is>
      </c>
      <c r="P46" s="4" t="inlineStr">
        <is>
          <t>https://lannuaire.service-public.gouv.fr/auvergne-rhone-alpes/allier/333ca82c-626a-4f05-a46c-74e79e0abe7e</t>
        </is>
      </c>
      <c r="Q46" t="inlineStr">
        <is>
          <t>Annuaire Service-public.fr</t>
        </is>
      </c>
      <c r="R46" t="inlineStr"/>
      <c r="S46" t="inlineStr"/>
      <c r="T46" t="inlineStr"/>
    </row>
    <row r="47">
      <c r="A47" t="inlineStr">
        <is>
          <t>CC du Pays de Tronçais</t>
        </is>
      </c>
      <c r="B47" t="inlineStr">
        <is>
          <t>Communauté de communes</t>
        </is>
      </c>
      <c r="C47" t="inlineStr">
        <is>
          <t>240300558</t>
        </is>
      </c>
      <c r="D47" t="inlineStr">
        <is>
          <t>03</t>
        </is>
      </c>
      <c r="E47" t="inlineStr">
        <is>
          <t>Allier</t>
        </is>
      </c>
      <c r="F47" t="inlineStr">
        <is>
          <t>Auvergne-Rhône-Alpes</t>
        </is>
      </c>
      <c r="G47" s="3" t="n">
        <v>7431</v>
      </c>
      <c r="H47" t="n">
        <v>15</v>
      </c>
      <c r="I47" t="inlineStr">
        <is>
          <t>1 rue Nicolas Baudin</t>
        </is>
      </c>
      <c r="J47" t="inlineStr">
        <is>
          <t>03350</t>
        </is>
      </c>
      <c r="K47" t="inlineStr">
        <is>
          <t>Cerilly</t>
        </is>
      </c>
      <c r="L47" t="inlineStr">
        <is>
          <t>04 70 67 59 43</t>
        </is>
      </c>
      <c r="M47" s="4" t="inlineStr">
        <is>
          <t>comcom@paysdetroncais.fr</t>
        </is>
      </c>
      <c r="N47" s="4" t="inlineStr">
        <is>
          <t>https://www.paysdetroncais.fr/</t>
        </is>
      </c>
      <c r="O47" s="4" t="inlineStr">
        <is>
          <t>https://www.paysdetroncais.fr/</t>
        </is>
      </c>
      <c r="P47" s="4" t="inlineStr">
        <is>
          <t>https://lannuaire.service-public.gouv.fr/auvergne-rhone-alpes/allier/5e727590-45d0-45e2-85e2-50ababa7c440</t>
        </is>
      </c>
      <c r="Q47" t="inlineStr">
        <is>
          <t>Annuaire Service-public.fr</t>
        </is>
      </c>
      <c r="R47" t="inlineStr"/>
      <c r="S47" t="inlineStr"/>
      <c r="T47" t="inlineStr"/>
    </row>
    <row r="48">
      <c r="A48" t="inlineStr">
        <is>
          <t>CC du Val de Cher</t>
        </is>
      </c>
      <c r="B48" t="inlineStr">
        <is>
          <t>Communauté de communes</t>
        </is>
      </c>
      <c r="C48" t="inlineStr">
        <is>
          <t>240300566</t>
        </is>
      </c>
      <c r="D48" t="inlineStr">
        <is>
          <t>03</t>
        </is>
      </c>
      <c r="E48" t="inlineStr">
        <is>
          <t>Allier</t>
        </is>
      </c>
      <c r="F48" t="inlineStr">
        <is>
          <t>Auvergne-Rhône-Alpes</t>
        </is>
      </c>
      <c r="G48" s="3" t="n">
        <v>5461</v>
      </c>
      <c r="H48" t="n">
        <v>7</v>
      </c>
      <c r="I48" t="inlineStr">
        <is>
          <t>Magnette</t>
        </is>
      </c>
      <c r="J48" t="inlineStr">
        <is>
          <t>03190</t>
        </is>
      </c>
      <c r="K48" t="inlineStr">
        <is>
          <t>Audes</t>
        </is>
      </c>
      <c r="L48" t="inlineStr">
        <is>
          <t>04 70 06 63 72</t>
        </is>
      </c>
      <c r="M48" s="4" t="inlineStr">
        <is>
          <t>contact@valdecher.fr</t>
        </is>
      </c>
      <c r="N48" s="4" t="inlineStr">
        <is>
          <t>https://www.valdecher.fr/</t>
        </is>
      </c>
      <c r="O48" s="4" t="inlineStr">
        <is>
          <t>https://www.valdecher.fr/contactez-nous/</t>
        </is>
      </c>
      <c r="P48" s="4" t="inlineStr">
        <is>
          <t>https://lannuaire.service-public.gouv.fr/auvergne-rhone-alpes/allier/6ad0d449-cd8a-4bb7-9073-8a0ab825263a</t>
        </is>
      </c>
      <c r="Q48" t="inlineStr">
        <is>
          <t>Annuaire Service-public.fr</t>
        </is>
      </c>
      <c r="R48" t="inlineStr"/>
      <c r="S48" t="inlineStr"/>
      <c r="T48" t="inlineStr"/>
    </row>
    <row r="49">
      <c r="A49" t="inlineStr">
        <is>
          <t>CA Moulins Communauté</t>
        </is>
      </c>
      <c r="B49" t="inlineStr">
        <is>
          <t>Communauté d’agglomération</t>
        </is>
      </c>
      <c r="C49" t="inlineStr">
        <is>
          <t>200071140</t>
        </is>
      </c>
      <c r="D49" t="inlineStr">
        <is>
          <t>03, 58</t>
        </is>
      </c>
      <c r="E49" t="inlineStr">
        <is>
          <t>Allier, Nièvre</t>
        </is>
      </c>
      <c r="F49" t="inlineStr">
        <is>
          <t>Bourgogne-Franche-Comté, Auvergne-Rhône-Alpes</t>
        </is>
      </c>
      <c r="G49" s="3" t="n">
        <v>64246</v>
      </c>
      <c r="H49" t="n">
        <v>44</v>
      </c>
      <c r="I49" t="inlineStr">
        <is>
          <t>8 place du Maréchal-de-Lattre-de-Tassigny</t>
        </is>
      </c>
      <c r="J49" t="inlineStr">
        <is>
          <t>03000</t>
        </is>
      </c>
      <c r="K49" t="inlineStr">
        <is>
          <t>Moulins</t>
        </is>
      </c>
      <c r="L49" t="inlineStr">
        <is>
          <t>04 70 48 54 54</t>
        </is>
      </c>
      <c r="M49" s="4" t="inlineStr">
        <is>
          <t>contact.agglo@agglo-moulins.fr</t>
        </is>
      </c>
      <c r="N49" s="4" t="inlineStr">
        <is>
          <t>https://www.agglo-moulins.fr/</t>
        </is>
      </c>
      <c r="O49" s="4" t="inlineStr">
        <is>
          <t>https://www.agglo-moulins.fr/contact.html</t>
        </is>
      </c>
      <c r="P49" s="4" t="inlineStr">
        <is>
          <t>https://lannuaire.service-public.gouv.fr/auvergne-rhone-alpes/allier/7c1ae671-e9af-4b4b-b4fb-cc80ad8fa9df</t>
        </is>
      </c>
      <c r="Q49" t="inlineStr">
        <is>
          <t>Annuaire Service-public.fr</t>
        </is>
      </c>
      <c r="R49" t="inlineStr"/>
      <c r="S49" t="inlineStr"/>
      <c r="T49" t="inlineStr"/>
    </row>
    <row r="50">
      <c r="A50" t="inlineStr">
        <is>
          <t>CC Le Grand Charolais</t>
        </is>
      </c>
      <c r="B50" t="inlineStr">
        <is>
          <t>Communauté de communes</t>
        </is>
      </c>
      <c r="C50" t="inlineStr">
        <is>
          <t>200071884</t>
        </is>
      </c>
      <c r="D50" t="inlineStr">
        <is>
          <t>03, 71</t>
        </is>
      </c>
      <c r="E50" t="inlineStr">
        <is>
          <t>Allier, Saône-et-Loire</t>
        </is>
      </c>
      <c r="F50" t="inlineStr">
        <is>
          <t>Bourgogne-Franche-Comté, Auvergne-Rhône-Alpes</t>
        </is>
      </c>
      <c r="G50" s="3" t="n">
        <v>39454</v>
      </c>
      <c r="H50" t="n">
        <v>44</v>
      </c>
      <c r="I50" t="inlineStr">
        <is>
          <t>32 rue Louis-Desrichard</t>
        </is>
      </c>
      <c r="J50" t="inlineStr">
        <is>
          <t>71600</t>
        </is>
      </c>
      <c r="K50" t="inlineStr">
        <is>
          <t>Paray-le-Monial</t>
        </is>
      </c>
      <c r="L50" t="inlineStr">
        <is>
          <t>09 71 16 95 95</t>
        </is>
      </c>
      <c r="M50" s="4" t="inlineStr">
        <is>
          <t>contact@legrandcharolais.fr</t>
        </is>
      </c>
      <c r="N50" s="4" t="inlineStr">
        <is>
          <t>https://www.legrandcharolais.fr</t>
        </is>
      </c>
      <c r="O50" s="4" t="inlineStr">
        <is>
          <t>https://www.legrandcharolais.fr/contact.html</t>
        </is>
      </c>
      <c r="P50" s="4" t="inlineStr">
        <is>
          <t>https://lannuaire.service-public.gouv.fr/bourgogne-franche-comte/saone-et-loire/b2002776-dd3e-4db2-a0b2-7b3884b70ff4</t>
        </is>
      </c>
      <c r="Q50" t="inlineStr">
        <is>
          <t>Annuaire Service-public.fr</t>
        </is>
      </c>
      <c r="R50" t="inlineStr"/>
      <c r="S50" t="inlineStr"/>
      <c r="T50" t="inlineStr"/>
    </row>
    <row r="51">
      <c r="A51" t="inlineStr">
        <is>
          <t>CA Provence-Alpes-Agglomération</t>
        </is>
      </c>
      <c r="B51" t="inlineStr">
        <is>
          <t>Communauté d’agglomération</t>
        </is>
      </c>
      <c r="C51" t="inlineStr">
        <is>
          <t>200067437</t>
        </is>
      </c>
      <c r="D51" t="inlineStr">
        <is>
          <t>04</t>
        </is>
      </c>
      <c r="E51" t="inlineStr">
        <is>
          <t>Alpes-de-Haute-Provence</t>
        </is>
      </c>
      <c r="F51" t="inlineStr">
        <is>
          <t>Provence-Alpes-Côte d'Azur</t>
        </is>
      </c>
      <c r="G51" s="3" t="n">
        <v>48726</v>
      </c>
      <c r="H51" t="n">
        <v>46</v>
      </c>
      <c r="I51" t="inlineStr">
        <is>
          <t>4 rue Klein</t>
        </is>
      </c>
      <c r="J51" t="inlineStr">
        <is>
          <t>04990</t>
        </is>
      </c>
      <c r="K51" t="inlineStr">
        <is>
          <t>Digne-les-Bains</t>
        </is>
      </c>
      <c r="L51" t="inlineStr">
        <is>
          <t>04 92 32 05 05</t>
        </is>
      </c>
      <c r="M51" s="4" t="inlineStr">
        <is>
          <t>contact@provencealpesagglo.fr</t>
        </is>
      </c>
      <c r="N51" s="4" t="inlineStr">
        <is>
          <t>https://www.provencealpesagglo.fr/</t>
        </is>
      </c>
      <c r="O51" s="4" t="inlineStr">
        <is>
          <t>https://www.provencealpesagglo.fr/contact/</t>
        </is>
      </c>
      <c r="P51" s="4" t="inlineStr">
        <is>
          <t>https://lannuaire.service-public.gouv.fr/provence-alpes-cote-d-azur/alpes-de-haute-provence/3c4382b9-0937-4bd4-9c1d-b64700b28f16</t>
        </is>
      </c>
      <c r="Q51" t="inlineStr">
        <is>
          <t>Annuaire Service-public.fr</t>
        </is>
      </c>
      <c r="R51" t="inlineStr"/>
      <c r="S51" t="inlineStr"/>
      <c r="T51" t="inlineStr"/>
    </row>
    <row r="52">
      <c r="A52" t="inlineStr">
        <is>
          <t>CC Alpes-Provence-Verdon "Sources de lumière"</t>
        </is>
      </c>
      <c r="B52" t="inlineStr">
        <is>
          <t>Communauté de communes</t>
        </is>
      </c>
      <c r="C52" t="inlineStr">
        <is>
          <t>200068625</t>
        </is>
      </c>
      <c r="D52" t="inlineStr">
        <is>
          <t>04</t>
        </is>
      </c>
      <c r="E52" t="inlineStr">
        <is>
          <t>Alpes-de-Haute-Provence</t>
        </is>
      </c>
      <c r="F52" t="inlineStr">
        <is>
          <t>Provence-Alpes-Côte d'Azur</t>
        </is>
      </c>
      <c r="G52" s="3" t="n">
        <v>11417</v>
      </c>
      <c r="H52" t="n">
        <v>41</v>
      </c>
      <c r="I52" t="inlineStr">
        <is>
          <t>ZA Les Iscles</t>
        </is>
      </c>
      <c r="J52" t="inlineStr">
        <is>
          <t>04170</t>
        </is>
      </c>
      <c r="K52" t="inlineStr">
        <is>
          <t>Saint-André-les-Alpes</t>
        </is>
      </c>
      <c r="L52" t="inlineStr">
        <is>
          <t>04 92 83 68 99</t>
        </is>
      </c>
      <c r="M52" s="4" t="inlineStr">
        <is>
          <t>contact@ccapv.fr</t>
        </is>
      </c>
      <c r="N52" s="4" t="inlineStr">
        <is>
          <t>https://ccapv.fr/</t>
        </is>
      </c>
      <c r="O52" s="4" t="inlineStr">
        <is>
          <t>https://ccapv.fr/alpes-provence-verdon/contact-acces</t>
        </is>
      </c>
      <c r="P52" s="4" t="inlineStr">
        <is>
          <t>https://lannuaire.service-public.gouv.fr/provence-alpes-cote-d-azur/alpes-de-haute-provence/69dca1ee-7bca-4c4b-80b8-41be260d4a92</t>
        </is>
      </c>
      <c r="Q52" t="inlineStr">
        <is>
          <t>Annuaire Service-public.fr</t>
        </is>
      </c>
      <c r="R52" t="inlineStr"/>
      <c r="S52" t="inlineStr"/>
      <c r="T52" t="inlineStr"/>
    </row>
    <row r="53">
      <c r="A53" t="inlineStr">
        <is>
          <t>CC Haute-Provence - Pays de Banon</t>
        </is>
      </c>
      <c r="B53" t="inlineStr">
        <is>
          <t>Communauté de communes</t>
        </is>
      </c>
      <c r="C53" t="inlineStr">
        <is>
          <t>200071025</t>
        </is>
      </c>
      <c r="D53" t="inlineStr">
        <is>
          <t>04</t>
        </is>
      </c>
      <c r="E53" t="inlineStr">
        <is>
          <t>Alpes-de-Haute-Provence</t>
        </is>
      </c>
      <c r="F53" t="inlineStr">
        <is>
          <t>Provence-Alpes-Côte d'Azur</t>
        </is>
      </c>
      <c r="G53" s="3" t="n">
        <v>10059</v>
      </c>
      <c r="H53" t="n">
        <v>21</v>
      </c>
      <c r="I53" t="inlineStr">
        <is>
          <t>Place de l'Église</t>
        </is>
      </c>
      <c r="J53" t="inlineStr">
        <is>
          <t>04300</t>
        </is>
      </c>
      <c r="K53" t="inlineStr">
        <is>
          <t>Mane</t>
        </is>
      </c>
      <c r="L53" t="inlineStr">
        <is>
          <t>04 92 75 04 13</t>
        </is>
      </c>
      <c r="M53" s="4" t="inlineStr">
        <is>
          <t>mairie@mane-en-provence.com</t>
        </is>
      </c>
      <c r="N53" s="4" t="inlineStr">
        <is>
          <t>https://www.cchppb.fr/</t>
        </is>
      </c>
      <c r="O53" s="4" t="inlineStr">
        <is>
          <t>https://www.cchppb.fr/</t>
        </is>
      </c>
      <c r="P53" s="4" t="inlineStr">
        <is>
          <t>https://lannuaire.service-public.gouv.fr/provence-alpes-cote-d-azur/alpes-de-haute-provence/edffaf94-792b-49ae-ab47-02c0f7b68200</t>
        </is>
      </c>
      <c r="Q53" t="inlineStr">
        <is>
          <t>Annuaire Service-public.fr</t>
        </is>
      </c>
      <c r="R53" t="inlineStr"/>
      <c r="S53" t="inlineStr"/>
      <c r="T53" t="inlineStr"/>
    </row>
    <row r="54">
      <c r="A54" t="inlineStr">
        <is>
          <t>CC Pays Forcalquier et Montagne de Lure</t>
        </is>
      </c>
      <c r="B54" t="inlineStr">
        <is>
          <t>Communauté de communes</t>
        </is>
      </c>
      <c r="C54" t="inlineStr">
        <is>
          <t>240400440</t>
        </is>
      </c>
      <c r="D54" t="inlineStr">
        <is>
          <t>04</t>
        </is>
      </c>
      <c r="E54" t="inlineStr">
        <is>
          <t>Alpes-de-Haute-Provence</t>
        </is>
      </c>
      <c r="F54" t="inlineStr">
        <is>
          <t>Provence-Alpes-Côte d'Azur</t>
        </is>
      </c>
      <c r="G54" s="3" t="n">
        <v>9996</v>
      </c>
      <c r="H54" t="n">
        <v>13</v>
      </c>
      <c r="I54" t="inlineStr">
        <is>
          <t>1 place du Bourguet</t>
        </is>
      </c>
      <c r="J54" t="inlineStr">
        <is>
          <t>04301</t>
        </is>
      </c>
      <c r="K54" t="inlineStr">
        <is>
          <t>Forcalquier</t>
        </is>
      </c>
      <c r="L54" t="inlineStr">
        <is>
          <t>04 92 75 33 21</t>
        </is>
      </c>
      <c r="M54" s="4" t="inlineStr">
        <is>
          <t>accueil@ville-forcalquier.fr</t>
        </is>
      </c>
      <c r="N54" s="4" t="inlineStr">
        <is>
          <t>https://www.forcalquier-lure.com/</t>
        </is>
      </c>
      <c r="O54" s="4" t="inlineStr">
        <is>
          <t>https://www.forcalquier-lure.com/contact/</t>
        </is>
      </c>
      <c r="P54" s="4" t="inlineStr">
        <is>
          <t>https://lannuaire.service-public.gouv.fr/provence-alpes-cote-d-azur/alpes-de-haute-provence/70794785-6c3e-4a49-844c-c9f52a8d9aca</t>
        </is>
      </c>
      <c r="Q54" t="inlineStr">
        <is>
          <t>Annuaire Service-public.fr</t>
        </is>
      </c>
      <c r="R54" t="inlineStr"/>
      <c r="S54" t="inlineStr"/>
      <c r="T54" t="inlineStr"/>
    </row>
    <row r="55">
      <c r="A55" t="inlineStr">
        <is>
          <t>CC Vallée de l'Ubaye - Serre-Ponçon</t>
        </is>
      </c>
      <c r="B55" t="inlineStr">
        <is>
          <t>Communauté de communes</t>
        </is>
      </c>
      <c r="C55" t="inlineStr">
        <is>
          <t>200072304</t>
        </is>
      </c>
      <c r="D55" t="inlineStr">
        <is>
          <t>04</t>
        </is>
      </c>
      <c r="E55" t="inlineStr">
        <is>
          <t>Alpes-de-Haute-Provence</t>
        </is>
      </c>
      <c r="F55" t="inlineStr">
        <is>
          <t>Provence-Alpes-Côte d'Azur</t>
        </is>
      </c>
      <c r="G55" s="3" t="n">
        <v>7620</v>
      </c>
      <c r="H55" t="n">
        <v>13</v>
      </c>
      <c r="I55" t="inlineStr">
        <is>
          <t>4 avenue des Trois-Frères-Arnaud</t>
        </is>
      </c>
      <c r="J55" t="inlineStr">
        <is>
          <t>04400</t>
        </is>
      </c>
      <c r="K55" t="inlineStr">
        <is>
          <t>Barcelonnette</t>
        </is>
      </c>
      <c r="L55" t="inlineStr">
        <is>
          <t>04 92 81 28 23</t>
        </is>
      </c>
      <c r="M55" s="4" t="inlineStr">
        <is>
          <t>info@ccvusp.fr</t>
        </is>
      </c>
      <c r="N55" s="4" t="inlineStr">
        <is>
          <t>https://www.ccvusp.fr/</t>
        </is>
      </c>
      <c r="O55" s="4" t="inlineStr">
        <is>
          <t>https://www.ccvusp.fr/contact.html</t>
        </is>
      </c>
      <c r="P55" s="4" t="inlineStr">
        <is>
          <t>https://lannuaire.service-public.gouv.fr/provence-alpes-cote-d-azur/alpes-de-haute-provence/b880471d-42b0-4fa1-814a-7d628b895c15</t>
        </is>
      </c>
      <c r="Q55" t="inlineStr">
        <is>
          <t>Annuaire Service-public.fr</t>
        </is>
      </c>
      <c r="R55" t="inlineStr"/>
      <c r="S55" t="inlineStr"/>
      <c r="T55" t="inlineStr"/>
    </row>
    <row r="56">
      <c r="A56" t="inlineStr">
        <is>
          <t>CA Gap-Tallard-Durance</t>
        </is>
      </c>
      <c r="B56" t="inlineStr">
        <is>
          <t>Communauté d’agglomération</t>
        </is>
      </c>
      <c r="C56" t="inlineStr">
        <is>
          <t>200067825</t>
        </is>
      </c>
      <c r="D56" t="inlineStr">
        <is>
          <t>04, 05</t>
        </is>
      </c>
      <c r="E56" t="inlineStr">
        <is>
          <t>Alpes-de-Haute-Provence, Hautes-Alpes</t>
        </is>
      </c>
      <c r="F56" t="inlineStr">
        <is>
          <t>Provence-Alpes-Côte d'Azur</t>
        </is>
      </c>
      <c r="G56" s="3" t="n">
        <v>50743</v>
      </c>
      <c r="H56" t="n">
        <v>17</v>
      </c>
      <c r="I56" t="inlineStr">
        <is>
          <t>2 ancienne route de Veynes, Campus des Trois Fontaines, BP 92</t>
        </is>
      </c>
      <c r="J56" t="inlineStr">
        <is>
          <t>05007</t>
        </is>
      </c>
      <c r="K56" t="inlineStr">
        <is>
          <t>Gap Cedex</t>
        </is>
      </c>
      <c r="L56" t="inlineStr">
        <is>
          <t>04 92 53 24 24</t>
        </is>
      </c>
      <c r="M56" s="4" t="inlineStr">
        <is>
          <t>contact@agglo-gap.fr</t>
        </is>
      </c>
      <c r="N56" s="4" t="inlineStr">
        <is>
          <t>https://www.gap-tallard-durance.fr/</t>
        </is>
      </c>
      <c r="O56" t="inlineStr"/>
      <c r="P56" s="4" t="inlineStr">
        <is>
          <t>https://lannuaire.service-public.gouv.fr/provence-alpes-cote-d-azur/hautes-alpes/076f405f-c409-4f65-bf5b-e706237ecec5</t>
        </is>
      </c>
      <c r="Q56" t="inlineStr">
        <is>
          <t>Annuaire Service-public.fr</t>
        </is>
      </c>
      <c r="R56" t="inlineStr"/>
      <c r="S56" t="inlineStr"/>
      <c r="T56" t="inlineStr"/>
    </row>
    <row r="57">
      <c r="A57" t="inlineStr">
        <is>
          <t>CC Serre-Ponçon</t>
        </is>
      </c>
      <c r="B57" t="inlineStr">
        <is>
          <t>Communauté de communes</t>
        </is>
      </c>
      <c r="C57" t="inlineStr">
        <is>
          <t>200067742</t>
        </is>
      </c>
      <c r="D57" t="inlineStr">
        <is>
          <t>04, 05</t>
        </is>
      </c>
      <c r="E57" t="inlineStr">
        <is>
          <t>Alpes-de-Haute-Provence, Hautes-Alpes</t>
        </is>
      </c>
      <c r="F57" t="inlineStr">
        <is>
          <t>Provence-Alpes-Côte d'Azur</t>
        </is>
      </c>
      <c r="G57" s="3" t="n">
        <v>16945</v>
      </c>
      <c r="H57" t="n">
        <v>17</v>
      </c>
      <c r="I57" t="inlineStr">
        <is>
          <t>6 impasse de l'Observatoire</t>
        </is>
      </c>
      <c r="J57" t="inlineStr">
        <is>
          <t>05200</t>
        </is>
      </c>
      <c r="K57" t="inlineStr">
        <is>
          <t>Embrun</t>
        </is>
      </c>
      <c r="L57" t="inlineStr">
        <is>
          <t>04 92 43 22 78</t>
        </is>
      </c>
      <c r="M57" s="4" t="inlineStr">
        <is>
          <t>contact@ccserreponcon.com</t>
        </is>
      </c>
      <c r="N57" s="4" t="inlineStr">
        <is>
          <t>https://www.ccserreponcon.com/</t>
        </is>
      </c>
      <c r="O57" s="4" t="inlineStr">
        <is>
          <t>https://www.ccserreponcon.com/contacter/contacter</t>
        </is>
      </c>
      <c r="P57" s="4" t="inlineStr">
        <is>
          <t>https://lannuaire.service-public.gouv.fr/provence-alpes-cote-d-azur/hautes-alpes/65d93037-e3ac-4261-ab71-ec6fbec5794a</t>
        </is>
      </c>
      <c r="Q57" t="inlineStr">
        <is>
          <t>Annuaire Service-public.fr</t>
        </is>
      </c>
      <c r="R57" t="inlineStr"/>
      <c r="S57" t="inlineStr"/>
      <c r="T57" t="inlineStr"/>
    </row>
    <row r="58">
      <c r="A58" t="inlineStr">
        <is>
          <t>CC Serre-Ponçon Val d'Avance</t>
        </is>
      </c>
      <c r="B58" t="inlineStr">
        <is>
          <t>Communauté de communes</t>
        </is>
      </c>
      <c r="C58" t="inlineStr">
        <is>
          <t>200067320</t>
        </is>
      </c>
      <c r="D58" t="inlineStr">
        <is>
          <t>04, 05</t>
        </is>
      </c>
      <c r="E58" t="inlineStr">
        <is>
          <t>Alpes-de-Haute-Provence, Hautes-Alpes</t>
        </is>
      </c>
      <c r="F58" t="inlineStr">
        <is>
          <t>Provence-Alpes-Côte d'Azur</t>
        </is>
      </c>
      <c r="G58" s="3" t="n">
        <v>7859</v>
      </c>
      <c r="H58" t="n">
        <v>16</v>
      </c>
      <c r="I58" t="inlineStr">
        <is>
          <t>33 rue de la Lauzière</t>
        </is>
      </c>
      <c r="J58" t="inlineStr">
        <is>
          <t>05230</t>
        </is>
      </c>
      <c r="K58" t="inlineStr">
        <is>
          <t>La Bâtie-Neuve</t>
        </is>
      </c>
      <c r="L58" t="inlineStr">
        <is>
          <t>04 92 50 20 50</t>
        </is>
      </c>
      <c r="M58" s="4" t="inlineStr">
        <is>
          <t>secretariat@ccspva.com</t>
        </is>
      </c>
      <c r="N58" s="4" t="inlineStr">
        <is>
          <t>https://www.cc-serreponconvaldavance.com/</t>
        </is>
      </c>
      <c r="O58" s="4" t="inlineStr">
        <is>
          <t>https://www.cc-serreponconvaldavance.com/fr/nous-connaitre/nous-contacter.html</t>
        </is>
      </c>
      <c r="P58" s="4" t="inlineStr">
        <is>
          <t>https://lannuaire.service-public.gouv.fr/provence-alpes-cote-d-azur/hautes-alpes/89c4d6e8-8c05-4ef0-9779-f150f71ae27d</t>
        </is>
      </c>
      <c r="Q58" t="inlineStr">
        <is>
          <t>Annuaire Service-public.fr</t>
        </is>
      </c>
      <c r="R58" t="inlineStr"/>
      <c r="S58" t="inlineStr"/>
      <c r="T58" t="inlineStr"/>
    </row>
    <row r="59">
      <c r="A59" t="inlineStr">
        <is>
          <t>CC du Sisteronais-Buëch</t>
        </is>
      </c>
      <c r="B59" t="inlineStr">
        <is>
          <t>Communauté de communes</t>
        </is>
      </c>
      <c r="C59" t="inlineStr">
        <is>
          <t>200068765</t>
        </is>
      </c>
      <c r="D59" t="inlineStr">
        <is>
          <t>04, 05, 26</t>
        </is>
      </c>
      <c r="E59" t="inlineStr">
        <is>
          <t>Alpes-de-Haute-Provence, Hautes-Alpes, Drôme</t>
        </is>
      </c>
      <c r="F59" t="inlineStr">
        <is>
          <t>Auvergne-Rhône-Alpes, Provence-Alpes-Côte d'Azur</t>
        </is>
      </c>
      <c r="G59" s="3" t="n">
        <v>25482</v>
      </c>
      <c r="H59" t="n">
        <v>60</v>
      </c>
      <c r="I59" t="inlineStr">
        <is>
          <t>1 place de la République</t>
        </is>
      </c>
      <c r="J59" t="inlineStr">
        <is>
          <t>04200</t>
        </is>
      </c>
      <c r="K59" t="inlineStr">
        <is>
          <t>Sisteron</t>
        </is>
      </c>
      <c r="L59" t="inlineStr">
        <is>
          <t>04 92 31 27 52</t>
        </is>
      </c>
      <c r="M59" s="4" t="inlineStr">
        <is>
          <t>contact.ccsb@sisteronais-buech.fr</t>
        </is>
      </c>
      <c r="N59" s="4" t="inlineStr">
        <is>
          <t>https://www.sisteronais-buech.fr/</t>
        </is>
      </c>
      <c r="O59" s="4" t="inlineStr">
        <is>
          <t>https://www.sisteronais-buech.fr/nous-contacter/</t>
        </is>
      </c>
      <c r="P59" s="4" t="inlineStr">
        <is>
          <t>https://lannuaire.service-public.gouv.fr/provence-alpes-cote-d-azur/alpes-de-haute-provence/1db16ee5-afe7-40e7-bbf2-196ccc4de931</t>
        </is>
      </c>
      <c r="Q59" t="inlineStr">
        <is>
          <t>Annuaire Service-public.fr</t>
        </is>
      </c>
      <c r="R59" t="inlineStr"/>
      <c r="S59" t="inlineStr"/>
      <c r="T59" t="inlineStr"/>
    </row>
    <row r="60">
      <c r="A60" t="inlineStr">
        <is>
          <t>CC Jabron-Lure-Vançon-Durance</t>
        </is>
      </c>
      <c r="B60" t="inlineStr">
        <is>
          <t>Communauté de communes</t>
        </is>
      </c>
      <c r="C60" t="inlineStr">
        <is>
          <t>200071033</t>
        </is>
      </c>
      <c r="D60" t="inlineStr">
        <is>
          <t>04, 26</t>
        </is>
      </c>
      <c r="E60" t="inlineStr">
        <is>
          <t>Alpes-de-Haute-Provence, Drôme</t>
        </is>
      </c>
      <c r="F60" t="inlineStr">
        <is>
          <t>Auvergne-Rhône-Alpes, Provence-Alpes-Côte d'Azur</t>
        </is>
      </c>
      <c r="G60" s="3" t="n">
        <v>5393</v>
      </c>
      <c r="H60" t="n">
        <v>14</v>
      </c>
      <c r="I60" t="inlineStr">
        <is>
          <t>110 rue de l'École</t>
        </is>
      </c>
      <c r="J60" t="inlineStr">
        <is>
          <t>04290</t>
        </is>
      </c>
      <c r="K60" t="inlineStr">
        <is>
          <t>Salignac</t>
        </is>
      </c>
      <c r="L60" t="inlineStr">
        <is>
          <t>04 92 34 46 75</t>
        </is>
      </c>
      <c r="M60" s="4" t="inlineStr">
        <is>
          <t>secretariat@ccjlvd.fr</t>
        </is>
      </c>
      <c r="N60" s="4" t="inlineStr">
        <is>
          <t>https://ccjlvd.fr</t>
        </is>
      </c>
      <c r="O60" t="inlineStr"/>
      <c r="P60" s="4" t="inlineStr">
        <is>
          <t>https://lannuaire.service-public.gouv.fr/provence-alpes-cote-d-azur/alpes-de-haute-provence/d9e5c89f-2bbb-4190-ae16-9793846e3e59</t>
        </is>
      </c>
      <c r="Q60" t="inlineStr">
        <is>
          <t>Annuaire Service-public.fr</t>
        </is>
      </c>
      <c r="R60" t="inlineStr"/>
      <c r="S60" t="inlineStr"/>
      <c r="T60" t="inlineStr"/>
    </row>
    <row r="61">
      <c r="A61" t="inlineStr">
        <is>
          <t>CA Durance-Lubéron-Verdon Agglomération</t>
        </is>
      </c>
      <c r="B61" t="inlineStr">
        <is>
          <t>Communauté d’agglomération</t>
        </is>
      </c>
      <c r="C61" t="inlineStr">
        <is>
          <t>200034700</t>
        </is>
      </c>
      <c r="D61" t="inlineStr">
        <is>
          <t>04, 83</t>
        </is>
      </c>
      <c r="E61" t="inlineStr">
        <is>
          <t>Alpes-de-Haute-Provence, Var</t>
        </is>
      </c>
      <c r="F61" t="inlineStr">
        <is>
          <t>Provence-Alpes-Côte d'Azur</t>
        </is>
      </c>
      <c r="G61" s="3" t="n">
        <v>63654</v>
      </c>
      <c r="H61" t="n">
        <v>25</v>
      </c>
      <c r="I61" t="inlineStr">
        <is>
          <t>Place de l'Hôtel-de-Ville</t>
        </is>
      </c>
      <c r="J61" t="inlineStr">
        <is>
          <t>04100</t>
        </is>
      </c>
      <c r="K61" t="inlineStr">
        <is>
          <t>Manosque</t>
        </is>
      </c>
      <c r="L61" t="inlineStr">
        <is>
          <t>04 92 70 34 00</t>
        </is>
      </c>
      <c r="M61" s="4" t="inlineStr">
        <is>
          <t>accueil@dlva.fr</t>
        </is>
      </c>
      <c r="N61" s="4" t="inlineStr">
        <is>
          <t>https://www.dlva.fr/</t>
        </is>
      </c>
      <c r="O61" s="4" t="inlineStr">
        <is>
          <t>https://www.dlva.fr/nous-contacter/</t>
        </is>
      </c>
      <c r="P61" s="4" t="inlineStr">
        <is>
          <t>https://lannuaire.service-public.gouv.fr/provence-alpes-cote-d-azur/alpes-de-haute-provence/35dfb8cf-2695-4b64-94a9-eb9006a9d480</t>
        </is>
      </c>
      <c r="Q61" t="inlineStr">
        <is>
          <t>Annuaire Service-public.fr</t>
        </is>
      </c>
      <c r="R61" t="inlineStr"/>
      <c r="S61" t="inlineStr"/>
      <c r="T61" t="inlineStr"/>
    </row>
    <row r="62">
      <c r="A62" t="inlineStr">
        <is>
          <t>CC Pays d'Apt-Luberon</t>
        </is>
      </c>
      <c r="B62" t="inlineStr">
        <is>
          <t>Communauté de communes</t>
        </is>
      </c>
      <c r="C62" t="inlineStr">
        <is>
          <t>200040624</t>
        </is>
      </c>
      <c r="D62" t="inlineStr">
        <is>
          <t>04, 84</t>
        </is>
      </c>
      <c r="E62" t="inlineStr">
        <is>
          <t>Alpes-de-Haute-Provence, Vaucluse</t>
        </is>
      </c>
      <c r="F62" t="inlineStr">
        <is>
          <t>Provence-Alpes-Côte d'Azur</t>
        </is>
      </c>
      <c r="G62" s="3" t="n">
        <v>28347</v>
      </c>
      <c r="H62" t="n">
        <v>25</v>
      </c>
      <c r="I62" t="inlineStr">
        <is>
          <t>Avenue Frédéric-Mistral</t>
        </is>
      </c>
      <c r="J62" t="inlineStr">
        <is>
          <t>84400</t>
        </is>
      </c>
      <c r="K62" t="inlineStr">
        <is>
          <t>Apt</t>
        </is>
      </c>
      <c r="L62" t="inlineStr">
        <is>
          <t>04 90 04 49 70</t>
        </is>
      </c>
      <c r="M62" s="4" t="inlineStr">
        <is>
          <t>contact@paysapt-luberon.fr</t>
        </is>
      </c>
      <c r="N62" s="4" t="inlineStr">
        <is>
          <t>https://www.paysapt-luberon.fr/</t>
        </is>
      </c>
      <c r="O62" s="4" t="inlineStr">
        <is>
          <t>https://www.paysapt-luberon.fr/contactez-nous/</t>
        </is>
      </c>
      <c r="P62" s="4" t="inlineStr">
        <is>
          <t>https://lannuaire.service-public.gouv.fr/provence-alpes-cote-d-azur/vaucluse/6061a275-82d8-4f0f-9c13-cff637ad4437</t>
        </is>
      </c>
      <c r="Q62" t="inlineStr">
        <is>
          <t>Annuaire Service-public.fr</t>
        </is>
      </c>
      <c r="R62" t="inlineStr"/>
      <c r="S62" t="inlineStr"/>
      <c r="T62" t="inlineStr"/>
    </row>
    <row r="63">
      <c r="A63" t="inlineStr">
        <is>
          <t>CC Buëch-Dévoluy</t>
        </is>
      </c>
      <c r="B63" t="inlineStr">
        <is>
          <t>Communauté de communes</t>
        </is>
      </c>
      <c r="C63" t="inlineStr">
        <is>
          <t>200067445</t>
        </is>
      </c>
      <c r="D63" t="inlineStr">
        <is>
          <t>05</t>
        </is>
      </c>
      <c r="E63" t="inlineStr">
        <is>
          <t>Hautes-Alpes</t>
        </is>
      </c>
      <c r="F63" t="inlineStr">
        <is>
          <t>Provence-Alpes-Côte d'Azur</t>
        </is>
      </c>
      <c r="G63" s="3" t="n">
        <v>9597</v>
      </c>
      <c r="H63" t="n">
        <v>20</v>
      </c>
      <c r="I63" t="inlineStr">
        <is>
          <t>7 rue de la Tuilerie, Communauté de communes Buëch-Dévoluy</t>
        </is>
      </c>
      <c r="J63" t="inlineStr">
        <is>
          <t>05400</t>
        </is>
      </c>
      <c r="K63" t="inlineStr">
        <is>
          <t>Veynes</t>
        </is>
      </c>
      <c r="L63" t="inlineStr">
        <is>
          <t>04 92 58 02 42</t>
        </is>
      </c>
      <c r="M63" s="4" t="inlineStr">
        <is>
          <t>accueil@ccbd.fr</t>
        </is>
      </c>
      <c r="N63" s="4" t="inlineStr">
        <is>
          <t>https://www.ccbuechdevoluy.fr/</t>
        </is>
      </c>
      <c r="O63" s="4" t="inlineStr">
        <is>
          <t>https://www.ccbuechdevoluy.fr/contact.html</t>
        </is>
      </c>
      <c r="P63" s="4" t="inlineStr">
        <is>
          <t>https://lannuaire.service-public.gouv.fr/provence-alpes-cote-d-azur/hautes-alpes/79ef0a90-0e1e-45d3-9d0c-45cd81a50715</t>
        </is>
      </c>
      <c r="Q63" t="inlineStr">
        <is>
          <t>Annuaire Service-public.fr</t>
        </is>
      </c>
      <c r="R63" t="inlineStr"/>
      <c r="S63" t="inlineStr"/>
      <c r="T63" t="inlineStr"/>
    </row>
    <row r="64">
      <c r="A64" t="inlineStr">
        <is>
          <t>CC Champsaur-Valgaudemar</t>
        </is>
      </c>
      <c r="B64" t="inlineStr">
        <is>
          <t>Communauté de communes</t>
        </is>
      </c>
      <c r="C64" t="inlineStr">
        <is>
          <t>200068096</t>
        </is>
      </c>
      <c r="D64" t="inlineStr">
        <is>
          <t>05</t>
        </is>
      </c>
      <c r="E64" t="inlineStr">
        <is>
          <t>Hautes-Alpes</t>
        </is>
      </c>
      <c r="F64" t="inlineStr">
        <is>
          <t>Provence-Alpes-Côte d'Azur</t>
        </is>
      </c>
      <c r="G64" s="3" t="n">
        <v>11528</v>
      </c>
      <c r="H64" t="n">
        <v>25</v>
      </c>
      <c r="I64" t="inlineStr">
        <is>
          <t>5 rue des Lagerons</t>
        </is>
      </c>
      <c r="J64" t="inlineStr">
        <is>
          <t>05500</t>
        </is>
      </c>
      <c r="K64" t="inlineStr">
        <is>
          <t>Saint-Bonnet-en-Champsaur</t>
        </is>
      </c>
      <c r="L64" t="inlineStr">
        <is>
          <t>04 92 50 00 20</t>
        </is>
      </c>
      <c r="M64" s="4" t="inlineStr">
        <is>
          <t>contact@champsaur-valgaudemar.fr</t>
        </is>
      </c>
      <c r="N64" s="4" t="inlineStr">
        <is>
          <t>https://www.champsaur-valgaudemar.com/accueil-cccv/</t>
        </is>
      </c>
      <c r="O64" s="4" t="inlineStr">
        <is>
          <t>https://www.champsaur-valgaudemar.com/accueil-cccv/contact/</t>
        </is>
      </c>
      <c r="P64" s="4" t="inlineStr">
        <is>
          <t>https://lannuaire.service-public.gouv.fr/provence-alpes-cote-d-azur/hautes-alpes/cf887aee-b16d-4396-bb14-2da57a842ac0</t>
        </is>
      </c>
      <c r="Q64" t="inlineStr">
        <is>
          <t>Annuaire Service-public.fr</t>
        </is>
      </c>
      <c r="R64" t="inlineStr"/>
      <c r="S64" t="inlineStr"/>
      <c r="T64" t="inlineStr"/>
    </row>
    <row r="65">
      <c r="A65" t="inlineStr">
        <is>
          <t>CC du Briançonnais</t>
        </is>
      </c>
      <c r="B65" t="inlineStr">
        <is>
          <t>Communauté de communes</t>
        </is>
      </c>
      <c r="C65" t="inlineStr">
        <is>
          <t>240500439</t>
        </is>
      </c>
      <c r="D65" t="inlineStr">
        <is>
          <t>05</t>
        </is>
      </c>
      <c r="E65" t="inlineStr">
        <is>
          <t>Hautes-Alpes</t>
        </is>
      </c>
      <c r="F65" t="inlineStr">
        <is>
          <t>Provence-Alpes-Côte d'Azur</t>
        </is>
      </c>
      <c r="G65" s="3" t="n">
        <v>18947</v>
      </c>
      <c r="H65" t="n">
        <v>13</v>
      </c>
      <c r="I65" t="inlineStr">
        <is>
          <t>1 rue Aspirant-Jan</t>
        </is>
      </c>
      <c r="J65" t="inlineStr">
        <is>
          <t>05100</t>
        </is>
      </c>
      <c r="K65" t="inlineStr">
        <is>
          <t>Briançon</t>
        </is>
      </c>
      <c r="L65" t="inlineStr">
        <is>
          <t>04 92 21 35 97</t>
        </is>
      </c>
      <c r="M65" s="4" t="inlineStr">
        <is>
          <t>accueil@ccbrianconnais.fr</t>
        </is>
      </c>
      <c r="N65" s="4" t="inlineStr">
        <is>
          <t>https://www.ccbrianconnais.fr/</t>
        </is>
      </c>
      <c r="O65" s="4" t="inlineStr">
        <is>
          <t>https://www.ccbrianconnais.fr/nous-contacter</t>
        </is>
      </c>
      <c r="P65" s="4" t="inlineStr">
        <is>
          <t>https://lannuaire.service-public.gouv.fr/provence-alpes-cote-d-azur/hautes-alpes/6fa46dec-65d7-463f-b5aa-946752287124</t>
        </is>
      </c>
      <c r="Q65" t="inlineStr">
        <is>
          <t>Annuaire Service-public.fr</t>
        </is>
      </c>
      <c r="R65" t="inlineStr"/>
      <c r="S65" t="inlineStr"/>
      <c r="T65" t="inlineStr"/>
    </row>
    <row r="66">
      <c r="A66" t="inlineStr">
        <is>
          <t>CC du Guillestrois et du Queyras</t>
        </is>
      </c>
      <c r="B66" t="inlineStr">
        <is>
          <t>Communauté de communes</t>
        </is>
      </c>
      <c r="C66" t="inlineStr">
        <is>
          <t>200067452</t>
        </is>
      </c>
      <c r="D66" t="inlineStr">
        <is>
          <t>05</t>
        </is>
      </c>
      <c r="E66" t="inlineStr">
        <is>
          <t>Hautes-Alpes</t>
        </is>
      </c>
      <c r="F66" t="inlineStr">
        <is>
          <t>Provence-Alpes-Côte d'Azur</t>
        </is>
      </c>
      <c r="G66" s="3" t="n">
        <v>7955</v>
      </c>
      <c r="H66" t="n">
        <v>15</v>
      </c>
      <c r="I66" t="inlineStr">
        <is>
          <t>Passage des Écoles, BP 12</t>
        </is>
      </c>
      <c r="J66" t="inlineStr">
        <is>
          <t>05600</t>
        </is>
      </c>
      <c r="K66" t="inlineStr">
        <is>
          <t>Guillestre</t>
        </is>
      </c>
      <c r="L66" t="inlineStr">
        <is>
          <t>04 92 45 04 62</t>
        </is>
      </c>
      <c r="M66" s="4" t="inlineStr">
        <is>
          <t>contact@comcomgq.com</t>
        </is>
      </c>
      <c r="N66" s="4" t="inlineStr">
        <is>
          <t>https://www.ccguillestroisqueyras.fr/</t>
        </is>
      </c>
      <c r="O66" s="4" t="inlineStr">
        <is>
          <t>https://demarches.collectivites.hautes-alpes.fr/contacter-une-collectivite/saisine-par-voie-electronique-du-territoire/</t>
        </is>
      </c>
      <c r="P66" s="4" t="inlineStr">
        <is>
          <t>https://lannuaire.service-public.gouv.fr/provence-alpes-cote-d-azur/hautes-alpes/f1a383e3-8ad9-4073-8fd3-3c6bf61041c0</t>
        </is>
      </c>
      <c r="Q66" t="inlineStr">
        <is>
          <t>Annuaire Service-public.fr</t>
        </is>
      </c>
      <c r="R66" t="inlineStr"/>
      <c r="S66" t="inlineStr"/>
      <c r="T66" t="inlineStr"/>
    </row>
    <row r="67">
      <c r="A67" t="inlineStr">
        <is>
          <t>CC du Pays des Ecrins</t>
        </is>
      </c>
      <c r="B67" t="inlineStr">
        <is>
          <t>Communauté de communes</t>
        </is>
      </c>
      <c r="C67" t="inlineStr">
        <is>
          <t>240500462</t>
        </is>
      </c>
      <c r="D67" t="inlineStr">
        <is>
          <t>05</t>
        </is>
      </c>
      <c r="E67" t="inlineStr">
        <is>
          <t>Hautes-Alpes</t>
        </is>
      </c>
      <c r="F67" t="inlineStr">
        <is>
          <t>Provence-Alpes-Côte d'Azur</t>
        </is>
      </c>
      <c r="G67" s="3" t="n">
        <v>6582</v>
      </c>
      <c r="H67" t="n">
        <v>8</v>
      </c>
      <c r="I67" t="inlineStr">
        <is>
          <t>1 Rue du Dispensaire</t>
        </is>
      </c>
      <c r="J67" t="inlineStr">
        <is>
          <t>05120</t>
        </is>
      </c>
      <c r="K67" t="inlineStr">
        <is>
          <t>L'Argentière-la-Bessée</t>
        </is>
      </c>
      <c r="L67" t="inlineStr">
        <is>
          <t>04 92 23 11 17</t>
        </is>
      </c>
      <c r="M67" s="4" t="inlineStr">
        <is>
          <t>info@cc-paysdesecrins.com</t>
        </is>
      </c>
      <c r="N67" s="4" t="inlineStr">
        <is>
          <t>https://www.cc-paysdesecrins.fr/</t>
        </is>
      </c>
      <c r="O67" s="4" t="inlineStr">
        <is>
          <t>https://www.cc-paysdesecrins.fr/formulaire-de-contact</t>
        </is>
      </c>
      <c r="P67" s="4" t="inlineStr">
        <is>
          <t>https://lannuaire.service-public.gouv.fr/provence-alpes-cote-d-azur/hautes-alpes/b86879a2-252c-4810-88b3-b95922755984</t>
        </is>
      </c>
      <c r="Q67" t="inlineStr">
        <is>
          <t>Annuaire Service-public.fr</t>
        </is>
      </c>
      <c r="R67" t="inlineStr"/>
      <c r="S67" t="inlineStr"/>
      <c r="T67" t="inlineStr"/>
    </row>
    <row r="68">
      <c r="A68" t="inlineStr">
        <is>
          <t>CA Cannes Pays de Lérins</t>
        </is>
      </c>
      <c r="B68" t="inlineStr">
        <is>
          <t>Communauté d’agglomération</t>
        </is>
      </c>
      <c r="C68" t="inlineStr">
        <is>
          <t>200039915</t>
        </is>
      </c>
      <c r="D68" t="inlineStr">
        <is>
          <t>06</t>
        </is>
      </c>
      <c r="E68" t="inlineStr">
        <is>
          <t>Alpes-Maritimes</t>
        </is>
      </c>
      <c r="F68" t="inlineStr">
        <is>
          <t>Provence-Alpes-Côte d'Azur</t>
        </is>
      </c>
      <c r="G68" s="3" t="n">
        <v>156338</v>
      </c>
      <c r="H68" t="n">
        <v>5</v>
      </c>
      <c r="I68" t="inlineStr">
        <is>
          <t>Place Bernard-Cornut-Gentille</t>
        </is>
      </c>
      <c r="J68" t="inlineStr">
        <is>
          <t>06414</t>
        </is>
      </c>
      <c r="K68" t="inlineStr">
        <is>
          <t>Cannes</t>
        </is>
      </c>
      <c r="L68" t="inlineStr">
        <is>
          <t>04 89 82 27 00</t>
        </is>
      </c>
      <c r="M68" s="4" t="inlineStr">
        <is>
          <t>contact@cannespaysdelerins.fr</t>
        </is>
      </c>
      <c r="N68" s="4" t="inlineStr">
        <is>
          <t>https://cannespaysdelerins.fr/</t>
        </is>
      </c>
      <c r="O68" s="4" t="inlineStr">
        <is>
          <t>https://cannespaysdelerins.fr/index.php/contact/</t>
        </is>
      </c>
      <c r="P68" s="4" t="inlineStr">
        <is>
          <t>https://lannuaire.service-public.gouv.fr/provence-alpes-cote-d-azur/alpes-maritimes/c1c44a0d-3f55-4b32-ab49-63f0bcb62eba</t>
        </is>
      </c>
      <c r="Q68" t="inlineStr">
        <is>
          <t>Annuaire Service-public.fr</t>
        </is>
      </c>
      <c r="R68" t="inlineStr"/>
      <c r="S68" t="inlineStr"/>
      <c r="T68" t="inlineStr"/>
    </row>
    <row r="69">
      <c r="A69" t="inlineStr">
        <is>
          <t>CA de Sophia Antipolis</t>
        </is>
      </c>
      <c r="B69" t="inlineStr">
        <is>
          <t>Communauté d’agglomération</t>
        </is>
      </c>
      <c r="C69" t="inlineStr">
        <is>
          <t>240600585</t>
        </is>
      </c>
      <c r="D69" t="inlineStr">
        <is>
          <t>06</t>
        </is>
      </c>
      <c r="E69" t="inlineStr">
        <is>
          <t>Alpes-Maritimes</t>
        </is>
      </c>
      <c r="F69" t="inlineStr">
        <is>
          <t>Provence-Alpes-Côte d'Azur</t>
        </is>
      </c>
      <c r="G69" s="3" t="n">
        <v>183991</v>
      </c>
      <c r="H69" t="n">
        <v>24</v>
      </c>
      <c r="I69" t="inlineStr">
        <is>
          <t>Cours Masséna</t>
        </is>
      </c>
      <c r="J69" t="inlineStr">
        <is>
          <t>06606</t>
        </is>
      </c>
      <c r="K69" t="inlineStr">
        <is>
          <t>Antibes Cedex</t>
        </is>
      </c>
      <c r="L69" t="inlineStr">
        <is>
          <t>04 89 87 70 00</t>
        </is>
      </c>
      <c r="M69" s="4" t="inlineStr">
        <is>
          <t>info@agglo-casa.fr</t>
        </is>
      </c>
      <c r="N69" s="4" t="inlineStr">
        <is>
          <t>https://casa-infos.fr/</t>
        </is>
      </c>
      <c r="O69" s="4" t="inlineStr">
        <is>
          <t>https://casa-infos.fr/contact/</t>
        </is>
      </c>
      <c r="P69" s="4" t="inlineStr">
        <is>
          <t>https://lannuaire.service-public.gouv.fr/provence-alpes-cote-d-azur/alpes-maritimes/de9d08f3-a6b4-4a2f-adf3-da96975e07ae</t>
        </is>
      </c>
      <c r="Q69" t="inlineStr">
        <is>
          <t>Annuaire Service-public.fr</t>
        </is>
      </c>
      <c r="R69" t="inlineStr"/>
      <c r="S69" t="inlineStr"/>
      <c r="T69" t="inlineStr"/>
    </row>
    <row r="70">
      <c r="A70" t="inlineStr">
        <is>
          <t>CA de la Riviera Française</t>
        </is>
      </c>
      <c r="B70" t="inlineStr">
        <is>
          <t>Communauté d’agglomération</t>
        </is>
      </c>
      <c r="C70" t="inlineStr">
        <is>
          <t>240600551</t>
        </is>
      </c>
      <c r="D70" t="inlineStr">
        <is>
          <t>06</t>
        </is>
      </c>
      <c r="E70" t="inlineStr">
        <is>
          <t>Alpes-Maritimes</t>
        </is>
      </c>
      <c r="F70" t="inlineStr">
        <is>
          <t>Provence-Alpes-Côte d'Azur</t>
        </is>
      </c>
      <c r="G70" s="3" t="n">
        <v>72316</v>
      </c>
      <c r="H70" t="n">
        <v>15</v>
      </c>
      <c r="I70" t="inlineStr">
        <is>
          <t>16 rue Villarey</t>
        </is>
      </c>
      <c r="J70" t="inlineStr">
        <is>
          <t>06500</t>
        </is>
      </c>
      <c r="K70" t="inlineStr">
        <is>
          <t>Menton</t>
        </is>
      </c>
      <c r="L70" t="inlineStr">
        <is>
          <t>04 92 41 80 30</t>
        </is>
      </c>
      <c r="M70" s="4" t="inlineStr">
        <is>
          <t>direction.generale@carf.fr</t>
        </is>
      </c>
      <c r="N70" s="4" t="inlineStr">
        <is>
          <t>https://www.riviera-francaise.fr/</t>
        </is>
      </c>
      <c r="O70" t="inlineStr"/>
      <c r="P70" s="4" t="inlineStr">
        <is>
          <t>https://lannuaire.service-public.gouv.fr/provence-alpes-cote-d-azur/alpes-maritimes/43576eda-b638-4dc1-90ad-1f029e1645ee</t>
        </is>
      </c>
      <c r="Q70" t="inlineStr">
        <is>
          <t>Annuaire Service-public.fr</t>
        </is>
      </c>
      <c r="R70" t="inlineStr"/>
      <c r="S70" t="inlineStr"/>
      <c r="T70" t="inlineStr"/>
    </row>
    <row r="71">
      <c r="A71" t="inlineStr">
        <is>
          <t>CA du Pays de Grasse</t>
        </is>
      </c>
      <c r="B71" t="inlineStr">
        <is>
          <t>Communauté d’agglomération</t>
        </is>
      </c>
      <c r="C71" t="inlineStr">
        <is>
          <t>200039857</t>
        </is>
      </c>
      <c r="D71" t="inlineStr">
        <is>
          <t>06</t>
        </is>
      </c>
      <c r="E71" t="inlineStr">
        <is>
          <t>Alpes-Maritimes</t>
        </is>
      </c>
      <c r="F71" t="inlineStr">
        <is>
          <t>Provence-Alpes-Côte d'Azur</t>
        </is>
      </c>
      <c r="G71" s="3" t="n">
        <v>101897</v>
      </c>
      <c r="H71" t="n">
        <v>23</v>
      </c>
      <c r="I71" t="inlineStr">
        <is>
          <t>57 avenue Pierre-Semard</t>
        </is>
      </c>
      <c r="J71" t="inlineStr">
        <is>
          <t>06130</t>
        </is>
      </c>
      <c r="K71" t="inlineStr">
        <is>
          <t>Grasse</t>
        </is>
      </c>
      <c r="L71" t="inlineStr">
        <is>
          <t>04 97 05 22 00</t>
        </is>
      </c>
      <c r="M71" s="4" t="inlineStr">
        <is>
          <t>contact@paysdegrasse.fr</t>
        </is>
      </c>
      <c r="N71" s="4" t="inlineStr">
        <is>
          <t>http://www.paysdegrasse.fr</t>
        </is>
      </c>
      <c r="O71" t="inlineStr"/>
      <c r="P71" s="4" t="inlineStr">
        <is>
          <t>https://lannuaire.service-public.gouv.fr/provence-alpes-cote-d-azur/alpes-maritimes/17b17e6d-00a6-4796-87a9-9d35182bbea2</t>
        </is>
      </c>
      <c r="Q71" t="inlineStr">
        <is>
          <t>Annuaire Service-public.fr</t>
        </is>
      </c>
      <c r="R71" t="inlineStr"/>
      <c r="S71" t="inlineStr"/>
      <c r="T71" t="inlineStr"/>
    </row>
    <row r="72">
      <c r="A72" t="inlineStr">
        <is>
          <t>CC Alpes d'Azur</t>
        </is>
      </c>
      <c r="B72" t="inlineStr">
        <is>
          <t>Communauté de communes</t>
        </is>
      </c>
      <c r="C72" t="inlineStr">
        <is>
          <t>200039931</t>
        </is>
      </c>
      <c r="D72" t="inlineStr">
        <is>
          <t>06</t>
        </is>
      </c>
      <c r="E72" t="inlineStr">
        <is>
          <t>Alpes-Maritimes</t>
        </is>
      </c>
      <c r="F72" t="inlineStr">
        <is>
          <t>Provence-Alpes-Côte d'Azur</t>
        </is>
      </c>
      <c r="G72" s="3" t="n">
        <v>10015</v>
      </c>
      <c r="H72" t="n">
        <v>34</v>
      </c>
      <c r="I72" t="inlineStr">
        <is>
          <t>Place Conil</t>
        </is>
      </c>
      <c r="J72" t="inlineStr">
        <is>
          <t>06260</t>
        </is>
      </c>
      <c r="K72" t="inlineStr">
        <is>
          <t>Puget-Théniers</t>
        </is>
      </c>
      <c r="L72" t="inlineStr">
        <is>
          <t>04 93 05 02 81</t>
        </is>
      </c>
      <c r="M72" s="4" t="inlineStr">
        <is>
          <t>secretariat@alpesdazur.fr</t>
        </is>
      </c>
      <c r="N72" t="inlineStr"/>
      <c r="O72" t="inlineStr"/>
      <c r="P72" s="4" t="inlineStr">
        <is>
          <t>https://lannuaire.service-public.gouv.fr/provence-alpes-cote-d-azur/alpes-maritimes/cc6cd85a-0aa5-46df-b303-e8fdc3eb3349</t>
        </is>
      </c>
      <c r="Q72" t="inlineStr">
        <is>
          <t>Annuaire Service-public.fr</t>
        </is>
      </c>
      <c r="R72" t="inlineStr"/>
      <c r="S72" t="inlineStr"/>
      <c r="T72" t="inlineStr"/>
    </row>
    <row r="73">
      <c r="A73" t="inlineStr">
        <is>
          <t>CC du Pays des Paillons</t>
        </is>
      </c>
      <c r="B73" t="inlineStr">
        <is>
          <t>Communauté de communes</t>
        </is>
      </c>
      <c r="C73" t="inlineStr">
        <is>
          <t>240600593</t>
        </is>
      </c>
      <c r="D73" t="inlineStr">
        <is>
          <t>06</t>
        </is>
      </c>
      <c r="E73" t="inlineStr">
        <is>
          <t>Alpes-Maritimes</t>
        </is>
      </c>
      <c r="F73" t="inlineStr">
        <is>
          <t>Provence-Alpes-Côte d'Azur</t>
        </is>
      </c>
      <c r="G73" s="3" t="n">
        <v>21426</v>
      </c>
      <c r="H73" t="n">
        <v>11</v>
      </c>
      <c r="I73" t="inlineStr">
        <is>
          <t>55 bis route départementale 2204</t>
        </is>
      </c>
      <c r="J73" t="inlineStr">
        <is>
          <t>06440</t>
        </is>
      </c>
      <c r="K73" t="inlineStr">
        <is>
          <t>Blausasc</t>
        </is>
      </c>
      <c r="L73" t="inlineStr">
        <is>
          <t>04 92 00 75 80</t>
        </is>
      </c>
      <c r="M73" s="4" t="inlineStr">
        <is>
          <t>info@ccpp06.fr</t>
        </is>
      </c>
      <c r="N73" s="4" t="inlineStr">
        <is>
          <t>https://ccpp06.fr/</t>
        </is>
      </c>
      <c r="O73" t="inlineStr"/>
      <c r="P73" s="4" t="inlineStr">
        <is>
          <t>https://lannuaire.service-public.gouv.fr/provence-alpes-cote-d-azur/alpes-maritimes/86e12e8e-2004-41b6-b131-b76ee96330bd</t>
        </is>
      </c>
      <c r="Q73" t="inlineStr">
        <is>
          <t>Annuaire Service-public.fr</t>
        </is>
      </c>
      <c r="R73" t="inlineStr"/>
      <c r="S73" t="inlineStr"/>
      <c r="T73" t="inlineStr"/>
    </row>
    <row r="74">
      <c r="A74" t="inlineStr">
        <is>
          <t>Métropole Nice Côte d'Azur</t>
        </is>
      </c>
      <c r="B74" t="inlineStr">
        <is>
          <t>Métropole</t>
        </is>
      </c>
      <c r="C74" t="inlineStr">
        <is>
          <t>200030195</t>
        </is>
      </c>
      <c r="D74" t="inlineStr">
        <is>
          <t>06</t>
        </is>
      </c>
      <c r="E74" t="inlineStr">
        <is>
          <t>Alpes-Maritimes</t>
        </is>
      </c>
      <c r="F74" t="inlineStr">
        <is>
          <t>Provence-Alpes-Côte d'Azur</t>
        </is>
      </c>
      <c r="G74" s="3" t="n">
        <v>568596</v>
      </c>
      <c r="H74" t="n">
        <v>51</v>
      </c>
      <c r="I74" t="inlineStr">
        <is>
          <t>5 rue de l'Hôtel-de-Ville</t>
        </is>
      </c>
      <c r="J74" t="inlineStr">
        <is>
          <t>06300</t>
        </is>
      </c>
      <c r="K74" t="inlineStr">
        <is>
          <t>Nice</t>
        </is>
      </c>
      <c r="L74" t="inlineStr">
        <is>
          <t>04 89 98 10 00 / 39 06</t>
        </is>
      </c>
      <c r="M74" t="inlineStr"/>
      <c r="N74" s="4" t="inlineStr">
        <is>
          <t>https://www.nicecotedazur.org/</t>
        </is>
      </c>
      <c r="O74" s="4" t="inlineStr">
        <is>
          <t>https://www.nicecotedazur.org/contact/</t>
        </is>
      </c>
      <c r="P74" s="4" t="inlineStr">
        <is>
          <t>https://lannuaire.service-public.gouv.fr/provence-alpes-cote-d-azur/alpes-maritimes/ebf3793d-85cb-431c-bd02-b62a44a49e38</t>
        </is>
      </c>
      <c r="Q74" t="inlineStr">
        <is>
          <t>Annuaire Service-public.fr</t>
        </is>
      </c>
      <c r="R74" t="inlineStr"/>
      <c r="S74" t="inlineStr"/>
      <c r="T74" t="inlineStr"/>
    </row>
    <row r="75">
      <c r="A75" t="inlineStr">
        <is>
          <t>CA Annonay Rhône Agglo</t>
        </is>
      </c>
      <c r="B75" t="inlineStr">
        <is>
          <t>Communauté d’agglomération</t>
        </is>
      </c>
      <c r="C75" t="inlineStr">
        <is>
          <t>200072015</t>
        </is>
      </c>
      <c r="D75" t="inlineStr">
        <is>
          <t>07</t>
        </is>
      </c>
      <c r="E75" t="inlineStr">
        <is>
          <t>Ardèche</t>
        </is>
      </c>
      <c r="F75" t="inlineStr">
        <is>
          <t>Auvergne-Rhône-Alpes</t>
        </is>
      </c>
      <c r="G75" s="3" t="n">
        <v>50326</v>
      </c>
      <c r="H75" t="n">
        <v>29</v>
      </c>
      <c r="I75" t="inlineStr">
        <is>
          <t>Rue de la Lombardière, Château de la Lombardière, BP 8</t>
        </is>
      </c>
      <c r="J75" t="inlineStr">
        <is>
          <t>07430</t>
        </is>
      </c>
      <c r="K75" t="inlineStr">
        <is>
          <t>Davézieux</t>
        </is>
      </c>
      <c r="L75" t="inlineStr">
        <is>
          <t>04 75 67 55 57</t>
        </is>
      </c>
      <c r="M75" s="4" t="inlineStr">
        <is>
          <t>courrier.agglo@annonayrhoneagglo.fr</t>
        </is>
      </c>
      <c r="N75" s="4" t="inlineStr">
        <is>
          <t>https://www.annonayrhoneagglo.fr/</t>
        </is>
      </c>
      <c r="O75" s="4" t="inlineStr">
        <is>
          <t>https://www.annonayrhoneagglo.fr/contact</t>
        </is>
      </c>
      <c r="P75" s="4" t="inlineStr">
        <is>
          <t>https://lannuaire.service-public.gouv.fr/auvergne-rhone-alpes/ardeche/32e8b582-9501-4d7c-98c9-92acafbcddc5</t>
        </is>
      </c>
      <c r="Q75" t="inlineStr">
        <is>
          <t>Annuaire Service-public.fr</t>
        </is>
      </c>
      <c r="R75" t="inlineStr"/>
      <c r="S75" t="inlineStr"/>
      <c r="T75" t="inlineStr"/>
    </row>
    <row r="76">
      <c r="A76" t="inlineStr">
        <is>
          <t>CA Privas Centre Ardèche</t>
        </is>
      </c>
      <c r="B76" t="inlineStr">
        <is>
          <t>Communauté d’agglomération</t>
        </is>
      </c>
      <c r="C76" t="inlineStr">
        <is>
          <t>200071413</t>
        </is>
      </c>
      <c r="D76" t="inlineStr">
        <is>
          <t>07</t>
        </is>
      </c>
      <c r="E76" t="inlineStr">
        <is>
          <t>Ardèche</t>
        </is>
      </c>
      <c r="F76" t="inlineStr">
        <is>
          <t>Auvergne-Rhône-Alpes</t>
        </is>
      </c>
      <c r="G76" s="3" t="n">
        <v>44163</v>
      </c>
      <c r="H76" t="n">
        <v>42</v>
      </c>
      <c r="I76" t="inlineStr">
        <is>
          <t>1 rue Serre-du-Serret</t>
        </is>
      </c>
      <c r="J76" t="inlineStr">
        <is>
          <t>07003</t>
        </is>
      </c>
      <c r="K76" t="inlineStr">
        <is>
          <t>Privas</t>
        </is>
      </c>
      <c r="L76" t="inlineStr">
        <is>
          <t>04 75 64 07 07</t>
        </is>
      </c>
      <c r="M76" s="4" t="inlineStr">
        <is>
          <t>agglo@privas-centre-ardeche.fr</t>
        </is>
      </c>
      <c r="N76" s="4" t="inlineStr">
        <is>
          <t>https://www.privas-centre-ardeche.fr/</t>
        </is>
      </c>
      <c r="O76" s="4" t="inlineStr">
        <is>
          <t>https://www.privas-centre-ardeche.fr/contact/</t>
        </is>
      </c>
      <c r="P76" s="4" t="inlineStr">
        <is>
          <t>https://lannuaire.service-public.gouv.fr/auvergne-rhone-alpes/ardeche/f4c58669-23f8-4896-a814-5d48286ce7e5</t>
        </is>
      </c>
      <c r="Q76" t="inlineStr">
        <is>
          <t>Annuaire Service-public.fr</t>
        </is>
      </c>
      <c r="R76" t="inlineStr"/>
      <c r="S76" t="inlineStr"/>
      <c r="T76" t="inlineStr"/>
    </row>
    <row r="77">
      <c r="A77" t="inlineStr">
        <is>
          <t>CC Ardèche Rhône Coiron</t>
        </is>
      </c>
      <c r="B77" t="inlineStr">
        <is>
          <t>Communauté de communes</t>
        </is>
      </c>
      <c r="C77" t="inlineStr">
        <is>
          <t>200071405</t>
        </is>
      </c>
      <c r="D77" t="inlineStr">
        <is>
          <t>07</t>
        </is>
      </c>
      <c r="E77" t="inlineStr">
        <is>
          <t>Ardèche</t>
        </is>
      </c>
      <c r="F77" t="inlineStr">
        <is>
          <t>Auvergne-Rhône-Alpes</t>
        </is>
      </c>
      <c r="G77" s="3" t="n">
        <v>23067</v>
      </c>
      <c r="H77" t="n">
        <v>15</v>
      </c>
      <c r="I77" t="inlineStr">
        <is>
          <t>10 avenue de la Résistance</t>
        </is>
      </c>
      <c r="J77" t="inlineStr">
        <is>
          <t>07350</t>
        </is>
      </c>
      <c r="K77" t="inlineStr">
        <is>
          <t>Cruas</t>
        </is>
      </c>
      <c r="L77" t="inlineStr">
        <is>
          <t>04 75 00 04 11</t>
        </is>
      </c>
      <c r="M77" s="4" t="inlineStr">
        <is>
          <t>accueil@ardecherhonecoiron.fr</t>
        </is>
      </c>
      <c r="N77" s="4" t="inlineStr">
        <is>
          <t>https://www.ardecherhonecoiron.fr</t>
        </is>
      </c>
      <c r="O77" s="4" t="inlineStr">
        <is>
          <t>https://ardecherhonecoiron.fr/arcpratique/nous-contacter/</t>
        </is>
      </c>
      <c r="P77" s="4" t="inlineStr">
        <is>
          <t>https://lannuaire.service-public.gouv.fr/auvergne-rhone-alpes/ardeche/4fce06f8-3da5-4757-9b93-87bdb10057ef</t>
        </is>
      </c>
      <c r="Q77" t="inlineStr">
        <is>
          <t>Annuaire Service-public.fr</t>
        </is>
      </c>
      <c r="R77" t="inlineStr"/>
      <c r="S77" t="inlineStr"/>
      <c r="T77" t="inlineStr"/>
    </row>
    <row r="78">
      <c r="A78" t="inlineStr">
        <is>
          <t>CC Ardèche des Sources et Volcans</t>
        </is>
      </c>
      <c r="B78" t="inlineStr">
        <is>
          <t>Communauté de communes</t>
        </is>
      </c>
      <c r="C78" t="inlineStr">
        <is>
          <t>200039824</t>
        </is>
      </c>
      <c r="D78" t="inlineStr">
        <is>
          <t>07</t>
        </is>
      </c>
      <c r="E78" t="inlineStr">
        <is>
          <t>Ardèche</t>
        </is>
      </c>
      <c r="F78" t="inlineStr">
        <is>
          <t>Auvergne-Rhône-Alpes</t>
        </is>
      </c>
      <c r="G78" s="3" t="n">
        <v>9752</v>
      </c>
      <c r="H78" t="n">
        <v>16</v>
      </c>
      <c r="I78" t="inlineStr">
        <is>
          <t>12 rue Pouget</t>
        </is>
      </c>
      <c r="J78" t="inlineStr">
        <is>
          <t>07330</t>
        </is>
      </c>
      <c r="K78" t="inlineStr">
        <is>
          <t>Thueyts</t>
        </is>
      </c>
      <c r="L78" t="inlineStr">
        <is>
          <t>04 75 89 01 48</t>
        </is>
      </c>
      <c r="M78" s="4" t="inlineStr">
        <is>
          <t>cdc@asv-cdc.fr</t>
        </is>
      </c>
      <c r="N78" s="4" t="inlineStr">
        <is>
          <t>https://www.asv-cdc.fr/</t>
        </is>
      </c>
      <c r="O78" t="inlineStr"/>
      <c r="P78" s="4" t="inlineStr">
        <is>
          <t>https://lannuaire.service-public.gouv.fr/auvergne-rhone-alpes/ardeche/6c4315a8-3d18-4506-aa15-d739552f47b7</t>
        </is>
      </c>
      <c r="Q78" t="inlineStr">
        <is>
          <t>Annuaire Service-public.fr</t>
        </is>
      </c>
      <c r="R78" t="inlineStr"/>
      <c r="S78" t="inlineStr"/>
      <c r="T78" t="inlineStr"/>
    </row>
    <row r="79">
      <c r="A79" t="inlineStr">
        <is>
          <t>CC Berg et Coiron</t>
        </is>
      </c>
      <c r="B79" t="inlineStr">
        <is>
          <t>Communauté de communes</t>
        </is>
      </c>
      <c r="C79" t="inlineStr">
        <is>
          <t>240700815</t>
        </is>
      </c>
      <c r="D79" t="inlineStr">
        <is>
          <t>07</t>
        </is>
      </c>
      <c r="E79" t="inlineStr">
        <is>
          <t>Ardèche</t>
        </is>
      </c>
      <c r="F79" t="inlineStr">
        <is>
          <t>Auvergne-Rhône-Alpes</t>
        </is>
      </c>
      <c r="G79" s="3" t="n">
        <v>7981</v>
      </c>
      <c r="H79" t="n">
        <v>13</v>
      </c>
      <c r="I79" t="inlineStr">
        <is>
          <t>33 Grande rue, Hôtel Malmazet</t>
        </is>
      </c>
      <c r="J79" t="inlineStr">
        <is>
          <t>07170</t>
        </is>
      </c>
      <c r="K79" t="inlineStr">
        <is>
          <t>Villeneuve-de-Berg</t>
        </is>
      </c>
      <c r="L79" t="inlineStr">
        <is>
          <t>04 75 94 07 95</t>
        </is>
      </c>
      <c r="M79" s="4" t="inlineStr">
        <is>
          <t>contact@bergetcoiron.fr</t>
        </is>
      </c>
      <c r="N79" s="4" t="inlineStr">
        <is>
          <t>https://www.bergetcoiron.fr/</t>
        </is>
      </c>
      <c r="O79" s="4" t="inlineStr">
        <is>
          <t>https://www.bergetcoiron.fr/contact/</t>
        </is>
      </c>
      <c r="P79" s="4" t="inlineStr">
        <is>
          <t>https://lannuaire.service-public.gouv.fr/auvergne-rhone-alpes/ardeche/43372912-993d-4d5e-92e0-2ff3d4ecfe66</t>
        </is>
      </c>
      <c r="Q79" t="inlineStr">
        <is>
          <t>Annuaire Service-public.fr</t>
        </is>
      </c>
      <c r="R79" t="inlineStr"/>
      <c r="S79" t="inlineStr"/>
      <c r="T79" t="inlineStr"/>
    </row>
    <row r="80">
      <c r="A80" t="inlineStr">
        <is>
          <t>CC Montagne d'Ardèche</t>
        </is>
      </c>
      <c r="B80" t="inlineStr">
        <is>
          <t>Communauté de communes</t>
        </is>
      </c>
      <c r="C80" t="inlineStr">
        <is>
          <t>200072007</t>
        </is>
      </c>
      <c r="D80" t="inlineStr">
        <is>
          <t>07</t>
        </is>
      </c>
      <c r="E80" t="inlineStr">
        <is>
          <t>Ardèche</t>
        </is>
      </c>
      <c r="F80" t="inlineStr">
        <is>
          <t>Auvergne-Rhône-Alpes</t>
        </is>
      </c>
      <c r="G80" s="3" t="n">
        <v>4819</v>
      </c>
      <c r="H80" t="n">
        <v>28</v>
      </c>
      <c r="I80" t="inlineStr">
        <is>
          <t>620 rue de la zone artisanale Les Eygades</t>
        </is>
      </c>
      <c r="J80" t="inlineStr">
        <is>
          <t>07470</t>
        </is>
      </c>
      <c r="K80" t="inlineStr">
        <is>
          <t>Coucouron</t>
        </is>
      </c>
      <c r="L80" t="inlineStr">
        <is>
          <t>04 66 46 59 80</t>
        </is>
      </c>
      <c r="M80" s="4" t="inlineStr">
        <is>
          <t>accueil@montagne-ardeche.fr</t>
        </is>
      </c>
      <c r="N80" s="4" t="inlineStr">
        <is>
          <t>https://cc-montagne-ardeche.fr/</t>
        </is>
      </c>
      <c r="O80" s="4" t="inlineStr">
        <is>
          <t>https://cc-montagne-ardeche.fr/nous-contacter/</t>
        </is>
      </c>
      <c r="P80" s="4" t="inlineStr">
        <is>
          <t>https://lannuaire.service-public.gouv.fr/auvergne-rhone-alpes/ardeche/2d6f6313-26f9-415e-b96c-f461c18859d7</t>
        </is>
      </c>
      <c r="Q80" t="inlineStr">
        <is>
          <t>Annuaire Service-public.fr</t>
        </is>
      </c>
      <c r="R80" t="inlineStr"/>
      <c r="S80" t="inlineStr"/>
      <c r="T80" t="inlineStr"/>
    </row>
    <row r="81">
      <c r="A81" t="inlineStr">
        <is>
          <t>CC Pays des Vans en Cévennes</t>
        </is>
      </c>
      <c r="B81" t="inlineStr">
        <is>
          <t>Communauté de communes</t>
        </is>
      </c>
      <c r="C81" t="inlineStr">
        <is>
          <t>200039832</t>
        </is>
      </c>
      <c r="D81" t="inlineStr">
        <is>
          <t>07</t>
        </is>
      </c>
      <c r="E81" t="inlineStr">
        <is>
          <t>Ardèche</t>
        </is>
      </c>
      <c r="F81" t="inlineStr">
        <is>
          <t>Auvergne-Rhône-Alpes</t>
        </is>
      </c>
      <c r="G81" s="3" t="n">
        <v>9536</v>
      </c>
      <c r="H81" t="n">
        <v>15</v>
      </c>
      <c r="I81" t="inlineStr">
        <is>
          <t>110 place Fernand-Aubert</t>
        </is>
      </c>
      <c r="J81" t="inlineStr">
        <is>
          <t>07140</t>
        </is>
      </c>
      <c r="K81" t="inlineStr">
        <is>
          <t>Les Vans</t>
        </is>
      </c>
      <c r="L81" t="inlineStr">
        <is>
          <t>04 75 37 41 22</t>
        </is>
      </c>
      <c r="M81" s="4" t="inlineStr">
        <is>
          <t>accueil@cdc-vansencevennes.fr</t>
        </is>
      </c>
      <c r="N81" s="4" t="inlineStr">
        <is>
          <t>https://www.cdc-vansencevennes.fr/</t>
        </is>
      </c>
      <c r="O81" s="4" t="inlineStr">
        <is>
          <t>https://www.cdc-vansencevennes.fr/contact/</t>
        </is>
      </c>
      <c r="P81" s="4" t="inlineStr">
        <is>
          <t>https://lannuaire.service-public.gouv.fr/auvergne-rhone-alpes/ardeche/8764b263-cb33-4251-b329-cc11a820316d</t>
        </is>
      </c>
      <c r="Q81" t="inlineStr">
        <is>
          <t>Annuaire Service-public.fr</t>
        </is>
      </c>
      <c r="R81" t="inlineStr"/>
      <c r="S81" t="inlineStr"/>
      <c r="T81" t="inlineStr"/>
    </row>
    <row r="82">
      <c r="A82" t="inlineStr">
        <is>
          <t>CC Rhône Crussol</t>
        </is>
      </c>
      <c r="B82" t="inlineStr">
        <is>
          <t>Communauté de communes</t>
        </is>
      </c>
      <c r="C82" t="inlineStr">
        <is>
          <t>200041366</t>
        </is>
      </c>
      <c r="D82" t="inlineStr">
        <is>
          <t>07</t>
        </is>
      </c>
      <c r="E82" t="inlineStr">
        <is>
          <t>Ardèche</t>
        </is>
      </c>
      <c r="F82" t="inlineStr">
        <is>
          <t>Auvergne-Rhône-Alpes</t>
        </is>
      </c>
      <c r="G82" s="3" t="n">
        <v>34874</v>
      </c>
      <c r="H82" t="n">
        <v>13</v>
      </c>
      <c r="I82" t="inlineStr">
        <is>
          <t>1278 rue Henri-Dunant, BP 249</t>
        </is>
      </c>
      <c r="J82" t="inlineStr">
        <is>
          <t>07502</t>
        </is>
      </c>
      <c r="K82" t="inlineStr">
        <is>
          <t>Guilherand-Granges</t>
        </is>
      </c>
      <c r="L82" t="inlineStr">
        <is>
          <t>04 75 41 99 19</t>
        </is>
      </c>
      <c r="M82" s="4" t="inlineStr">
        <is>
          <t>contact@rhone-crussol.fr</t>
        </is>
      </c>
      <c r="N82" s="4" t="inlineStr">
        <is>
          <t>https://www.rhone-crussol.fr/contact/</t>
        </is>
      </c>
      <c r="O82" t="inlineStr"/>
      <c r="P82" s="4" t="inlineStr">
        <is>
          <t>https://lannuaire.service-public.gouv.fr/auvergne-rhone-alpes/ardeche/38b1041a-0102-4317-8e47-20608dffa8c6</t>
        </is>
      </c>
      <c r="Q82" t="inlineStr">
        <is>
          <t>Annuaire Service-public.fr</t>
        </is>
      </c>
      <c r="R82" t="inlineStr"/>
      <c r="S82" t="inlineStr"/>
      <c r="T82" t="inlineStr"/>
    </row>
    <row r="83">
      <c r="A83" t="inlineStr">
        <is>
          <t>CC Val Eyrieux</t>
        </is>
      </c>
      <c r="B83" t="inlineStr">
        <is>
          <t>Communauté de communes</t>
        </is>
      </c>
      <c r="C83" t="inlineStr">
        <is>
          <t>200041465</t>
        </is>
      </c>
      <c r="D83" t="inlineStr">
        <is>
          <t>07</t>
        </is>
      </c>
      <c r="E83" t="inlineStr">
        <is>
          <t>Ardèche</t>
        </is>
      </c>
      <c r="F83" t="inlineStr">
        <is>
          <t>Auvergne-Rhône-Alpes</t>
        </is>
      </c>
      <c r="G83" s="3" t="n">
        <v>12291</v>
      </c>
      <c r="H83" t="n">
        <v>29</v>
      </c>
      <c r="I83" t="inlineStr">
        <is>
          <t>21 avenue de Saunier</t>
        </is>
      </c>
      <c r="J83" t="inlineStr">
        <is>
          <t>07160</t>
        </is>
      </c>
      <c r="K83" t="inlineStr">
        <is>
          <t>Le Cheylard</t>
        </is>
      </c>
      <c r="L83" t="inlineStr">
        <is>
          <t>04 75 29 19 49</t>
        </is>
      </c>
      <c r="M83" s="4" t="inlineStr">
        <is>
          <t>accueil@valeyrieux.fr</t>
        </is>
      </c>
      <c r="N83" s="4" t="inlineStr">
        <is>
          <t>https://www.valeyrieux.fr/</t>
        </is>
      </c>
      <c r="O83" s="4" t="inlineStr">
        <is>
          <t>https://www.valeyrieux.fr/acc%C3%A8s/contact/</t>
        </is>
      </c>
      <c r="P83" s="4" t="inlineStr">
        <is>
          <t>https://lannuaire.service-public.gouv.fr/auvergne-rhone-alpes/ardeche/43e86c0e-8bca-4cfa-9d23-cdf3eea71026</t>
        </is>
      </c>
      <c r="Q83" t="inlineStr">
        <is>
          <t>Annuaire Service-public.fr</t>
        </is>
      </c>
      <c r="R83" t="inlineStr"/>
      <c r="S83" t="inlineStr"/>
      <c r="T83" t="inlineStr"/>
    </row>
    <row r="84">
      <c r="A84" t="inlineStr">
        <is>
          <t>CC Val de Ligne</t>
        </is>
      </c>
      <c r="B84" t="inlineStr">
        <is>
          <t>Communauté de communes</t>
        </is>
      </c>
      <c r="C84" t="inlineStr">
        <is>
          <t>240700617</t>
        </is>
      </c>
      <c r="D84" t="inlineStr">
        <is>
          <t>07</t>
        </is>
      </c>
      <c r="E84" t="inlineStr">
        <is>
          <t>Ardèche</t>
        </is>
      </c>
      <c r="F84" t="inlineStr">
        <is>
          <t>Auvergne-Rhône-Alpes</t>
        </is>
      </c>
      <c r="G84" s="3" t="n">
        <v>6048</v>
      </c>
      <c r="H84" t="n">
        <v>11</v>
      </c>
      <c r="I84" t="inlineStr">
        <is>
          <t>54 avenue de la République</t>
        </is>
      </c>
      <c r="J84" t="inlineStr">
        <is>
          <t>07110</t>
        </is>
      </c>
      <c r="K84" t="inlineStr">
        <is>
          <t>Largentière</t>
        </is>
      </c>
      <c r="L84" t="inlineStr">
        <is>
          <t>04 75 89 28 35</t>
        </is>
      </c>
      <c r="M84" s="4" t="inlineStr">
        <is>
          <t>secretariat@cc-valdeligne.fr</t>
        </is>
      </c>
      <c r="N84" s="4" t="inlineStr">
        <is>
          <t>https://cc-valdeligne.fr/</t>
        </is>
      </c>
      <c r="O84" t="inlineStr"/>
      <c r="P84" s="4" t="inlineStr">
        <is>
          <t>https://lannuaire.service-public.gouv.fr/auvergne-rhone-alpes/ardeche/b09fb200-1dfa-4b18-a988-a644e92938fd</t>
        </is>
      </c>
      <c r="Q84" t="inlineStr">
        <is>
          <t>Annuaire Service-public.fr</t>
        </is>
      </c>
      <c r="R84" t="inlineStr"/>
      <c r="S84" t="inlineStr"/>
      <c r="T84" t="inlineStr"/>
    </row>
    <row r="85">
      <c r="A85" t="inlineStr">
        <is>
          <t>CC des Gorges de l'Ardèche</t>
        </is>
      </c>
      <c r="B85" t="inlineStr">
        <is>
          <t>Communauté de communes</t>
        </is>
      </c>
      <c r="C85" t="inlineStr">
        <is>
          <t>200039808</t>
        </is>
      </c>
      <c r="D85" t="inlineStr">
        <is>
          <t>07</t>
        </is>
      </c>
      <c r="E85" t="inlineStr">
        <is>
          <t>Ardèche</t>
        </is>
      </c>
      <c r="F85" t="inlineStr">
        <is>
          <t>Auvergne-Rhône-Alpes</t>
        </is>
      </c>
      <c r="G85" s="3" t="n">
        <v>15681</v>
      </c>
      <c r="H85" t="n">
        <v>20</v>
      </c>
      <c r="I85" t="inlineStr">
        <is>
          <t>16 rue des Abeilles</t>
        </is>
      </c>
      <c r="J85" t="inlineStr">
        <is>
          <t>07150</t>
        </is>
      </c>
      <c r="K85" t="inlineStr">
        <is>
          <t>Vallon-Pont-d'Arc</t>
        </is>
      </c>
      <c r="L85" t="inlineStr">
        <is>
          <t>04 75 37 61 13</t>
        </is>
      </c>
      <c r="M85" s="4" t="inlineStr">
        <is>
          <t>info@cc-gorgesardeche.fr</t>
        </is>
      </c>
      <c r="N85" s="4" t="inlineStr">
        <is>
          <t>https://www.cc-gorgesardeche.fr/</t>
        </is>
      </c>
      <c r="O85" s="4" t="inlineStr">
        <is>
          <t>https://www.cc-gorgesardeche.fr/contact</t>
        </is>
      </c>
      <c r="P85" s="4" t="inlineStr">
        <is>
          <t>https://lannuaire.service-public.gouv.fr/auvergne-rhone-alpes/ardeche/b66cbf4d-bee5-4049-ae84-4230ca75b716</t>
        </is>
      </c>
      <c r="Q85" t="inlineStr">
        <is>
          <t>Annuaire Service-public.fr</t>
        </is>
      </c>
      <c r="R85" t="inlineStr"/>
      <c r="S85" t="inlineStr"/>
      <c r="T85" t="inlineStr"/>
    </row>
    <row r="86">
      <c r="A86" t="inlineStr">
        <is>
          <t>CC du Bassin d'Aubenas</t>
        </is>
      </c>
      <c r="B86" t="inlineStr">
        <is>
          <t>Communauté de communes</t>
        </is>
      </c>
      <c r="C86" t="inlineStr">
        <is>
          <t>200073245</t>
        </is>
      </c>
      <c r="D86" t="inlineStr">
        <is>
          <t>07</t>
        </is>
      </c>
      <c r="E86" t="inlineStr">
        <is>
          <t>Ardèche</t>
        </is>
      </c>
      <c r="F86" t="inlineStr">
        <is>
          <t>Auvergne-Rhône-Alpes</t>
        </is>
      </c>
      <c r="G86" s="3" t="n">
        <v>40748</v>
      </c>
      <c r="H86" t="n">
        <v>28</v>
      </c>
      <c r="I86" t="inlineStr">
        <is>
          <t>16 route de la Manufacture-Royale</t>
        </is>
      </c>
      <c r="J86" t="inlineStr">
        <is>
          <t>07200</t>
        </is>
      </c>
      <c r="K86" t="inlineStr">
        <is>
          <t>Ucel</t>
        </is>
      </c>
      <c r="L86" t="inlineStr">
        <is>
          <t>04 75 94 61 12</t>
        </is>
      </c>
      <c r="M86" s="4" t="inlineStr">
        <is>
          <t>contact@cdcba.fr</t>
        </is>
      </c>
      <c r="N86" s="4" t="inlineStr">
        <is>
          <t>https://www.bassin-aubenas.fr/</t>
        </is>
      </c>
      <c r="O86" s="4" t="inlineStr">
        <is>
          <t>https://www.bassin-aubenas.fr/en-un-clic/contact/</t>
        </is>
      </c>
      <c r="P86" s="4" t="inlineStr">
        <is>
          <t>https://lannuaire.service-public.gouv.fr/auvergne-rhone-alpes/ardeche/dfe75db7-153f-4726-b87f-ad01db701ca2</t>
        </is>
      </c>
      <c r="Q86" t="inlineStr">
        <is>
          <t>Annuaire Service-public.fr</t>
        </is>
      </c>
      <c r="R86" t="inlineStr"/>
      <c r="S86" t="inlineStr"/>
      <c r="T86" t="inlineStr"/>
    </row>
    <row r="87">
      <c r="A87" t="inlineStr">
        <is>
          <t>CC du Pays Beaume-Drobie</t>
        </is>
      </c>
      <c r="B87" t="inlineStr">
        <is>
          <t>Communauté de communes</t>
        </is>
      </c>
      <c r="C87" t="inlineStr">
        <is>
          <t>240700302</t>
        </is>
      </c>
      <c r="D87" t="inlineStr">
        <is>
          <t>07</t>
        </is>
      </c>
      <c r="E87" t="inlineStr">
        <is>
          <t>Ardèche</t>
        </is>
      </c>
      <c r="F87" t="inlineStr">
        <is>
          <t>Auvergne-Rhône-Alpes</t>
        </is>
      </c>
      <c r="G87" s="3" t="n">
        <v>9170</v>
      </c>
      <c r="H87" t="n">
        <v>19</v>
      </c>
      <c r="I87" t="inlineStr">
        <is>
          <t>134 montée de la Chastelanne</t>
        </is>
      </c>
      <c r="J87" t="inlineStr">
        <is>
          <t>07260</t>
        </is>
      </c>
      <c r="K87" t="inlineStr">
        <is>
          <t>Joyeuse</t>
        </is>
      </c>
      <c r="L87" t="inlineStr">
        <is>
          <t>04 75 89 80 80</t>
        </is>
      </c>
      <c r="M87" s="4" t="inlineStr">
        <is>
          <t>comcom@pays-beaumedrobie.com</t>
        </is>
      </c>
      <c r="N87" s="4" t="inlineStr">
        <is>
          <t>https://www.pays-beaumedrobie.com/</t>
        </is>
      </c>
      <c r="O87" s="4" t="inlineStr">
        <is>
          <t>https://www.pays-beaumedrobie.com/contact-horaires-ouverture/</t>
        </is>
      </c>
      <c r="P87" s="4" t="inlineStr">
        <is>
          <t>https://lannuaire.service-public.gouv.fr/auvergne-rhone-alpes/ardeche/25967d35-8b32-4719-8dfd-3399c4306b5a</t>
        </is>
      </c>
      <c r="Q87" t="inlineStr">
        <is>
          <t>Annuaire Service-public.fr</t>
        </is>
      </c>
      <c r="R87" t="inlineStr"/>
      <c r="S87" t="inlineStr"/>
      <c r="T87" t="inlineStr"/>
    </row>
    <row r="88">
      <c r="A88" t="inlineStr">
        <is>
          <t>CC du Pays de Lamastre</t>
        </is>
      </c>
      <c r="B88" t="inlineStr">
        <is>
          <t>Communauté de communes</t>
        </is>
      </c>
      <c r="C88" t="inlineStr">
        <is>
          <t>200016905</t>
        </is>
      </c>
      <c r="D88" t="inlineStr">
        <is>
          <t>07</t>
        </is>
      </c>
      <c r="E88" t="inlineStr">
        <is>
          <t>Ardèche</t>
        </is>
      </c>
      <c r="F88" t="inlineStr">
        <is>
          <t>Auvergne-Rhône-Alpes</t>
        </is>
      </c>
      <c r="G88" s="3" t="n">
        <v>6678</v>
      </c>
      <c r="H88" t="n">
        <v>11</v>
      </c>
      <c r="I88" t="inlineStr">
        <is>
          <t>26 avenue Boissy-d'Anglas</t>
        </is>
      </c>
      <c r="J88" t="inlineStr">
        <is>
          <t>07270</t>
        </is>
      </c>
      <c r="K88" t="inlineStr">
        <is>
          <t>Lamastre</t>
        </is>
      </c>
      <c r="L88" t="inlineStr">
        <is>
          <t>04 75 06 52 86</t>
        </is>
      </c>
      <c r="M88" s="4" t="inlineStr">
        <is>
          <t>cdclamastre@gmail.com</t>
        </is>
      </c>
      <c r="N88" s="4" t="inlineStr">
        <is>
          <t>https://comcompaysdelamastre.fr/</t>
        </is>
      </c>
      <c r="O88" s="4" t="inlineStr">
        <is>
          <t>https://comcompaysdelamastre.fr/contact</t>
        </is>
      </c>
      <c r="P88" s="4" t="inlineStr">
        <is>
          <t>https://lannuaire.service-public.gouv.fr/auvergne-rhone-alpes/ardeche/743f3c34-ac7b-4793-aa56-9c05ec6c1a99</t>
        </is>
      </c>
      <c r="Q88" t="inlineStr">
        <is>
          <t>Annuaire Service-public.fr</t>
        </is>
      </c>
      <c r="R88" t="inlineStr"/>
      <c r="S88" t="inlineStr"/>
      <c r="T88" t="inlineStr"/>
    </row>
    <row r="89">
      <c r="A89" t="inlineStr">
        <is>
          <t>CC du Rhône aux Gorges de l'Ardèche</t>
        </is>
      </c>
      <c r="B89" t="inlineStr">
        <is>
          <t>Communauté de communes</t>
        </is>
      </c>
      <c r="C89" t="inlineStr">
        <is>
          <t>240700864</t>
        </is>
      </c>
      <c r="D89" t="inlineStr">
        <is>
          <t>07</t>
        </is>
      </c>
      <c r="E89" t="inlineStr">
        <is>
          <t>Ardèche</t>
        </is>
      </c>
      <c r="F89" t="inlineStr">
        <is>
          <t>Auvergne-Rhône-Alpes</t>
        </is>
      </c>
      <c r="G89" s="3" t="n">
        <v>19145</v>
      </c>
      <c r="H89" t="n">
        <v>9</v>
      </c>
      <c r="I89" t="inlineStr">
        <is>
          <t>2 avenue Maréchal-Leclerc</t>
        </is>
      </c>
      <c r="J89" t="inlineStr">
        <is>
          <t>07700</t>
        </is>
      </c>
      <c r="K89" t="inlineStr">
        <is>
          <t>Bourg-Saint-Andéol</t>
        </is>
      </c>
      <c r="L89" t="inlineStr">
        <is>
          <t>04 75 54 57 05</t>
        </is>
      </c>
      <c r="M89" s="4" t="inlineStr">
        <is>
          <t>contact@ccdraga.fr</t>
        </is>
      </c>
      <c r="N89" s="4" t="inlineStr">
        <is>
          <t>https://www.ccdraga.fr/</t>
        </is>
      </c>
      <c r="O89" s="4" t="inlineStr">
        <is>
          <t>https://www.ccdraga.fr/contact</t>
        </is>
      </c>
      <c r="P89" s="4" t="inlineStr">
        <is>
          <t>https://lannuaire.service-public.gouv.fr/auvergne-rhone-alpes/ardeche/dbacef72-03b4-4e52-aec7-ad17767b71a9</t>
        </is>
      </c>
      <c r="Q89" t="inlineStr">
        <is>
          <t>Annuaire Service-public.fr</t>
        </is>
      </c>
      <c r="R89" t="inlineStr"/>
      <c r="S89" t="inlineStr"/>
      <c r="T89" t="inlineStr"/>
    </row>
    <row r="90">
      <c r="A90" t="inlineStr">
        <is>
          <t>CC du Val d'Ay</t>
        </is>
      </c>
      <c r="B90" t="inlineStr">
        <is>
          <t>Communauté de communes</t>
        </is>
      </c>
      <c r="C90" t="inlineStr">
        <is>
          <t>240700716</t>
        </is>
      </c>
      <c r="D90" t="inlineStr">
        <is>
          <t>07</t>
        </is>
      </c>
      <c r="E90" t="inlineStr">
        <is>
          <t>Ardèche</t>
        </is>
      </c>
      <c r="F90" t="inlineStr">
        <is>
          <t>Auvergne-Rhône-Alpes</t>
        </is>
      </c>
      <c r="G90" s="3" t="n">
        <v>5879</v>
      </c>
      <c r="H90" t="n">
        <v>8</v>
      </c>
      <c r="I90" t="inlineStr">
        <is>
          <t>380 route de Jaloine, Espace Jaloine</t>
        </is>
      </c>
      <c r="J90" t="inlineStr">
        <is>
          <t>07290</t>
        </is>
      </c>
      <c r="K90" t="inlineStr">
        <is>
          <t>Saint-Romain-d'Ay</t>
        </is>
      </c>
      <c r="L90" t="inlineStr">
        <is>
          <t>04 75 34 91 83</t>
        </is>
      </c>
      <c r="M90" s="4" t="inlineStr">
        <is>
          <t>secretariat@val-d-ay.fr</t>
        </is>
      </c>
      <c r="N90" s="4" t="inlineStr">
        <is>
          <t>https://www.val-d-ay.fr/</t>
        </is>
      </c>
      <c r="O90" t="inlineStr"/>
      <c r="P90" s="4" t="inlineStr">
        <is>
          <t>https://lannuaire.service-public.gouv.fr/auvergne-rhone-alpes/ardeche/d38ee1a0-474d-4333-b3d5-207d3b9f7d71</t>
        </is>
      </c>
      <c r="Q90" t="inlineStr">
        <is>
          <t>Annuaire Service-public.fr</t>
        </is>
      </c>
      <c r="R90" t="inlineStr"/>
      <c r="S90" t="inlineStr"/>
      <c r="T90" t="inlineStr"/>
    </row>
    <row r="91">
      <c r="A91" t="inlineStr">
        <is>
          <t>CA Arche Agglo</t>
        </is>
      </c>
      <c r="B91" t="inlineStr">
        <is>
          <t>Communauté d’agglomération</t>
        </is>
      </c>
      <c r="C91" t="inlineStr">
        <is>
          <t>200073096</t>
        </is>
      </c>
      <c r="D91" t="inlineStr">
        <is>
          <t>07, 26</t>
        </is>
      </c>
      <c r="E91" t="inlineStr">
        <is>
          <t>Ardèche, Drôme</t>
        </is>
      </c>
      <c r="F91" t="inlineStr">
        <is>
          <t>Auvergne-Rhône-Alpes</t>
        </is>
      </c>
      <c r="G91" s="3" t="n">
        <v>59079</v>
      </c>
      <c r="H91" t="n">
        <v>41</v>
      </c>
      <c r="I91" t="inlineStr">
        <is>
          <t>3 rue des Condamines</t>
        </is>
      </c>
      <c r="J91" t="inlineStr">
        <is>
          <t>07300</t>
        </is>
      </c>
      <c r="K91" t="inlineStr">
        <is>
          <t>Mauves</t>
        </is>
      </c>
      <c r="L91" t="inlineStr">
        <is>
          <t>04 26 78 78 78</t>
        </is>
      </c>
      <c r="M91" s="4" t="inlineStr">
        <is>
          <t>accueil@archeagglo.fr</t>
        </is>
      </c>
      <c r="N91" s="4" t="inlineStr">
        <is>
          <t>https://www.archeagglo.fr/</t>
        </is>
      </c>
      <c r="O91" s="4" t="inlineStr">
        <is>
          <t>https://www.archeagglo.fr/contact/</t>
        </is>
      </c>
      <c r="P91" s="4" t="inlineStr">
        <is>
          <t>https://lannuaire.service-public.gouv.fr/auvergne-rhone-alpes/ardeche/6d735793-e336-4a73-b68a-7a28983fd534</t>
        </is>
      </c>
      <c r="Q91" t="inlineStr">
        <is>
          <t>Annuaire Service-public.fr</t>
        </is>
      </c>
      <c r="R91" t="inlineStr"/>
      <c r="S91" t="inlineStr"/>
      <c r="T91" t="inlineStr"/>
    </row>
    <row r="92">
      <c r="A92" t="inlineStr">
        <is>
          <t>CC Porte de Dromardèche</t>
        </is>
      </c>
      <c r="B92" t="inlineStr">
        <is>
          <t>Communauté de communes</t>
        </is>
      </c>
      <c r="C92" t="inlineStr">
        <is>
          <t>200040491</t>
        </is>
      </c>
      <c r="D92" t="inlineStr">
        <is>
          <t>07, 26</t>
        </is>
      </c>
      <c r="E92" t="inlineStr">
        <is>
          <t>Ardèche, Drôme</t>
        </is>
      </c>
      <c r="F92" t="inlineStr">
        <is>
          <t>Auvergne-Rhône-Alpes</t>
        </is>
      </c>
      <c r="G92" s="3" t="n">
        <v>47996</v>
      </c>
      <c r="H92" t="n">
        <v>34</v>
      </c>
      <c r="I92" t="inlineStr">
        <is>
          <t>2 rue Françoise-Barré-Sinoussi, BP 4</t>
        </is>
      </c>
      <c r="J92" t="inlineStr">
        <is>
          <t>26241</t>
        </is>
      </c>
      <c r="K92" t="inlineStr">
        <is>
          <t>Saint-Vallier</t>
        </is>
      </c>
      <c r="L92" t="inlineStr">
        <is>
          <t>04 75 23 45 65</t>
        </is>
      </c>
      <c r="M92" s="4" t="inlineStr">
        <is>
          <t>contact@portededromardeche.fr</t>
        </is>
      </c>
      <c r="N92" s="4" t="inlineStr">
        <is>
          <t>https://www.portededromardeche.fr/</t>
        </is>
      </c>
      <c r="O92" s="4" t="inlineStr">
        <is>
          <t>https://www.portededromardeche.fr/contact/</t>
        </is>
      </c>
      <c r="P92" s="4" t="inlineStr">
        <is>
          <t>https://lannuaire.service-public.gouv.fr/auvergne-rhone-alpes/drome/6a25920f-2424-411a-b1c9-659963aacf39</t>
        </is>
      </c>
      <c r="Q92" t="inlineStr">
        <is>
          <t>Annuaire Service-public.fr</t>
        </is>
      </c>
      <c r="R92" t="inlineStr"/>
      <c r="S92" t="inlineStr"/>
      <c r="T92" t="inlineStr"/>
    </row>
    <row r="93">
      <c r="A93" t="inlineStr">
        <is>
          <t>CC de Cèze Cévennes</t>
        </is>
      </c>
      <c r="B93" t="inlineStr">
        <is>
          <t>Communauté de communes</t>
        </is>
      </c>
      <c r="C93" t="inlineStr">
        <is>
          <t>200035129</t>
        </is>
      </c>
      <c r="D93" t="inlineStr">
        <is>
          <t>07, 30</t>
        </is>
      </c>
      <c r="E93" t="inlineStr">
        <is>
          <t>Ardèche, Gard</t>
        </is>
      </c>
      <c r="F93" t="inlineStr">
        <is>
          <t>Occitanie, Auvergne-Rhône-Alpes</t>
        </is>
      </c>
      <c r="G93" s="3" t="n">
        <v>19141</v>
      </c>
      <c r="H93" t="n">
        <v>23</v>
      </c>
      <c r="I93" t="inlineStr">
        <is>
          <t>120 route d'Uzès-Prolongée</t>
        </is>
      </c>
      <c r="J93" t="inlineStr">
        <is>
          <t>30500</t>
        </is>
      </c>
      <c r="K93" t="inlineStr">
        <is>
          <t>Saint-Ambroix</t>
        </is>
      </c>
      <c r="L93" t="inlineStr">
        <is>
          <t>04 66 83 77 87</t>
        </is>
      </c>
      <c r="M93" s="4" t="inlineStr">
        <is>
          <t>info@ceze-cevennes.fr</t>
        </is>
      </c>
      <c r="N93" s="4" t="inlineStr">
        <is>
          <t>http://www.ceze-cevennes.fr</t>
        </is>
      </c>
      <c r="O93" s="4" t="inlineStr">
        <is>
          <t>http://www.ceze-cevennes.fr/fr/contact</t>
        </is>
      </c>
      <c r="P93" s="4" t="inlineStr">
        <is>
          <t>https://lannuaire.service-public.gouv.fr/occitanie/gard/f90ba09c-b30a-4323-ac10-573ec38c78e8</t>
        </is>
      </c>
      <c r="Q93" t="inlineStr">
        <is>
          <t>Annuaire Service-public.fr</t>
        </is>
      </c>
      <c r="R93" t="inlineStr"/>
      <c r="S93" t="inlineStr"/>
      <c r="T93" t="inlineStr"/>
    </row>
    <row r="94">
      <c r="A94" t="inlineStr">
        <is>
          <t>CA Ardenne Métropole</t>
        </is>
      </c>
      <c r="B94" t="inlineStr">
        <is>
          <t>Communauté d’agglomération</t>
        </is>
      </c>
      <c r="C94" t="inlineStr">
        <is>
          <t>200041630</t>
        </is>
      </c>
      <c r="D94" t="inlineStr">
        <is>
          <t>08</t>
        </is>
      </c>
      <c r="E94" t="inlineStr">
        <is>
          <t>Ardennes</t>
        </is>
      </c>
      <c r="F94" t="inlineStr">
        <is>
          <t>Grand Est</t>
        </is>
      </c>
      <c r="G94" s="3" t="n">
        <v>120380</v>
      </c>
      <c r="H94" t="n">
        <v>57</v>
      </c>
      <c r="I94" t="inlineStr">
        <is>
          <t>49 avenue Léon-Bourgeois</t>
        </is>
      </c>
      <c r="J94" t="inlineStr">
        <is>
          <t>08000</t>
        </is>
      </c>
      <c r="K94" t="inlineStr">
        <is>
          <t>Charleville-Mézières</t>
        </is>
      </c>
      <c r="L94" t="inlineStr">
        <is>
          <t>03 24 57 83 00</t>
        </is>
      </c>
      <c r="M94" s="4" t="inlineStr">
        <is>
          <t>accueil@ardenne-metropole.fr</t>
        </is>
      </c>
      <c r="N94" s="4" t="inlineStr">
        <is>
          <t>https://ardenne-metropole.fr/</t>
        </is>
      </c>
      <c r="O94" s="4" t="inlineStr">
        <is>
          <t>https://ardenne-metropole.fr/contact/</t>
        </is>
      </c>
      <c r="P94" s="4" t="inlineStr">
        <is>
          <t>https://lannuaire.service-public.gouv.fr/grand-est/ardennes/7c8fe83d-2f74-464a-8782-0d1c781a33a7</t>
        </is>
      </c>
      <c r="Q94" t="inlineStr">
        <is>
          <t>Annuaire Service-public.fr</t>
        </is>
      </c>
      <c r="R94" t="inlineStr"/>
      <c r="S94" t="inlineStr"/>
      <c r="T94" t="inlineStr"/>
    </row>
    <row r="95">
      <c r="A95" t="inlineStr">
        <is>
          <t>CC Ardenne, Rives de Meuse</t>
        </is>
      </c>
      <c r="B95" t="inlineStr">
        <is>
          <t>Communauté de communes</t>
        </is>
      </c>
      <c r="C95" t="inlineStr">
        <is>
          <t>240800821</t>
        </is>
      </c>
      <c r="D95" t="inlineStr">
        <is>
          <t>08</t>
        </is>
      </c>
      <c r="E95" t="inlineStr">
        <is>
          <t>Ardennes</t>
        </is>
      </c>
      <c r="F95" t="inlineStr">
        <is>
          <t>Grand Est</t>
        </is>
      </c>
      <c r="G95" s="3" t="n">
        <v>25753</v>
      </c>
      <c r="H95" t="n">
        <v>19</v>
      </c>
      <c r="I95" t="inlineStr">
        <is>
          <t>29 rue Méhul</t>
        </is>
      </c>
      <c r="J95" t="inlineStr">
        <is>
          <t>08600</t>
        </is>
      </c>
      <c r="K95" t="inlineStr">
        <is>
          <t>Givet</t>
        </is>
      </c>
      <c r="L95" t="inlineStr">
        <is>
          <t>03 24 41 50 90</t>
        </is>
      </c>
      <c r="M95" s="4" t="inlineStr">
        <is>
          <t>president@ardennerivesdemeuse.com</t>
        </is>
      </c>
      <c r="N95" s="4" t="inlineStr">
        <is>
          <t>https://www.ccarm.fr/</t>
        </is>
      </c>
      <c r="O95" t="inlineStr"/>
      <c r="P95" s="4" t="inlineStr">
        <is>
          <t>https://lannuaire.service-public.gouv.fr/grand-est/ardennes/77cee0dc-45af-4325-b11e-bbd31ab41804</t>
        </is>
      </c>
      <c r="Q95" t="inlineStr">
        <is>
          <t>Annuaire Service-public.fr</t>
        </is>
      </c>
      <c r="R95" t="inlineStr"/>
      <c r="S95" t="inlineStr"/>
      <c r="T95" t="inlineStr"/>
    </row>
    <row r="96">
      <c r="A96" t="inlineStr">
        <is>
          <t>CC Ardennes Thiérache</t>
        </is>
      </c>
      <c r="B96" t="inlineStr">
        <is>
          <t>Communauté de communes</t>
        </is>
      </c>
      <c r="C96" t="inlineStr">
        <is>
          <t>200041622</t>
        </is>
      </c>
      <c r="D96" t="inlineStr">
        <is>
          <t>08</t>
        </is>
      </c>
      <c r="E96" t="inlineStr">
        <is>
          <t>Ardennes</t>
        </is>
      </c>
      <c r="F96" t="inlineStr">
        <is>
          <t>Grand Est</t>
        </is>
      </c>
      <c r="G96" s="3" t="n">
        <v>9464</v>
      </c>
      <c r="H96" t="n">
        <v>37</v>
      </c>
      <c r="I96" t="inlineStr">
        <is>
          <t>6 impasse de la Fontaine, BP15</t>
        </is>
      </c>
      <c r="J96" t="inlineStr">
        <is>
          <t>08260</t>
        </is>
      </c>
      <c r="K96" t="inlineStr">
        <is>
          <t>Maubert-Fontaine</t>
        </is>
      </c>
      <c r="L96" t="inlineStr">
        <is>
          <t>03 24 26 13 31</t>
        </is>
      </c>
      <c r="M96" s="4" t="inlineStr">
        <is>
          <t>contact@ardennesthierache.fr</t>
        </is>
      </c>
      <c r="N96" s="4" t="inlineStr">
        <is>
          <t>https://www.ardennes-thierache.com/fr/</t>
        </is>
      </c>
      <c r="O96" t="inlineStr"/>
      <c r="P96" s="4" t="inlineStr">
        <is>
          <t>https://lannuaire.service-public.gouv.fr/grand-est/ardennes/7e2db839-ccc4-4d2d-a904-3f6d1bd8d7fb</t>
        </is>
      </c>
      <c r="Q96" t="inlineStr">
        <is>
          <t>Annuaire Service-public.fr</t>
        </is>
      </c>
      <c r="R96" t="inlineStr"/>
      <c r="S96" t="inlineStr"/>
      <c r="T96" t="inlineStr"/>
    </row>
    <row r="97">
      <c r="A97" t="inlineStr">
        <is>
          <t>CC Vallées et Plateau d'Ardenne</t>
        </is>
      </c>
      <c r="B97" t="inlineStr">
        <is>
          <t>Communauté de communes</t>
        </is>
      </c>
      <c r="C97" t="inlineStr">
        <is>
          <t>200067759</t>
        </is>
      </c>
      <c r="D97" t="inlineStr">
        <is>
          <t>08</t>
        </is>
      </c>
      <c r="E97" t="inlineStr">
        <is>
          <t>Ardennes</t>
        </is>
      </c>
      <c r="F97" t="inlineStr">
        <is>
          <t>Grand Est</t>
        </is>
      </c>
      <c r="G97" s="3" t="n">
        <v>23974</v>
      </c>
      <c r="H97" t="n">
        <v>31</v>
      </c>
      <c r="I97" t="inlineStr">
        <is>
          <t>6-8 rue de Montmorency, BP 41</t>
        </is>
      </c>
      <c r="J97" t="inlineStr">
        <is>
          <t>08230</t>
        </is>
      </c>
      <c r="K97" t="inlineStr">
        <is>
          <t>Rocroi</t>
        </is>
      </c>
      <c r="L97" t="inlineStr">
        <is>
          <t>03 24 54 59 12</t>
        </is>
      </c>
      <c r="M97" s="4" t="inlineStr">
        <is>
          <t>contact@ccvpa.fr</t>
        </is>
      </c>
      <c r="N97" s="4" t="inlineStr">
        <is>
          <t>https://www.cc-valleesetplateaudardenne.fr/</t>
        </is>
      </c>
      <c r="O97" s="4" t="inlineStr">
        <is>
          <t>https://www.cc-valleesetplateaudardenne.fr/contact/</t>
        </is>
      </c>
      <c r="P97" s="4" t="inlineStr">
        <is>
          <t>https://lannuaire.service-public.gouv.fr/grand-est/ardennes/9104cefb-5e49-442d-b7c8-e9442d61b37c</t>
        </is>
      </c>
      <c r="Q97" t="inlineStr">
        <is>
          <t>Annuaire Service-public.fr</t>
        </is>
      </c>
      <c r="R97" t="inlineStr"/>
      <c r="S97" t="inlineStr"/>
      <c r="T97" t="inlineStr"/>
    </row>
    <row r="98">
      <c r="A98" t="inlineStr">
        <is>
          <t>CC de l'Argonne Ardennaise</t>
        </is>
      </c>
      <c r="B98" t="inlineStr">
        <is>
          <t>Communauté de communes</t>
        </is>
      </c>
      <c r="C98" t="inlineStr">
        <is>
          <t>240800920</t>
        </is>
      </c>
      <c r="D98" t="inlineStr">
        <is>
          <t>08</t>
        </is>
      </c>
      <c r="E98" t="inlineStr">
        <is>
          <t>Ardennes</t>
        </is>
      </c>
      <c r="F98" t="inlineStr">
        <is>
          <t>Grand Est</t>
        </is>
      </c>
      <c r="G98" s="3" t="n">
        <v>16486</v>
      </c>
      <c r="H98" t="n">
        <v>95</v>
      </c>
      <c r="I98" t="inlineStr">
        <is>
          <t>44-46 rue du Chemin-Salé</t>
        </is>
      </c>
      <c r="J98" t="inlineStr">
        <is>
          <t>08400</t>
        </is>
      </c>
      <c r="K98" t="inlineStr">
        <is>
          <t>Vouziers</t>
        </is>
      </c>
      <c r="L98" t="inlineStr">
        <is>
          <t>03 24 30 23 94</t>
        </is>
      </c>
      <c r="M98" s="4" t="inlineStr">
        <is>
          <t>secretariat@argonne-ardennaise.fr</t>
        </is>
      </c>
      <c r="N98" s="4" t="inlineStr">
        <is>
          <t>https://www.argonne-ardennaise.fr/</t>
        </is>
      </c>
      <c r="O98" s="4" t="inlineStr">
        <is>
          <t>https://www.argonne-ardennaise.fr/contact</t>
        </is>
      </c>
      <c r="P98" s="4" t="inlineStr">
        <is>
          <t>https://lannuaire.service-public.gouv.fr/grand-est/ardennes/8985942b-ac12-4984-8602-da95a5422777</t>
        </is>
      </c>
      <c r="Q98" t="inlineStr">
        <is>
          <t>Annuaire Service-public.fr</t>
        </is>
      </c>
      <c r="R98" t="inlineStr"/>
      <c r="S98" t="inlineStr"/>
      <c r="T98" t="inlineStr"/>
    </row>
    <row r="99">
      <c r="A99" t="inlineStr">
        <is>
          <t>CC des Crêtes Préardennaises</t>
        </is>
      </c>
      <c r="B99" t="inlineStr">
        <is>
          <t>Communauté de communes</t>
        </is>
      </c>
      <c r="C99" t="inlineStr">
        <is>
          <t>240800862</t>
        </is>
      </c>
      <c r="D99" t="inlineStr">
        <is>
          <t>08</t>
        </is>
      </c>
      <c r="E99" t="inlineStr">
        <is>
          <t>Ardennes</t>
        </is>
      </c>
      <c r="F99" t="inlineStr">
        <is>
          <t>Grand Est</t>
        </is>
      </c>
      <c r="G99" s="3" t="n">
        <v>21654</v>
      </c>
      <c r="H99" t="n">
        <v>94</v>
      </c>
      <c r="I99" t="inlineStr">
        <is>
          <t>Rue de la Prairie</t>
        </is>
      </c>
      <c r="J99" t="inlineStr">
        <is>
          <t>08430</t>
        </is>
      </c>
      <c r="K99" t="inlineStr">
        <is>
          <t>Poix-Terron</t>
        </is>
      </c>
      <c r="L99" t="inlineStr">
        <is>
          <t>03 24 35 22 22</t>
        </is>
      </c>
      <c r="M99" s="4" t="inlineStr">
        <is>
          <t>communaute@lescretes.fr</t>
        </is>
      </c>
      <c r="N99" s="4" t="inlineStr">
        <is>
          <t>https://www.cretespreardennaises.fr/</t>
        </is>
      </c>
      <c r="O99" s="4" t="inlineStr">
        <is>
          <t>https://www.cretespreardennaises.fr/contact</t>
        </is>
      </c>
      <c r="P99" s="4" t="inlineStr">
        <is>
          <t>https://lannuaire.service-public.gouv.fr/grand-est/ardennes/dfd9b999-0d68-4512-a263-74a0d1c55606</t>
        </is>
      </c>
      <c r="Q99" t="inlineStr">
        <is>
          <t>Annuaire Service-public.fr</t>
        </is>
      </c>
      <c r="R99" t="inlineStr"/>
      <c r="S99" t="inlineStr"/>
      <c r="T99" t="inlineStr"/>
    </row>
    <row r="100">
      <c r="A100" t="inlineStr">
        <is>
          <t>CC des Portes du Luxembourg</t>
        </is>
      </c>
      <c r="B100" t="inlineStr">
        <is>
          <t>Communauté de communes</t>
        </is>
      </c>
      <c r="C100" t="inlineStr">
        <is>
          <t>240800847</t>
        </is>
      </c>
      <c r="D100" t="inlineStr">
        <is>
          <t>08</t>
        </is>
      </c>
      <c r="E100" t="inlineStr">
        <is>
          <t>Ardennes</t>
        </is>
      </c>
      <c r="F100" t="inlineStr">
        <is>
          <t>Grand Est</t>
        </is>
      </c>
      <c r="G100" s="3" t="n">
        <v>19472</v>
      </c>
      <c r="H100" t="n">
        <v>49</v>
      </c>
      <c r="I100" t="inlineStr">
        <is>
          <t>37 ter avenue du Général-de-Gaulle</t>
        </is>
      </c>
      <c r="J100" t="inlineStr">
        <is>
          <t>08110</t>
        </is>
      </c>
      <c r="K100" t="inlineStr">
        <is>
          <t>Carignan</t>
        </is>
      </c>
      <c r="L100" t="inlineStr">
        <is>
          <t>03 24 27 90 98</t>
        </is>
      </c>
      <c r="M100" s="4" t="inlineStr">
        <is>
          <t>contact@portesduluxembourg.fr</t>
        </is>
      </c>
      <c r="N100" s="4" t="inlineStr">
        <is>
          <t>https://www.portesduluxembourg.fr/</t>
        </is>
      </c>
      <c r="O100" s="4" t="inlineStr">
        <is>
          <t>https://www.portesduluxembourg.fr/contact</t>
        </is>
      </c>
      <c r="P100" s="4" t="inlineStr">
        <is>
          <t>https://lannuaire.service-public.gouv.fr/grand-est/ardennes/68883a3a-2f54-4ad1-841c-7c57294e4e4a</t>
        </is>
      </c>
      <c r="Q100" t="inlineStr">
        <is>
          <t>Annuaire Service-public.fr</t>
        </is>
      </c>
      <c r="R100" t="inlineStr"/>
      <c r="S100" t="inlineStr"/>
      <c r="T100" t="inlineStr"/>
    </row>
    <row r="101">
      <c r="A101" t="inlineStr">
        <is>
          <t>CC du Pays Rethélois</t>
        </is>
      </c>
      <c r="B101" t="inlineStr">
        <is>
          <t>Communauté de communes</t>
        </is>
      </c>
      <c r="C101" t="inlineStr">
        <is>
          <t>200043156</t>
        </is>
      </c>
      <c r="D101" t="inlineStr">
        <is>
          <t>08</t>
        </is>
      </c>
      <c r="E101" t="inlineStr">
        <is>
          <t>Ardennes</t>
        </is>
      </c>
      <c r="F101" t="inlineStr">
        <is>
          <t>Grand Est</t>
        </is>
      </c>
      <c r="G101" s="3" t="n">
        <v>30021</v>
      </c>
      <c r="H101" t="n">
        <v>65</v>
      </c>
      <c r="I101" t="inlineStr">
        <is>
          <t>30 avenue de Bourgoin</t>
        </is>
      </c>
      <c r="J101" t="inlineStr">
        <is>
          <t>08300</t>
        </is>
      </c>
      <c r="K101" t="inlineStr">
        <is>
          <t>Sault-les-Rethel</t>
        </is>
      </c>
      <c r="L101" t="inlineStr">
        <is>
          <t>03 52 10 01 00</t>
        </is>
      </c>
      <c r="M101" s="4" t="inlineStr">
        <is>
          <t>accueil@cc-paysrethelois.fr</t>
        </is>
      </c>
      <c r="N101" s="4" t="inlineStr">
        <is>
          <t>https://www.paysrethelois.fr/</t>
        </is>
      </c>
      <c r="O101" s="4" t="inlineStr">
        <is>
          <t>https://www.paysrethelois.fr/fr/contact.html</t>
        </is>
      </c>
      <c r="P101" s="4" t="inlineStr">
        <is>
          <t>https://lannuaire.service-public.gouv.fr/grand-est/ardennes/68db4071-884a-4992-8208-53648b268775</t>
        </is>
      </c>
      <c r="Q101" t="inlineStr">
        <is>
          <t>Annuaire Service-public.fr</t>
        </is>
      </c>
      <c r="R101" t="inlineStr"/>
      <c r="S101" t="inlineStr"/>
      <c r="T101" t="inlineStr"/>
    </row>
    <row r="102">
      <c r="A102" t="inlineStr">
        <is>
          <t>CA L'Agglo Foix-Varilhes</t>
        </is>
      </c>
      <c r="B102" t="inlineStr">
        <is>
          <t>Communauté d’agglomération</t>
        </is>
      </c>
      <c r="C102" t="inlineStr">
        <is>
          <t>200067791</t>
        </is>
      </c>
      <c r="D102" t="inlineStr">
        <is>
          <t>09</t>
        </is>
      </c>
      <c r="E102" t="inlineStr">
        <is>
          <t>Ariège</t>
        </is>
      </c>
      <c r="F102" t="inlineStr">
        <is>
          <t>Occitanie</t>
        </is>
      </c>
      <c r="G102" s="3" t="n">
        <v>32542</v>
      </c>
      <c r="H102" t="n">
        <v>42</v>
      </c>
      <c r="I102" t="inlineStr">
        <is>
          <t>1 A avenue du Général-de-Gaulle</t>
        </is>
      </c>
      <c r="J102" t="inlineStr">
        <is>
          <t>09000</t>
        </is>
      </c>
      <c r="K102" t="inlineStr">
        <is>
          <t>Foix</t>
        </is>
      </c>
      <c r="L102" t="inlineStr">
        <is>
          <t>05 34 09 09 30</t>
        </is>
      </c>
      <c r="M102" s="4" t="inlineStr">
        <is>
          <t>accueil@agglo-pfv.fr</t>
        </is>
      </c>
      <c r="N102" s="4" t="inlineStr">
        <is>
          <t>https://www.agglo-foix-varilhes.fr/</t>
        </is>
      </c>
      <c r="O102" s="4" t="inlineStr">
        <is>
          <t>https://www.agglo-foix-varilhes.fr/Contact/97/</t>
        </is>
      </c>
      <c r="P102" s="4" t="inlineStr">
        <is>
          <t>https://lannuaire.service-public.gouv.fr/occitanie/ariege/6fca2413-38c3-40ae-9ab8-08030aee6555</t>
        </is>
      </c>
      <c r="Q102" t="inlineStr">
        <is>
          <t>Annuaire Service-public.fr</t>
        </is>
      </c>
      <c r="R102" t="inlineStr"/>
      <c r="S102" t="inlineStr"/>
      <c r="T102" t="inlineStr"/>
    </row>
    <row r="103">
      <c r="A103" t="inlineStr">
        <is>
          <t>CC Arize Lèze</t>
        </is>
      </c>
      <c r="B103" t="inlineStr">
        <is>
          <t>Communauté de communes</t>
        </is>
      </c>
      <c r="C103" t="inlineStr">
        <is>
          <t>200066223</t>
        </is>
      </c>
      <c r="D103" t="inlineStr">
        <is>
          <t>09</t>
        </is>
      </c>
      <c r="E103" t="inlineStr">
        <is>
          <t>Ariège</t>
        </is>
      </c>
      <c r="F103" t="inlineStr">
        <is>
          <t>Occitanie</t>
        </is>
      </c>
      <c r="G103" s="3" t="n">
        <v>11064</v>
      </c>
      <c r="H103" t="n">
        <v>27</v>
      </c>
      <c r="I103" t="inlineStr">
        <is>
          <t>Route de Foix</t>
        </is>
      </c>
      <c r="J103" t="inlineStr">
        <is>
          <t>09130</t>
        </is>
      </c>
      <c r="K103" t="inlineStr">
        <is>
          <t>Le Fossat</t>
        </is>
      </c>
      <c r="L103" t="inlineStr">
        <is>
          <t>05 61 68 55 90</t>
        </is>
      </c>
      <c r="M103" s="4" t="inlineStr">
        <is>
          <t>accueil@arize-leze.fr</t>
        </is>
      </c>
      <c r="N103" s="4" t="inlineStr">
        <is>
          <t>https://www.arize-leze.fr/</t>
        </is>
      </c>
      <c r="O103" t="inlineStr"/>
      <c r="P103" s="4" t="inlineStr">
        <is>
          <t>https://lannuaire.service-public.gouv.fr/occitanie/ariege/2287290a-bed6-4da4-b92a-977289c5c76b</t>
        </is>
      </c>
      <c r="Q103" t="inlineStr">
        <is>
          <t>Annuaire Service-public.fr</t>
        </is>
      </c>
      <c r="R103" t="inlineStr"/>
      <c r="S103" t="inlineStr"/>
      <c r="T103" t="inlineStr"/>
    </row>
    <row r="104">
      <c r="A104" t="inlineStr">
        <is>
          <t>CC Couserans-Pyrénées</t>
        </is>
      </c>
      <c r="B104" t="inlineStr">
        <is>
          <t>Communauté de communes</t>
        </is>
      </c>
      <c r="C104" t="inlineStr">
        <is>
          <t>200067940</t>
        </is>
      </c>
      <c r="D104" t="inlineStr">
        <is>
          <t>09</t>
        </is>
      </c>
      <c r="E104" t="inlineStr">
        <is>
          <t>Ariège</t>
        </is>
      </c>
      <c r="F104" t="inlineStr">
        <is>
          <t>Occitanie</t>
        </is>
      </c>
      <c r="G104" s="3" t="n">
        <v>30003</v>
      </c>
      <c r="H104" t="n">
        <v>94</v>
      </c>
      <c r="I104" t="inlineStr">
        <is>
          <t>1 rue de l'Hôtel-Dieu</t>
        </is>
      </c>
      <c r="J104" t="inlineStr">
        <is>
          <t>09190</t>
        </is>
      </c>
      <c r="K104" t="inlineStr">
        <is>
          <t>Saint-Lizier</t>
        </is>
      </c>
      <c r="L104" t="inlineStr">
        <is>
          <t>05 61 66 71 62</t>
        </is>
      </c>
      <c r="M104" s="4" t="inlineStr">
        <is>
          <t>communaute.communes@couserans-pyrenees.fr</t>
        </is>
      </c>
      <c r="N104" s="4" t="inlineStr">
        <is>
          <t>https://couserans-pyrenees.fr</t>
        </is>
      </c>
      <c r="O104" s="4" t="inlineStr">
        <is>
          <t>https://couserans-pyrenees.fr/</t>
        </is>
      </c>
      <c r="P104" s="4" t="inlineStr">
        <is>
          <t>https://lannuaire.service-public.gouv.fr/occitanie/ariege/e35d3104-4882-4ce9-838e-081903db8cae</t>
        </is>
      </c>
      <c r="Q104" t="inlineStr">
        <is>
          <t>Annuaire Service-public.fr</t>
        </is>
      </c>
      <c r="R104" t="inlineStr"/>
      <c r="S104" t="inlineStr"/>
      <c r="T104" t="inlineStr"/>
    </row>
    <row r="105">
      <c r="A105" t="inlineStr">
        <is>
          <t>CC de la Haute Ariège</t>
        </is>
      </c>
      <c r="B105" t="inlineStr">
        <is>
          <t>Communauté de communes</t>
        </is>
      </c>
      <c r="C105" t="inlineStr">
        <is>
          <t>200066363</t>
        </is>
      </c>
      <c r="D105" t="inlineStr">
        <is>
          <t>09</t>
        </is>
      </c>
      <c r="E105" t="inlineStr">
        <is>
          <t>Ariège</t>
        </is>
      </c>
      <c r="F105" t="inlineStr">
        <is>
          <t>Occitanie</t>
        </is>
      </c>
      <c r="G105" s="3" t="n">
        <v>7149</v>
      </c>
      <c r="H105" t="n">
        <v>51</v>
      </c>
      <c r="I105" t="inlineStr">
        <is>
          <t>13 route nationale 20</t>
        </is>
      </c>
      <c r="J105" t="inlineStr">
        <is>
          <t>09250</t>
        </is>
      </c>
      <c r="K105" t="inlineStr">
        <is>
          <t>Luzenac</t>
        </is>
      </c>
      <c r="L105" t="inlineStr">
        <is>
          <t>05 61 64 68 00</t>
        </is>
      </c>
      <c r="M105" s="4" t="inlineStr">
        <is>
          <t>administration.generale@cc-hauteariege.fr</t>
        </is>
      </c>
      <c r="N105" s="4" t="inlineStr">
        <is>
          <t>https://cc-hauteariege.fr/</t>
        </is>
      </c>
      <c r="O105" s="4" t="inlineStr">
        <is>
          <t>https://cc-hauteariege.fr/@@contact</t>
        </is>
      </c>
      <c r="P105" s="4" t="inlineStr">
        <is>
          <t>https://lannuaire.service-public.gouv.fr/occitanie/ariege/856f3b71-e25a-4475-ba32-0d2e1156bf4e</t>
        </is>
      </c>
      <c r="Q105" t="inlineStr">
        <is>
          <t>Annuaire Service-public.fr</t>
        </is>
      </c>
      <c r="R105" t="inlineStr"/>
      <c r="S105" t="inlineStr"/>
      <c r="T105" t="inlineStr"/>
    </row>
    <row r="106">
      <c r="A106" t="inlineStr">
        <is>
          <t>CC des Portes d'Ariège Pyrénées</t>
        </is>
      </c>
      <c r="B106" t="inlineStr">
        <is>
          <t>Communauté de communes</t>
        </is>
      </c>
      <c r="C106" t="inlineStr">
        <is>
          <t>200066231</t>
        </is>
      </c>
      <c r="D106" t="inlineStr">
        <is>
          <t>09</t>
        </is>
      </c>
      <c r="E106" t="inlineStr">
        <is>
          <t>Ariège</t>
        </is>
      </c>
      <c r="F106" t="inlineStr">
        <is>
          <t>Occitanie</t>
        </is>
      </c>
      <c r="G106" s="3" t="n">
        <v>40642</v>
      </c>
      <c r="H106" t="n">
        <v>34</v>
      </c>
      <c r="I106" t="inlineStr">
        <is>
          <t>26 bis Boulevard Delcassé</t>
        </is>
      </c>
      <c r="J106" t="inlineStr">
        <is>
          <t>09100</t>
        </is>
      </c>
      <c r="K106" t="inlineStr">
        <is>
          <t>Pamiers</t>
        </is>
      </c>
      <c r="L106" t="inlineStr">
        <is>
          <t>05 34 01 21 73</t>
        </is>
      </c>
      <c r="M106" s="4" t="inlineStr">
        <is>
          <t>contact@ccpap.fr</t>
        </is>
      </c>
      <c r="N106" s="4" t="inlineStr">
        <is>
          <t>https://ccpap.fr/</t>
        </is>
      </c>
      <c r="O106" s="4" t="inlineStr">
        <is>
          <t>https://ccpap.fr/contactez-nous/</t>
        </is>
      </c>
      <c r="P106" s="4" t="inlineStr">
        <is>
          <t>https://lannuaire.service-public.gouv.fr/occitanie/ariege/f4533902-27a9-462f-a272-2926a5a11289</t>
        </is>
      </c>
      <c r="Q106" t="inlineStr">
        <is>
          <t>Annuaire Service-public.fr</t>
        </is>
      </c>
      <c r="R106" t="inlineStr"/>
      <c r="S106" t="inlineStr"/>
      <c r="T106" t="inlineStr"/>
    </row>
    <row r="107">
      <c r="A107" t="inlineStr">
        <is>
          <t>CC du Pays d'Olmes</t>
        </is>
      </c>
      <c r="B107" t="inlineStr">
        <is>
          <t>Communauté de communes</t>
        </is>
      </c>
      <c r="C107" t="inlineStr">
        <is>
          <t>240900464</t>
        </is>
      </c>
      <c r="D107" t="inlineStr">
        <is>
          <t>09</t>
        </is>
      </c>
      <c r="E107" t="inlineStr">
        <is>
          <t>Ariège</t>
        </is>
      </c>
      <c r="F107" t="inlineStr">
        <is>
          <t>Occitanie</t>
        </is>
      </c>
      <c r="G107" s="3" t="n">
        <v>14774</v>
      </c>
      <c r="H107" t="n">
        <v>24</v>
      </c>
      <c r="I107" t="inlineStr">
        <is>
          <t>1 chemin de la Coume, Hôtel d'entreprise</t>
        </is>
      </c>
      <c r="J107" t="inlineStr">
        <is>
          <t>09300</t>
        </is>
      </c>
      <c r="K107" t="inlineStr">
        <is>
          <t>Lavelanet</t>
        </is>
      </c>
      <c r="L107" t="inlineStr">
        <is>
          <t>05 34 09 33 80</t>
        </is>
      </c>
      <c r="M107" s="4" t="inlineStr">
        <is>
          <t>a.chacon@paysdolmes.org</t>
        </is>
      </c>
      <c r="N107" s="4" t="inlineStr">
        <is>
          <t>https://paysdolmes.org/fr/</t>
        </is>
      </c>
      <c r="O107" t="inlineStr"/>
      <c r="P107" s="4" t="inlineStr">
        <is>
          <t>https://lannuaire.service-public.gouv.fr/occitanie/ariege/5cdee43c-e61a-42c9-8038-658952fed55e</t>
        </is>
      </c>
      <c r="Q107" t="inlineStr">
        <is>
          <t>Annuaire Service-public.fr</t>
        </is>
      </c>
      <c r="R107" t="inlineStr"/>
      <c r="S107" t="inlineStr"/>
      <c r="T107" t="inlineStr"/>
    </row>
    <row r="108">
      <c r="A108" t="inlineStr">
        <is>
          <t>CC du Pays de Mirepoix</t>
        </is>
      </c>
      <c r="B108" t="inlineStr">
        <is>
          <t>Communauté de communes</t>
        </is>
      </c>
      <c r="C108" t="inlineStr">
        <is>
          <t>200044469</t>
        </is>
      </c>
      <c r="D108" t="inlineStr">
        <is>
          <t>09</t>
        </is>
      </c>
      <c r="E108" t="inlineStr">
        <is>
          <t>Ariège</t>
        </is>
      </c>
      <c r="F108" t="inlineStr">
        <is>
          <t>Occitanie</t>
        </is>
      </c>
      <c r="G108" s="3" t="n">
        <v>10584</v>
      </c>
      <c r="H108" t="n">
        <v>33</v>
      </c>
      <c r="I108" t="inlineStr">
        <is>
          <t>1 chemin de la Mestrise</t>
        </is>
      </c>
      <c r="J108" t="inlineStr">
        <is>
          <t>09500</t>
        </is>
      </c>
      <c r="K108" t="inlineStr">
        <is>
          <t>Mirepoix</t>
        </is>
      </c>
      <c r="L108" t="inlineStr">
        <is>
          <t>05 61 68 13 02</t>
        </is>
      </c>
      <c r="M108" s="4" t="inlineStr">
        <is>
          <t>contact@cc-paysdemirepoix.fr</t>
        </is>
      </c>
      <c r="N108" s="4" t="inlineStr">
        <is>
          <t>https://www.cc-paysdemirepoix.fr/</t>
        </is>
      </c>
      <c r="O108" s="4" t="inlineStr">
        <is>
          <t>https://www.cc-paysdemirepoix.fr/systeme/nous-contacter/</t>
        </is>
      </c>
      <c r="P108" s="4" t="inlineStr">
        <is>
          <t>https://lannuaire.service-public.gouv.fr/occitanie/ariege/2e58671c-5f19-4796-9c0b-415965e3f4fe</t>
        </is>
      </c>
      <c r="Q108" t="inlineStr">
        <is>
          <t>Annuaire Service-public.fr</t>
        </is>
      </c>
      <c r="R108" t="inlineStr"/>
      <c r="S108" t="inlineStr"/>
      <c r="T108" t="inlineStr"/>
    </row>
    <row r="109">
      <c r="A109" t="inlineStr">
        <is>
          <t>CC du Pays de Tarascon</t>
        </is>
      </c>
      <c r="B109" t="inlineStr">
        <is>
          <t>Communauté de communes</t>
        </is>
      </c>
      <c r="C109" t="inlineStr">
        <is>
          <t>240900431</t>
        </is>
      </c>
      <c r="D109" t="inlineStr">
        <is>
          <t>09</t>
        </is>
      </c>
      <c r="E109" t="inlineStr">
        <is>
          <t>Ariège</t>
        </is>
      </c>
      <c r="F109" t="inlineStr">
        <is>
          <t>Occitanie</t>
        </is>
      </c>
      <c r="G109" s="3" t="n">
        <v>8581</v>
      </c>
      <c r="H109" t="n">
        <v>20</v>
      </c>
      <c r="I109" t="inlineStr">
        <is>
          <t>19 avenue de Sabart, BP 30133</t>
        </is>
      </c>
      <c r="J109" t="inlineStr">
        <is>
          <t>09401</t>
        </is>
      </c>
      <c r="K109" t="inlineStr">
        <is>
          <t>Tarascon-sur-Ariège</t>
        </is>
      </c>
      <c r="L109" t="inlineStr">
        <is>
          <t>05 34 09 86 30</t>
        </is>
      </c>
      <c r="M109" s="4" t="inlineStr">
        <is>
          <t>contact@cc-paysdetarascon.fr</t>
        </is>
      </c>
      <c r="N109" s="4" t="inlineStr">
        <is>
          <t>https://www.cc-paysdetarascon.fr/</t>
        </is>
      </c>
      <c r="O109" s="4" t="inlineStr">
        <is>
          <t>https://www.cc-paysdetarascon.fr/contact/</t>
        </is>
      </c>
      <c r="P109" s="4" t="inlineStr">
        <is>
          <t>https://lannuaire.service-public.gouv.fr/occitanie/ariege/96a070e2-b832-435b-b43f-e01d9742073b</t>
        </is>
      </c>
      <c r="Q109" t="inlineStr">
        <is>
          <t>Annuaire Service-public.fr</t>
        </is>
      </c>
      <c r="R109" t="inlineStr"/>
      <c r="S109" t="inlineStr"/>
      <c r="T109" t="inlineStr"/>
    </row>
    <row r="110">
      <c r="A110" t="inlineStr">
        <is>
          <t>CA Troyes Champagne Métropole</t>
        </is>
      </c>
      <c r="B110" t="inlineStr">
        <is>
          <t>Communauté d’agglomération</t>
        </is>
      </c>
      <c r="C110" t="inlineStr">
        <is>
          <t>200069250</t>
        </is>
      </c>
      <c r="D110" t="inlineStr">
        <is>
          <t>10</t>
        </is>
      </c>
      <c r="E110" t="inlineStr">
        <is>
          <t>Aube</t>
        </is>
      </c>
      <c r="F110" t="inlineStr">
        <is>
          <t>Grand Est</t>
        </is>
      </c>
      <c r="G110" s="3" t="n">
        <v>175540</v>
      </c>
      <c r="H110" t="n">
        <v>81</v>
      </c>
      <c r="I110" t="inlineStr">
        <is>
          <t>1 place Robert-Galley</t>
        </is>
      </c>
      <c r="J110" t="inlineStr">
        <is>
          <t>10000</t>
        </is>
      </c>
      <c r="K110" t="inlineStr">
        <is>
          <t>Troyes</t>
        </is>
      </c>
      <c r="L110" t="inlineStr">
        <is>
          <t>03 25 45 27 27</t>
        </is>
      </c>
      <c r="M110" s="4" t="inlineStr">
        <is>
          <t>accueil.tcm@troyes-cm.fr</t>
        </is>
      </c>
      <c r="N110" s="4" t="inlineStr">
        <is>
          <t>https://troyes-champagne-metropole.fr/</t>
        </is>
      </c>
      <c r="O110" t="inlineStr"/>
      <c r="P110" s="4" t="inlineStr">
        <is>
          <t>https://lannuaire.service-public.gouv.fr/grand-est/aube/455d4194-6c9b-4b17-89a3-f2e19132a15d</t>
        </is>
      </c>
      <c r="Q110" t="inlineStr">
        <is>
          <t>Annuaire Service-public.fr</t>
        </is>
      </c>
      <c r="R110" t="inlineStr"/>
      <c r="S110" t="inlineStr"/>
      <c r="T110" t="inlineStr"/>
    </row>
    <row r="111">
      <c r="A111" t="inlineStr">
        <is>
          <t>CC Forêts, Lacs, Terres en Champagne</t>
        </is>
      </c>
      <c r="B111" t="inlineStr">
        <is>
          <t>Communauté de communes</t>
        </is>
      </c>
      <c r="C111" t="inlineStr">
        <is>
          <t>241000223</t>
        </is>
      </c>
      <c r="D111" t="inlineStr">
        <is>
          <t>10</t>
        </is>
      </c>
      <c r="E111" t="inlineStr">
        <is>
          <t>Aube</t>
        </is>
      </c>
      <c r="F111" t="inlineStr">
        <is>
          <t>Grand Est</t>
        </is>
      </c>
      <c r="G111" s="3" t="n">
        <v>6811</v>
      </c>
      <c r="H111" t="n">
        <v>15</v>
      </c>
      <c r="I111" t="inlineStr">
        <is>
          <t>2 bis rue Louis-Husson</t>
        </is>
      </c>
      <c r="J111" t="inlineStr">
        <is>
          <t>10220</t>
        </is>
      </c>
      <c r="K111" t="inlineStr">
        <is>
          <t>Piney</t>
        </is>
      </c>
      <c r="L111" t="inlineStr">
        <is>
          <t>03 25 73 65 81</t>
        </is>
      </c>
      <c r="M111" s="4" t="inlineStr">
        <is>
          <t>cdc.piney@ccpiney.fr</t>
        </is>
      </c>
      <c r="N111" s="4" t="inlineStr">
        <is>
          <t>https://www.foretslacsterresenchampagne.fr/index.php/fr/</t>
        </is>
      </c>
      <c r="O111" s="4" t="inlineStr">
        <is>
          <t>https://www.foretslacsterresenchampagne.fr/index.php/fr/</t>
        </is>
      </c>
      <c r="P111" s="4" t="inlineStr">
        <is>
          <t>https://lannuaire.service-public.gouv.fr/grand-est/aube/2e65c2cd-39a2-48e1-810b-ef10b649df14</t>
        </is>
      </c>
      <c r="Q111" t="inlineStr">
        <is>
          <t>Annuaire Service-public.fr</t>
        </is>
      </c>
      <c r="R111" t="inlineStr"/>
      <c r="S111" t="inlineStr"/>
      <c r="T111" t="inlineStr"/>
    </row>
    <row r="112">
      <c r="A112" t="inlineStr">
        <is>
          <t>CC Seine et Aube</t>
        </is>
      </c>
      <c r="B112" t="inlineStr">
        <is>
          <t>Communauté de communes</t>
        </is>
      </c>
      <c r="C112" t="inlineStr">
        <is>
          <t>200070126</t>
        </is>
      </c>
      <c r="D112" t="inlineStr">
        <is>
          <t>10</t>
        </is>
      </c>
      <c r="E112" t="inlineStr">
        <is>
          <t>Aube</t>
        </is>
      </c>
      <c r="F112" t="inlineStr">
        <is>
          <t>Grand Est</t>
        </is>
      </c>
      <c r="G112" s="3" t="n">
        <v>10213</v>
      </c>
      <c r="H112" t="n">
        <v>25</v>
      </c>
      <c r="I112" t="inlineStr">
        <is>
          <t>11 rue Delaitre</t>
        </is>
      </c>
      <c r="J112" t="inlineStr">
        <is>
          <t>10170</t>
        </is>
      </c>
      <c r="K112" t="inlineStr">
        <is>
          <t>Méry-sur-Seine</t>
        </is>
      </c>
      <c r="L112" t="inlineStr">
        <is>
          <t>03 25 25 25 15</t>
        </is>
      </c>
      <c r="M112" s="4" t="inlineStr">
        <is>
          <t>contact@comcomsa.fr</t>
        </is>
      </c>
      <c r="N112" s="4" t="inlineStr">
        <is>
          <t>https://www.ccseineetaube.fr/</t>
        </is>
      </c>
      <c r="O112" s="4" t="inlineStr">
        <is>
          <t>https://www.ccseineetaube.fr/contactez-nous</t>
        </is>
      </c>
      <c r="P112" s="4" t="inlineStr">
        <is>
          <t>https://lannuaire.service-public.gouv.fr/grand-est/aube/3b4f9e82-7efd-4770-ab96-3e3cbfa03eb3</t>
        </is>
      </c>
      <c r="Q112" t="inlineStr">
        <is>
          <t>Annuaire Service-public.fr</t>
        </is>
      </c>
      <c r="R112" t="inlineStr"/>
      <c r="S112" t="inlineStr"/>
      <c r="T112" t="inlineStr"/>
    </row>
    <row r="113">
      <c r="A113" t="inlineStr">
        <is>
          <t>CC d'Arcis, Mailly, Ramerupt</t>
        </is>
      </c>
      <c r="B113" t="inlineStr">
        <is>
          <t>Communauté de communes</t>
        </is>
      </c>
      <c r="C113" t="inlineStr">
        <is>
          <t>200071777</t>
        </is>
      </c>
      <c r="D113" t="inlineStr">
        <is>
          <t>10</t>
        </is>
      </c>
      <c r="E113" t="inlineStr">
        <is>
          <t>Aube</t>
        </is>
      </c>
      <c r="F113" t="inlineStr">
        <is>
          <t>Grand Est</t>
        </is>
      </c>
      <c r="G113" s="3" t="n">
        <v>11802</v>
      </c>
      <c r="H113" t="n">
        <v>39</v>
      </c>
      <c r="I113" t="inlineStr">
        <is>
          <t>5 rue Aristide-Briand</t>
        </is>
      </c>
      <c r="J113" t="inlineStr">
        <is>
          <t>10700</t>
        </is>
      </c>
      <c r="K113" t="inlineStr">
        <is>
          <t>Arcis-sur-Aube</t>
        </is>
      </c>
      <c r="L113" t="inlineStr">
        <is>
          <t>03 25 37 69 42</t>
        </is>
      </c>
      <c r="M113" s="4" t="inlineStr">
        <is>
          <t>contact@ccamr.fr</t>
        </is>
      </c>
      <c r="N113" s="4" t="inlineStr">
        <is>
          <t>https://www.arcismaillyramerupt.fr/</t>
        </is>
      </c>
      <c r="O113" s="4" t="inlineStr">
        <is>
          <t>https://www.arcismaillyramerupt.fr/contact/</t>
        </is>
      </c>
      <c r="P113" s="4" t="inlineStr">
        <is>
          <t>https://lannuaire.service-public.gouv.fr/grand-est/aube/0620de02-57a9-48f3-9794-dc71f660d2a6</t>
        </is>
      </c>
      <c r="Q113" t="inlineStr">
        <is>
          <t>Annuaire Service-public.fr</t>
        </is>
      </c>
      <c r="R113" t="inlineStr"/>
      <c r="S113" t="inlineStr"/>
      <c r="T113" t="inlineStr"/>
    </row>
    <row r="114">
      <c r="A114" t="inlineStr">
        <is>
          <t>CC de Vendeuvre-Soulaines</t>
        </is>
      </c>
      <c r="B114" t="inlineStr">
        <is>
          <t>Communauté de communes</t>
        </is>
      </c>
      <c r="C114" t="inlineStr">
        <is>
          <t>200066892</t>
        </is>
      </c>
      <c r="D114" t="inlineStr">
        <is>
          <t>10</t>
        </is>
      </c>
      <c r="E114" t="inlineStr">
        <is>
          <t>Aube</t>
        </is>
      </c>
      <c r="F114" t="inlineStr">
        <is>
          <t>Grand Est</t>
        </is>
      </c>
      <c r="G114" s="3" t="n">
        <v>7359</v>
      </c>
      <c r="H114" t="n">
        <v>38</v>
      </c>
      <c r="I114" t="inlineStr">
        <is>
          <t>Domaine Saint-Victor</t>
        </is>
      </c>
      <c r="J114" t="inlineStr">
        <is>
          <t>10200</t>
        </is>
      </c>
      <c r="K114" t="inlineStr">
        <is>
          <t>Soulaines-Dhuys</t>
        </is>
      </c>
      <c r="L114" t="inlineStr">
        <is>
          <t>03 25 92 59 40</t>
        </is>
      </c>
      <c r="M114" s="4" t="inlineStr">
        <is>
          <t>secretariat@ccvendeuvresoulaines.fr</t>
        </is>
      </c>
      <c r="N114" s="4" t="inlineStr">
        <is>
          <t>https://www.ccvendeuvresoulaines.fr/</t>
        </is>
      </c>
      <c r="O114" t="inlineStr"/>
      <c r="P114" s="4" t="inlineStr">
        <is>
          <t>https://lannuaire.service-public.gouv.fr/grand-est/aube/0dd59bdb-9349-4b46-b934-1c7ff8995942</t>
        </is>
      </c>
      <c r="Q114" t="inlineStr">
        <is>
          <t>Annuaire Service-public.fr</t>
        </is>
      </c>
      <c r="R114" t="inlineStr"/>
      <c r="S114" t="inlineStr"/>
      <c r="T114" t="inlineStr"/>
    </row>
    <row r="115">
      <c r="A115" t="inlineStr">
        <is>
          <t>CC de l'Orvin et de l'Ardusson</t>
        </is>
      </c>
      <c r="B115" t="inlineStr">
        <is>
          <t>Communauté de communes</t>
        </is>
      </c>
      <c r="C115" t="inlineStr">
        <is>
          <t>241000488</t>
        </is>
      </c>
      <c r="D115" t="inlineStr">
        <is>
          <t>10</t>
        </is>
      </c>
      <c r="E115" t="inlineStr">
        <is>
          <t>Aube</t>
        </is>
      </c>
      <c r="F115" t="inlineStr">
        <is>
          <t>Grand Est</t>
        </is>
      </c>
      <c r="G115" s="3" t="n">
        <v>8459</v>
      </c>
      <c r="H115" t="n">
        <v>25</v>
      </c>
      <c r="I115" t="inlineStr">
        <is>
          <t>3 rue Georges-Clemenceau</t>
        </is>
      </c>
      <c r="J115" t="inlineStr">
        <is>
          <t>10350</t>
        </is>
      </c>
      <c r="K115" t="inlineStr">
        <is>
          <t>Marigny-le-Châtel</t>
        </is>
      </c>
      <c r="L115" t="inlineStr">
        <is>
          <t>03 25 21 52 32</t>
        </is>
      </c>
      <c r="M115" s="4" t="inlineStr">
        <is>
          <t>secretariat@ccoa-aube.fr</t>
        </is>
      </c>
      <c r="N115" t="inlineStr"/>
      <c r="O115" t="inlineStr"/>
      <c r="P115" s="4" t="inlineStr">
        <is>
          <t>https://lannuaire.service-public.gouv.fr/grand-est/aube/f18d345c-6e9c-4e77-a86d-b2fef65e7fae</t>
        </is>
      </c>
      <c r="Q115" t="inlineStr">
        <is>
          <t>Annuaire Service-public.fr</t>
        </is>
      </c>
      <c r="R115" t="inlineStr"/>
      <c r="S115" t="inlineStr"/>
      <c r="T115" t="inlineStr"/>
    </row>
    <row r="116">
      <c r="A116" t="inlineStr">
        <is>
          <t>CC de la Région de Bar sur Aube</t>
        </is>
      </c>
      <c r="B116" t="inlineStr">
        <is>
          <t>Communauté de communes</t>
        </is>
      </c>
      <c r="C116" t="inlineStr">
        <is>
          <t>241000405</t>
        </is>
      </c>
      <c r="D116" t="inlineStr">
        <is>
          <t>10</t>
        </is>
      </c>
      <c r="E116" t="inlineStr">
        <is>
          <t>Aube</t>
        </is>
      </c>
      <c r="F116" t="inlineStr">
        <is>
          <t>Grand Est</t>
        </is>
      </c>
      <c r="G116" s="3" t="n">
        <v>10543</v>
      </c>
      <c r="H116" t="n">
        <v>27</v>
      </c>
      <c r="I116" t="inlineStr">
        <is>
          <t>4 boulevard du 14-Juillet</t>
        </is>
      </c>
      <c r="J116" t="inlineStr">
        <is>
          <t>10200</t>
        </is>
      </c>
      <c r="K116" t="inlineStr">
        <is>
          <t>Bar-sur-Aube</t>
        </is>
      </c>
      <c r="L116" t="inlineStr">
        <is>
          <t>03 25 27 81 24</t>
        </is>
      </c>
      <c r="M116" s="4" t="inlineStr">
        <is>
          <t>contact.ccrb@barsuraube.org</t>
        </is>
      </c>
      <c r="N116" s="4" t="inlineStr">
        <is>
          <t>https://www.barsuraube.org/</t>
        </is>
      </c>
      <c r="O116" s="4" t="inlineStr">
        <is>
          <t>https://www.barsuraube.org/contact</t>
        </is>
      </c>
      <c r="P116" s="4" t="inlineStr">
        <is>
          <t>https://lannuaire.service-public.gouv.fr/grand-est/aube/343b8090-2b8a-40e7-97ac-63f7a2740b61</t>
        </is>
      </c>
      <c r="Q116" t="inlineStr">
        <is>
          <t>Annuaire Service-public.fr</t>
        </is>
      </c>
      <c r="R116" t="inlineStr"/>
      <c r="S116" t="inlineStr"/>
      <c r="T116" t="inlineStr"/>
    </row>
    <row r="117">
      <c r="A117" t="inlineStr">
        <is>
          <t>CC des Lacs de Champagne</t>
        </is>
      </c>
      <c r="B117" t="inlineStr">
        <is>
          <t>Communauté de communes</t>
        </is>
      </c>
      <c r="C117" t="inlineStr">
        <is>
          <t>200040137</t>
        </is>
      </c>
      <c r="D117" t="inlineStr">
        <is>
          <t>10</t>
        </is>
      </c>
      <c r="E117" t="inlineStr">
        <is>
          <t>Aube</t>
        </is>
      </c>
      <c r="F117" t="inlineStr">
        <is>
          <t>Grand Est</t>
        </is>
      </c>
      <c r="G117" s="3" t="n">
        <v>8976</v>
      </c>
      <c r="H117" t="n">
        <v>43</v>
      </c>
      <c r="I117" t="inlineStr">
        <is>
          <t>3 rue Henri-Becquerel</t>
        </is>
      </c>
      <c r="J117" t="inlineStr">
        <is>
          <t>10500</t>
        </is>
      </c>
      <c r="K117" t="inlineStr">
        <is>
          <t>Brienne-le-Château</t>
        </is>
      </c>
      <c r="L117" t="inlineStr">
        <is>
          <t>03 25 27 91 93</t>
        </is>
      </c>
      <c r="M117" s="4" t="inlineStr">
        <is>
          <t>secretariat@cclacsdechampagne.fr</t>
        </is>
      </c>
      <c r="N117" s="4" t="inlineStr">
        <is>
          <t>https://www.cclacsdechampagne.fr</t>
        </is>
      </c>
      <c r="O117" t="inlineStr"/>
      <c r="P117" s="4" t="inlineStr">
        <is>
          <t>https://lannuaire.service-public.gouv.fr/grand-est/aube/08b1af14-18a6-4c52-800d-3fd76b369775</t>
        </is>
      </c>
      <c r="Q117" t="inlineStr">
        <is>
          <t>Annuaire Service-public.fr</t>
        </is>
      </c>
      <c r="R117" t="inlineStr"/>
      <c r="S117" t="inlineStr"/>
      <c r="T117" t="inlineStr"/>
    </row>
    <row r="118">
      <c r="A118" t="inlineStr">
        <is>
          <t>CC des Portes de Romilly sur Seine</t>
        </is>
      </c>
      <c r="B118" t="inlineStr">
        <is>
          <t>Communauté de communes</t>
        </is>
      </c>
      <c r="C118" t="inlineStr">
        <is>
          <t>200000545</t>
        </is>
      </c>
      <c r="D118" t="inlineStr">
        <is>
          <t>10</t>
        </is>
      </c>
      <c r="E118" t="inlineStr">
        <is>
          <t>Aube</t>
        </is>
      </c>
      <c r="F118" t="inlineStr">
        <is>
          <t>Grand Est</t>
        </is>
      </c>
      <c r="G118" s="3" t="n">
        <v>18846</v>
      </c>
      <c r="H118" t="n">
        <v>6</v>
      </c>
      <c r="I118" t="inlineStr">
        <is>
          <t>9 bis place des Martyrs-pour-la-Libération</t>
        </is>
      </c>
      <c r="J118" t="inlineStr">
        <is>
          <t>10100</t>
        </is>
      </c>
      <c r="K118" t="inlineStr">
        <is>
          <t>Romilly-sur-Seine</t>
        </is>
      </c>
      <c r="L118" t="inlineStr">
        <is>
          <t>03 25 39 53 56</t>
        </is>
      </c>
      <c r="M118" s="4" t="inlineStr">
        <is>
          <t>cc.portesderomilly@ccprs.fr</t>
        </is>
      </c>
      <c r="N118" s="4" t="inlineStr">
        <is>
          <t>https://ccprs.fr/</t>
        </is>
      </c>
      <c r="O118" s="4" t="inlineStr">
        <is>
          <t>https://ccprs.fr/contact</t>
        </is>
      </c>
      <c r="P118" s="4" t="inlineStr">
        <is>
          <t>https://lannuaire.service-public.gouv.fr/grand-est/aube/417c9f91-99bf-4e17-add4-18d8c1729f97</t>
        </is>
      </c>
      <c r="Q118" t="inlineStr">
        <is>
          <t>Annuaire Service-public.fr</t>
        </is>
      </c>
      <c r="R118" t="inlineStr"/>
      <c r="S118" t="inlineStr"/>
      <c r="T118" t="inlineStr"/>
    </row>
    <row r="119">
      <c r="A119" t="inlineStr">
        <is>
          <t>CC du Barséquanais en Champagne</t>
        </is>
      </c>
      <c r="B119" t="inlineStr">
        <is>
          <t>Communauté de communes</t>
        </is>
      </c>
      <c r="C119" t="inlineStr">
        <is>
          <t>200069003</t>
        </is>
      </c>
      <c r="D119" t="inlineStr">
        <is>
          <t>10</t>
        </is>
      </c>
      <c r="E119" t="inlineStr">
        <is>
          <t>Aube</t>
        </is>
      </c>
      <c r="F119" t="inlineStr">
        <is>
          <t>Grand Est</t>
        </is>
      </c>
      <c r="G119" s="3" t="n">
        <v>18320</v>
      </c>
      <c r="H119" t="n">
        <v>53</v>
      </c>
      <c r="I119" t="inlineStr">
        <is>
          <t>Espace Jean-Weinling</t>
        </is>
      </c>
      <c r="J119" t="inlineStr">
        <is>
          <t>10110</t>
        </is>
      </c>
      <c r="K119" t="inlineStr">
        <is>
          <t>Bar-sur-Seine</t>
        </is>
      </c>
      <c r="L119" t="inlineStr">
        <is>
          <t>03 25 38 26 74</t>
        </is>
      </c>
      <c r="M119" s="4" t="inlineStr">
        <is>
          <t>contact@cc-barsequanais.fr</t>
        </is>
      </c>
      <c r="N119" s="4" t="inlineStr">
        <is>
          <t>https://www.cc-barsequanais.fr</t>
        </is>
      </c>
      <c r="O119" s="4" t="inlineStr">
        <is>
          <t>https://www.cc-barsequanais.fr/contact/</t>
        </is>
      </c>
      <c r="P119" s="4" t="inlineStr">
        <is>
          <t>https://lannuaire.service-public.gouv.fr/grand-est/aube/9e3c0e6b-34a2-45be-b283-f9559a02c128</t>
        </is>
      </c>
      <c r="Q119" t="inlineStr">
        <is>
          <t>Annuaire Service-public.fr</t>
        </is>
      </c>
      <c r="R119" t="inlineStr"/>
      <c r="S119" t="inlineStr"/>
      <c r="T119" t="inlineStr"/>
    </row>
    <row r="120">
      <c r="A120" t="inlineStr">
        <is>
          <t>CC du Chaourçois et du Val d'Armance</t>
        </is>
      </c>
      <c r="B120" t="inlineStr">
        <is>
          <t>Communauté de communes</t>
        </is>
      </c>
      <c r="C120" t="inlineStr">
        <is>
          <t>200071041</t>
        </is>
      </c>
      <c r="D120" t="inlineStr">
        <is>
          <t>10</t>
        </is>
      </c>
      <c r="E120" t="inlineStr">
        <is>
          <t>Aube</t>
        </is>
      </c>
      <c r="F120" t="inlineStr">
        <is>
          <t>Grand Est</t>
        </is>
      </c>
      <c r="G120" s="3" t="n">
        <v>10293</v>
      </c>
      <c r="H120" t="n">
        <v>42</v>
      </c>
      <c r="I120" t="inlineStr">
        <is>
          <t>5 boulevard des Grands-Fossés, BP 1</t>
        </is>
      </c>
      <c r="J120" t="inlineStr">
        <is>
          <t>10130</t>
        </is>
      </c>
      <c r="K120" t="inlineStr">
        <is>
          <t>Ervy-le-Châtel</t>
        </is>
      </c>
      <c r="L120" t="inlineStr">
        <is>
          <t>03 25 70 63 34</t>
        </is>
      </c>
      <c r="M120" s="4" t="inlineStr">
        <is>
          <t>contact@cccva10.fr</t>
        </is>
      </c>
      <c r="N120" s="4" t="inlineStr">
        <is>
          <t>https://cc-chaourcois-val-armance.fr/</t>
        </is>
      </c>
      <c r="O120" s="4" t="inlineStr">
        <is>
          <t>https://cc-chaourcois-val-armance.fr/nous-contacter/</t>
        </is>
      </c>
      <c r="P120" s="4" t="inlineStr">
        <is>
          <t>https://lannuaire.service-public.gouv.fr/grand-est/aube/f3c75f31-d1aa-4d9e-9a87-6ae1259af2b6</t>
        </is>
      </c>
      <c r="Q120" t="inlineStr">
        <is>
          <t>Annuaire Service-public.fr</t>
        </is>
      </c>
      <c r="R120" t="inlineStr"/>
      <c r="S120" t="inlineStr"/>
      <c r="T120" t="inlineStr"/>
    </row>
    <row r="121">
      <c r="A121" t="inlineStr">
        <is>
          <t>CC du Nogentais</t>
        </is>
      </c>
      <c r="B121" t="inlineStr">
        <is>
          <t>Communauté de communes</t>
        </is>
      </c>
      <c r="C121" t="inlineStr">
        <is>
          <t>200006716</t>
        </is>
      </c>
      <c r="D121" t="inlineStr">
        <is>
          <t>10</t>
        </is>
      </c>
      <c r="E121" t="inlineStr">
        <is>
          <t>Aube</t>
        </is>
      </c>
      <c r="F121" t="inlineStr">
        <is>
          <t>Grand Est</t>
        </is>
      </c>
      <c r="G121" s="3" t="n">
        <v>16366</v>
      </c>
      <c r="H121" t="n">
        <v>23</v>
      </c>
      <c r="I121" t="inlineStr">
        <is>
          <t>9 rue de l'Étape-au-Vin</t>
        </is>
      </c>
      <c r="J121" t="inlineStr">
        <is>
          <t>10400</t>
        </is>
      </c>
      <c r="K121" t="inlineStr">
        <is>
          <t>Nogent-sur-Seine</t>
        </is>
      </c>
      <c r="L121" t="inlineStr">
        <is>
          <t>03 25 21 69 76</t>
        </is>
      </c>
      <c r="M121" s="4" t="inlineStr">
        <is>
          <t>contact@ccdunogentais.fr</t>
        </is>
      </c>
      <c r="N121" s="4" t="inlineStr">
        <is>
          <t>http://www.ccdunogentais.fr</t>
        </is>
      </c>
      <c r="O121" s="4" t="inlineStr">
        <is>
          <t>http://www.ccdunogentais.fr/contact</t>
        </is>
      </c>
      <c r="P121" s="4" t="inlineStr">
        <is>
          <t>https://lannuaire.service-public.gouv.fr/grand-est/aube/20e5ad00-c053-4514-a0af-3210bf4d1b5c</t>
        </is>
      </c>
      <c r="Q121" t="inlineStr">
        <is>
          <t>Annuaire Service-public.fr</t>
        </is>
      </c>
      <c r="R121" t="inlineStr"/>
      <c r="S121" t="inlineStr"/>
      <c r="T121" t="inlineStr"/>
    </row>
    <row r="122">
      <c r="A122" t="inlineStr">
        <is>
          <t>CC du Pays d'Othe</t>
        </is>
      </c>
      <c r="B122" t="inlineStr">
        <is>
          <t>Communauté de communes</t>
        </is>
      </c>
      <c r="C122" t="inlineStr">
        <is>
          <t>241000447</t>
        </is>
      </c>
      <c r="D122" t="inlineStr">
        <is>
          <t>10</t>
        </is>
      </c>
      <c r="E122" t="inlineStr">
        <is>
          <t>Aube</t>
        </is>
      </c>
      <c r="F122" t="inlineStr">
        <is>
          <t>Grand Est</t>
        </is>
      </c>
      <c r="G122" s="3" t="n">
        <v>7548</v>
      </c>
      <c r="H122" t="n">
        <v>14</v>
      </c>
      <c r="I122" t="inlineStr">
        <is>
          <t>27 avenue Tricoche-Maillard</t>
        </is>
      </c>
      <c r="J122" t="inlineStr">
        <is>
          <t>10160</t>
        </is>
      </c>
      <c r="K122" t="inlineStr">
        <is>
          <t>Aix-Villemaur-Pâlis</t>
        </is>
      </c>
      <c r="L122" t="inlineStr">
        <is>
          <t>03 25 46 70 63</t>
        </is>
      </c>
      <c r="M122" s="4" t="inlineStr">
        <is>
          <t>contact@cc-po.fr</t>
        </is>
      </c>
      <c r="N122" s="4" t="inlineStr">
        <is>
          <t>https://www.cdc-pays-othe.fr</t>
        </is>
      </c>
      <c r="O122" t="inlineStr"/>
      <c r="P122" s="4" t="inlineStr">
        <is>
          <t>https://lannuaire.service-public.gouv.fr/grand-est/aube/ab35d5db-7ddc-49a6-819b-8a69dc5e9e6a</t>
        </is>
      </c>
      <c r="Q122" t="inlineStr">
        <is>
          <t>Annuaire Service-public.fr</t>
        </is>
      </c>
      <c r="R122" t="inlineStr"/>
      <c r="S122" t="inlineStr"/>
      <c r="T122" t="inlineStr"/>
    </row>
    <row r="123">
      <c r="A123" t="inlineStr">
        <is>
          <t>CA Carcassonne Agglo</t>
        </is>
      </c>
      <c r="B123" t="inlineStr">
        <is>
          <t>Communauté d’agglomération</t>
        </is>
      </c>
      <c r="C123" t="inlineStr">
        <is>
          <t>200035715</t>
        </is>
      </c>
      <c r="D123" t="inlineStr">
        <is>
          <t>11</t>
        </is>
      </c>
      <c r="E123" t="inlineStr">
        <is>
          <t>Aude</t>
        </is>
      </c>
      <c r="F123" t="inlineStr">
        <is>
          <t>Occitanie</t>
        </is>
      </c>
      <c r="G123" s="3" t="n">
        <v>114411</v>
      </c>
      <c r="H123" t="n">
        <v>83</v>
      </c>
      <c r="I123" t="inlineStr">
        <is>
          <t>1 rue Pierre-Germain</t>
        </is>
      </c>
      <c r="J123" t="inlineStr">
        <is>
          <t>11890</t>
        </is>
      </c>
      <c r="K123" t="inlineStr">
        <is>
          <t>Carcassonne</t>
        </is>
      </c>
      <c r="L123" t="inlineStr">
        <is>
          <t>04 68 10 56 00</t>
        </is>
      </c>
      <c r="M123" s="4" t="inlineStr">
        <is>
          <t>cabinet@carcassone-agglo.fr</t>
        </is>
      </c>
      <c r="N123" s="4" t="inlineStr">
        <is>
          <t>https://www.carcassonne-agglo.fr</t>
        </is>
      </c>
      <c r="O123" s="4" t="inlineStr">
        <is>
          <t>https://www.carcassonne-agglo.fr/fr/contact.html</t>
        </is>
      </c>
      <c r="P123" s="4" t="inlineStr">
        <is>
          <t>https://lannuaire.service-public.gouv.fr/occitanie/aude/03ad4bc6-785f-4857-a955-6417151d37f2</t>
        </is>
      </c>
      <c r="Q123" t="inlineStr">
        <is>
          <t>Annuaire Service-public.fr</t>
        </is>
      </c>
      <c r="R123" t="inlineStr"/>
      <c r="S123" t="inlineStr"/>
      <c r="T123" t="inlineStr"/>
    </row>
    <row r="124">
      <c r="A124" t="inlineStr">
        <is>
          <t>CA Le Grand Narbonne</t>
        </is>
      </c>
      <c r="B124" t="inlineStr">
        <is>
          <t>Communauté d’agglomération</t>
        </is>
      </c>
      <c r="C124" t="inlineStr">
        <is>
          <t>241100593</t>
        </is>
      </c>
      <c r="D124" t="inlineStr">
        <is>
          <t>11</t>
        </is>
      </c>
      <c r="E124" t="inlineStr">
        <is>
          <t>Aude</t>
        </is>
      </c>
      <c r="F124" t="inlineStr">
        <is>
          <t>Occitanie</t>
        </is>
      </c>
      <c r="G124" s="3" t="n">
        <v>133006</v>
      </c>
      <c r="H124" t="n">
        <v>37</v>
      </c>
      <c r="I124" t="inlineStr">
        <is>
          <t>12 boulevard Frédéric-Mistral</t>
        </is>
      </c>
      <c r="J124" t="inlineStr">
        <is>
          <t>11100</t>
        </is>
      </c>
      <c r="K124" t="inlineStr">
        <is>
          <t>Narbonne</t>
        </is>
      </c>
      <c r="L124" t="inlineStr">
        <is>
          <t>04 68 58 14 58</t>
        </is>
      </c>
      <c r="M124" s="4" t="inlineStr">
        <is>
          <t>contact@legrandnarbonne.com</t>
        </is>
      </c>
      <c r="N124" s="4" t="inlineStr">
        <is>
          <t>https://www.legrandnarbonne.com/</t>
        </is>
      </c>
      <c r="O124" s="4" t="inlineStr">
        <is>
          <t>https://www.legrandnarbonne.com/contact</t>
        </is>
      </c>
      <c r="P124" s="4" t="inlineStr">
        <is>
          <t>https://lannuaire.service-public.gouv.fr/occitanie/aude/6e6204c9-67dc-4f94-bb06-454971b76038</t>
        </is>
      </c>
      <c r="Q124" t="inlineStr">
        <is>
          <t>Annuaire Service-public.fr</t>
        </is>
      </c>
      <c r="R124" t="inlineStr"/>
      <c r="S124" t="inlineStr"/>
      <c r="T124" t="inlineStr"/>
    </row>
    <row r="125">
      <c r="A125" t="inlineStr">
        <is>
          <t>CC Castelnaudary Lauragais Audois</t>
        </is>
      </c>
      <c r="B125" t="inlineStr">
        <is>
          <t>Communauté de communes</t>
        </is>
      </c>
      <c r="C125" t="inlineStr">
        <is>
          <t>200035855</t>
        </is>
      </c>
      <c r="D125" t="inlineStr">
        <is>
          <t>11</t>
        </is>
      </c>
      <c r="E125" t="inlineStr">
        <is>
          <t>Aude</t>
        </is>
      </c>
      <c r="F125" t="inlineStr">
        <is>
          <t>Occitanie</t>
        </is>
      </c>
      <c r="G125" s="3" t="n">
        <v>27777</v>
      </c>
      <c r="H125" t="n">
        <v>43</v>
      </c>
      <c r="I125" t="inlineStr">
        <is>
          <t>280 Avenue Gérard-Rouvière</t>
        </is>
      </c>
      <c r="J125" t="inlineStr">
        <is>
          <t>11490</t>
        </is>
      </c>
      <c r="K125" t="inlineStr">
        <is>
          <t>Castelnaudary</t>
        </is>
      </c>
      <c r="L125" t="inlineStr">
        <is>
          <t>04 68 23 68 43</t>
        </is>
      </c>
      <c r="M125" s="4" t="inlineStr">
        <is>
          <t>contact@cccla.fr</t>
        </is>
      </c>
      <c r="N125" s="4" t="inlineStr">
        <is>
          <t>https://www.cccla.fr/</t>
        </is>
      </c>
      <c r="O125" s="4" t="inlineStr">
        <is>
          <t>https://www.cccla.fr/contactez-la-cccla/page-6-accueil</t>
        </is>
      </c>
      <c r="P125" s="4" t="inlineStr">
        <is>
          <t>https://lannuaire.service-public.gouv.fr/occitanie/aude/726d47fb-7ab9-4ca8-abbf-3923b6e73242</t>
        </is>
      </c>
      <c r="Q125" t="inlineStr">
        <is>
          <t>Annuaire Service-public.fr</t>
        </is>
      </c>
      <c r="R125" t="inlineStr"/>
      <c r="S125" t="inlineStr"/>
      <c r="T125" t="inlineStr"/>
    </row>
    <row r="126">
      <c r="A126" t="inlineStr">
        <is>
          <t>CC Piège Lauragais Malepère</t>
        </is>
      </c>
      <c r="B126" t="inlineStr">
        <is>
          <t>Communauté de communes</t>
        </is>
      </c>
      <c r="C126" t="inlineStr">
        <is>
          <t>200035707</t>
        </is>
      </c>
      <c r="D126" t="inlineStr">
        <is>
          <t>11</t>
        </is>
      </c>
      <c r="E126" t="inlineStr">
        <is>
          <t>Aude</t>
        </is>
      </c>
      <c r="F126" t="inlineStr">
        <is>
          <t>Occitanie</t>
        </is>
      </c>
      <c r="G126" s="3" t="n">
        <v>16299</v>
      </c>
      <c r="H126" t="n">
        <v>38</v>
      </c>
      <c r="I126" t="inlineStr">
        <is>
          <t>62 rue Bonrepos</t>
        </is>
      </c>
      <c r="J126" t="inlineStr">
        <is>
          <t>11150</t>
        </is>
      </c>
      <c r="K126" t="inlineStr">
        <is>
          <t>Bram</t>
        </is>
      </c>
      <c r="L126" t="inlineStr">
        <is>
          <t>04 68 76 69 40</t>
        </is>
      </c>
      <c r="M126" s="4" t="inlineStr">
        <is>
          <t>contact@ccplm.fr</t>
        </is>
      </c>
      <c r="N126" s="4" t="inlineStr">
        <is>
          <t>https://ccplm.fr/</t>
        </is>
      </c>
      <c r="O126" t="inlineStr"/>
      <c r="P126" s="4" t="inlineStr">
        <is>
          <t>https://lannuaire.service-public.gouv.fr/occitanie/aude/3d50fc89-0d1d-4f82-a010-c1ce31f5e6e0</t>
        </is>
      </c>
      <c r="Q126" t="inlineStr">
        <is>
          <t>Annuaire Service-public.fr</t>
        </is>
      </c>
      <c r="R126" t="inlineStr"/>
      <c r="S126" t="inlineStr"/>
      <c r="T126" t="inlineStr"/>
    </row>
    <row r="127">
      <c r="A127" t="inlineStr">
        <is>
          <t>CC Pyrénées audoises</t>
        </is>
      </c>
      <c r="B127" t="inlineStr">
        <is>
          <t>Communauté de communes</t>
        </is>
      </c>
      <c r="C127" t="inlineStr">
        <is>
          <t>200043776</t>
        </is>
      </c>
      <c r="D127" t="inlineStr">
        <is>
          <t>11</t>
        </is>
      </c>
      <c r="E127" t="inlineStr">
        <is>
          <t>Aude</t>
        </is>
      </c>
      <c r="F127" t="inlineStr">
        <is>
          <t>Occitanie</t>
        </is>
      </c>
      <c r="G127" s="3" t="n">
        <v>13522</v>
      </c>
      <c r="H127" t="n">
        <v>61</v>
      </c>
      <c r="I127" t="inlineStr">
        <is>
          <t>1 avenue François-Mitterrand</t>
        </is>
      </c>
      <c r="J127" t="inlineStr">
        <is>
          <t>11500</t>
        </is>
      </c>
      <c r="K127" t="inlineStr">
        <is>
          <t>Quillan</t>
        </is>
      </c>
      <c r="L127" t="inlineStr">
        <is>
          <t>04 68 20 00 10</t>
        </is>
      </c>
      <c r="M127" s="4" t="inlineStr">
        <is>
          <t>accueil@pyreneesaudoises.fr</t>
        </is>
      </c>
      <c r="N127" s="4" t="inlineStr">
        <is>
          <t>https://www.pyreneesaudoises.fr/</t>
        </is>
      </c>
      <c r="O127" s="4" t="inlineStr">
        <is>
          <t>https://www.pyreneesaudoises.fr/contacts/</t>
        </is>
      </c>
      <c r="P127" s="4" t="inlineStr">
        <is>
          <t>https://lannuaire.service-public.gouv.fr/occitanie/aude/5ec4fde1-7eff-45a0-a36e-6174050f917a</t>
        </is>
      </c>
      <c r="Q127" t="inlineStr">
        <is>
          <t>Annuaire Service-public.fr</t>
        </is>
      </c>
      <c r="R127" t="inlineStr"/>
      <c r="S127" t="inlineStr"/>
      <c r="T127" t="inlineStr"/>
    </row>
    <row r="128">
      <c r="A128" t="inlineStr">
        <is>
          <t>CC Région Lézignanaise, Corbières et Minervois</t>
        </is>
      </c>
      <c r="B128" t="inlineStr">
        <is>
          <t>Communauté de communes</t>
        </is>
      </c>
      <c r="C128" t="inlineStr">
        <is>
          <t>200035863</t>
        </is>
      </c>
      <c r="D128" t="inlineStr">
        <is>
          <t>11</t>
        </is>
      </c>
      <c r="E128" t="inlineStr">
        <is>
          <t>Aude</t>
        </is>
      </c>
      <c r="F128" t="inlineStr">
        <is>
          <t>Occitanie</t>
        </is>
      </c>
      <c r="G128" s="3" t="n">
        <v>33313</v>
      </c>
      <c r="H128" t="n">
        <v>54</v>
      </c>
      <c r="I128" t="inlineStr">
        <is>
          <t>48 avenue Charles-Cros</t>
        </is>
      </c>
      <c r="J128" t="inlineStr">
        <is>
          <t>11200</t>
        </is>
      </c>
      <c r="K128" t="inlineStr">
        <is>
          <t>Lézignan</t>
        </is>
      </c>
      <c r="L128" t="inlineStr">
        <is>
          <t>04 68 27 03 35</t>
        </is>
      </c>
      <c r="M128" s="4" t="inlineStr">
        <is>
          <t>contact@ccrlcm.fr</t>
        </is>
      </c>
      <c r="N128" s="4" t="inlineStr">
        <is>
          <t>https://www.ccrlcm.fr/</t>
        </is>
      </c>
      <c r="O128" s="4" t="inlineStr">
        <is>
          <t>https://www.ccrlcm.fr/nous-contacter</t>
        </is>
      </c>
      <c r="P128" s="4" t="inlineStr">
        <is>
          <t>https://lannuaire.service-public.gouv.fr/occitanie/aude/b4e864ba-3f03-4c67-ac0f-218c26760981</t>
        </is>
      </c>
      <c r="Q128" t="inlineStr">
        <is>
          <t>Annuaire Service-public.fr</t>
        </is>
      </c>
      <c r="R128" t="inlineStr"/>
      <c r="S128" t="inlineStr"/>
      <c r="T128" t="inlineStr"/>
    </row>
    <row r="129">
      <c r="A129" t="inlineStr">
        <is>
          <t>CC de la Montagne Noire</t>
        </is>
      </c>
      <c r="B129" t="inlineStr">
        <is>
          <t>Communauté de communes</t>
        </is>
      </c>
      <c r="C129" t="inlineStr">
        <is>
          <t>200042463</t>
        </is>
      </c>
      <c r="D129" t="inlineStr">
        <is>
          <t>11</t>
        </is>
      </c>
      <c r="E129" t="inlineStr">
        <is>
          <t>Aude</t>
        </is>
      </c>
      <c r="F129" t="inlineStr">
        <is>
          <t>Occitanie</t>
        </is>
      </c>
      <c r="G129" s="3" t="n">
        <v>5972</v>
      </c>
      <c r="H129" t="n">
        <v>22</v>
      </c>
      <c r="I129" t="inlineStr">
        <is>
          <t>Route de Mas-Cabardès</t>
        </is>
      </c>
      <c r="J129" t="inlineStr">
        <is>
          <t>11380</t>
        </is>
      </c>
      <c r="K129" t="inlineStr">
        <is>
          <t>Les Ilhes</t>
        </is>
      </c>
      <c r="L129" t="inlineStr">
        <is>
          <t>04 68 11 12 40</t>
        </is>
      </c>
      <c r="M129" s="4" t="inlineStr">
        <is>
          <t>contact@cdcmontagnenoire.fr</t>
        </is>
      </c>
      <c r="N129" s="4" t="inlineStr">
        <is>
          <t>https://www.cdcmontagnenoire.fr/</t>
        </is>
      </c>
      <c r="O129" s="4" t="inlineStr">
        <is>
          <t>https://www.cdcmontagnenoire.fr/contactez-nous</t>
        </is>
      </c>
      <c r="P129" s="4" t="inlineStr">
        <is>
          <t>https://lannuaire.service-public.gouv.fr/occitanie/aude/78174971-4645-4030-9f8e-4ca4ec35d49d</t>
        </is>
      </c>
      <c r="Q129" t="inlineStr">
        <is>
          <t>Annuaire Service-public.fr</t>
        </is>
      </c>
      <c r="R129" t="inlineStr"/>
      <c r="S129" t="inlineStr"/>
      <c r="T129" t="inlineStr"/>
    </row>
    <row r="130">
      <c r="A130" t="inlineStr">
        <is>
          <t>CC du Limouxin</t>
        </is>
      </c>
      <c r="B130" t="inlineStr">
        <is>
          <t>Communauté de communes</t>
        </is>
      </c>
      <c r="C130" t="inlineStr">
        <is>
          <t>200071926</t>
        </is>
      </c>
      <c r="D130" t="inlineStr">
        <is>
          <t>11</t>
        </is>
      </c>
      <c r="E130" t="inlineStr">
        <is>
          <t>Aude</t>
        </is>
      </c>
      <c r="F130" t="inlineStr">
        <is>
          <t>Occitanie</t>
        </is>
      </c>
      <c r="G130" s="3" t="n">
        <v>27873</v>
      </c>
      <c r="H130" t="n">
        <v>76</v>
      </c>
      <c r="I130" t="inlineStr">
        <is>
          <t>2 place Alcantara</t>
        </is>
      </c>
      <c r="J130" t="inlineStr">
        <is>
          <t>11300</t>
        </is>
      </c>
      <c r="K130" t="inlineStr">
        <is>
          <t>Limoux</t>
        </is>
      </c>
      <c r="L130" t="inlineStr">
        <is>
          <t>04 68 31 40 78</t>
        </is>
      </c>
      <c r="M130" s="4" t="inlineStr">
        <is>
          <t>accueil@cc-limouxin.fr</t>
        </is>
      </c>
      <c r="N130" s="4" t="inlineStr">
        <is>
          <t>https://cc-limouxin.com/</t>
        </is>
      </c>
      <c r="O130" t="inlineStr"/>
      <c r="P130" s="4" t="inlineStr">
        <is>
          <t>https://lannuaire.service-public.gouv.fr/occitanie/aude/141a61ee-960e-4f72-82ed-28666a94277f</t>
        </is>
      </c>
      <c r="Q130" t="inlineStr">
        <is>
          <t>Annuaire Service-public.fr</t>
        </is>
      </c>
      <c r="R130" t="inlineStr"/>
      <c r="S130" t="inlineStr"/>
      <c r="T130" t="inlineStr"/>
    </row>
    <row r="131">
      <c r="A131" t="inlineStr">
        <is>
          <t>CC Aux sources du Canal du Midi</t>
        </is>
      </c>
      <c r="B131" t="inlineStr">
        <is>
          <t>Communauté de communes</t>
        </is>
      </c>
      <c r="C131" t="inlineStr">
        <is>
          <t>243100567</t>
        </is>
      </c>
      <c r="D131" t="inlineStr">
        <is>
          <t>11, 31, 81</t>
        </is>
      </c>
      <c r="E131" t="inlineStr">
        <is>
          <t>Aude, Haute-Garonne, Tarn</t>
        </is>
      </c>
      <c r="F131" t="inlineStr">
        <is>
          <t>Occitanie</t>
        </is>
      </c>
      <c r="G131" s="3" t="n">
        <v>21764</v>
      </c>
      <c r="H131" t="n">
        <v>28</v>
      </c>
      <c r="I131" t="inlineStr">
        <is>
          <t>20 rue Jean-Moulin</t>
        </is>
      </c>
      <c r="J131" t="inlineStr">
        <is>
          <t>31250</t>
        </is>
      </c>
      <c r="K131" t="inlineStr">
        <is>
          <t>Revel</t>
        </is>
      </c>
      <c r="L131" t="inlineStr">
        <is>
          <t>05 62 71 23 33</t>
        </is>
      </c>
      <c r="M131" s="4" t="inlineStr">
        <is>
          <t>accueil@revel-lauragais.com</t>
        </is>
      </c>
      <c r="N131" s="4" t="inlineStr">
        <is>
          <t>https://www.revel-lauragais.com/</t>
        </is>
      </c>
      <c r="O131" s="4" t="inlineStr">
        <is>
          <t>https://www.revel-lauragais.com/contactez-nous/</t>
        </is>
      </c>
      <c r="P131" s="4" t="inlineStr">
        <is>
          <t>https://lannuaire.service-public.gouv.fr/occitanie/haute-garonne/ee1cd0d2-3ba1-4b8b-824c-6a56373f9929</t>
        </is>
      </c>
      <c r="Q131" t="inlineStr">
        <is>
          <t>Annuaire Service-public.fr</t>
        </is>
      </c>
      <c r="R131" t="inlineStr"/>
      <c r="S131" t="inlineStr"/>
      <c r="T131" t="inlineStr"/>
    </row>
    <row r="132">
      <c r="A132" t="inlineStr">
        <is>
          <t>CC Corbières Salanque Méditerranée</t>
        </is>
      </c>
      <c r="B132" t="inlineStr">
        <is>
          <t>Communauté de communes</t>
        </is>
      </c>
      <c r="C132" t="inlineStr">
        <is>
          <t>200070365</t>
        </is>
      </c>
      <c r="D132" t="inlineStr">
        <is>
          <t>11, 66</t>
        </is>
      </c>
      <c r="E132" t="inlineStr">
        <is>
          <t>Aude, Pyrénées-Orientales</t>
        </is>
      </c>
      <c r="F132" t="inlineStr">
        <is>
          <t>Occitanie</t>
        </is>
      </c>
      <c r="G132" s="3" t="n">
        <v>25195</v>
      </c>
      <c r="H132" t="n">
        <v>21</v>
      </c>
      <c r="I132" t="inlineStr">
        <is>
          <t>41 chemin du Mas-Bordas</t>
        </is>
      </c>
      <c r="J132" t="inlineStr">
        <is>
          <t>66530</t>
        </is>
      </c>
      <c r="K132" t="inlineStr">
        <is>
          <t>Claira</t>
        </is>
      </c>
      <c r="L132" t="inlineStr">
        <is>
          <t>04 68 28 10 37</t>
        </is>
      </c>
      <c r="M132" s="4" t="inlineStr">
        <is>
          <t>accueil@c3sm.fr</t>
        </is>
      </c>
      <c r="N132" s="4" t="inlineStr">
        <is>
          <t>https://www.c3sm.fr/</t>
        </is>
      </c>
      <c r="O132" t="inlineStr"/>
      <c r="P132" s="4" t="inlineStr">
        <is>
          <t>https://lannuaire.service-public.gouv.fr/occitanie/pyrenees-orientales/69c22875-1407-4377-b729-ba132253e010</t>
        </is>
      </c>
      <c r="Q132" t="inlineStr">
        <is>
          <t>Annuaire Service-public.fr</t>
        </is>
      </c>
      <c r="R132" t="inlineStr"/>
      <c r="S132" t="inlineStr"/>
      <c r="T132" t="inlineStr"/>
    </row>
    <row r="133">
      <c r="A133" t="inlineStr">
        <is>
          <t>CA Rodez Agglomération</t>
        </is>
      </c>
      <c r="B133" t="inlineStr">
        <is>
          <t>Communauté d’agglomération</t>
        </is>
      </c>
      <c r="C133" t="inlineStr">
        <is>
          <t>241200187</t>
        </is>
      </c>
      <c r="D133" t="inlineStr">
        <is>
          <t>12</t>
        </is>
      </c>
      <c r="E133" t="inlineStr">
        <is>
          <t>Aveyron</t>
        </is>
      </c>
      <c r="F133" t="inlineStr">
        <is>
          <t>Occitanie</t>
        </is>
      </c>
      <c r="G133" s="3" t="n">
        <v>56303</v>
      </c>
      <c r="H133" t="n">
        <v>8</v>
      </c>
      <c r="I133" t="inlineStr">
        <is>
          <t>17 rue Aristide-Briand</t>
        </is>
      </c>
      <c r="J133" t="inlineStr">
        <is>
          <t>12035</t>
        </is>
      </c>
      <c r="K133" t="inlineStr">
        <is>
          <t>Rodez</t>
        </is>
      </c>
      <c r="L133" t="inlineStr">
        <is>
          <t>05 65 73 83 00</t>
        </is>
      </c>
      <c r="M133" s="4" t="inlineStr">
        <is>
          <t>rodezagglomeration@rodezagglo.fr</t>
        </is>
      </c>
      <c r="N133" s="4" t="inlineStr">
        <is>
          <t>https://www.rodezagglo.fr</t>
        </is>
      </c>
      <c r="O133" s="4" t="inlineStr">
        <is>
          <t>https://www.rodezagglo.fr/contact/</t>
        </is>
      </c>
      <c r="P133" s="4" t="inlineStr">
        <is>
          <t>https://lannuaire.service-public.gouv.fr/occitanie/aveyron/577968cc-400a-46b5-804c-f0d6db15efb6</t>
        </is>
      </c>
      <c r="Q133" t="inlineStr">
        <is>
          <t>Annuaire Service-public.fr</t>
        </is>
      </c>
      <c r="R133" t="inlineStr"/>
      <c r="S133" t="inlineStr"/>
      <c r="T133" t="inlineStr"/>
    </row>
    <row r="134">
      <c r="A134" t="inlineStr">
        <is>
          <t>CC Aubrac, Carladez et Viadène</t>
        </is>
      </c>
      <c r="B134" t="inlineStr">
        <is>
          <t>Communauté de communes</t>
        </is>
      </c>
      <c r="C134" t="inlineStr">
        <is>
          <t>200067171</t>
        </is>
      </c>
      <c r="D134" t="inlineStr">
        <is>
          <t>12</t>
        </is>
      </c>
      <c r="E134" t="inlineStr">
        <is>
          <t>Aveyron</t>
        </is>
      </c>
      <c r="F134" t="inlineStr">
        <is>
          <t>Occitanie</t>
        </is>
      </c>
      <c r="G134" s="3" t="n">
        <v>9928</v>
      </c>
      <c r="H134" t="n">
        <v>21</v>
      </c>
      <c r="I134" t="inlineStr">
        <is>
          <t>1 rue du Faubourg</t>
        </is>
      </c>
      <c r="J134" t="inlineStr">
        <is>
          <t>12210</t>
        </is>
      </c>
      <c r="K134" t="inlineStr">
        <is>
          <t>Laguiole</t>
        </is>
      </c>
      <c r="L134" t="inlineStr">
        <is>
          <t>05 65 51 52 30</t>
        </is>
      </c>
      <c r="M134" s="4" t="inlineStr">
        <is>
          <t>contact@ccacv.fr</t>
        </is>
      </c>
      <c r="N134" s="4" t="inlineStr">
        <is>
          <t>https://www.ccacv.fr/</t>
        </is>
      </c>
      <c r="O134" s="4" t="inlineStr">
        <is>
          <t>https://www.ccacv.fr/contact/</t>
        </is>
      </c>
      <c r="P134" s="4" t="inlineStr">
        <is>
          <t>https://lannuaire.service-public.gouv.fr/occitanie/aveyron/a52840bc-48ac-455f-bba0-e1dd5632dca7</t>
        </is>
      </c>
      <c r="Q134" t="inlineStr">
        <is>
          <t>Annuaire Service-public.fr</t>
        </is>
      </c>
      <c r="R134" t="inlineStr"/>
      <c r="S134" t="inlineStr"/>
      <c r="T134" t="inlineStr"/>
    </row>
    <row r="135">
      <c r="A135" t="inlineStr">
        <is>
          <t>CC Aveyron Bas Ségala Viaur</t>
        </is>
      </c>
      <c r="B135" t="inlineStr">
        <is>
          <t>Communauté de communes</t>
        </is>
      </c>
      <c r="C135" t="inlineStr">
        <is>
          <t>241200807</t>
        </is>
      </c>
      <c r="D135" t="inlineStr">
        <is>
          <t>12</t>
        </is>
      </c>
      <c r="E135" t="inlineStr">
        <is>
          <t>Aveyron</t>
        </is>
      </c>
      <c r="F135" t="inlineStr">
        <is>
          <t>Occitanie</t>
        </is>
      </c>
      <c r="G135" s="3" t="n">
        <v>5573</v>
      </c>
      <c r="H135" t="n">
        <v>7</v>
      </c>
      <c r="I135" t="inlineStr">
        <is>
          <t>3 rue du Balat</t>
        </is>
      </c>
      <c r="J135" t="inlineStr">
        <is>
          <t>12240</t>
        </is>
      </c>
      <c r="K135" t="inlineStr">
        <is>
          <t>Rieupeyroux</t>
        </is>
      </c>
      <c r="L135" t="inlineStr">
        <is>
          <t>05 65 65 67 38</t>
        </is>
      </c>
      <c r="M135" s="4" t="inlineStr">
        <is>
          <t>administration@ccabsv.fr</t>
        </is>
      </c>
      <c r="N135" s="4" t="inlineStr">
        <is>
          <t>https://aveyronbassegalaviaur.fr</t>
        </is>
      </c>
      <c r="O135" s="4" t="inlineStr">
        <is>
          <t>https://aveyronbassegalaviaur.fr/contact-ccabsv</t>
        </is>
      </c>
      <c r="P135" s="4" t="inlineStr">
        <is>
          <t>https://lannuaire.service-public.gouv.fr/occitanie/aveyron/9dd2bd6d-3237-4fc2-b287-660a30e60dd7</t>
        </is>
      </c>
      <c r="Q135" t="inlineStr">
        <is>
          <t>Annuaire Service-public.fr</t>
        </is>
      </c>
      <c r="R135" t="inlineStr"/>
      <c r="S135" t="inlineStr"/>
      <c r="T135" t="inlineStr"/>
    </row>
    <row r="136">
      <c r="A136" t="inlineStr">
        <is>
          <t>CC Comtal Lot et Truyère</t>
        </is>
      </c>
      <c r="B136" t="inlineStr">
        <is>
          <t>Communauté de communes</t>
        </is>
      </c>
      <c r="C136" t="inlineStr">
        <is>
          <t>200067478</t>
        </is>
      </c>
      <c r="D136" t="inlineStr">
        <is>
          <t>12</t>
        </is>
      </c>
      <c r="E136" t="inlineStr">
        <is>
          <t>Aveyron</t>
        </is>
      </c>
      <c r="F136" t="inlineStr">
        <is>
          <t>Occitanie</t>
        </is>
      </c>
      <c r="G136" s="3" t="n">
        <v>19930</v>
      </c>
      <c r="H136" t="n">
        <v>21</v>
      </c>
      <c r="I136" t="inlineStr">
        <is>
          <t>18 bis avenue Marcel-Lautard</t>
        </is>
      </c>
      <c r="J136" t="inlineStr">
        <is>
          <t>12500</t>
        </is>
      </c>
      <c r="K136" t="inlineStr">
        <is>
          <t>Espalion</t>
        </is>
      </c>
      <c r="L136" t="inlineStr">
        <is>
          <t>05 65 48 29 02</t>
        </is>
      </c>
      <c r="M136" s="4" t="inlineStr">
        <is>
          <t>secretariat@3clt.fr</t>
        </is>
      </c>
      <c r="N136" s="4" t="inlineStr">
        <is>
          <t>https://comtal-lot-truyere.fr/</t>
        </is>
      </c>
      <c r="O136" s="4" t="inlineStr">
        <is>
          <t>https://comtal-lot-truyere.fr/contact</t>
        </is>
      </c>
      <c r="P136" s="4" t="inlineStr">
        <is>
          <t>https://lannuaire.service-public.gouv.fr/occitanie/aveyron/2bbbfc9b-931d-4ae1-a49b-ecfd245f29eb</t>
        </is>
      </c>
      <c r="Q136" t="inlineStr">
        <is>
          <t>Annuaire Service-public.fr</t>
        </is>
      </c>
      <c r="R136" t="inlineStr"/>
      <c r="S136" t="inlineStr"/>
      <c r="T136" t="inlineStr"/>
    </row>
    <row r="137">
      <c r="A137" t="inlineStr">
        <is>
          <t>CC Conques-Marcillac</t>
        </is>
      </c>
      <c r="B137" t="inlineStr">
        <is>
          <t>Communauté de communes</t>
        </is>
      </c>
      <c r="C137" t="inlineStr">
        <is>
          <t>241200641</t>
        </is>
      </c>
      <c r="D137" t="inlineStr">
        <is>
          <t>12</t>
        </is>
      </c>
      <c r="E137" t="inlineStr">
        <is>
          <t>Aveyron</t>
        </is>
      </c>
      <c r="F137" t="inlineStr">
        <is>
          <t>Occitanie</t>
        </is>
      </c>
      <c r="G137" s="3" t="n">
        <v>12143</v>
      </c>
      <c r="H137" t="n">
        <v>12</v>
      </c>
      <c r="I137" t="inlineStr">
        <is>
          <t>28 avenue Gustave-Bessiere, Maison du territoire</t>
        </is>
      </c>
      <c r="J137" t="inlineStr">
        <is>
          <t>12330</t>
        </is>
      </c>
      <c r="K137" t="inlineStr">
        <is>
          <t>Marcillac-Vallon</t>
        </is>
      </c>
      <c r="L137" t="inlineStr">
        <is>
          <t>05 65 71 86 20</t>
        </is>
      </c>
      <c r="M137" s="4" t="inlineStr">
        <is>
          <t>contact@cc-conques-marcillac.fr</t>
        </is>
      </c>
      <c r="N137" s="4" t="inlineStr">
        <is>
          <t>https://cc-conques-marcillac.fr/</t>
        </is>
      </c>
      <c r="O137" t="inlineStr"/>
      <c r="P137" s="4" t="inlineStr">
        <is>
          <t>https://lannuaire.service-public.gouv.fr/occitanie/aveyron/138d9e89-3bd7-470b-9fab-ec5a560db4ee</t>
        </is>
      </c>
      <c r="Q137" t="inlineStr">
        <is>
          <t>Annuaire Service-public.fr</t>
        </is>
      </c>
      <c r="R137" t="inlineStr"/>
      <c r="S137" t="inlineStr"/>
      <c r="T137" t="inlineStr"/>
    </row>
    <row r="138">
      <c r="A138" t="inlineStr">
        <is>
          <t>CC Decazeville Communauté</t>
        </is>
      </c>
      <c r="B138" t="inlineStr">
        <is>
          <t>Communauté de communes</t>
        </is>
      </c>
      <c r="C138" t="inlineStr">
        <is>
          <t>200067064</t>
        </is>
      </c>
      <c r="D138" t="inlineStr">
        <is>
          <t>12</t>
        </is>
      </c>
      <c r="E138" t="inlineStr">
        <is>
          <t>Aveyron</t>
        </is>
      </c>
      <c r="F138" t="inlineStr">
        <is>
          <t>Occitanie</t>
        </is>
      </c>
      <c r="G138" s="3" t="n">
        <v>17928</v>
      </c>
      <c r="H138" t="n">
        <v>12</v>
      </c>
      <c r="I138" t="inlineStr">
        <is>
          <t>103 faubourg-desselligny-Fontvergnes, centre technique Decazeville communauté</t>
        </is>
      </c>
      <c r="J138" t="inlineStr">
        <is>
          <t>12300</t>
        </is>
      </c>
      <c r="K138" t="inlineStr">
        <is>
          <t>Decazeville</t>
        </is>
      </c>
      <c r="L138" t="inlineStr">
        <is>
          <t>05 65 43 95 00</t>
        </is>
      </c>
      <c r="M138" s="4" t="inlineStr">
        <is>
          <t>contact@decazeville-communaute.fr</t>
        </is>
      </c>
      <c r="N138" s="4" t="inlineStr">
        <is>
          <t>https://www.decazeville-communaute.fr</t>
        </is>
      </c>
      <c r="O138" s="4" t="inlineStr">
        <is>
          <t>https://www.decazeville-communaute.fr/systeme/contact/</t>
        </is>
      </c>
      <c r="P138" s="4" t="inlineStr">
        <is>
          <t>https://lannuaire.service-public.gouv.fr/occitanie/aveyron/51d2b461-3cf1-4dc1-90cf-3d5a9056154e</t>
        </is>
      </c>
      <c r="Q138" t="inlineStr">
        <is>
          <t>Annuaire Service-public.fr</t>
        </is>
      </c>
      <c r="R138" t="inlineStr"/>
      <c r="S138" t="inlineStr"/>
      <c r="T138" t="inlineStr"/>
    </row>
    <row r="139">
      <c r="A139" t="inlineStr">
        <is>
          <t>CC Larzac et Vallées</t>
        </is>
      </c>
      <c r="B139" t="inlineStr">
        <is>
          <t>Communauté de communes</t>
        </is>
      </c>
      <c r="C139" t="inlineStr">
        <is>
          <t>241200906</t>
        </is>
      </c>
      <c r="D139" t="inlineStr">
        <is>
          <t>12</t>
        </is>
      </c>
      <c r="E139" t="inlineStr">
        <is>
          <t>Aveyron</t>
        </is>
      </c>
      <c r="F139" t="inlineStr">
        <is>
          <t>Occitanie</t>
        </is>
      </c>
      <c r="G139" s="3" t="n">
        <v>6730</v>
      </c>
      <c r="H139" t="n">
        <v>16</v>
      </c>
      <c r="I139" t="inlineStr">
        <is>
          <t>28 avenue Charles-Andrieu</t>
        </is>
      </c>
      <c r="J139" t="inlineStr">
        <is>
          <t>12540</t>
        </is>
      </c>
      <c r="K139" t="inlineStr">
        <is>
          <t>Cornus</t>
        </is>
      </c>
      <c r="L139" t="inlineStr">
        <is>
          <t>05 65 99 33 00</t>
        </is>
      </c>
      <c r="M139" s="4" t="inlineStr">
        <is>
          <t>contact@cc-larzacvallees.fr</t>
        </is>
      </c>
      <c r="N139" s="4" t="inlineStr">
        <is>
          <t>https://www.cc-larzacvallees.fr</t>
        </is>
      </c>
      <c r="O139" s="4" t="inlineStr">
        <is>
          <t>https://www.cc-larzacvallees.fr/fr/contactez-nous</t>
        </is>
      </c>
      <c r="P139" s="4" t="inlineStr">
        <is>
          <t>https://lannuaire.service-public.gouv.fr/occitanie/aveyron/2c1813e4-52f6-4b92-bbf7-a3ac7208bf2d</t>
        </is>
      </c>
      <c r="Q139" t="inlineStr">
        <is>
          <t>Annuaire Service-public.fr</t>
        </is>
      </c>
      <c r="R139" t="inlineStr"/>
      <c r="S139" t="inlineStr"/>
      <c r="T139" t="inlineStr"/>
    </row>
    <row r="140">
      <c r="A140" t="inlineStr">
        <is>
          <t>CC Monts, Rance et Rougier</t>
        </is>
      </c>
      <c r="B140" t="inlineStr">
        <is>
          <t>Communauté de communes</t>
        </is>
      </c>
      <c r="C140" t="inlineStr">
        <is>
          <t>200067163</t>
        </is>
      </c>
      <c r="D140" t="inlineStr">
        <is>
          <t>12</t>
        </is>
      </c>
      <c r="E140" t="inlineStr">
        <is>
          <t>Aveyron</t>
        </is>
      </c>
      <c r="F140" t="inlineStr">
        <is>
          <t>Occitanie</t>
        </is>
      </c>
      <c r="G140" s="3" t="n">
        <v>6323</v>
      </c>
      <c r="H140" t="n">
        <v>23</v>
      </c>
      <c r="I140" t="inlineStr">
        <is>
          <t>80 chemin du Sériguet, Les Hauts de Sériguet</t>
        </is>
      </c>
      <c r="J140" t="inlineStr">
        <is>
          <t>12370</t>
        </is>
      </c>
      <c r="K140" t="inlineStr">
        <is>
          <t>Belmont-sur-Rance</t>
        </is>
      </c>
      <c r="L140" t="inlineStr">
        <is>
          <t>05 65 49 37 80</t>
        </is>
      </c>
      <c r="M140" s="4" t="inlineStr">
        <is>
          <t>contact@ccmrr.fr</t>
        </is>
      </c>
      <c r="N140" s="4" t="inlineStr">
        <is>
          <t>https://www.ccmrr.fr/</t>
        </is>
      </c>
      <c r="O140" t="inlineStr"/>
      <c r="P140" s="4" t="inlineStr">
        <is>
          <t>https://lannuaire.service-public.gouv.fr/occitanie/aveyron/768501d1-236f-4178-9d10-95938f6c9082</t>
        </is>
      </c>
      <c r="Q140" t="inlineStr">
        <is>
          <t>Annuaire Service-public.fr</t>
        </is>
      </c>
      <c r="R140" t="inlineStr"/>
      <c r="S140" t="inlineStr"/>
      <c r="T140" t="inlineStr"/>
    </row>
    <row r="141">
      <c r="A141" t="inlineStr">
        <is>
          <t>CC Pays Ségali Communauté</t>
        </is>
      </c>
      <c r="B141" t="inlineStr">
        <is>
          <t>Communauté de communes</t>
        </is>
      </c>
      <c r="C141" t="inlineStr">
        <is>
          <t>200068831</t>
        </is>
      </c>
      <c r="D141" t="inlineStr">
        <is>
          <t>12</t>
        </is>
      </c>
      <c r="E141" t="inlineStr">
        <is>
          <t>Aveyron</t>
        </is>
      </c>
      <c r="F141" t="inlineStr">
        <is>
          <t>Occitanie</t>
        </is>
      </c>
      <c r="G141" s="3" t="n">
        <v>18318</v>
      </c>
      <c r="H141" t="n">
        <v>23</v>
      </c>
      <c r="I141" t="inlineStr">
        <is>
          <t>100 place René-Cassin</t>
        </is>
      </c>
      <c r="J141" t="inlineStr">
        <is>
          <t>12160</t>
        </is>
      </c>
      <c r="K141" t="inlineStr">
        <is>
          <t>Baraqueville</t>
        </is>
      </c>
      <c r="L141" t="inlineStr">
        <is>
          <t>05 65 69 27 43</t>
        </is>
      </c>
      <c r="M141" s="4" t="inlineStr">
        <is>
          <t>accueil@payssegali.fr</t>
        </is>
      </c>
      <c r="N141" s="4" t="inlineStr">
        <is>
          <t>https://www.payssegali.fr</t>
        </is>
      </c>
      <c r="O141" s="4" t="inlineStr">
        <is>
          <t>https://www.payssegali.fr/contact/</t>
        </is>
      </c>
      <c r="P141" s="4" t="inlineStr">
        <is>
          <t>https://lannuaire.service-public.gouv.fr/occitanie/aveyron/7277d212-d6d3-44bf-b1b5-75385ff3e0e5</t>
        </is>
      </c>
      <c r="Q141" t="inlineStr">
        <is>
          <t>Annuaire Service-public.fr</t>
        </is>
      </c>
      <c r="R141" t="inlineStr"/>
      <c r="S141" t="inlineStr"/>
      <c r="T141" t="inlineStr"/>
    </row>
    <row r="142">
      <c r="A142" t="inlineStr">
        <is>
          <t>CC Saint Affricain, Roquefort, Sept Vallons</t>
        </is>
      </c>
      <c r="B142" t="inlineStr">
        <is>
          <t>Communauté de communes</t>
        </is>
      </c>
      <c r="C142" t="inlineStr">
        <is>
          <t>200067155</t>
        </is>
      </c>
      <c r="D142" t="inlineStr">
        <is>
          <t>12</t>
        </is>
      </c>
      <c r="E142" t="inlineStr">
        <is>
          <t>Aveyron</t>
        </is>
      </c>
      <c r="F142" t="inlineStr">
        <is>
          <t>Occitanie</t>
        </is>
      </c>
      <c r="G142" s="3" t="n">
        <v>13444</v>
      </c>
      <c r="H142" t="n">
        <v>14</v>
      </c>
      <c r="I142" t="inlineStr">
        <is>
          <t>1 rue Henri-Michel, Bâtiment Occitan, entrée Coupole, Site hôtel d'entreprises</t>
        </is>
      </c>
      <c r="J142" t="inlineStr">
        <is>
          <t>12400</t>
        </is>
      </c>
      <c r="K142" t="inlineStr">
        <is>
          <t>Saint-Affrique</t>
        </is>
      </c>
      <c r="L142" t="inlineStr">
        <is>
          <t>05 65 99 49 56</t>
        </is>
      </c>
      <c r="M142" s="4" t="inlineStr">
        <is>
          <t>accueil@cc-saintaffricain.fr</t>
        </is>
      </c>
      <c r="N142" s="4" t="inlineStr">
        <is>
          <t>https://www.comcom-sar7v.fr/</t>
        </is>
      </c>
      <c r="O142" s="4" t="inlineStr">
        <is>
          <t>https://www.comcom-sar7v.fr/?th=6801</t>
        </is>
      </c>
      <c r="P142" s="4" t="inlineStr">
        <is>
          <t>https://lannuaire.service-public.gouv.fr/occitanie/aveyron/5f4de389-cdb5-4bd9-b16e-202ce2c626c8</t>
        </is>
      </c>
      <c r="Q142" t="inlineStr">
        <is>
          <t>Annuaire Service-public.fr</t>
        </is>
      </c>
      <c r="R142" t="inlineStr"/>
      <c r="S142" t="inlineStr"/>
      <c r="T142" t="inlineStr"/>
    </row>
    <row r="143">
      <c r="A143" t="inlineStr">
        <is>
          <t>CC de Lévézou Pareloup</t>
        </is>
      </c>
      <c r="B143" t="inlineStr">
        <is>
          <t>Communauté de communes</t>
        </is>
      </c>
      <c r="C143" t="inlineStr">
        <is>
          <t>241200765</t>
        </is>
      </c>
      <c r="D143" t="inlineStr">
        <is>
          <t>12</t>
        </is>
      </c>
      <c r="E143" t="inlineStr">
        <is>
          <t>Aveyron</t>
        </is>
      </c>
      <c r="F143" t="inlineStr">
        <is>
          <t>Occitanie</t>
        </is>
      </c>
      <c r="G143" s="3" t="n">
        <v>5332</v>
      </c>
      <c r="H143" t="n">
        <v>10</v>
      </c>
      <c r="I143" t="inlineStr">
        <is>
          <t>Place De La Mairie</t>
        </is>
      </c>
      <c r="J143" t="inlineStr">
        <is>
          <t>12410</t>
        </is>
      </c>
      <c r="K143" t="inlineStr">
        <is>
          <t>Salles-Curan</t>
        </is>
      </c>
      <c r="L143" t="inlineStr"/>
      <c r="M143" t="inlineStr"/>
      <c r="N143" t="inlineStr"/>
      <c r="O143" t="inlineStr"/>
      <c r="P143" t="inlineStr"/>
      <c r="Q143" t="inlineStr">
        <is>
          <t>SIRENE (siège) : pas de fiche dans l’annuaire</t>
        </is>
      </c>
      <c r="R143" t="inlineStr"/>
      <c r="S143" t="inlineStr"/>
      <c r="T143" t="inlineStr"/>
    </row>
    <row r="144">
      <c r="A144" t="inlineStr">
        <is>
          <t>CC de la Muse et des Raspes du Tarn</t>
        </is>
      </c>
      <c r="B144" t="inlineStr">
        <is>
          <t>Communauté de communes</t>
        </is>
      </c>
      <c r="C144" t="inlineStr">
        <is>
          <t>241200914</t>
        </is>
      </c>
      <c r="D144" t="inlineStr">
        <is>
          <t>12</t>
        </is>
      </c>
      <c r="E144" t="inlineStr">
        <is>
          <t>Aveyron</t>
        </is>
      </c>
      <c r="F144" t="inlineStr">
        <is>
          <t>Occitanie</t>
        </is>
      </c>
      <c r="G144" s="3" t="n">
        <v>5413</v>
      </c>
      <c r="H144" t="n">
        <v>13</v>
      </c>
      <c r="I144" t="inlineStr">
        <is>
          <t>70 avenue Saint-Ferréols</t>
        </is>
      </c>
      <c r="J144" t="inlineStr">
        <is>
          <t>12490</t>
        </is>
      </c>
      <c r="K144" t="inlineStr">
        <is>
          <t>Saint-Rome-de-Tarn</t>
        </is>
      </c>
      <c r="L144" t="inlineStr">
        <is>
          <t>05 65 59 12 64</t>
        </is>
      </c>
      <c r="M144" s="4" t="inlineStr">
        <is>
          <t>cc.museetraspesdutarn@orange.fr</t>
        </is>
      </c>
      <c r="N144" s="4" t="inlineStr">
        <is>
          <t>https://www.cc-museetraspesdutarn.fr/</t>
        </is>
      </c>
      <c r="O144" t="inlineStr"/>
      <c r="P144" s="4" t="inlineStr">
        <is>
          <t>https://lannuaire.service-public.gouv.fr/occitanie/aveyron/741bd574-1707-4aca-b9d6-f110597db96a</t>
        </is>
      </c>
      <c r="Q144" t="inlineStr">
        <is>
          <t>Annuaire Service-public.fr</t>
        </is>
      </c>
      <c r="R144" t="inlineStr"/>
      <c r="S144" t="inlineStr"/>
      <c r="T144" t="inlineStr"/>
    </row>
    <row r="145">
      <c r="A145" t="inlineStr">
        <is>
          <t>CC des Causses à l'Aubrac</t>
        </is>
      </c>
      <c r="B145" t="inlineStr">
        <is>
          <t>Communauté de communes</t>
        </is>
      </c>
      <c r="C145" t="inlineStr">
        <is>
          <t>200068484</t>
        </is>
      </c>
      <c r="D145" t="inlineStr">
        <is>
          <t>12</t>
        </is>
      </c>
      <c r="E145" t="inlineStr">
        <is>
          <t>Aveyron</t>
        </is>
      </c>
      <c r="F145" t="inlineStr">
        <is>
          <t>Occitanie</t>
        </is>
      </c>
      <c r="G145" s="3" t="n">
        <v>14487</v>
      </c>
      <c r="H145" t="n">
        <v>17</v>
      </c>
      <c r="I145" t="inlineStr">
        <is>
          <t>3 place de la Fontaine</t>
        </is>
      </c>
      <c r="J145" t="inlineStr">
        <is>
          <t>12310</t>
        </is>
      </c>
      <c r="K145" t="inlineStr">
        <is>
          <t>Palmas d'Aveyron</t>
        </is>
      </c>
      <c r="L145" t="inlineStr">
        <is>
          <t>05 65 70 69 60</t>
        </is>
      </c>
      <c r="M145" s="4" t="inlineStr">
        <is>
          <t>contact@caussesaubrac.fr</t>
        </is>
      </c>
      <c r="N145" s="4" t="inlineStr">
        <is>
          <t>http://www.caussesaubrac.fr</t>
        </is>
      </c>
      <c r="O145" t="inlineStr"/>
      <c r="P145" s="4" t="inlineStr">
        <is>
          <t>https://lannuaire.service-public.gouv.fr/occitanie/aveyron/4245cf90-5df1-49fb-9ff8-97d4398d6fc1</t>
        </is>
      </c>
      <c r="Q145" t="inlineStr">
        <is>
          <t>Annuaire Service-public.fr</t>
        </is>
      </c>
      <c r="R145" t="inlineStr"/>
      <c r="S145" t="inlineStr"/>
      <c r="T145" t="inlineStr"/>
    </row>
    <row r="146">
      <c r="A146" t="inlineStr">
        <is>
          <t>CC du Pays Rignacois</t>
        </is>
      </c>
      <c r="B146" t="inlineStr">
        <is>
          <t>Communauté de communes</t>
        </is>
      </c>
      <c r="C146" t="inlineStr">
        <is>
          <t>241200625</t>
        </is>
      </c>
      <c r="D146" t="inlineStr">
        <is>
          <t>12</t>
        </is>
      </c>
      <c r="E146" t="inlineStr">
        <is>
          <t>Aveyron</t>
        </is>
      </c>
      <c r="F146" t="inlineStr">
        <is>
          <t>Occitanie</t>
        </is>
      </c>
      <c r="G146" s="3" t="n">
        <v>5579</v>
      </c>
      <c r="H146" t="n">
        <v>8</v>
      </c>
      <c r="I146" t="inlineStr">
        <is>
          <t>1 place du Portail-Haut</t>
        </is>
      </c>
      <c r="J146" t="inlineStr">
        <is>
          <t>12390</t>
        </is>
      </c>
      <c r="K146" t="inlineStr">
        <is>
          <t>Rignac</t>
        </is>
      </c>
      <c r="L146" t="inlineStr">
        <is>
          <t>05 65 80 20 80</t>
        </is>
      </c>
      <c r="M146" s="4" t="inlineStr">
        <is>
          <t>communautedecommunes@pays-rignacois.fr</t>
        </is>
      </c>
      <c r="N146" s="4" t="inlineStr">
        <is>
          <t>https://www.pays-rignacois.fr/</t>
        </is>
      </c>
      <c r="O146" s="4" t="inlineStr">
        <is>
          <t>https://www.pays-rignacois.fr/contact/</t>
        </is>
      </c>
      <c r="P146" s="4" t="inlineStr">
        <is>
          <t>https://lannuaire.service-public.gouv.fr/occitanie/aveyron/cdb9521d-42ef-48c4-83d8-81a97f91f96d</t>
        </is>
      </c>
      <c r="Q146" t="inlineStr">
        <is>
          <t>Annuaire Service-public.fr</t>
        </is>
      </c>
      <c r="R146" t="inlineStr"/>
      <c r="S146" t="inlineStr"/>
      <c r="T146" t="inlineStr"/>
    </row>
    <row r="147">
      <c r="A147" t="inlineStr">
        <is>
          <t>CC du Pays de Salars</t>
        </is>
      </c>
      <c r="B147" t="inlineStr">
        <is>
          <t>Communauté de communes</t>
        </is>
      </c>
      <c r="C147" t="inlineStr">
        <is>
          <t>241200658</t>
        </is>
      </c>
      <c r="D147" t="inlineStr">
        <is>
          <t>12</t>
        </is>
      </c>
      <c r="E147" t="inlineStr">
        <is>
          <t>Aveyron</t>
        </is>
      </c>
      <c r="F147" t="inlineStr">
        <is>
          <t>Occitanie</t>
        </is>
      </c>
      <c r="G147" s="3" t="n">
        <v>8004</v>
      </c>
      <c r="H147" t="n">
        <v>9</v>
      </c>
      <c r="I147" t="inlineStr">
        <is>
          <t>60 Pl De L'Hotel De Ville</t>
        </is>
      </c>
      <c r="J147" t="inlineStr">
        <is>
          <t>12290</t>
        </is>
      </c>
      <c r="K147" t="inlineStr">
        <is>
          <t>Pont-De-Salars</t>
        </is>
      </c>
      <c r="L147" t="inlineStr"/>
      <c r="M147" t="inlineStr"/>
      <c r="N147" t="inlineStr"/>
      <c r="O147" t="inlineStr"/>
      <c r="P147" t="inlineStr"/>
      <c r="Q147" t="inlineStr">
        <is>
          <t>SIRENE (siège) : pas de fiche dans l’annuaire</t>
        </is>
      </c>
      <c r="R147" t="inlineStr"/>
      <c r="S147" t="inlineStr"/>
      <c r="T147" t="inlineStr"/>
    </row>
    <row r="148">
      <c r="A148" t="inlineStr">
        <is>
          <t>CC du Plateau de Montbazens</t>
        </is>
      </c>
      <c r="B148" t="inlineStr">
        <is>
          <t>Communauté de communes</t>
        </is>
      </c>
      <c r="C148" t="inlineStr">
        <is>
          <t>241200674</t>
        </is>
      </c>
      <c r="D148" t="inlineStr">
        <is>
          <t>12</t>
        </is>
      </c>
      <c r="E148" t="inlineStr">
        <is>
          <t>Aveyron</t>
        </is>
      </c>
      <c r="F148" t="inlineStr">
        <is>
          <t>Occitanie</t>
        </is>
      </c>
      <c r="G148" s="3" t="n">
        <v>6206</v>
      </c>
      <c r="H148" t="n">
        <v>13</v>
      </c>
      <c r="I148" t="inlineStr">
        <is>
          <t>20 place de l'Église</t>
        </is>
      </c>
      <c r="J148" t="inlineStr">
        <is>
          <t>12220</t>
        </is>
      </c>
      <c r="K148" t="inlineStr">
        <is>
          <t>Montbazens</t>
        </is>
      </c>
      <c r="L148" t="inlineStr">
        <is>
          <t>05 65 63 76 07</t>
        </is>
      </c>
      <c r="M148" s="4" t="inlineStr">
        <is>
          <t>com.cnes.montbazens@wanadoo.fr</t>
        </is>
      </c>
      <c r="N148" s="4" t="inlineStr">
        <is>
          <t>https://plateau-de-montbazens.com/</t>
        </is>
      </c>
      <c r="O148" s="4" t="inlineStr">
        <is>
          <t>https://plateau-de-montbazens.com/accueil-comunaute-de-communes/contact/</t>
        </is>
      </c>
      <c r="P148" s="4" t="inlineStr">
        <is>
          <t>https://lannuaire.service-public.gouv.fr/occitanie/aveyron/a60c65ee-2dea-4797-ad64-afe713acef61</t>
        </is>
      </c>
      <c r="Q148" t="inlineStr">
        <is>
          <t>Annuaire Service-public.fr</t>
        </is>
      </c>
      <c r="R148" t="inlineStr"/>
      <c r="S148" t="inlineStr"/>
      <c r="T148" t="inlineStr"/>
    </row>
    <row r="149">
      <c r="A149" t="inlineStr">
        <is>
          <t>CC du Réquistanais</t>
        </is>
      </c>
      <c r="B149" t="inlineStr">
        <is>
          <t>Communauté de communes</t>
        </is>
      </c>
      <c r="C149" t="inlineStr">
        <is>
          <t>241200542</t>
        </is>
      </c>
      <c r="D149" t="inlineStr">
        <is>
          <t>12</t>
        </is>
      </c>
      <c r="E149" t="inlineStr">
        <is>
          <t>Aveyron</t>
        </is>
      </c>
      <c r="F149" t="inlineStr">
        <is>
          <t>Occitanie</t>
        </is>
      </c>
      <c r="G149" s="3" t="n">
        <v>5187</v>
      </c>
      <c r="H149" t="n">
        <v>11</v>
      </c>
      <c r="I149" t="inlineStr">
        <is>
          <t>2 place Prosper-Boissonnade</t>
        </is>
      </c>
      <c r="J149" t="inlineStr">
        <is>
          <t>12170</t>
        </is>
      </c>
      <c r="K149" t="inlineStr">
        <is>
          <t>Réquista</t>
        </is>
      </c>
      <c r="L149" t="inlineStr">
        <is>
          <t>05 65 74 57 00</t>
        </is>
      </c>
      <c r="M149" s="4" t="inlineStr">
        <is>
          <t>secretariat@requistanais.fr</t>
        </is>
      </c>
      <c r="N149" s="4" t="inlineStr">
        <is>
          <t>https://requistanais.fr/</t>
        </is>
      </c>
      <c r="O149" s="4" t="inlineStr">
        <is>
          <t>https://formulaires.mesdemarches.cap-atlantique.fr/une-infos-une-remarque-une-idee/contact/</t>
        </is>
      </c>
      <c r="P149" s="4" t="inlineStr">
        <is>
          <t>https://lannuaire.service-public.gouv.fr/occitanie/aveyron/5aa9b1a2-cedc-4f12-8440-159662a3cb5c</t>
        </is>
      </c>
      <c r="Q149" t="inlineStr">
        <is>
          <t>Annuaire Service-public.fr</t>
        </is>
      </c>
      <c r="R149" t="inlineStr"/>
      <c r="S149" t="inlineStr"/>
      <c r="T149" t="inlineStr"/>
    </row>
    <row r="150">
      <c r="A150" t="inlineStr">
        <is>
          <t>CC Grand-Figeac</t>
        </is>
      </c>
      <c r="B150" t="inlineStr">
        <is>
          <t>Communauté de communes</t>
        </is>
      </c>
      <c r="C150" t="inlineStr">
        <is>
          <t>200067361</t>
        </is>
      </c>
      <c r="D150" t="inlineStr">
        <is>
          <t>12, 46</t>
        </is>
      </c>
      <c r="E150" t="inlineStr">
        <is>
          <t>Aveyron, Lot</t>
        </is>
      </c>
      <c r="F150" t="inlineStr">
        <is>
          <t>Occitanie</t>
        </is>
      </c>
      <c r="G150" s="3" t="n">
        <v>43924</v>
      </c>
      <c r="H150" t="n">
        <v>92</v>
      </c>
      <c r="I150" t="inlineStr">
        <is>
          <t>2 rue Germain-Petitjean</t>
        </is>
      </c>
      <c r="J150" t="inlineStr">
        <is>
          <t>46100</t>
        </is>
      </c>
      <c r="K150" t="inlineStr">
        <is>
          <t>Figeac</t>
        </is>
      </c>
      <c r="L150" t="inlineStr">
        <is>
          <t>05 65 11 22 76</t>
        </is>
      </c>
      <c r="M150" s="4" t="inlineStr">
        <is>
          <t>secretariat.general@grand-figeac.fr</t>
        </is>
      </c>
      <c r="N150" s="4" t="inlineStr">
        <is>
          <t>https://www.grand-figeac.fr/</t>
        </is>
      </c>
      <c r="O150" s="4" t="inlineStr">
        <is>
          <t>https://www.grand-figeac.fr/formulaire-de-contact/</t>
        </is>
      </c>
      <c r="P150" s="4" t="inlineStr">
        <is>
          <t>https://lannuaire.service-public.gouv.fr/occitanie/lot/741673e5-20b9-4b45-9fcf-8df07e2bc25e</t>
        </is>
      </c>
      <c r="Q150" t="inlineStr">
        <is>
          <t>Annuaire Service-public.fr</t>
        </is>
      </c>
      <c r="R150" t="inlineStr"/>
      <c r="S150" t="inlineStr"/>
      <c r="T150" t="inlineStr"/>
    </row>
    <row r="151">
      <c r="A151" t="inlineStr">
        <is>
          <t>CC Ouest Aveyron Communauté</t>
        </is>
      </c>
      <c r="B151" t="inlineStr">
        <is>
          <t>Communauté de communes</t>
        </is>
      </c>
      <c r="C151" t="inlineStr">
        <is>
          <t>200069383</t>
        </is>
      </c>
      <c r="D151" t="inlineStr">
        <is>
          <t>12, 46</t>
        </is>
      </c>
      <c r="E151" t="inlineStr">
        <is>
          <t>Aveyron, Lot</t>
        </is>
      </c>
      <c r="F151" t="inlineStr">
        <is>
          <t>Occitanie</t>
        </is>
      </c>
      <c r="G151" s="3" t="n">
        <v>27244</v>
      </c>
      <c r="H151" t="n">
        <v>29</v>
      </c>
      <c r="I151" t="inlineStr">
        <is>
          <t>Chemin de Treize-Pierres, Bâtiment Interactis, BP 421</t>
        </is>
      </c>
      <c r="J151" t="inlineStr">
        <is>
          <t>12200</t>
        </is>
      </c>
      <c r="K151" t="inlineStr">
        <is>
          <t>Villefranche-de-Rouergue</t>
        </is>
      </c>
      <c r="L151" t="inlineStr">
        <is>
          <t>05 65 65 08 01</t>
        </is>
      </c>
      <c r="M151" s="4" t="inlineStr">
        <is>
          <t>contact@ouestaveyron.fr</t>
        </is>
      </c>
      <c r="N151" s="4" t="inlineStr">
        <is>
          <t>https://www.ouestaveyron.fr/</t>
        </is>
      </c>
      <c r="O151" s="4" t="inlineStr">
        <is>
          <t>https://www.ouestaveyron.fr/nous-contacter/</t>
        </is>
      </c>
      <c r="P151" s="4" t="inlineStr">
        <is>
          <t>https://lannuaire.service-public.gouv.fr/occitanie/aveyron/be748184-7a4f-40a9-859f-16b6c21bf84e</t>
        </is>
      </c>
      <c r="Q151" t="inlineStr">
        <is>
          <t>Annuaire Service-public.fr</t>
        </is>
      </c>
      <c r="R151" t="inlineStr"/>
      <c r="S151" t="inlineStr"/>
      <c r="T151" t="inlineStr"/>
    </row>
    <row r="152">
      <c r="A152" t="inlineStr">
        <is>
          <t>CC de Millau Grands Causses</t>
        </is>
      </c>
      <c r="B152" t="inlineStr">
        <is>
          <t>Communauté de communes</t>
        </is>
      </c>
      <c r="C152" t="inlineStr">
        <is>
          <t>241200567</t>
        </is>
      </c>
      <c r="D152" t="inlineStr">
        <is>
          <t>12, 48</t>
        </is>
      </c>
      <c r="E152" t="inlineStr">
        <is>
          <t>Aveyron, Lozère</t>
        </is>
      </c>
      <c r="F152" t="inlineStr">
        <is>
          <t>Occitanie</t>
        </is>
      </c>
      <c r="G152" s="3" t="n">
        <v>29374</v>
      </c>
      <c r="H152" t="n">
        <v>15</v>
      </c>
      <c r="I152" t="inlineStr">
        <is>
          <t>1 place du Beffroi, CS 80432</t>
        </is>
      </c>
      <c r="J152" t="inlineStr">
        <is>
          <t>12104</t>
        </is>
      </c>
      <c r="K152" t="inlineStr">
        <is>
          <t>Millau Cedex</t>
        </is>
      </c>
      <c r="L152" t="inlineStr">
        <is>
          <t>05 65 61 40 20</t>
        </is>
      </c>
      <c r="M152" s="4" t="inlineStr">
        <is>
          <t>contact@cc-millaugrandscausses.fr</t>
        </is>
      </c>
      <c r="N152" s="4" t="inlineStr">
        <is>
          <t>https://www.cc-millaugrandscausses.fr/</t>
        </is>
      </c>
      <c r="O152" s="4" t="inlineStr">
        <is>
          <t>https://www.cc-millaugrandscausses.fr/pages-pratiques/contact</t>
        </is>
      </c>
      <c r="P152" s="4" t="inlineStr">
        <is>
          <t>https://lannuaire.service-public.gouv.fr/occitanie/aveyron/d36fd525-141c-44fc-81f5-5842a1bff2a7</t>
        </is>
      </c>
      <c r="Q152" t="inlineStr">
        <is>
          <t>Annuaire Service-public.fr</t>
        </is>
      </c>
      <c r="R152" t="inlineStr"/>
      <c r="S152" t="inlineStr"/>
      <c r="T152" t="inlineStr"/>
    </row>
    <row r="153">
      <c r="A153" t="inlineStr">
        <is>
          <t>CA Terre de Provence</t>
        </is>
      </c>
      <c r="B153" t="inlineStr">
        <is>
          <t>Communauté d’agglomération</t>
        </is>
      </c>
      <c r="C153" t="inlineStr">
        <is>
          <t>200035087</t>
        </is>
      </c>
      <c r="D153" t="inlineStr">
        <is>
          <t>13</t>
        </is>
      </c>
      <c r="E153" t="inlineStr">
        <is>
          <t>Bouches-du-Rhône</t>
        </is>
      </c>
      <c r="F153" t="inlineStr">
        <is>
          <t>Provence-Alpes-Côte d'Azur</t>
        </is>
      </c>
      <c r="G153" s="3" t="n">
        <v>60440</v>
      </c>
      <c r="H153" t="n">
        <v>13</v>
      </c>
      <c r="I153" t="inlineStr">
        <is>
          <t>5 place du Docteur-Marius-Chabrand</t>
        </is>
      </c>
      <c r="J153" t="inlineStr">
        <is>
          <t>13630</t>
        </is>
      </c>
      <c r="K153" t="inlineStr">
        <is>
          <t>Eyragues</t>
        </is>
      </c>
      <c r="L153" t="inlineStr">
        <is>
          <t>04 32 61 96 30</t>
        </is>
      </c>
      <c r="M153" s="4" t="inlineStr">
        <is>
          <t>accueil@terredeprovence-agglo.com</t>
        </is>
      </c>
      <c r="N153" s="4" t="inlineStr">
        <is>
          <t>https://www.terredeprovence-agglo.com/page/eyragues</t>
        </is>
      </c>
      <c r="O153" s="4" t="inlineStr">
        <is>
          <t>https://www.terredeprovence-agglo.com/contact</t>
        </is>
      </c>
      <c r="P153" s="4" t="inlineStr">
        <is>
          <t>https://lannuaire.service-public.gouv.fr/provence-alpes-cote-d-azur/bouches-du-rhone/21bdaedc-c696-4757-a8b1-ee99a085d33f</t>
        </is>
      </c>
      <c r="Q153" t="inlineStr">
        <is>
          <t>Annuaire Service-public.fr</t>
        </is>
      </c>
      <c r="R153" t="inlineStr"/>
      <c r="S153" t="inlineStr"/>
      <c r="T153" t="inlineStr"/>
    </row>
    <row r="154">
      <c r="A154" t="inlineStr">
        <is>
          <t>CA d'Arles-Crau-Camargue-Montagnette</t>
        </is>
      </c>
      <c r="B154" t="inlineStr">
        <is>
          <t>Communauté d’agglomération</t>
        </is>
      </c>
      <c r="C154" t="inlineStr">
        <is>
          <t>241300417</t>
        </is>
      </c>
      <c r="D154" t="inlineStr">
        <is>
          <t>13</t>
        </is>
      </c>
      <c r="E154" t="inlineStr">
        <is>
          <t>Bouches-du-Rhône</t>
        </is>
      </c>
      <c r="F154" t="inlineStr">
        <is>
          <t>Provence-Alpes-Côte d'Azur</t>
        </is>
      </c>
      <c r="G154" s="3" t="n">
        <v>84680</v>
      </c>
      <c r="H154" t="n">
        <v>6</v>
      </c>
      <c r="I154" t="inlineStr">
        <is>
          <t>5 rue Yvan-Audouard, Cité Yvan-Audouard</t>
        </is>
      </c>
      <c r="J154" t="inlineStr">
        <is>
          <t>13200</t>
        </is>
      </c>
      <c r="K154" t="inlineStr">
        <is>
          <t>Arles</t>
        </is>
      </c>
      <c r="L154" t="inlineStr">
        <is>
          <t>04 86 52 60 00</t>
        </is>
      </c>
      <c r="M154" s="4" t="inlineStr">
        <is>
          <t>lepresident@agglo-accm.fr</t>
        </is>
      </c>
      <c r="N154" s="4" t="inlineStr">
        <is>
          <t>https://www.agglo-accm.fr/</t>
        </is>
      </c>
      <c r="O154" t="inlineStr"/>
      <c r="P154" s="4" t="inlineStr">
        <is>
          <t>https://lannuaire.service-public.gouv.fr/provence-alpes-cote-d-azur/bouches-du-rhone/a77a7333-9766-4581-afad-684d31aa67b5</t>
        </is>
      </c>
      <c r="Q154" t="inlineStr">
        <is>
          <t>Annuaire Service-public.fr</t>
        </is>
      </c>
      <c r="R154" t="inlineStr"/>
      <c r="S154" t="inlineStr"/>
      <c r="T154" t="inlineStr"/>
    </row>
    <row r="155">
      <c r="A155" t="inlineStr">
        <is>
          <t>CC Vallée des Baux-Alpilles (CC VBA)</t>
        </is>
      </c>
      <c r="B155" t="inlineStr">
        <is>
          <t>Communauté de communes</t>
        </is>
      </c>
      <c r="C155" t="inlineStr">
        <is>
          <t>241300375</t>
        </is>
      </c>
      <c r="D155" t="inlineStr">
        <is>
          <t>13</t>
        </is>
      </c>
      <c r="E155" t="inlineStr">
        <is>
          <t>Bouches-du-Rhône</t>
        </is>
      </c>
      <c r="F155" t="inlineStr">
        <is>
          <t>Provence-Alpes-Côte d'Azur</t>
        </is>
      </c>
      <c r="G155" s="3" t="n">
        <v>27706</v>
      </c>
      <c r="H155" t="n">
        <v>10</v>
      </c>
      <c r="I155" t="inlineStr">
        <is>
          <t>23 avenue des Joncades-Basses</t>
        </is>
      </c>
      <c r="J155" t="inlineStr">
        <is>
          <t>13210</t>
        </is>
      </c>
      <c r="K155" t="inlineStr">
        <is>
          <t>Saint-Remy-de-Provence</t>
        </is>
      </c>
      <c r="L155" t="inlineStr">
        <is>
          <t>04 90 54 54 20</t>
        </is>
      </c>
      <c r="M155" s="4" t="inlineStr">
        <is>
          <t>bienvenue@ccvba.fr</t>
        </is>
      </c>
      <c r="N155" s="4" t="inlineStr">
        <is>
          <t>https://www.vallee-des-baux-alpilles.fr/</t>
        </is>
      </c>
      <c r="O155" s="4" t="inlineStr">
        <is>
          <t>https://www.vallee-des-baux-alpilles.fr/contactez-nous/</t>
        </is>
      </c>
      <c r="P155" s="4" t="inlineStr">
        <is>
          <t>https://lannuaire.service-public.gouv.fr/provence-alpes-cote-d-azur/bouches-du-rhone/73f09749-0063-4339-8369-ee180e77ed85</t>
        </is>
      </c>
      <c r="Q155" t="inlineStr">
        <is>
          <t>Annuaire Service-public.fr</t>
        </is>
      </c>
      <c r="R155" t="inlineStr"/>
      <c r="S155" t="inlineStr"/>
      <c r="T155" t="inlineStr"/>
    </row>
    <row r="156">
      <c r="A156" t="inlineStr">
        <is>
          <t>Métropole d'Aix-Marseille-Provence</t>
        </is>
      </c>
      <c r="B156" t="inlineStr">
        <is>
          <t>Métropole</t>
        </is>
      </c>
      <c r="C156" t="inlineStr">
        <is>
          <t>200054807</t>
        </is>
      </c>
      <c r="D156" t="inlineStr">
        <is>
          <t>13, 83, 84</t>
        </is>
      </c>
      <c r="E156" t="inlineStr">
        <is>
          <t>Bouches-du-Rhône, Var, Vaucluse</t>
        </is>
      </c>
      <c r="F156" t="inlineStr">
        <is>
          <t>Provence-Alpes-Côte d'Azur</t>
        </is>
      </c>
      <c r="G156" s="3" t="n">
        <v>1922626</v>
      </c>
      <c r="H156" t="n">
        <v>92</v>
      </c>
      <c r="I156" t="inlineStr">
        <is>
          <t>2 bis quai d'Arenc, Tour La Marseillaise</t>
        </is>
      </c>
      <c r="J156" t="inlineStr">
        <is>
          <t>13002</t>
        </is>
      </c>
      <c r="K156" t="inlineStr">
        <is>
          <t>Marseille</t>
        </is>
      </c>
      <c r="L156" t="inlineStr">
        <is>
          <t>04 91 99 99 00</t>
        </is>
      </c>
      <c r="M156" t="inlineStr"/>
      <c r="N156" s="4" t="inlineStr">
        <is>
          <t>https://ampmetropole.fr/</t>
        </is>
      </c>
      <c r="O156" s="4" t="inlineStr">
        <is>
          <t>https://ampmetropole.fr/nous-contacter/</t>
        </is>
      </c>
      <c r="P156" s="4" t="inlineStr">
        <is>
          <t>https://lannuaire.service-public.gouv.fr/provence-alpes-cote-d-azur/bouches-du-rhone/b1334731-396e-456d-8f9d-2e3868d6c688</t>
        </is>
      </c>
      <c r="Q156" t="inlineStr">
        <is>
          <t>Annuaire Service-public.fr</t>
        </is>
      </c>
      <c r="R156" t="inlineStr"/>
      <c r="S156" t="inlineStr"/>
      <c r="T156" t="inlineStr"/>
    </row>
    <row r="157">
      <c r="A157" t="inlineStr">
        <is>
          <t>CA Lisieux Normandie</t>
        </is>
      </c>
      <c r="B157" t="inlineStr">
        <is>
          <t>Communauté d’agglomération</t>
        </is>
      </c>
      <c r="C157" t="inlineStr">
        <is>
          <t>200069532</t>
        </is>
      </c>
      <c r="D157" t="inlineStr">
        <is>
          <t>14</t>
        </is>
      </c>
      <c r="E157" t="inlineStr">
        <is>
          <t>Calvados</t>
        </is>
      </c>
      <c r="F157" t="inlineStr">
        <is>
          <t>Normandie</t>
        </is>
      </c>
      <c r="G157" s="3" t="n">
        <v>72683</v>
      </c>
      <c r="H157" t="n">
        <v>53</v>
      </c>
      <c r="I157" t="inlineStr">
        <is>
          <t>11 place François-Mitterrand</t>
        </is>
      </c>
      <c r="J157" t="inlineStr">
        <is>
          <t>14100</t>
        </is>
      </c>
      <c r="K157" t="inlineStr">
        <is>
          <t>Lisieux</t>
        </is>
      </c>
      <c r="L157" t="inlineStr">
        <is>
          <t>02 31 61 66 00</t>
        </is>
      </c>
      <c r="M157" s="4" t="inlineStr">
        <is>
          <t>secretariat@agglo-lisieux.fr</t>
        </is>
      </c>
      <c r="N157" s="4" t="inlineStr">
        <is>
          <t>https://lisieux-normandie.fr/</t>
        </is>
      </c>
      <c r="O157" s="4" t="inlineStr">
        <is>
          <t>https://lisieux-normandie.fr/contact/</t>
        </is>
      </c>
      <c r="P157" s="4" t="inlineStr">
        <is>
          <t>https://lannuaire.service-public.gouv.fr/normandie/calvados/d340c45c-a8c3-452a-9dd2-fcbbe77ad842</t>
        </is>
      </c>
      <c r="Q157" t="inlineStr">
        <is>
          <t>Annuaire Service-public.fr</t>
        </is>
      </c>
      <c r="R157" t="inlineStr"/>
      <c r="S157" t="inlineStr"/>
      <c r="T157" t="inlineStr"/>
    </row>
    <row r="158">
      <c r="A158" t="inlineStr">
        <is>
          <t>CC Cingal-Suisse Normande</t>
        </is>
      </c>
      <c r="B158" t="inlineStr">
        <is>
          <t>Communauté de communes</t>
        </is>
      </c>
      <c r="C158" t="inlineStr">
        <is>
          <t>200066710</t>
        </is>
      </c>
      <c r="D158" t="inlineStr">
        <is>
          <t>14</t>
        </is>
      </c>
      <c r="E158" t="inlineStr">
        <is>
          <t>Calvados</t>
        </is>
      </c>
      <c r="F158" t="inlineStr">
        <is>
          <t>Normandie</t>
        </is>
      </c>
      <c r="G158" s="3" t="n">
        <v>23506</v>
      </c>
      <c r="H158" t="n">
        <v>41</v>
      </c>
      <c r="I158" t="inlineStr">
        <is>
          <t>4 rue Docteur-Gourdin</t>
        </is>
      </c>
      <c r="J158" t="inlineStr">
        <is>
          <t>14220</t>
        </is>
      </c>
      <c r="K158" t="inlineStr">
        <is>
          <t>Thury-Harcourt-le-Hom</t>
        </is>
      </c>
      <c r="L158" t="inlineStr">
        <is>
          <t>02 31 79 61 61</t>
        </is>
      </c>
      <c r="M158" s="4" t="inlineStr">
        <is>
          <t>cdc@cingal-suissenormande.fr</t>
        </is>
      </c>
      <c r="N158" s="4" t="inlineStr">
        <is>
          <t>https://www.suisse-normande.com/</t>
        </is>
      </c>
      <c r="O158" s="4" t="inlineStr">
        <is>
          <t>https://www.suisse-normande.com/contactez-nous/</t>
        </is>
      </c>
      <c r="P158" s="4" t="inlineStr">
        <is>
          <t>https://lannuaire.service-public.gouv.fr/normandie/calvados/301a9d4a-3b3c-4f7e-ad6c-a48c018f76fe</t>
        </is>
      </c>
      <c r="Q158" t="inlineStr">
        <is>
          <t>Annuaire Service-public.fr</t>
        </is>
      </c>
      <c r="R158" t="inlineStr"/>
      <c r="S158" t="inlineStr"/>
      <c r="T158" t="inlineStr"/>
    </row>
    <row r="159">
      <c r="A159" t="inlineStr">
        <is>
          <t>CC Coeur Côte Fleurie</t>
        </is>
      </c>
      <c r="B159" t="inlineStr">
        <is>
          <t>Communauté de communes</t>
        </is>
      </c>
      <c r="C159" t="inlineStr">
        <is>
          <t>241400415</t>
        </is>
      </c>
      <c r="D159" t="inlineStr">
        <is>
          <t>14</t>
        </is>
      </c>
      <c r="E159" t="inlineStr">
        <is>
          <t>Calvados</t>
        </is>
      </c>
      <c r="F159" t="inlineStr">
        <is>
          <t>Normandie</t>
        </is>
      </c>
      <c r="G159" s="3" t="n">
        <v>20687</v>
      </c>
      <c r="H159" t="n">
        <v>12</v>
      </c>
      <c r="I159" t="inlineStr">
        <is>
          <t>12 rue Robert-Fossorier</t>
        </is>
      </c>
      <c r="J159" t="inlineStr">
        <is>
          <t>14803</t>
        </is>
      </c>
      <c r="K159" t="inlineStr">
        <is>
          <t>Deauville Cedex</t>
        </is>
      </c>
      <c r="L159" t="inlineStr">
        <is>
          <t>02 31 88 54 49</t>
        </is>
      </c>
      <c r="M159" s="4" t="inlineStr">
        <is>
          <t>info@coeurcotefleurie.org</t>
        </is>
      </c>
      <c r="N159" s="4" t="inlineStr">
        <is>
          <t>https://www.coeurcotefleurie.org/</t>
        </is>
      </c>
      <c r="O159" s="4" t="inlineStr">
        <is>
          <t>https://www.coeurcotefleurie.org/contact/</t>
        </is>
      </c>
      <c r="P159" s="4" t="inlineStr">
        <is>
          <t>https://lannuaire.service-public.gouv.fr/normandie/calvados/4dd72523-f656-4b6b-82e6-7693dd451106</t>
        </is>
      </c>
      <c r="Q159" t="inlineStr">
        <is>
          <t>Annuaire Service-public.fr</t>
        </is>
      </c>
      <c r="R159" t="inlineStr"/>
      <c r="S159" t="inlineStr"/>
      <c r="T159" t="inlineStr"/>
    </row>
    <row r="160">
      <c r="A160" t="inlineStr">
        <is>
          <t>CC Coeur de Nacre</t>
        </is>
      </c>
      <c r="B160" t="inlineStr">
        <is>
          <t>Communauté de communes</t>
        </is>
      </c>
      <c r="C160" t="inlineStr">
        <is>
          <t>241400860</t>
        </is>
      </c>
      <c r="D160" t="inlineStr">
        <is>
          <t>14</t>
        </is>
      </c>
      <c r="E160" t="inlineStr">
        <is>
          <t>Calvados</t>
        </is>
      </c>
      <c r="F160" t="inlineStr">
        <is>
          <t>Normandie</t>
        </is>
      </c>
      <c r="G160" s="3" t="n">
        <v>24161</v>
      </c>
      <c r="H160" t="n">
        <v>12</v>
      </c>
      <c r="I160" t="inlineStr">
        <is>
          <t>7 rue de l'Église</t>
        </is>
      </c>
      <c r="J160" t="inlineStr">
        <is>
          <t>14440</t>
        </is>
      </c>
      <c r="K160" t="inlineStr">
        <is>
          <t>Douvres-la-Délivrande</t>
        </is>
      </c>
      <c r="L160" t="inlineStr">
        <is>
          <t>02 31 97 43 32</t>
        </is>
      </c>
      <c r="M160" s="4" t="inlineStr">
        <is>
          <t>contact@coeurdenacre.fr</t>
        </is>
      </c>
      <c r="N160" s="4" t="inlineStr">
        <is>
          <t>https://www.coeurdenacre.fr/web/index.php</t>
        </is>
      </c>
      <c r="O160" s="4" t="inlineStr">
        <is>
          <t>https://www.coeurdenacre.fr/contact.html</t>
        </is>
      </c>
      <c r="P160" s="4" t="inlineStr">
        <is>
          <t>https://lannuaire.service-public.gouv.fr/normandie/calvados/2d6b02bd-b9fc-467b-a94b-a737596fa647</t>
        </is>
      </c>
      <c r="Q160" t="inlineStr">
        <is>
          <t>Annuaire Service-public.fr</t>
        </is>
      </c>
      <c r="R160" t="inlineStr"/>
      <c r="S160" t="inlineStr"/>
      <c r="T160" t="inlineStr"/>
    </row>
    <row r="161">
      <c r="A161" t="inlineStr">
        <is>
          <t>CC Intercom de la Vire au Noireau</t>
        </is>
      </c>
      <c r="B161" t="inlineStr">
        <is>
          <t>Communauté de communes</t>
        </is>
      </c>
      <c r="C161" t="inlineStr">
        <is>
          <t>200068799</t>
        </is>
      </c>
      <c r="D161" t="inlineStr">
        <is>
          <t>14</t>
        </is>
      </c>
      <c r="E161" t="inlineStr">
        <is>
          <t>Calvados</t>
        </is>
      </c>
      <c r="F161" t="inlineStr">
        <is>
          <t>Normandie</t>
        </is>
      </c>
      <c r="G161" s="3" t="n">
        <v>46187</v>
      </c>
      <c r="H161" t="n">
        <v>17</v>
      </c>
      <c r="I161" t="inlineStr">
        <is>
          <t>20 rue d'Aignaux</t>
        </is>
      </c>
      <c r="J161" t="inlineStr">
        <is>
          <t>14500</t>
        </is>
      </c>
      <c r="K161" t="inlineStr">
        <is>
          <t>Vire</t>
        </is>
      </c>
      <c r="L161" t="inlineStr">
        <is>
          <t>02 31 66 66 55</t>
        </is>
      </c>
      <c r="M161" s="4" t="inlineStr">
        <is>
          <t>accueil.ivn@vireaunoireau.fr</t>
        </is>
      </c>
      <c r="N161" s="4" t="inlineStr">
        <is>
          <t>https://www.vireaunoireau.fr/</t>
        </is>
      </c>
      <c r="O161" t="inlineStr"/>
      <c r="P161" s="4" t="inlineStr">
        <is>
          <t>https://lannuaire.service-public.gouv.fr/normandie/calvados/7d836e95-d9fa-49c3-b60d-d4efc9d33203</t>
        </is>
      </c>
      <c r="Q161" t="inlineStr">
        <is>
          <t>Annuaire Service-public.fr</t>
        </is>
      </c>
      <c r="R161" t="inlineStr"/>
      <c r="S161" t="inlineStr"/>
      <c r="T161" t="inlineStr"/>
    </row>
    <row r="162">
      <c r="A162" t="inlineStr">
        <is>
          <t>CC Isigny-Omaha Intercom</t>
        </is>
      </c>
      <c r="B162" t="inlineStr">
        <is>
          <t>Communauté de communes</t>
        </is>
      </c>
      <c r="C162" t="inlineStr">
        <is>
          <t>200066801</t>
        </is>
      </c>
      <c r="D162" t="inlineStr">
        <is>
          <t>14</t>
        </is>
      </c>
      <c r="E162" t="inlineStr">
        <is>
          <t>Calvados</t>
        </is>
      </c>
      <c r="F162" t="inlineStr">
        <is>
          <t>Normandie</t>
        </is>
      </c>
      <c r="G162" s="3" t="n">
        <v>26420</v>
      </c>
      <c r="H162" t="n">
        <v>59</v>
      </c>
      <c r="I162" t="inlineStr">
        <is>
          <t>1336 route de Balleroy</t>
        </is>
      </c>
      <c r="J162" t="inlineStr">
        <is>
          <t>14330</t>
        </is>
      </c>
      <c r="K162" t="inlineStr">
        <is>
          <t>Le Molay-Littry</t>
        </is>
      </c>
      <c r="L162" t="inlineStr">
        <is>
          <t>02 31 21 42 27</t>
        </is>
      </c>
      <c r="M162" s="4" t="inlineStr">
        <is>
          <t>accueil@isigny-omaha-intercom.fr</t>
        </is>
      </c>
      <c r="N162" s="4" t="inlineStr">
        <is>
          <t>https://isigny-omaha-intercom.fr/</t>
        </is>
      </c>
      <c r="O162" s="4" t="inlineStr">
        <is>
          <t>https://isigny-omaha-intercom.fr/contact/</t>
        </is>
      </c>
      <c r="P162" s="4" t="inlineStr">
        <is>
          <t>https://lannuaire.service-public.gouv.fr/normandie/calvados/d6f33c2e-5f65-482f-8bed-9393253d3da0</t>
        </is>
      </c>
      <c r="Q162" t="inlineStr">
        <is>
          <t>Annuaire Service-public.fr</t>
        </is>
      </c>
      <c r="R162" t="inlineStr"/>
      <c r="S162" t="inlineStr"/>
      <c r="T162" t="inlineStr"/>
    </row>
    <row r="163">
      <c r="A163" t="inlineStr">
        <is>
          <t>CC Normandie-Cabourg-Pays d'Auge</t>
        </is>
      </c>
      <c r="B163" t="inlineStr">
        <is>
          <t>Communauté de communes</t>
        </is>
      </c>
      <c r="C163" t="inlineStr">
        <is>
          <t>200065563</t>
        </is>
      </c>
      <c r="D163" t="inlineStr">
        <is>
          <t>14</t>
        </is>
      </c>
      <c r="E163" t="inlineStr">
        <is>
          <t>Calvados</t>
        </is>
      </c>
      <c r="F163" t="inlineStr">
        <is>
          <t>Normandie</t>
        </is>
      </c>
      <c r="G163" s="3" t="n">
        <v>31566</v>
      </c>
      <c r="H163" t="n">
        <v>38</v>
      </c>
      <c r="I163" t="inlineStr">
        <is>
          <t>Rue des Entreprises, ZAC de la Vignerie, CS 10056</t>
        </is>
      </c>
      <c r="J163" t="inlineStr">
        <is>
          <t>14160</t>
        </is>
      </c>
      <c r="K163" t="inlineStr">
        <is>
          <t>Dives-sur-Mer</t>
        </is>
      </c>
      <c r="L163" t="inlineStr">
        <is>
          <t>02 31 28 39 97</t>
        </is>
      </c>
      <c r="M163" s="4" t="inlineStr">
        <is>
          <t>accueil@normandiecabourgpaysdauge.fr</t>
        </is>
      </c>
      <c r="N163" s="4" t="inlineStr">
        <is>
          <t>https://www.normandiecabourgpaysdauge.fr/#modal</t>
        </is>
      </c>
      <c r="O163" s="4" t="inlineStr">
        <is>
          <t>https://www.normandiecabourgpaysdauge.fr/contact/</t>
        </is>
      </c>
      <c r="P163" s="4" t="inlineStr">
        <is>
          <t>https://lannuaire.service-public.gouv.fr/normandie/calvados/b09f9e02-def0-46c3-919b-2b5e37aebbd5</t>
        </is>
      </c>
      <c r="Q163" t="inlineStr">
        <is>
          <t>Annuaire Service-public.fr</t>
        </is>
      </c>
      <c r="R163" t="inlineStr"/>
      <c r="S163" t="inlineStr"/>
      <c r="T163" t="inlineStr"/>
    </row>
    <row r="164">
      <c r="A164" t="inlineStr">
        <is>
          <t>CC Pré-Bocage Intercom</t>
        </is>
      </c>
      <c r="B164" t="inlineStr">
        <is>
          <t>Communauté de communes</t>
        </is>
      </c>
      <c r="C164" t="inlineStr">
        <is>
          <t>200069524</t>
        </is>
      </c>
      <c r="D164" t="inlineStr">
        <is>
          <t>14</t>
        </is>
      </c>
      <c r="E164" t="inlineStr">
        <is>
          <t>Calvados</t>
        </is>
      </c>
      <c r="F164" t="inlineStr">
        <is>
          <t>Normandie</t>
        </is>
      </c>
      <c r="G164" s="3" t="n">
        <v>24984</v>
      </c>
      <c r="H164" t="n">
        <v>27</v>
      </c>
      <c r="I164" t="inlineStr">
        <is>
          <t>31 rue de Vire, Aunay-sur-Odon</t>
        </is>
      </c>
      <c r="J164" t="inlineStr">
        <is>
          <t>14260</t>
        </is>
      </c>
      <c r="K164" t="inlineStr">
        <is>
          <t>Les-Monts-d'Aunay</t>
        </is>
      </c>
      <c r="L164" t="inlineStr">
        <is>
          <t>02 31 77 57 48</t>
        </is>
      </c>
      <c r="M164" s="4" t="inlineStr">
        <is>
          <t>contact@pbi14.fr</t>
        </is>
      </c>
      <c r="N164" s="4" t="inlineStr">
        <is>
          <t>https://prebocageintercom.fr</t>
        </is>
      </c>
      <c r="O164" t="inlineStr"/>
      <c r="P164" s="4" t="inlineStr">
        <is>
          <t>https://lannuaire.service-public.gouv.fr/normandie/calvados/14d1674b-92d5-44c2-8f22-6c07c0406f7c</t>
        </is>
      </c>
      <c r="Q164" t="inlineStr">
        <is>
          <t>Annuaire Service-public.fr</t>
        </is>
      </c>
      <c r="R164" t="inlineStr"/>
      <c r="S164" t="inlineStr"/>
      <c r="T164" t="inlineStr"/>
    </row>
    <row r="165">
      <c r="A165" t="inlineStr">
        <is>
          <t>CC Seulles Terre et Mer</t>
        </is>
      </c>
      <c r="B165" t="inlineStr">
        <is>
          <t>Communauté de communes</t>
        </is>
      </c>
      <c r="C165" t="inlineStr">
        <is>
          <t>200069516</t>
        </is>
      </c>
      <c r="D165" t="inlineStr">
        <is>
          <t>14</t>
        </is>
      </c>
      <c r="E165" t="inlineStr">
        <is>
          <t>Calvados</t>
        </is>
      </c>
      <c r="F165" t="inlineStr">
        <is>
          <t>Normandie</t>
        </is>
      </c>
      <c r="G165" s="3" t="n">
        <v>17577</v>
      </c>
      <c r="H165" t="n">
        <v>28</v>
      </c>
      <c r="I165" t="inlineStr">
        <is>
          <t>10 place Edmond-Paillaud</t>
        </is>
      </c>
      <c r="J165" t="inlineStr">
        <is>
          <t>14480</t>
        </is>
      </c>
      <c r="K165" t="inlineStr">
        <is>
          <t>Creully-sur-Seulles</t>
        </is>
      </c>
      <c r="L165" t="inlineStr">
        <is>
          <t>02 31 77 72 77</t>
        </is>
      </c>
      <c r="M165" s="4" t="inlineStr">
        <is>
          <t>contact@cdc-stm.fr</t>
        </is>
      </c>
      <c r="N165" s="4" t="inlineStr">
        <is>
          <t>https://www.seulles-terre-mer.fr</t>
        </is>
      </c>
      <c r="O165" s="4" t="inlineStr">
        <is>
          <t>https://seulles-terre-mer.fr/contact/</t>
        </is>
      </c>
      <c r="P165" s="4" t="inlineStr">
        <is>
          <t>https://lannuaire.service-public.gouv.fr/normandie/calvados/87b7a1ae-638a-45a1-8d98-d14488371d14</t>
        </is>
      </c>
      <c r="Q165" t="inlineStr">
        <is>
          <t>Annuaire Service-public.fr</t>
        </is>
      </c>
      <c r="R165" t="inlineStr"/>
      <c r="S165" t="inlineStr"/>
      <c r="T165" t="inlineStr"/>
    </row>
    <row r="166">
      <c r="A166" t="inlineStr">
        <is>
          <t>CC Terre d'Auge</t>
        </is>
      </c>
      <c r="B166" t="inlineStr">
        <is>
          <t>Communauté de communes</t>
        </is>
      </c>
      <c r="C166" t="inlineStr">
        <is>
          <t>241400878</t>
        </is>
      </c>
      <c r="D166" t="inlineStr">
        <is>
          <t>14</t>
        </is>
      </c>
      <c r="E166" t="inlineStr">
        <is>
          <t>Calvados</t>
        </is>
      </c>
      <c r="F166" t="inlineStr">
        <is>
          <t>Normandie</t>
        </is>
      </c>
      <c r="G166" s="3" t="n">
        <v>19801</v>
      </c>
      <c r="H166" t="n">
        <v>44</v>
      </c>
      <c r="I166" t="inlineStr">
        <is>
          <t>9 rue de l'Hippodrome</t>
        </is>
      </c>
      <c r="J166" t="inlineStr">
        <is>
          <t>14130</t>
        </is>
      </c>
      <c r="K166" t="inlineStr">
        <is>
          <t>Pont-l'Évêque</t>
        </is>
      </c>
      <c r="L166" t="inlineStr">
        <is>
          <t>02 31 65 04 75</t>
        </is>
      </c>
      <c r="M166" s="4" t="inlineStr">
        <is>
          <t>accueil@terredauge.fr</t>
        </is>
      </c>
      <c r="N166" s="4" t="inlineStr">
        <is>
          <t>https://www.terredauge.fr/</t>
        </is>
      </c>
      <c r="O166" s="4" t="inlineStr">
        <is>
          <t>https://www.terredauge.fr/contact/</t>
        </is>
      </c>
      <c r="P166" s="4" t="inlineStr">
        <is>
          <t>https://lannuaire.service-public.gouv.fr/normandie/calvados/f7754cf2-bbe4-4e33-bd3d-f89c723b9877</t>
        </is>
      </c>
      <c r="Q166" t="inlineStr">
        <is>
          <t>Annuaire Service-public.fr</t>
        </is>
      </c>
      <c r="R166" t="inlineStr"/>
      <c r="S166" t="inlineStr"/>
      <c r="T166" t="inlineStr"/>
    </row>
    <row r="167">
      <c r="A167" t="inlineStr">
        <is>
          <t>CC Val ès Dunes</t>
        </is>
      </c>
      <c r="B167" t="inlineStr">
        <is>
          <t>Communauté de communes</t>
        </is>
      </c>
      <c r="C167" t="inlineStr">
        <is>
          <t>200065589</t>
        </is>
      </c>
      <c r="D167" t="inlineStr">
        <is>
          <t>14</t>
        </is>
      </c>
      <c r="E167" t="inlineStr">
        <is>
          <t>Calvados</t>
        </is>
      </c>
      <c r="F167" t="inlineStr">
        <is>
          <t>Normandie</t>
        </is>
      </c>
      <c r="G167" s="3" t="n">
        <v>20565</v>
      </c>
      <c r="H167" t="n">
        <v>19</v>
      </c>
      <c r="I167" t="inlineStr">
        <is>
          <t>1 rue de Guéritot</t>
        </is>
      </c>
      <c r="J167" t="inlineStr">
        <is>
          <t>14370</t>
        </is>
      </c>
      <c r="K167" t="inlineStr">
        <is>
          <t>Argences</t>
        </is>
      </c>
      <c r="L167" t="inlineStr">
        <is>
          <t>02 31 15 63 70</t>
        </is>
      </c>
      <c r="M167" s="4" t="inlineStr">
        <is>
          <t>cdc@valesdunes.fr</t>
        </is>
      </c>
      <c r="N167" s="4" t="inlineStr">
        <is>
          <t>https://www.valesdunes.fr/</t>
        </is>
      </c>
      <c r="O167" s="4" t="inlineStr">
        <is>
          <t>https://www.valesdunes.fr/contact/</t>
        </is>
      </c>
      <c r="P167" s="4" t="inlineStr">
        <is>
          <t>https://lannuaire.service-public.gouv.fr/normandie/calvados/37f77977-5027-4527-8ff1-d27d53bfdce7</t>
        </is>
      </c>
      <c r="Q167" t="inlineStr">
        <is>
          <t>Annuaire Service-public.fr</t>
        </is>
      </c>
      <c r="R167" t="inlineStr"/>
      <c r="S167" t="inlineStr"/>
      <c r="T167" t="inlineStr"/>
    </row>
    <row r="168">
      <c r="A168" t="inlineStr">
        <is>
          <t>CC Vallées de l'Orne et de l'Odon</t>
        </is>
      </c>
      <c r="B168" t="inlineStr">
        <is>
          <t>Communauté de communes</t>
        </is>
      </c>
      <c r="C168" t="inlineStr">
        <is>
          <t>200066728</t>
        </is>
      </c>
      <c r="D168" t="inlineStr">
        <is>
          <t>14</t>
        </is>
      </c>
      <c r="E168" t="inlineStr">
        <is>
          <t>Calvados</t>
        </is>
      </c>
      <c r="F168" t="inlineStr">
        <is>
          <t>Normandie</t>
        </is>
      </c>
      <c r="G168" s="3" t="n">
        <v>26436</v>
      </c>
      <c r="H168" t="n">
        <v>22</v>
      </c>
      <c r="I168" t="inlineStr">
        <is>
          <t>4 Rue du Colonel Arnaud Beltrame</t>
        </is>
      </c>
      <c r="J168" t="inlineStr">
        <is>
          <t>14210</t>
        </is>
      </c>
      <c r="K168" t="inlineStr">
        <is>
          <t>Évrecy</t>
        </is>
      </c>
      <c r="L168" t="inlineStr">
        <is>
          <t>02 31 73 11 98</t>
        </is>
      </c>
      <c r="M168" s="4" t="inlineStr">
        <is>
          <t>contact@vallees-orne-odon.fr</t>
        </is>
      </c>
      <c r="N168" s="4" t="inlineStr">
        <is>
          <t>https://cdc.vallees-orne-odon.fr/</t>
        </is>
      </c>
      <c r="O168" s="4" t="inlineStr">
        <is>
          <t>https://cdc.vallees-orne-odon.fr/contacts/</t>
        </is>
      </c>
      <c r="P168" s="4" t="inlineStr">
        <is>
          <t>https://lannuaire.service-public.gouv.fr/normandie/calvados/42b1e277-6e97-4327-9b01-77e72570390a</t>
        </is>
      </c>
      <c r="Q168" t="inlineStr">
        <is>
          <t>Annuaire Service-public.fr</t>
        </is>
      </c>
      <c r="R168" t="inlineStr"/>
      <c r="S168" t="inlineStr"/>
      <c r="T168" t="inlineStr"/>
    </row>
    <row r="169">
      <c r="A169" t="inlineStr">
        <is>
          <t>CC de Bayeux Intercom</t>
        </is>
      </c>
      <c r="B169" t="inlineStr">
        <is>
          <t>Communauté de communes</t>
        </is>
      </c>
      <c r="C169" t="inlineStr">
        <is>
          <t>241400555</t>
        </is>
      </c>
      <c r="D169" t="inlineStr">
        <is>
          <t>14</t>
        </is>
      </c>
      <c r="E169" t="inlineStr">
        <is>
          <t>Calvados</t>
        </is>
      </c>
      <c r="F169" t="inlineStr">
        <is>
          <t>Normandie</t>
        </is>
      </c>
      <c r="G169" s="3" t="n">
        <v>29939</v>
      </c>
      <c r="H169" t="n">
        <v>36</v>
      </c>
      <c r="I169" t="inlineStr">
        <is>
          <t>4 place Gauquelin-des-Pallières</t>
        </is>
      </c>
      <c r="J169" t="inlineStr">
        <is>
          <t>14400</t>
        </is>
      </c>
      <c r="K169" t="inlineStr">
        <is>
          <t>Bayeux</t>
        </is>
      </c>
      <c r="L169" t="inlineStr">
        <is>
          <t>02 31 51 63 00</t>
        </is>
      </c>
      <c r="M169" s="4" t="inlineStr">
        <is>
          <t>siege@bayeux-intercom.fr</t>
        </is>
      </c>
      <c r="N169" s="4" t="inlineStr">
        <is>
          <t>https://www.bayeux-intercom.fr/</t>
        </is>
      </c>
      <c r="O169" s="4" t="inlineStr">
        <is>
          <t>https://www.bayeux-intercom.fr/infos/contact/</t>
        </is>
      </c>
      <c r="P169" s="4" t="inlineStr">
        <is>
          <t>https://lannuaire.service-public.gouv.fr/normandie/calvados/8687d9bd-03c6-44ba-a679-fe8c86ce8717</t>
        </is>
      </c>
      <c r="Q169" t="inlineStr">
        <is>
          <t>Annuaire Service-public.fr</t>
        </is>
      </c>
      <c r="R169" t="inlineStr"/>
      <c r="S169" t="inlineStr"/>
      <c r="T169" t="inlineStr"/>
    </row>
    <row r="170">
      <c r="A170" t="inlineStr">
        <is>
          <t>CC du Pays de Falaise</t>
        </is>
      </c>
      <c r="B170" t="inlineStr">
        <is>
          <t>Communauté de communes</t>
        </is>
      </c>
      <c r="C170" t="inlineStr">
        <is>
          <t>241400514</t>
        </is>
      </c>
      <c r="D170" t="inlineStr">
        <is>
          <t>14</t>
        </is>
      </c>
      <c r="E170" t="inlineStr">
        <is>
          <t>Calvados</t>
        </is>
      </c>
      <c r="F170" t="inlineStr">
        <is>
          <t>Normandie</t>
        </is>
      </c>
      <c r="G170" s="3" t="n">
        <v>27374</v>
      </c>
      <c r="H170" t="n">
        <v>58</v>
      </c>
      <c r="I170" t="inlineStr">
        <is>
          <t>Rue de l'Industrie</t>
        </is>
      </c>
      <c r="J170" t="inlineStr">
        <is>
          <t>14700</t>
        </is>
      </c>
      <c r="K170" t="inlineStr">
        <is>
          <t>Falaise</t>
        </is>
      </c>
      <c r="L170" t="inlineStr">
        <is>
          <t>02 31 90 42 18</t>
        </is>
      </c>
      <c r="M170" s="4" t="inlineStr">
        <is>
          <t>accueil@paysdefalaise.fr</t>
        </is>
      </c>
      <c r="N170" s="4" t="inlineStr">
        <is>
          <t>https://www.paysdefalaise.fr/</t>
        </is>
      </c>
      <c r="O170" s="4" t="inlineStr">
        <is>
          <t>https://www.paysdefalaise.fr/communaute-de-communes/notre-fonctionnement/contact/</t>
        </is>
      </c>
      <c r="P170" s="4" t="inlineStr">
        <is>
          <t>https://lannuaire.service-public.gouv.fr/normandie/calvados/96e52221-71b0-4e5f-b25f-f7beed394447</t>
        </is>
      </c>
      <c r="Q170" t="inlineStr">
        <is>
          <t>Annuaire Service-public.fr</t>
        </is>
      </c>
      <c r="R170" t="inlineStr"/>
      <c r="S170" t="inlineStr"/>
      <c r="T170" t="inlineStr"/>
    </row>
    <row r="171">
      <c r="A171" t="inlineStr">
        <is>
          <t>CU Caen la Mer</t>
        </is>
      </c>
      <c r="B171" t="inlineStr">
        <is>
          <t>Communauté urbaine</t>
        </is>
      </c>
      <c r="C171" t="inlineStr">
        <is>
          <t>200065597</t>
        </is>
      </c>
      <c r="D171" t="inlineStr">
        <is>
          <t>14</t>
        </is>
      </c>
      <c r="E171" t="inlineStr">
        <is>
          <t>Calvados</t>
        </is>
      </c>
      <c r="F171" t="inlineStr">
        <is>
          <t>Normandie</t>
        </is>
      </c>
      <c r="G171" s="3" t="n">
        <v>277248</v>
      </c>
      <c r="H171" t="n">
        <v>48</v>
      </c>
      <c r="I171" t="inlineStr">
        <is>
          <t>16 rue Rosa-Parks, CS 52700</t>
        </is>
      </c>
      <c r="J171" t="inlineStr">
        <is>
          <t>14027</t>
        </is>
      </c>
      <c r="K171" t="inlineStr">
        <is>
          <t>Caen Cedex 9</t>
        </is>
      </c>
      <c r="L171" t="inlineStr">
        <is>
          <t>02 31 39 40 00</t>
        </is>
      </c>
      <c r="M171" s="4" t="inlineStr">
        <is>
          <t>caenlamer@caenlamer.fr</t>
        </is>
      </c>
      <c r="N171" s="4" t="inlineStr">
        <is>
          <t>https://caenlamer.fr/</t>
        </is>
      </c>
      <c r="O171" s="4" t="inlineStr">
        <is>
          <t>https://caenlamer.fr/formulaire/contact</t>
        </is>
      </c>
      <c r="P171" s="4" t="inlineStr">
        <is>
          <t>https://lannuaire.service-public.gouv.fr/normandie/calvados/95128487-1958-49c5-a4ca-3cacf3cd0a05</t>
        </is>
      </c>
      <c r="Q171" t="inlineStr">
        <is>
          <t>Annuaire Service-public.fr</t>
        </is>
      </c>
      <c r="R171" t="inlineStr"/>
      <c r="S171" t="inlineStr"/>
      <c r="T171" t="inlineStr"/>
    </row>
    <row r="172">
      <c r="A172" t="inlineStr">
        <is>
          <t>CC du Pays de Honfleur-Beuzeville</t>
        </is>
      </c>
      <c r="B172" t="inlineStr">
        <is>
          <t>Communauté de communes</t>
        </is>
      </c>
      <c r="C172" t="inlineStr">
        <is>
          <t>200066827</t>
        </is>
      </c>
      <c r="D172" t="inlineStr">
        <is>
          <t>14, 27</t>
        </is>
      </c>
      <c r="E172" t="inlineStr">
        <is>
          <t>Calvados, Eure</t>
        </is>
      </c>
      <c r="F172" t="inlineStr">
        <is>
          <t>Normandie</t>
        </is>
      </c>
      <c r="G172" s="3" t="n">
        <v>27103</v>
      </c>
      <c r="H172" t="n">
        <v>23</v>
      </c>
      <c r="I172" t="inlineStr">
        <is>
          <t>33 cours des Fossés</t>
        </is>
      </c>
      <c r="J172" t="inlineStr">
        <is>
          <t>14600</t>
        </is>
      </c>
      <c r="K172" t="inlineStr">
        <is>
          <t>Honfleur</t>
        </is>
      </c>
      <c r="L172" t="inlineStr">
        <is>
          <t>02 31 14 29 30</t>
        </is>
      </c>
      <c r="M172" s="4" t="inlineStr">
        <is>
          <t>contact@ccphb.fr</t>
        </is>
      </c>
      <c r="N172" s="4" t="inlineStr">
        <is>
          <t>https://www.ccphb.fr/</t>
        </is>
      </c>
      <c r="O172" s="4" t="inlineStr">
        <is>
          <t>https://www.ccphb.fr/contact/</t>
        </is>
      </c>
      <c r="P172" s="4" t="inlineStr">
        <is>
          <t>https://lannuaire.service-public.gouv.fr/normandie/calvados/bd821f66-9c8a-47b5-bc80-1c72331aaf45</t>
        </is>
      </c>
      <c r="Q172" t="inlineStr">
        <is>
          <t>Annuaire Service-public.fr</t>
        </is>
      </c>
      <c r="R172" t="inlineStr"/>
      <c r="S172" t="inlineStr"/>
      <c r="T172" t="inlineStr"/>
    </row>
    <row r="173">
      <c r="A173" t="inlineStr">
        <is>
          <t>CA du Bassin d'Aurillac</t>
        </is>
      </c>
      <c r="B173" t="inlineStr">
        <is>
          <t>Communauté d’agglomération</t>
        </is>
      </c>
      <c r="C173" t="inlineStr">
        <is>
          <t>241500230</t>
        </is>
      </c>
      <c r="D173" t="inlineStr">
        <is>
          <t>15</t>
        </is>
      </c>
      <c r="E173" t="inlineStr">
        <is>
          <t>Cantal</t>
        </is>
      </c>
      <c r="F173" t="inlineStr">
        <is>
          <t>Auvergne-Rhône-Alpes</t>
        </is>
      </c>
      <c r="G173" s="3" t="n">
        <v>54226</v>
      </c>
      <c r="H173" t="n">
        <v>25</v>
      </c>
      <c r="I173" t="inlineStr">
        <is>
          <t>3 place des Carmes</t>
        </is>
      </c>
      <c r="J173" t="inlineStr">
        <is>
          <t>15000</t>
        </is>
      </c>
      <c r="K173" t="inlineStr">
        <is>
          <t>Aurillac</t>
        </is>
      </c>
      <c r="L173" t="inlineStr">
        <is>
          <t>04 71 46 86 30</t>
        </is>
      </c>
      <c r="M173" s="4" t="inlineStr">
        <is>
          <t>contact@caba.fr</t>
        </is>
      </c>
      <c r="N173" s="4" t="inlineStr">
        <is>
          <t>https://www.caba.fr/fr/</t>
        </is>
      </c>
      <c r="O173" s="4" t="inlineStr">
        <is>
          <t>https://www.caba.fr/fr/contact/</t>
        </is>
      </c>
      <c r="P173" s="4" t="inlineStr">
        <is>
          <t>https://lannuaire.service-public.gouv.fr/auvergne-rhone-alpes/cantal/043db1ce-a865-4d71-b1ac-c188793066d5</t>
        </is>
      </c>
      <c r="Q173" t="inlineStr">
        <is>
          <t>Annuaire Service-public.fr</t>
        </is>
      </c>
      <c r="R173" t="inlineStr"/>
      <c r="S173" t="inlineStr"/>
      <c r="T173" t="inlineStr"/>
    </row>
    <row r="174">
      <c r="A174" t="inlineStr">
        <is>
          <t>CC Cère et Goul en Carladès</t>
        </is>
      </c>
      <c r="B174" t="inlineStr">
        <is>
          <t>Communauté de communes</t>
        </is>
      </c>
      <c r="C174" t="inlineStr">
        <is>
          <t>241501089</t>
        </is>
      </c>
      <c r="D174" t="inlineStr">
        <is>
          <t>15</t>
        </is>
      </c>
      <c r="E174" t="inlineStr">
        <is>
          <t>Cantal</t>
        </is>
      </c>
      <c r="F174" t="inlineStr">
        <is>
          <t>Auvergne-Rhône-Alpes</t>
        </is>
      </c>
      <c r="G174" s="3" t="n">
        <v>4997</v>
      </c>
      <c r="H174" t="n">
        <v>11</v>
      </c>
      <c r="I174" t="inlineStr">
        <is>
          <t>6 rue de l'Elancèze</t>
        </is>
      </c>
      <c r="J174" t="inlineStr">
        <is>
          <t>15800</t>
        </is>
      </c>
      <c r="K174" t="inlineStr">
        <is>
          <t>Vic-sur-Cère</t>
        </is>
      </c>
      <c r="L174" t="inlineStr">
        <is>
          <t>04 71 47 89 00</t>
        </is>
      </c>
      <c r="M174" s="4" t="inlineStr">
        <is>
          <t>secretariat@carlades.fr</t>
        </is>
      </c>
      <c r="N174" s="4" t="inlineStr">
        <is>
          <t>https://www.carlades.com/</t>
        </is>
      </c>
      <c r="O174" s="4" t="inlineStr">
        <is>
          <t>https://www.carlades.com/nous-joindre/</t>
        </is>
      </c>
      <c r="P174" s="4" t="inlineStr">
        <is>
          <t>https://lannuaire.service-public.gouv.fr/auvergne-rhone-alpes/cantal/4b15dd65-2ec4-4f19-9780-5a318eabaf9d</t>
        </is>
      </c>
      <c r="Q174" t="inlineStr">
        <is>
          <t>Annuaire Service-public.fr</t>
        </is>
      </c>
      <c r="R174" t="inlineStr"/>
      <c r="S174" t="inlineStr"/>
      <c r="T174" t="inlineStr"/>
    </row>
    <row r="175">
      <c r="A175" t="inlineStr">
        <is>
          <t>CC Hautes Terres</t>
        </is>
      </c>
      <c r="B175" t="inlineStr">
        <is>
          <t>Communauté de communes</t>
        </is>
      </c>
      <c r="C175" t="inlineStr">
        <is>
          <t>200066637</t>
        </is>
      </c>
      <c r="D175" t="inlineStr">
        <is>
          <t>15</t>
        </is>
      </c>
      <c r="E175" t="inlineStr">
        <is>
          <t>Cantal</t>
        </is>
      </c>
      <c r="F175" t="inlineStr">
        <is>
          <t>Auvergne-Rhône-Alpes</t>
        </is>
      </c>
      <c r="G175" s="3" t="n">
        <v>11118</v>
      </c>
      <c r="H175" t="n">
        <v>39</v>
      </c>
      <c r="I175" t="inlineStr">
        <is>
          <t>4 rue du Faubourg-Notre-Dame</t>
        </is>
      </c>
      <c r="J175" t="inlineStr">
        <is>
          <t>15300</t>
        </is>
      </c>
      <c r="K175" t="inlineStr">
        <is>
          <t>Murat</t>
        </is>
      </c>
      <c r="L175" t="inlineStr">
        <is>
          <t>04 71 20 22 62</t>
        </is>
      </c>
      <c r="M175" s="4" t="inlineStr">
        <is>
          <t>contact@hautesterres.fr</t>
        </is>
      </c>
      <c r="N175" s="4" t="inlineStr">
        <is>
          <t>https://www.hautesterres.fr/</t>
        </is>
      </c>
      <c r="O175" t="inlineStr"/>
      <c r="P175" s="4" t="inlineStr">
        <is>
          <t>https://lannuaire.service-public.gouv.fr/auvergne-rhone-alpes/cantal/13bb3803-022e-4d86-85b7-016b0c2e98a0</t>
        </is>
      </c>
      <c r="Q175" t="inlineStr">
        <is>
          <t>Annuaire Service-public.fr</t>
        </is>
      </c>
      <c r="R175" t="inlineStr"/>
      <c r="S175" t="inlineStr"/>
      <c r="T175" t="inlineStr"/>
    </row>
    <row r="176">
      <c r="A176" t="inlineStr">
        <is>
          <t>CC Sumène - Artense</t>
        </is>
      </c>
      <c r="B176" t="inlineStr">
        <is>
          <t>Communauté de communes</t>
        </is>
      </c>
      <c r="C176" t="inlineStr">
        <is>
          <t>241501055</t>
        </is>
      </c>
      <c r="D176" t="inlineStr">
        <is>
          <t>15</t>
        </is>
      </c>
      <c r="E176" t="inlineStr">
        <is>
          <t>Cantal</t>
        </is>
      </c>
      <c r="F176" t="inlineStr">
        <is>
          <t>Auvergne-Rhône-Alpes</t>
        </is>
      </c>
      <c r="G176" s="3" t="n">
        <v>8201</v>
      </c>
      <c r="H176" t="n">
        <v>16</v>
      </c>
      <c r="I176" t="inlineStr">
        <is>
          <t>21 rue du Calalet</t>
        </is>
      </c>
      <c r="J176" t="inlineStr">
        <is>
          <t>15240</t>
        </is>
      </c>
      <c r="K176" t="inlineStr">
        <is>
          <t>Saignes</t>
        </is>
      </c>
      <c r="L176" t="inlineStr">
        <is>
          <t>04 71 40 62 66</t>
        </is>
      </c>
      <c r="M176" s="4" t="inlineStr">
        <is>
          <t>contact@sumene-artense.com</t>
        </is>
      </c>
      <c r="N176" s="4" t="inlineStr">
        <is>
          <t>https://www.sumene-artense.com/</t>
        </is>
      </c>
      <c r="O176" s="4" t="inlineStr">
        <is>
          <t>https://www.sumene-artense.com/contact-communaute-communes-sumene-artense_fr.html</t>
        </is>
      </c>
      <c r="P176" s="4" t="inlineStr">
        <is>
          <t>https://lannuaire.service-public.gouv.fr/auvergne-rhone-alpes/cantal/d8fcef57-aee0-485c-bd42-d49fee79f5c1</t>
        </is>
      </c>
      <c r="Q176" t="inlineStr">
        <is>
          <t>Annuaire Service-public.fr</t>
        </is>
      </c>
      <c r="R176" t="inlineStr"/>
      <c r="S176" t="inlineStr"/>
      <c r="T176" t="inlineStr"/>
    </row>
    <row r="177">
      <c r="A177" t="inlineStr">
        <is>
          <t>CC de Saint-Flour</t>
        </is>
      </c>
      <c r="B177" t="inlineStr">
        <is>
          <t>Communauté de communes</t>
        </is>
      </c>
      <c r="C177" t="inlineStr">
        <is>
          <t>200066660</t>
        </is>
      </c>
      <c r="D177" t="inlineStr">
        <is>
          <t>15</t>
        </is>
      </c>
      <c r="E177" t="inlineStr">
        <is>
          <t>Cantal</t>
        </is>
      </c>
      <c r="F177" t="inlineStr">
        <is>
          <t>Auvergne-Rhône-Alpes</t>
        </is>
      </c>
      <c r="G177" s="3" t="n">
        <v>23264</v>
      </c>
      <c r="H177" t="n">
        <v>53</v>
      </c>
      <c r="I177" t="inlineStr">
        <is>
          <t>ZA du Rozier-Coren</t>
        </is>
      </c>
      <c r="J177" t="inlineStr">
        <is>
          <t>15100</t>
        </is>
      </c>
      <c r="K177" t="inlineStr">
        <is>
          <t>Saint-Flour</t>
        </is>
      </c>
      <c r="L177" t="inlineStr">
        <is>
          <t>04 71 60 56 80</t>
        </is>
      </c>
      <c r="M177" s="4" t="inlineStr">
        <is>
          <t>contact@saintflourco.fr</t>
        </is>
      </c>
      <c r="N177" s="4" t="inlineStr">
        <is>
          <t>https://saint-flour-communaute.fr/</t>
        </is>
      </c>
      <c r="O177" t="inlineStr"/>
      <c r="P177" s="4" t="inlineStr">
        <is>
          <t>https://lannuaire.service-public.gouv.fr/auvergne-rhone-alpes/cantal/d2c6efd3-5c1b-4bc1-b82c-117d04be7e0c</t>
        </is>
      </c>
      <c r="Q177" t="inlineStr">
        <is>
          <t>Annuaire Service-public.fr</t>
        </is>
      </c>
      <c r="R177" t="inlineStr"/>
      <c r="S177" t="inlineStr"/>
      <c r="T177" t="inlineStr"/>
    </row>
    <row r="178">
      <c r="A178" t="inlineStr">
        <is>
          <t>CC de la Châtaigneraie Cantalienne</t>
        </is>
      </c>
      <c r="B178" t="inlineStr">
        <is>
          <t>Communauté de communes</t>
        </is>
      </c>
      <c r="C178" t="inlineStr">
        <is>
          <t>200066678</t>
        </is>
      </c>
      <c r="D178" t="inlineStr">
        <is>
          <t>15</t>
        </is>
      </c>
      <c r="E178" t="inlineStr">
        <is>
          <t>Cantal</t>
        </is>
      </c>
      <c r="F178" t="inlineStr">
        <is>
          <t>Auvergne-Rhône-Alpes</t>
        </is>
      </c>
      <c r="G178" s="3" t="n">
        <v>21099</v>
      </c>
      <c r="H178" t="n">
        <v>50</v>
      </c>
      <c r="I178" t="inlineStr">
        <is>
          <t>5 rue des Placettes, Maison des services</t>
        </is>
      </c>
      <c r="J178" t="inlineStr">
        <is>
          <t>15220</t>
        </is>
      </c>
      <c r="K178" t="inlineStr">
        <is>
          <t>Saint-Mamet-la-Salvetat</t>
        </is>
      </c>
      <c r="L178" t="inlineStr">
        <is>
          <t>04 71 49 33 30</t>
        </is>
      </c>
      <c r="M178" s="4" t="inlineStr">
        <is>
          <t>accueil@chataigneraie15.fr</t>
        </is>
      </c>
      <c r="N178" s="4" t="inlineStr">
        <is>
          <t>https://www.chataigneraie15.fr/</t>
        </is>
      </c>
      <c r="O178" s="4" t="inlineStr">
        <is>
          <t>https://www.chataigneraie15.fr/rdv-contact-communaute-communes-cantalienne-cantal_fr.html</t>
        </is>
      </c>
      <c r="P178" s="4" t="inlineStr">
        <is>
          <t>https://lannuaire.service-public.gouv.fr/auvergne-rhone-alpes/cantal/54e352a3-71d2-40f8-8001-ed3bd723b35d</t>
        </is>
      </c>
      <c r="Q178" t="inlineStr">
        <is>
          <t>Annuaire Service-public.fr</t>
        </is>
      </c>
      <c r="R178" t="inlineStr"/>
      <c r="S178" t="inlineStr"/>
      <c r="T178" t="inlineStr"/>
    </row>
    <row r="179">
      <c r="A179" t="inlineStr">
        <is>
          <t>CC du Pays Gentiane</t>
        </is>
      </c>
      <c r="B179" t="inlineStr">
        <is>
          <t>Communauté de communes</t>
        </is>
      </c>
      <c r="C179" t="inlineStr">
        <is>
          <t>241500255</t>
        </is>
      </c>
      <c r="D179" t="inlineStr">
        <is>
          <t>15</t>
        </is>
      </c>
      <c r="E179" t="inlineStr">
        <is>
          <t>Cantal</t>
        </is>
      </c>
      <c r="F179" t="inlineStr">
        <is>
          <t>Auvergne-Rhône-Alpes</t>
        </is>
      </c>
      <c r="G179" s="3" t="n">
        <v>6495</v>
      </c>
      <c r="H179" t="n">
        <v>17</v>
      </c>
      <c r="I179" t="inlineStr">
        <is>
          <t>Place de la Gare</t>
        </is>
      </c>
      <c r="J179" t="inlineStr">
        <is>
          <t>15400</t>
        </is>
      </c>
      <c r="K179" t="inlineStr">
        <is>
          <t>Riom-ès-Montagnes</t>
        </is>
      </c>
      <c r="L179" t="inlineStr">
        <is>
          <t>04 71 78 29 50</t>
        </is>
      </c>
      <c r="M179" s="4" t="inlineStr">
        <is>
          <t>efs@pays-gentiane.com;secretariat@pays-gentiane.com</t>
        </is>
      </c>
      <c r="N179" s="4" t="inlineStr">
        <is>
          <t>https://www.pays-gentiane.fr</t>
        </is>
      </c>
      <c r="O179" t="inlineStr"/>
      <c r="P179" s="4" t="inlineStr">
        <is>
          <t>https://lannuaire.service-public.gouv.fr/auvergne-rhone-alpes/cantal/7c1f734d-d6da-4502-b0df-53a9ca4a6fd4</t>
        </is>
      </c>
      <c r="Q179" t="inlineStr">
        <is>
          <t>Annuaire Service-public.fr</t>
        </is>
      </c>
      <c r="R179" t="inlineStr"/>
      <c r="S179" t="inlineStr"/>
      <c r="T179" t="inlineStr"/>
    </row>
    <row r="180">
      <c r="A180" t="inlineStr">
        <is>
          <t>CC du Pays de Mauriac</t>
        </is>
      </c>
      <c r="B180" t="inlineStr">
        <is>
          <t>Communauté de communes</t>
        </is>
      </c>
      <c r="C180" t="inlineStr">
        <is>
          <t>241500271</t>
        </is>
      </c>
      <c r="D180" t="inlineStr">
        <is>
          <t>15</t>
        </is>
      </c>
      <c r="E180" t="inlineStr">
        <is>
          <t>Cantal</t>
        </is>
      </c>
      <c r="F180" t="inlineStr">
        <is>
          <t>Auvergne-Rhône-Alpes</t>
        </is>
      </c>
      <c r="G180" s="3" t="n">
        <v>6552</v>
      </c>
      <c r="H180" t="n">
        <v>11</v>
      </c>
      <c r="I180" t="inlineStr">
        <is>
          <t>1 avenue du Commandant-Gabon</t>
        </is>
      </c>
      <c r="J180" t="inlineStr">
        <is>
          <t>15200</t>
        </is>
      </c>
      <c r="K180" t="inlineStr">
        <is>
          <t>Mauriac</t>
        </is>
      </c>
      <c r="L180" t="inlineStr">
        <is>
          <t>04 71 68 27 32</t>
        </is>
      </c>
      <c r="M180" s="4" t="inlineStr">
        <is>
          <t>administration@paysdemauriac.fr</t>
        </is>
      </c>
      <c r="N180" s="4" t="inlineStr">
        <is>
          <t>http://www.paysdemauriac.fr/</t>
        </is>
      </c>
      <c r="O180" t="inlineStr"/>
      <c r="P180" s="4" t="inlineStr">
        <is>
          <t>https://lannuaire.service-public.gouv.fr/auvergne-rhone-alpes/cantal/958767ad-6a4a-4cb3-9c83-df08035bb9be</t>
        </is>
      </c>
      <c r="Q180" t="inlineStr">
        <is>
          <t>Annuaire Service-public.fr</t>
        </is>
      </c>
      <c r="R180" t="inlineStr"/>
      <c r="S180" t="inlineStr"/>
      <c r="T180" t="inlineStr"/>
    </row>
    <row r="181">
      <c r="A181" t="inlineStr">
        <is>
          <t>CC du Pays de Salers</t>
        </is>
      </c>
      <c r="B181" t="inlineStr">
        <is>
          <t>Communauté de communes</t>
        </is>
      </c>
      <c r="C181" t="inlineStr">
        <is>
          <t>241501139</t>
        </is>
      </c>
      <c r="D181" t="inlineStr">
        <is>
          <t>15</t>
        </is>
      </c>
      <c r="E181" t="inlineStr">
        <is>
          <t>Cantal</t>
        </is>
      </c>
      <c r="F181" t="inlineStr">
        <is>
          <t>Auvergne-Rhône-Alpes</t>
        </is>
      </c>
      <c r="G181" s="3" t="n">
        <v>8416</v>
      </c>
      <c r="H181" t="n">
        <v>27</v>
      </c>
      <c r="I181" t="inlineStr">
        <is>
          <t>1 rue des feuilles, espace d'activité 360°</t>
        </is>
      </c>
      <c r="J181" t="inlineStr">
        <is>
          <t>15140</t>
        </is>
      </c>
      <c r="K181" t="inlineStr">
        <is>
          <t>Sainte-Eulalie</t>
        </is>
      </c>
      <c r="L181" t="inlineStr">
        <is>
          <t>04 71 40 72 09</t>
        </is>
      </c>
      <c r="M181" s="4" t="inlineStr">
        <is>
          <t>contact@pays-salers.fr</t>
        </is>
      </c>
      <c r="N181" s="4" t="inlineStr">
        <is>
          <t>https://www.pays-salers.fr/</t>
        </is>
      </c>
      <c r="O181" s="4" t="inlineStr">
        <is>
          <t>https://www.pays-salers.fr/contact</t>
        </is>
      </c>
      <c r="P181" s="4" t="inlineStr">
        <is>
          <t>https://lannuaire.service-public.gouv.fr/auvergne-rhone-alpes/cantal/d3fff799-32bd-4422-a7a5-418a3ef1584f</t>
        </is>
      </c>
      <c r="Q181" t="inlineStr">
        <is>
          <t>Annuaire Service-public.fr</t>
        </is>
      </c>
      <c r="R181" t="inlineStr"/>
      <c r="S181" t="inlineStr"/>
      <c r="T181" t="inlineStr"/>
    </row>
    <row r="182">
      <c r="A182" t="inlineStr">
        <is>
          <t>CC du Massif du Sancy</t>
        </is>
      </c>
      <c r="B182" t="inlineStr">
        <is>
          <t>Communauté de communes</t>
        </is>
      </c>
      <c r="C182" t="inlineStr">
        <is>
          <t>246300966</t>
        </is>
      </c>
      <c r="D182" t="inlineStr">
        <is>
          <t>15, 63</t>
        </is>
      </c>
      <c r="E182" t="inlineStr">
        <is>
          <t>Cantal, Puy-de-Dôme</t>
        </is>
      </c>
      <c r="F182" t="inlineStr">
        <is>
          <t>Auvergne-Rhône-Alpes</t>
        </is>
      </c>
      <c r="G182" s="3" t="n">
        <v>9576</v>
      </c>
      <c r="H182" t="n">
        <v>20</v>
      </c>
      <c r="I182" t="inlineStr">
        <is>
          <t>4 boulevard Mirabeau</t>
        </is>
      </c>
      <c r="J182" t="inlineStr">
        <is>
          <t>63240</t>
        </is>
      </c>
      <c r="K182" t="inlineStr">
        <is>
          <t>Mont-Dore</t>
        </is>
      </c>
      <c r="L182" t="inlineStr">
        <is>
          <t>04 73 65 24 48</t>
        </is>
      </c>
      <c r="M182" s="4" t="inlineStr">
        <is>
          <t>ccms@cc-massifdusancy.fr</t>
        </is>
      </c>
      <c r="N182" s="4" t="inlineStr">
        <is>
          <t>https://www.cc-massifdusancy.fr/</t>
        </is>
      </c>
      <c r="O182" s="4" t="inlineStr">
        <is>
          <t>https://www.cc-massifdusancy.fr/contact/</t>
        </is>
      </c>
      <c r="P182" s="4" t="inlineStr">
        <is>
          <t>https://lannuaire.service-public.gouv.fr/auvergne-rhone-alpes/puy-de-dome/c53b0361-48b2-4b2b-a982-14d65c55a646</t>
        </is>
      </c>
      <c r="Q182" t="inlineStr">
        <is>
          <t>Annuaire Service-public.fr</t>
        </is>
      </c>
      <c r="R182" t="inlineStr"/>
      <c r="S182" t="inlineStr"/>
      <c r="T182" t="inlineStr"/>
    </row>
    <row r="183">
      <c r="A183" t="inlineStr">
        <is>
          <t>CA du Grand Angoulême</t>
        </is>
      </c>
      <c r="B183" t="inlineStr">
        <is>
          <t>Communauté d’agglomération</t>
        </is>
      </c>
      <c r="C183" t="inlineStr">
        <is>
          <t>200071827</t>
        </is>
      </c>
      <c r="D183" t="inlineStr">
        <is>
          <t>16</t>
        </is>
      </c>
      <c r="E183" t="inlineStr">
        <is>
          <t>Charente</t>
        </is>
      </c>
      <c r="F183" t="inlineStr">
        <is>
          <t>Nouvelle-Aquitaine</t>
        </is>
      </c>
      <c r="G183" s="3" t="n">
        <v>142458</v>
      </c>
      <c r="H183" t="n">
        <v>38</v>
      </c>
      <c r="I183" t="inlineStr">
        <is>
          <t>25 boulevard Besson-Bey</t>
        </is>
      </c>
      <c r="J183" t="inlineStr">
        <is>
          <t>16023</t>
        </is>
      </c>
      <c r="K183" t="inlineStr">
        <is>
          <t>Angoulême</t>
        </is>
      </c>
      <c r="L183" t="inlineStr">
        <is>
          <t>05 45 38 60 60</t>
        </is>
      </c>
      <c r="M183" s="4" t="inlineStr">
        <is>
          <t>contact@grandangouleme.fr</t>
        </is>
      </c>
      <c r="N183" s="4" t="inlineStr">
        <is>
          <t>https://www.grandangouleme.fr/</t>
        </is>
      </c>
      <c r="O183" t="inlineStr"/>
      <c r="P183" s="4" t="inlineStr">
        <is>
          <t>https://lannuaire.service-public.gouv.fr/nouvelle-aquitaine/charente/3f329b4f-5e24-4ce7-b2c5-05616ee62307</t>
        </is>
      </c>
      <c r="Q183" t="inlineStr">
        <is>
          <t>Annuaire Service-public.fr</t>
        </is>
      </c>
      <c r="R183" t="inlineStr"/>
      <c r="S183" t="inlineStr"/>
      <c r="T183" t="inlineStr"/>
    </row>
    <row r="184">
      <c r="A184" t="inlineStr">
        <is>
          <t>CA du Grand Cognac</t>
        </is>
      </c>
      <c r="B184" t="inlineStr">
        <is>
          <t>Communauté d’agglomération</t>
        </is>
      </c>
      <c r="C184" t="inlineStr">
        <is>
          <t>200070514</t>
        </is>
      </c>
      <c r="D184" t="inlineStr">
        <is>
          <t>16</t>
        </is>
      </c>
      <c r="E184" t="inlineStr">
        <is>
          <t>Charente</t>
        </is>
      </c>
      <c r="F184" t="inlineStr">
        <is>
          <t>Nouvelle-Aquitaine</t>
        </is>
      </c>
      <c r="G184" s="3" t="n">
        <v>69065</v>
      </c>
      <c r="H184" t="n">
        <v>54</v>
      </c>
      <c r="I184" t="inlineStr">
        <is>
          <t>6 rue de Valdepenas, CS 10216</t>
        </is>
      </c>
      <c r="J184" t="inlineStr">
        <is>
          <t>16111</t>
        </is>
      </c>
      <c r="K184" t="inlineStr">
        <is>
          <t>Cognac Cedex</t>
        </is>
      </c>
      <c r="L184" t="inlineStr">
        <is>
          <t>05 45 36 64 30</t>
        </is>
      </c>
      <c r="M184" s="4" t="inlineStr">
        <is>
          <t>contact@grand-cognac.fr</t>
        </is>
      </c>
      <c r="N184" s="4" t="inlineStr">
        <is>
          <t>https://www.grand-cognac.fr/</t>
        </is>
      </c>
      <c r="O184" s="4" t="inlineStr">
        <is>
          <t>https://www.grand-cognac.fr/nous-contacter</t>
        </is>
      </c>
      <c r="P184" s="4" t="inlineStr">
        <is>
          <t>https://lannuaire.service-public.gouv.fr/nouvelle-aquitaine/charente/eabefdf6-c8ff-45a6-9e99-0cb25ee7ec56</t>
        </is>
      </c>
      <c r="Q184" t="inlineStr">
        <is>
          <t>Annuaire Service-public.fr</t>
        </is>
      </c>
      <c r="R184" t="inlineStr"/>
      <c r="S184" t="inlineStr"/>
      <c r="T184" t="inlineStr"/>
    </row>
    <row r="185">
      <c r="A185" t="inlineStr">
        <is>
          <t>CC Coeur de Charente</t>
        </is>
      </c>
      <c r="B185" t="inlineStr">
        <is>
          <t>Communauté de communes</t>
        </is>
      </c>
      <c r="C185" t="inlineStr">
        <is>
          <t>200072023</t>
        </is>
      </c>
      <c r="D185" t="inlineStr">
        <is>
          <t>16</t>
        </is>
      </c>
      <c r="E185" t="inlineStr">
        <is>
          <t>Charente</t>
        </is>
      </c>
      <c r="F185" t="inlineStr">
        <is>
          <t>Nouvelle-Aquitaine</t>
        </is>
      </c>
      <c r="G185" s="3" t="n">
        <v>22006</v>
      </c>
      <c r="H185" t="n">
        <v>48</v>
      </c>
      <c r="I185" t="inlineStr">
        <is>
          <t>10 route de Paris</t>
        </is>
      </c>
      <c r="J185" t="inlineStr">
        <is>
          <t>16560</t>
        </is>
      </c>
      <c r="K185" t="inlineStr">
        <is>
          <t>Tourriers</t>
        </is>
      </c>
      <c r="L185" t="inlineStr">
        <is>
          <t>05 45 20 68 46</t>
        </is>
      </c>
      <c r="M185" s="4" t="inlineStr">
        <is>
          <t>secretariat@coeurdecharente.fr</t>
        </is>
      </c>
      <c r="N185" s="4" t="inlineStr">
        <is>
          <t>https://www.coeurdecharente.fr/</t>
        </is>
      </c>
      <c r="O185" s="4" t="inlineStr">
        <is>
          <t>https://www.coeurdecharente.fr/contact/</t>
        </is>
      </c>
      <c r="P185" s="4" t="inlineStr">
        <is>
          <t>https://lannuaire.service-public.gouv.fr/nouvelle-aquitaine/charente/db456363-6ebe-4e0b-990c-160746cc1885</t>
        </is>
      </c>
      <c r="Q185" t="inlineStr">
        <is>
          <t>Annuaire Service-public.fr</t>
        </is>
      </c>
      <c r="R185" t="inlineStr"/>
      <c r="S185" t="inlineStr"/>
      <c r="T185" t="inlineStr"/>
    </row>
    <row r="186">
      <c r="A186" t="inlineStr">
        <is>
          <t>CC La Rochefoucauld Porte du Périgord</t>
        </is>
      </c>
      <c r="B186" t="inlineStr">
        <is>
          <t>Communauté de communes</t>
        </is>
      </c>
      <c r="C186" t="inlineStr">
        <is>
          <t>200068914</t>
        </is>
      </c>
      <c r="D186" t="inlineStr">
        <is>
          <t>16</t>
        </is>
      </c>
      <c r="E186" t="inlineStr">
        <is>
          <t>Charente</t>
        </is>
      </c>
      <c r="F186" t="inlineStr">
        <is>
          <t>Nouvelle-Aquitaine</t>
        </is>
      </c>
      <c r="G186" s="3" t="n">
        <v>21882</v>
      </c>
      <c r="H186" t="n">
        <v>27</v>
      </c>
      <c r="I186" t="inlineStr">
        <is>
          <t>2 rue des Vieilles-Écoles</t>
        </is>
      </c>
      <c r="J186" t="inlineStr">
        <is>
          <t>16220</t>
        </is>
      </c>
      <c r="K186" t="inlineStr">
        <is>
          <t>Montbron</t>
        </is>
      </c>
      <c r="L186" t="inlineStr">
        <is>
          <t>05 45 63 00 52</t>
        </is>
      </c>
      <c r="M186" s="4" t="inlineStr">
        <is>
          <t>accueil@rochefoucauld-perigord.fr</t>
        </is>
      </c>
      <c r="N186" s="4" t="inlineStr">
        <is>
          <t>https://www.rochefoucauld-perigord.fr/</t>
        </is>
      </c>
      <c r="O186" t="inlineStr"/>
      <c r="P186" s="4" t="inlineStr">
        <is>
          <t>https://lannuaire.service-public.gouv.fr/nouvelle-aquitaine/charente/cfef3744-484d-425b-bc79-69ab23b19c18</t>
        </is>
      </c>
      <c r="Q186" t="inlineStr">
        <is>
          <t>Annuaire Service-public.fr</t>
        </is>
      </c>
      <c r="R186" t="inlineStr"/>
      <c r="S186" t="inlineStr"/>
      <c r="T186" t="inlineStr"/>
    </row>
    <row r="187">
      <c r="A187" t="inlineStr">
        <is>
          <t>CC Lavalette Tude Dronne</t>
        </is>
      </c>
      <c r="B187" t="inlineStr">
        <is>
          <t>Communauté de communes</t>
        </is>
      </c>
      <c r="C187" t="inlineStr">
        <is>
          <t>200070282</t>
        </is>
      </c>
      <c r="D187" t="inlineStr">
        <is>
          <t>16</t>
        </is>
      </c>
      <c r="E187" t="inlineStr">
        <is>
          <t>Charente</t>
        </is>
      </c>
      <c r="F187" t="inlineStr">
        <is>
          <t>Nouvelle-Aquitaine</t>
        </is>
      </c>
      <c r="G187" s="3" t="n">
        <v>17477</v>
      </c>
      <c r="H187" t="n">
        <v>49</v>
      </c>
      <c r="I187" t="inlineStr">
        <is>
          <t>35 avenue de l'Aquitaine</t>
        </is>
      </c>
      <c r="J187" t="inlineStr">
        <is>
          <t>16190</t>
        </is>
      </c>
      <c r="K187" t="inlineStr">
        <is>
          <t>Montmoreau</t>
        </is>
      </c>
      <c r="L187" t="inlineStr">
        <is>
          <t>05 45 24 08 79</t>
        </is>
      </c>
      <c r="M187" s="4" t="inlineStr">
        <is>
          <t>accueil@ccltd.fr</t>
        </is>
      </c>
      <c r="N187" s="4" t="inlineStr">
        <is>
          <t>https://www.lavalette-tude-dronne.fr/</t>
        </is>
      </c>
      <c r="O187" s="4" t="inlineStr">
        <is>
          <t>https://www.lavalette-tude-dronne.fr/contact/</t>
        </is>
      </c>
      <c r="P187" s="4" t="inlineStr">
        <is>
          <t>https://lannuaire.service-public.gouv.fr/nouvelle-aquitaine/charente/ca3c3e66-3c7c-48db-b44d-ec727300aac5</t>
        </is>
      </c>
      <c r="Q187" t="inlineStr">
        <is>
          <t>Annuaire Service-public.fr</t>
        </is>
      </c>
      <c r="R187" t="inlineStr"/>
      <c r="S187" t="inlineStr"/>
      <c r="T187" t="inlineStr"/>
    </row>
    <row r="188">
      <c r="A188" t="inlineStr">
        <is>
          <t>CC Val de Charente</t>
        </is>
      </c>
      <c r="B188" t="inlineStr">
        <is>
          <t>Communauté de communes</t>
        </is>
      </c>
      <c r="C188" t="inlineStr">
        <is>
          <t>200043016</t>
        </is>
      </c>
      <c r="D188" t="inlineStr">
        <is>
          <t>16</t>
        </is>
      </c>
      <c r="E188" t="inlineStr">
        <is>
          <t>Charente</t>
        </is>
      </c>
      <c r="F188" t="inlineStr">
        <is>
          <t>Nouvelle-Aquitaine</t>
        </is>
      </c>
      <c r="G188" s="3" t="n">
        <v>13776</v>
      </c>
      <c r="H188" t="n">
        <v>32</v>
      </c>
      <c r="I188" t="inlineStr">
        <is>
          <t>9 boulevard des Grands-Rocs</t>
        </is>
      </c>
      <c r="J188" t="inlineStr">
        <is>
          <t>16700</t>
        </is>
      </c>
      <c r="K188" t="inlineStr">
        <is>
          <t>Ruffec</t>
        </is>
      </c>
      <c r="L188" t="inlineStr">
        <is>
          <t>05 45 31 07 14</t>
        </is>
      </c>
      <c r="M188" s="4" t="inlineStr">
        <is>
          <t>president@ccvaldecharente.fr</t>
        </is>
      </c>
      <c r="N188" s="4" t="inlineStr">
        <is>
          <t>https://www.ccvaldecharente.fr/</t>
        </is>
      </c>
      <c r="O188" s="4" t="inlineStr">
        <is>
          <t>https://www.ccvaldecharente.fr/intercommunalite/cc-val-de-charente/nous-contacter</t>
        </is>
      </c>
      <c r="P188" s="4" t="inlineStr">
        <is>
          <t>https://lannuaire.service-public.gouv.fr/nouvelle-aquitaine/charente/9aa3d0c6-94a0-4545-84c0-31075edbb81b</t>
        </is>
      </c>
      <c r="Q188" t="inlineStr">
        <is>
          <t>Annuaire Service-public.fr</t>
        </is>
      </c>
      <c r="R188" t="inlineStr"/>
      <c r="S188" t="inlineStr"/>
      <c r="T188" t="inlineStr"/>
    </row>
    <row r="189">
      <c r="A189" t="inlineStr">
        <is>
          <t>CC de Charente Limousine</t>
        </is>
      </c>
      <c r="B189" t="inlineStr">
        <is>
          <t>Communauté de communes</t>
        </is>
      </c>
      <c r="C189" t="inlineStr">
        <is>
          <t>200072049</t>
        </is>
      </c>
      <c r="D189" t="inlineStr">
        <is>
          <t>16</t>
        </is>
      </c>
      <c r="E189" t="inlineStr">
        <is>
          <t>Charente</t>
        </is>
      </c>
      <c r="F189" t="inlineStr">
        <is>
          <t>Nouvelle-Aquitaine</t>
        </is>
      </c>
      <c r="G189" s="3" t="n">
        <v>35187</v>
      </c>
      <c r="H189" t="n">
        <v>58</v>
      </c>
      <c r="I189" t="inlineStr">
        <is>
          <t>8 rue Fontaine-des-Jardins</t>
        </is>
      </c>
      <c r="J189" t="inlineStr">
        <is>
          <t>16500</t>
        </is>
      </c>
      <c r="K189" t="inlineStr">
        <is>
          <t>Confolens</t>
        </is>
      </c>
      <c r="L189" t="inlineStr">
        <is>
          <t>05 45 84 14 08</t>
        </is>
      </c>
      <c r="M189" s="4" t="inlineStr">
        <is>
          <t>contact@charente-limousine.fr</t>
        </is>
      </c>
      <c r="N189" s="4" t="inlineStr">
        <is>
          <t>https://charente-limousine.fr/</t>
        </is>
      </c>
      <c r="O189" s="4" t="inlineStr">
        <is>
          <t>https://charente-limousine.fr/contact/</t>
        </is>
      </c>
      <c r="P189" s="4" t="inlineStr">
        <is>
          <t>https://lannuaire.service-public.gouv.fr/nouvelle-aquitaine/charente/284acdc4-c744-4631-a458-c1383236aa1b</t>
        </is>
      </c>
      <c r="Q189" t="inlineStr">
        <is>
          <t>Annuaire Service-public.fr</t>
        </is>
      </c>
      <c r="R189" t="inlineStr"/>
      <c r="S189" t="inlineStr"/>
      <c r="T189" t="inlineStr"/>
    </row>
    <row r="190">
      <c r="A190" t="inlineStr">
        <is>
          <t>CC des 4B Sud Charente</t>
        </is>
      </c>
      <c r="B190" t="inlineStr">
        <is>
          <t>Communauté de communes</t>
        </is>
      </c>
      <c r="C190" t="inlineStr">
        <is>
          <t>200029734</t>
        </is>
      </c>
      <c r="D190" t="inlineStr">
        <is>
          <t>16</t>
        </is>
      </c>
      <c r="E190" t="inlineStr">
        <is>
          <t>Charente</t>
        </is>
      </c>
      <c r="F190" t="inlineStr">
        <is>
          <t>Nouvelle-Aquitaine</t>
        </is>
      </c>
      <c r="G190" s="3" t="n">
        <v>19940</v>
      </c>
      <c r="H190" t="n">
        <v>40</v>
      </c>
      <c r="I190" t="inlineStr">
        <is>
          <t>1 route de l'Ancienne-Gare</t>
        </is>
      </c>
      <c r="J190" t="inlineStr">
        <is>
          <t>16360</t>
        </is>
      </c>
      <c r="K190" t="inlineStr">
        <is>
          <t>Touvérac</t>
        </is>
      </c>
      <c r="L190" t="inlineStr">
        <is>
          <t>05 45 78 89 09</t>
        </is>
      </c>
      <c r="M190" s="4" t="inlineStr">
        <is>
          <t>accueil@cdc4b.com</t>
        </is>
      </c>
      <c r="N190" s="4" t="inlineStr">
        <is>
          <t>https://www.cdc4b.com/</t>
        </is>
      </c>
      <c r="O190" s="4" t="inlineStr">
        <is>
          <t>https://www.cdc4b.com/systeme/nous-contacter/</t>
        </is>
      </c>
      <c r="P190" s="4" t="inlineStr">
        <is>
          <t>https://lannuaire.service-public.gouv.fr/nouvelle-aquitaine/charente/80c37675-5942-488e-8fb7-a1a8ad62ae25</t>
        </is>
      </c>
      <c r="Q190" t="inlineStr">
        <is>
          <t>Annuaire Service-public.fr</t>
        </is>
      </c>
      <c r="R190" t="inlineStr"/>
      <c r="S190" t="inlineStr"/>
      <c r="T190" t="inlineStr"/>
    </row>
    <row r="191">
      <c r="A191" t="inlineStr">
        <is>
          <t>CC du Rouillacais</t>
        </is>
      </c>
      <c r="B191" t="inlineStr">
        <is>
          <t>Communauté de communes</t>
        </is>
      </c>
      <c r="C191" t="inlineStr">
        <is>
          <t>241600303</t>
        </is>
      </c>
      <c r="D191" t="inlineStr">
        <is>
          <t>16</t>
        </is>
      </c>
      <c r="E191" t="inlineStr">
        <is>
          <t>Charente</t>
        </is>
      </c>
      <c r="F191" t="inlineStr">
        <is>
          <t>Nouvelle-Aquitaine</t>
        </is>
      </c>
      <c r="G191" s="3" t="n">
        <v>9812</v>
      </c>
      <c r="H191" t="n">
        <v>13</v>
      </c>
      <c r="I191" t="inlineStr">
        <is>
          <t>314 avenue Jean-Monnet</t>
        </is>
      </c>
      <c r="J191" t="inlineStr">
        <is>
          <t>16170</t>
        </is>
      </c>
      <c r="K191" t="inlineStr">
        <is>
          <t>Rouillac</t>
        </is>
      </c>
      <c r="L191" t="inlineStr">
        <is>
          <t>05 45 96 83 24</t>
        </is>
      </c>
      <c r="M191" s="4" t="inlineStr">
        <is>
          <t>administration@ccrouillacais.fr</t>
        </is>
      </c>
      <c r="N191" s="4" t="inlineStr">
        <is>
          <t>https://www.lerouillacais.fr/</t>
        </is>
      </c>
      <c r="O191" s="4" t="inlineStr">
        <is>
          <t>https://www.lerouillacais.fr/</t>
        </is>
      </c>
      <c r="P191" s="4" t="inlineStr">
        <is>
          <t>https://lannuaire.service-public.gouv.fr/nouvelle-aquitaine/charente/462a446d-1e0d-461c-b707-8952dcce090d</t>
        </is>
      </c>
      <c r="Q191" t="inlineStr">
        <is>
          <t>Annuaire Service-public.fr</t>
        </is>
      </c>
      <c r="R191" t="inlineStr"/>
      <c r="S191" t="inlineStr"/>
      <c r="T191" t="inlineStr"/>
    </row>
    <row r="192">
      <c r="A192" t="inlineStr">
        <is>
          <t>CA "Saintes - Grandes Rives - L'Agglo"</t>
        </is>
      </c>
      <c r="B192" t="inlineStr">
        <is>
          <t>Communauté d’agglomération</t>
        </is>
      </c>
      <c r="C192" t="inlineStr">
        <is>
          <t>200036473</t>
        </is>
      </c>
      <c r="D192" t="inlineStr">
        <is>
          <t>17</t>
        </is>
      </c>
      <c r="E192" t="inlineStr">
        <is>
          <t>Charente-Maritime</t>
        </is>
      </c>
      <c r="F192" t="inlineStr">
        <is>
          <t>Nouvelle-Aquitaine</t>
        </is>
      </c>
      <c r="G192" s="3" t="n">
        <v>60600</v>
      </c>
      <c r="H192" t="n">
        <v>36</v>
      </c>
      <c r="I192" t="inlineStr">
        <is>
          <t>12 boulevard Guillet Maillet</t>
        </is>
      </c>
      <c r="J192" t="inlineStr">
        <is>
          <t>17100</t>
        </is>
      </c>
      <c r="K192" t="inlineStr">
        <is>
          <t>Saintes</t>
        </is>
      </c>
      <c r="L192" t="inlineStr">
        <is>
          <t>05 46 93 41 50</t>
        </is>
      </c>
      <c r="M192" s="4" t="inlineStr">
        <is>
          <t>info@agglo-saintes.fr</t>
        </is>
      </c>
      <c r="N192" s="4" t="inlineStr">
        <is>
          <t>https://www.agglo-saintes.fr/</t>
        </is>
      </c>
      <c r="O192" t="inlineStr"/>
      <c r="P192" s="4" t="inlineStr">
        <is>
          <t>https://lannuaire.service-public.gouv.fr/nouvelle-aquitaine/charente-maritime/09ef2bb5-de2c-4dfa-8339-40438bc212de</t>
        </is>
      </c>
      <c r="Q192" t="inlineStr">
        <is>
          <t>Annuaire Service-public.fr</t>
        </is>
      </c>
      <c r="R192" t="inlineStr"/>
      <c r="S192" t="inlineStr"/>
      <c r="T192" t="inlineStr"/>
    </row>
    <row r="193">
      <c r="A193" t="inlineStr">
        <is>
          <t>CA Rochefort Océan</t>
        </is>
      </c>
      <c r="B193" t="inlineStr">
        <is>
          <t>Communauté d’agglomération</t>
        </is>
      </c>
      <c r="C193" t="inlineStr">
        <is>
          <t>200041762</t>
        </is>
      </c>
      <c r="D193" t="inlineStr">
        <is>
          <t>17</t>
        </is>
      </c>
      <c r="E193" t="inlineStr">
        <is>
          <t>Charente-Maritime</t>
        </is>
      </c>
      <c r="F193" t="inlineStr">
        <is>
          <t>Nouvelle-Aquitaine</t>
        </is>
      </c>
      <c r="G193" s="3" t="n">
        <v>64956</v>
      </c>
      <c r="H193" t="n">
        <v>25</v>
      </c>
      <c r="I193" t="inlineStr">
        <is>
          <t>Parc des Fourriers, 3 avenue Maurice-Chupin</t>
        </is>
      </c>
      <c r="J193" t="inlineStr">
        <is>
          <t>17300</t>
        </is>
      </c>
      <c r="K193" t="inlineStr">
        <is>
          <t>Rochefort</t>
        </is>
      </c>
      <c r="L193" t="inlineStr">
        <is>
          <t>05 46 82 17 80</t>
        </is>
      </c>
      <c r="M193" s="4" t="inlineStr">
        <is>
          <t>contact@agglo-rochefortocean.fr</t>
        </is>
      </c>
      <c r="N193" s="4" t="inlineStr">
        <is>
          <t>https://www.agglo-rochefortocean.fr/</t>
        </is>
      </c>
      <c r="O193" s="4" t="inlineStr">
        <is>
          <t>https://www.agglo-rochefortocean.fr/contact</t>
        </is>
      </c>
      <c r="P193" s="4" t="inlineStr">
        <is>
          <t>https://lannuaire.service-public.gouv.fr/nouvelle-aquitaine/charente-maritime/8306682f-f64e-4c61-804d-d0fc19b6e8c6</t>
        </is>
      </c>
      <c r="Q193" t="inlineStr">
        <is>
          <t>Annuaire Service-public.fr</t>
        </is>
      </c>
      <c r="R193" t="inlineStr"/>
      <c r="S193" t="inlineStr"/>
      <c r="T193" t="inlineStr"/>
    </row>
    <row r="194">
      <c r="A194" t="inlineStr">
        <is>
          <t>CA Royan Atlantique</t>
        </is>
      </c>
      <c r="B194" t="inlineStr">
        <is>
          <t>Communauté d’agglomération</t>
        </is>
      </c>
      <c r="C194" t="inlineStr">
        <is>
          <t>241700640</t>
        </is>
      </c>
      <c r="D194" t="inlineStr">
        <is>
          <t>17</t>
        </is>
      </c>
      <c r="E194" t="inlineStr">
        <is>
          <t>Charente-Maritime</t>
        </is>
      </c>
      <c r="F194" t="inlineStr">
        <is>
          <t>Nouvelle-Aquitaine</t>
        </is>
      </c>
      <c r="G194" s="3" t="n">
        <v>86221</v>
      </c>
      <c r="H194" t="n">
        <v>33</v>
      </c>
      <c r="I194" t="inlineStr">
        <is>
          <t>107 avenue de Rochefort</t>
        </is>
      </c>
      <c r="J194" t="inlineStr">
        <is>
          <t>17200</t>
        </is>
      </c>
      <c r="K194" t="inlineStr">
        <is>
          <t>Royan</t>
        </is>
      </c>
      <c r="L194" t="inlineStr">
        <is>
          <t>05 46 22 19 20</t>
        </is>
      </c>
      <c r="M194" s="4" t="inlineStr">
        <is>
          <t>contact@agglo-royan.fr</t>
        </is>
      </c>
      <c r="N194" s="4" t="inlineStr">
        <is>
          <t>https://www.agglo-royan.fr/</t>
        </is>
      </c>
      <c r="O194" t="inlineStr"/>
      <c r="P194" s="4" t="inlineStr">
        <is>
          <t>https://lannuaire.service-public.gouv.fr/nouvelle-aquitaine/charente-maritime/dbb8caeb-a95c-4578-a92e-53fbe46d54c8</t>
        </is>
      </c>
      <c r="Q194" t="inlineStr">
        <is>
          <t>Annuaire Service-public.fr</t>
        </is>
      </c>
      <c r="R194" t="inlineStr"/>
      <c r="S194" t="inlineStr"/>
      <c r="T194" t="inlineStr"/>
    </row>
    <row r="195">
      <c r="A195" t="inlineStr">
        <is>
          <t>CA de La Rochelle</t>
        </is>
      </c>
      <c r="B195" t="inlineStr">
        <is>
          <t>Communauté d’agglomération</t>
        </is>
      </c>
      <c r="C195" t="inlineStr">
        <is>
          <t>241700434</t>
        </is>
      </c>
      <c r="D195" t="inlineStr">
        <is>
          <t>17</t>
        </is>
      </c>
      <c r="E195" t="inlineStr">
        <is>
          <t>Charente-Maritime</t>
        </is>
      </c>
      <c r="F195" t="inlineStr">
        <is>
          <t>Nouvelle-Aquitaine</t>
        </is>
      </c>
      <c r="G195" s="3" t="n">
        <v>181057</v>
      </c>
      <c r="H195" t="n">
        <v>28</v>
      </c>
      <c r="I195" t="inlineStr">
        <is>
          <t>6 rue Saint-Michel, CS 41287</t>
        </is>
      </c>
      <c r="J195" t="inlineStr">
        <is>
          <t>17086</t>
        </is>
      </c>
      <c r="K195" t="inlineStr">
        <is>
          <t>La Rochelle Cedex 2</t>
        </is>
      </c>
      <c r="L195" t="inlineStr">
        <is>
          <t>05 46 30 34 00</t>
        </is>
      </c>
      <c r="M195" s="4" t="inlineStr">
        <is>
          <t>accueil@agglo-larochelle.fr</t>
        </is>
      </c>
      <c r="N195" s="4" t="inlineStr">
        <is>
          <t>https://www.agglo-larochelle.fr/</t>
        </is>
      </c>
      <c r="O195" s="4" t="inlineStr">
        <is>
          <t>https://www.agglo-larochelle.fr/contacter-l-agglo</t>
        </is>
      </c>
      <c r="P195" s="4" t="inlineStr">
        <is>
          <t>https://lannuaire.service-public.gouv.fr/nouvelle-aquitaine/charente-maritime/4829690c-ce89-4cd6-8f8c-5aa4eae83f99</t>
        </is>
      </c>
      <c r="Q195" t="inlineStr">
        <is>
          <t>Annuaire Service-public.fr</t>
        </is>
      </c>
      <c r="R195" t="inlineStr"/>
      <c r="S195" t="inlineStr"/>
      <c r="T195" t="inlineStr"/>
    </row>
    <row r="196">
      <c r="A196" t="inlineStr">
        <is>
          <t>CC Aunis Atlantique</t>
        </is>
      </c>
      <c r="B196" t="inlineStr">
        <is>
          <t>Communauté de communes</t>
        </is>
      </c>
      <c r="C196" t="inlineStr">
        <is>
          <t>200041499</t>
        </is>
      </c>
      <c r="D196" t="inlineStr">
        <is>
          <t>17</t>
        </is>
      </c>
      <c r="E196" t="inlineStr">
        <is>
          <t>Charente-Maritime</t>
        </is>
      </c>
      <c r="F196" t="inlineStr">
        <is>
          <t>Nouvelle-Aquitaine</t>
        </is>
      </c>
      <c r="G196" s="3" t="n">
        <v>32371</v>
      </c>
      <c r="H196" t="n">
        <v>20</v>
      </c>
      <c r="I196" t="inlineStr">
        <is>
          <t>200 rue de la Juillerie</t>
        </is>
      </c>
      <c r="J196" t="inlineStr">
        <is>
          <t>17170</t>
        </is>
      </c>
      <c r="K196" t="inlineStr">
        <is>
          <t>Ferrières</t>
        </is>
      </c>
      <c r="L196" t="inlineStr">
        <is>
          <t>05 46 68 92 93</t>
        </is>
      </c>
      <c r="M196" s="4" t="inlineStr">
        <is>
          <t>contact@aunisatlantique.fr</t>
        </is>
      </c>
      <c r="N196" s="4" t="inlineStr">
        <is>
          <t>https://www.aunisatlantique.fr/</t>
        </is>
      </c>
      <c r="O196" t="inlineStr"/>
      <c r="P196" s="4" t="inlineStr">
        <is>
          <t>https://lannuaire.service-public.gouv.fr/nouvelle-aquitaine/charente-maritime/c79e4812-43e2-4dc5-b38e-5f98fac78595</t>
        </is>
      </c>
      <c r="Q196" t="inlineStr">
        <is>
          <t>Annuaire Service-public.fr</t>
        </is>
      </c>
      <c r="R196" t="inlineStr"/>
      <c r="S196" t="inlineStr"/>
      <c r="T196" t="inlineStr"/>
    </row>
    <row r="197">
      <c r="A197" t="inlineStr">
        <is>
          <t>CC Aunis Sud</t>
        </is>
      </c>
      <c r="B197" t="inlineStr">
        <is>
          <t>Communauté de communes</t>
        </is>
      </c>
      <c r="C197" t="inlineStr">
        <is>
          <t>200041614</t>
        </is>
      </c>
      <c r="D197" t="inlineStr">
        <is>
          <t>17</t>
        </is>
      </c>
      <c r="E197" t="inlineStr">
        <is>
          <t>Charente-Maritime</t>
        </is>
      </c>
      <c r="F197" t="inlineStr">
        <is>
          <t>Nouvelle-Aquitaine</t>
        </is>
      </c>
      <c r="G197" s="3" t="n">
        <v>33181</v>
      </c>
      <c r="H197" t="n">
        <v>24</v>
      </c>
      <c r="I197" t="inlineStr">
        <is>
          <t>45 avenue Martin-Luther-King</t>
        </is>
      </c>
      <c r="J197" t="inlineStr">
        <is>
          <t>17700</t>
        </is>
      </c>
      <c r="K197" t="inlineStr">
        <is>
          <t>Surgères</t>
        </is>
      </c>
      <c r="L197" t="inlineStr">
        <is>
          <t>05 46 07 22 33</t>
        </is>
      </c>
      <c r="M197" s="4" t="inlineStr">
        <is>
          <t>contact@aunis-sud.fr</t>
        </is>
      </c>
      <c r="N197" s="4" t="inlineStr">
        <is>
          <t>https://aunis-sud.fr/</t>
        </is>
      </c>
      <c r="O197" s="4" t="inlineStr">
        <is>
          <t>https://aunis-sud.fr/contactez-nous/</t>
        </is>
      </c>
      <c r="P197" s="4" t="inlineStr">
        <is>
          <t>https://lannuaire.service-public.gouv.fr/nouvelle-aquitaine/charente-maritime/f6ee470a-4309-4f69-8027-94fbf56e60c8</t>
        </is>
      </c>
      <c r="Q197" t="inlineStr">
        <is>
          <t>Annuaire Service-public.fr</t>
        </is>
      </c>
      <c r="R197" t="inlineStr"/>
      <c r="S197" t="inlineStr"/>
      <c r="T197" t="inlineStr"/>
    </row>
    <row r="198">
      <c r="A198" t="inlineStr">
        <is>
          <t>CC Coeur de Saintonge</t>
        </is>
      </c>
      <c r="B198" t="inlineStr">
        <is>
          <t>Communauté de communes</t>
        </is>
      </c>
      <c r="C198" t="inlineStr">
        <is>
          <t>241700517</t>
        </is>
      </c>
      <c r="D198" t="inlineStr">
        <is>
          <t>17</t>
        </is>
      </c>
      <c r="E198" t="inlineStr">
        <is>
          <t>Charente-Maritime</t>
        </is>
      </c>
      <c r="F198" t="inlineStr">
        <is>
          <t>Nouvelle-Aquitaine</t>
        </is>
      </c>
      <c r="G198" s="3" t="n">
        <v>17765</v>
      </c>
      <c r="H198" t="n">
        <v>18</v>
      </c>
      <c r="I198" t="inlineStr">
        <is>
          <t>Place Eugène-Bézier</t>
        </is>
      </c>
      <c r="J198" t="inlineStr">
        <is>
          <t>17250</t>
        </is>
      </c>
      <c r="K198" t="inlineStr">
        <is>
          <t>Saint-Porchaire</t>
        </is>
      </c>
      <c r="L198" t="inlineStr">
        <is>
          <t>05 46 95 35 83</t>
        </is>
      </c>
      <c r="M198" s="4" t="inlineStr">
        <is>
          <t>accueil@coeurdesaintonge.fr</t>
        </is>
      </c>
      <c r="N198" s="4" t="inlineStr">
        <is>
          <t>https://www.coeurdesaintonge.fr/</t>
        </is>
      </c>
      <c r="O198" s="4" t="inlineStr">
        <is>
          <t>https://www.coeurdesaintonge.fr/index.php/contact-cdc-coeur-de-saintonge</t>
        </is>
      </c>
      <c r="P198" s="4" t="inlineStr">
        <is>
          <t>https://lannuaire.service-public.gouv.fr/nouvelle-aquitaine/charente-maritime/5319df97-61e3-4769-97fb-519ba9f2a174</t>
        </is>
      </c>
      <c r="Q198" t="inlineStr">
        <is>
          <t>Annuaire Service-public.fr</t>
        </is>
      </c>
      <c r="R198" t="inlineStr"/>
      <c r="S198" t="inlineStr"/>
      <c r="T198" t="inlineStr"/>
    </row>
    <row r="199">
      <c r="A199" t="inlineStr">
        <is>
          <t>CC Vals de Saintonge Communauté</t>
        </is>
      </c>
      <c r="B199" t="inlineStr">
        <is>
          <t>Communauté de communes</t>
        </is>
      </c>
      <c r="C199" t="inlineStr">
        <is>
          <t>200041689</t>
        </is>
      </c>
      <c r="D199" t="inlineStr">
        <is>
          <t>17</t>
        </is>
      </c>
      <c r="E199" t="inlineStr">
        <is>
          <t>Charente-Maritime</t>
        </is>
      </c>
      <c r="F199" t="inlineStr">
        <is>
          <t>Nouvelle-Aquitaine</t>
        </is>
      </c>
      <c r="G199" s="3" t="n">
        <v>52430</v>
      </c>
      <c r="H199" t="n">
        <v>109</v>
      </c>
      <c r="I199" t="inlineStr">
        <is>
          <t>55 rue Michel-Texier, BP 50052</t>
        </is>
      </c>
      <c r="J199" t="inlineStr">
        <is>
          <t>17413</t>
        </is>
      </c>
      <c r="K199" t="inlineStr">
        <is>
          <t>Saint-Jean-d'Angely Cedex</t>
        </is>
      </c>
      <c r="L199" t="inlineStr">
        <is>
          <t>05 46 33 24 77</t>
        </is>
      </c>
      <c r="M199" s="4" t="inlineStr">
        <is>
          <t>info@valsdesaintonge.fr</t>
        </is>
      </c>
      <c r="N199" s="4" t="inlineStr">
        <is>
          <t>https://www.valsdesaintonge.fr/</t>
        </is>
      </c>
      <c r="O199" s="4" t="inlineStr">
        <is>
          <t>https://www.valsdesaintonge.fr/nous-contacter/</t>
        </is>
      </c>
      <c r="P199" s="4" t="inlineStr">
        <is>
          <t>https://lannuaire.service-public.gouv.fr/nouvelle-aquitaine/charente-maritime/37d7cf93-bb14-47d9-bb2e-54cad061115a</t>
        </is>
      </c>
      <c r="Q199" t="inlineStr">
        <is>
          <t>Annuaire Service-public.fr</t>
        </is>
      </c>
      <c r="R199" t="inlineStr"/>
      <c r="S199" t="inlineStr"/>
      <c r="T199" t="inlineStr"/>
    </row>
    <row r="200">
      <c r="A200" t="inlineStr">
        <is>
          <t>CC de Gémozac et de la Saintonge Viticole</t>
        </is>
      </c>
      <c r="B200" t="inlineStr">
        <is>
          <t>Communauté de communes</t>
        </is>
      </c>
      <c r="C200" t="inlineStr">
        <is>
          <t>241700632</t>
        </is>
      </c>
      <c r="D200" t="inlineStr">
        <is>
          <t>17</t>
        </is>
      </c>
      <c r="E200" t="inlineStr">
        <is>
          <t>Charente-Maritime</t>
        </is>
      </c>
      <c r="F200" t="inlineStr">
        <is>
          <t>Nouvelle-Aquitaine</t>
        </is>
      </c>
      <c r="G200" s="3" t="n">
        <v>14806</v>
      </c>
      <c r="H200" t="n">
        <v>16</v>
      </c>
      <c r="I200" t="inlineStr">
        <is>
          <t>32-34 avenue de la Victoire</t>
        </is>
      </c>
      <c r="J200" t="inlineStr">
        <is>
          <t>17260</t>
        </is>
      </c>
      <c r="K200" t="inlineStr">
        <is>
          <t>Gémozac</t>
        </is>
      </c>
      <c r="L200" t="inlineStr">
        <is>
          <t>05 46 94 50 19</t>
        </is>
      </c>
      <c r="M200" s="4" t="inlineStr">
        <is>
          <t>contact@cdcgemozac.fr</t>
        </is>
      </c>
      <c r="N200" s="4" t="inlineStr">
        <is>
          <t>https://cdc-gemozac.fr/</t>
        </is>
      </c>
      <c r="O200" t="inlineStr"/>
      <c r="P200" s="4" t="inlineStr">
        <is>
          <t>https://lannuaire.service-public.gouv.fr/nouvelle-aquitaine/charente-maritime/c71fd38b-c808-41e9-8a12-60274705a498</t>
        </is>
      </c>
      <c r="Q200" t="inlineStr">
        <is>
          <t>Annuaire Service-public.fr</t>
        </is>
      </c>
      <c r="R200" t="inlineStr"/>
      <c r="S200" t="inlineStr"/>
      <c r="T200" t="inlineStr"/>
    </row>
    <row r="201">
      <c r="A201" t="inlineStr">
        <is>
          <t>CC de l'Ile d'Oléron</t>
        </is>
      </c>
      <c r="B201" t="inlineStr">
        <is>
          <t>Communauté de communes</t>
        </is>
      </c>
      <c r="C201" t="inlineStr">
        <is>
          <t>241700624</t>
        </is>
      </c>
      <c r="D201" t="inlineStr">
        <is>
          <t>17</t>
        </is>
      </c>
      <c r="E201" t="inlineStr">
        <is>
          <t>Charente-Maritime</t>
        </is>
      </c>
      <c r="F201" t="inlineStr">
        <is>
          <t>Nouvelle-Aquitaine</t>
        </is>
      </c>
      <c r="G201" s="3" t="n">
        <v>22518</v>
      </c>
      <c r="H201" t="n">
        <v>8</v>
      </c>
      <c r="I201" t="inlineStr">
        <is>
          <t>59 route des Allées, CS 70085</t>
        </is>
      </c>
      <c r="J201" t="inlineStr">
        <is>
          <t>17310</t>
        </is>
      </c>
      <c r="K201" t="inlineStr">
        <is>
          <t>Saint-Pierre-d'Oléron</t>
        </is>
      </c>
      <c r="L201" t="inlineStr">
        <is>
          <t>05 46 47 24 68</t>
        </is>
      </c>
      <c r="M201" s="4" t="inlineStr">
        <is>
          <t>accueil@cdc-oleron.fr</t>
        </is>
      </c>
      <c r="N201" s="4" t="inlineStr">
        <is>
          <t>https://www.cdc-oleron.com/</t>
        </is>
      </c>
      <c r="O201" s="4" t="inlineStr">
        <is>
          <t>https://www.cdc-oleron.com/liens-divers/contactez-nous/</t>
        </is>
      </c>
      <c r="P201" s="4" t="inlineStr">
        <is>
          <t>https://lannuaire.service-public.gouv.fr/nouvelle-aquitaine/charente-maritime/d2f556e3-8ebc-41a8-8403-6b0857408e7b</t>
        </is>
      </c>
      <c r="Q201" t="inlineStr">
        <is>
          <t>Annuaire Service-public.fr</t>
        </is>
      </c>
      <c r="R201" t="inlineStr"/>
      <c r="S201" t="inlineStr"/>
      <c r="T201" t="inlineStr"/>
    </row>
    <row r="202">
      <c r="A202" t="inlineStr">
        <is>
          <t>CC de l'Ile de Ré</t>
        </is>
      </c>
      <c r="B202" t="inlineStr">
        <is>
          <t>Communauté de communes</t>
        </is>
      </c>
      <c r="C202" t="inlineStr">
        <is>
          <t>241700459</t>
        </is>
      </c>
      <c r="D202" t="inlineStr">
        <is>
          <t>17</t>
        </is>
      </c>
      <c r="E202" t="inlineStr">
        <is>
          <t>Charente-Maritime</t>
        </is>
      </c>
      <c r="F202" t="inlineStr">
        <is>
          <t>Nouvelle-Aquitaine</t>
        </is>
      </c>
      <c r="G202" s="3" t="n">
        <v>17891</v>
      </c>
      <c r="H202" t="n">
        <v>10</v>
      </c>
      <c r="I202" t="inlineStr">
        <is>
          <t>3 rue du Père-Ignace</t>
        </is>
      </c>
      <c r="J202" t="inlineStr">
        <is>
          <t>17410</t>
        </is>
      </c>
      <c r="K202" t="inlineStr">
        <is>
          <t>Saint-Martin-de-Ré</t>
        </is>
      </c>
      <c r="L202" t="inlineStr">
        <is>
          <t>05 46 09 00 97</t>
        </is>
      </c>
      <c r="M202" s="4" t="inlineStr">
        <is>
          <t>accueil@cc-iledere.fr</t>
        </is>
      </c>
      <c r="N202" s="4" t="inlineStr">
        <is>
          <t>https://cdciledere.fr/</t>
        </is>
      </c>
      <c r="O202" s="4" t="inlineStr">
        <is>
          <t>https://cdciledere.fr/contact/</t>
        </is>
      </c>
      <c r="P202" s="4" t="inlineStr">
        <is>
          <t>https://lannuaire.service-public.gouv.fr/nouvelle-aquitaine/charente-maritime/97bd0422-4286-4966-8b5d-c509bf85270c</t>
        </is>
      </c>
      <c r="Q202" t="inlineStr">
        <is>
          <t>Annuaire Service-public.fr</t>
        </is>
      </c>
      <c r="R202" t="inlineStr"/>
      <c r="S202" t="inlineStr"/>
      <c r="T202" t="inlineStr"/>
    </row>
    <row r="203">
      <c r="A203" t="inlineStr">
        <is>
          <t>CC de la Haute Saintonge</t>
        </is>
      </c>
      <c r="B203" t="inlineStr">
        <is>
          <t>Communauté de communes</t>
        </is>
      </c>
      <c r="C203" t="inlineStr">
        <is>
          <t>200041523</t>
        </is>
      </c>
      <c r="D203" t="inlineStr">
        <is>
          <t>17</t>
        </is>
      </c>
      <c r="E203" t="inlineStr">
        <is>
          <t>Charente-Maritime</t>
        </is>
      </c>
      <c r="F203" t="inlineStr">
        <is>
          <t>Nouvelle-Aquitaine</t>
        </is>
      </c>
      <c r="G203" s="3" t="n">
        <v>68842</v>
      </c>
      <c r="H203" t="n">
        <v>129</v>
      </c>
      <c r="I203" t="inlineStr">
        <is>
          <t>7 rue Taillefer</t>
        </is>
      </c>
      <c r="J203" t="inlineStr">
        <is>
          <t>17500</t>
        </is>
      </c>
      <c r="K203" t="inlineStr">
        <is>
          <t>Jonzac</t>
        </is>
      </c>
      <c r="L203" t="inlineStr">
        <is>
          <t>05 46 48 12 11</t>
        </is>
      </c>
      <c r="M203" s="4" t="inlineStr">
        <is>
          <t>contact@haute-saintonge.org</t>
        </is>
      </c>
      <c r="N203" s="4" t="inlineStr">
        <is>
          <t>https://www.haute-saintonge.org/</t>
        </is>
      </c>
      <c r="O203" t="inlineStr"/>
      <c r="P203" s="4" t="inlineStr">
        <is>
          <t>https://lannuaire.service-public.gouv.fr/nouvelle-aquitaine/charente-maritime/c0834af6-918e-4d9e-a753-d012409a58a4</t>
        </is>
      </c>
      <c r="Q203" t="inlineStr">
        <is>
          <t>Annuaire Service-public.fr</t>
        </is>
      </c>
      <c r="R203" t="inlineStr"/>
      <c r="S203" t="inlineStr"/>
      <c r="T203" t="inlineStr"/>
    </row>
    <row r="204">
      <c r="A204" t="inlineStr">
        <is>
          <t>CC du Bassin de Marennes</t>
        </is>
      </c>
      <c r="B204" t="inlineStr">
        <is>
          <t>Communauté de communes</t>
        </is>
      </c>
      <c r="C204" t="inlineStr">
        <is>
          <t>241700699</t>
        </is>
      </c>
      <c r="D204" t="inlineStr">
        <is>
          <t>17</t>
        </is>
      </c>
      <c r="E204" t="inlineStr">
        <is>
          <t>Charente-Maritime</t>
        </is>
      </c>
      <c r="F204" t="inlineStr">
        <is>
          <t>Nouvelle-Aquitaine</t>
        </is>
      </c>
      <c r="G204" s="3" t="n">
        <v>15522</v>
      </c>
      <c r="H204" t="n">
        <v>6</v>
      </c>
      <c r="I204" t="inlineStr">
        <is>
          <t>24 rue Dubois-Meynardie, CS 50028</t>
        </is>
      </c>
      <c r="J204" t="inlineStr">
        <is>
          <t>17320</t>
        </is>
      </c>
      <c r="K204" t="inlineStr">
        <is>
          <t>Marennes-Hiers-Brouage</t>
        </is>
      </c>
      <c r="L204" t="inlineStr">
        <is>
          <t>05 46 85 98 41</t>
        </is>
      </c>
      <c r="M204" s="4" t="inlineStr">
        <is>
          <t>contact@bassin-de-marennes.com</t>
        </is>
      </c>
      <c r="N204" s="4" t="inlineStr">
        <is>
          <t>https://www.bassin-de-marennes.com/</t>
        </is>
      </c>
      <c r="O204" s="4" t="inlineStr">
        <is>
          <t>https://www.bassin-de-marennes.com/contactez-nous/</t>
        </is>
      </c>
      <c r="P204" s="4" t="inlineStr">
        <is>
          <t>https://lannuaire.service-public.gouv.fr/nouvelle-aquitaine/charente-maritime/bf573ece-2428-4193-adce-35c1dee29c24</t>
        </is>
      </c>
      <c r="Q204" t="inlineStr">
        <is>
          <t>Annuaire Service-public.fr</t>
        </is>
      </c>
      <c r="R204" t="inlineStr"/>
      <c r="S204" t="inlineStr"/>
      <c r="T204" t="inlineStr"/>
    </row>
    <row r="205">
      <c r="A205" t="inlineStr">
        <is>
          <t>CA Bourges Plus</t>
        </is>
      </c>
      <c r="B205" t="inlineStr">
        <is>
          <t>Communauté d’agglomération</t>
        </is>
      </c>
      <c r="C205" t="inlineStr">
        <is>
          <t>241800507</t>
        </is>
      </c>
      <c r="D205" t="inlineStr">
        <is>
          <t>18</t>
        </is>
      </c>
      <c r="E205" t="inlineStr">
        <is>
          <t>Cher</t>
        </is>
      </c>
      <c r="F205" t="inlineStr">
        <is>
          <t>Centre-Val de Loire</t>
        </is>
      </c>
      <c r="G205" s="3" t="n">
        <v>102172</v>
      </c>
      <c r="H205" t="n">
        <v>17</v>
      </c>
      <c r="I205" t="inlineStr">
        <is>
          <t>4 boulevard de l'Avenir</t>
        </is>
      </c>
      <c r="J205" t="inlineStr">
        <is>
          <t>18000</t>
        </is>
      </c>
      <c r="K205" t="inlineStr">
        <is>
          <t>Bourges</t>
        </is>
      </c>
      <c r="L205" t="inlineStr">
        <is>
          <t>08 00 89 77 30</t>
        </is>
      </c>
      <c r="M205" s="4" t="inlineStr">
        <is>
          <t>service.clientele@agglo-bourgesplus.fr</t>
        </is>
      </c>
      <c r="N205" s="4" t="inlineStr">
        <is>
          <t>https://www.agglo-bourgesplus.fr/</t>
        </is>
      </c>
      <c r="O205" t="inlineStr"/>
      <c r="P205" s="4" t="inlineStr">
        <is>
          <t>https://lannuaire.service-public.gouv.fr/centre-val-de-loire/cher/32a6d646-b93b-48d9-8505-06664035e126</t>
        </is>
      </c>
      <c r="Q205" t="inlineStr">
        <is>
          <t>Annuaire Service-public.fr</t>
        </is>
      </c>
      <c r="R205" t="inlineStr"/>
      <c r="S205" t="inlineStr"/>
      <c r="T205" t="inlineStr"/>
    </row>
    <row r="206">
      <c r="A206" t="inlineStr">
        <is>
          <t>CC Arnon Boischaut Cher</t>
        </is>
      </c>
      <c r="B206" t="inlineStr">
        <is>
          <t>Communauté de communes</t>
        </is>
      </c>
      <c r="C206" t="inlineStr">
        <is>
          <t>200027076</t>
        </is>
      </c>
      <c r="D206" t="inlineStr">
        <is>
          <t>18</t>
        </is>
      </c>
      <c r="E206" t="inlineStr">
        <is>
          <t>Cher</t>
        </is>
      </c>
      <c r="F206" t="inlineStr">
        <is>
          <t>Centre-Val de Loire</t>
        </is>
      </c>
      <c r="G206" s="3" t="n">
        <v>7855</v>
      </c>
      <c r="H206" t="n">
        <v>18</v>
      </c>
      <c r="I206" t="inlineStr">
        <is>
          <t>2 rue Brune</t>
        </is>
      </c>
      <c r="J206" t="inlineStr">
        <is>
          <t>18190</t>
        </is>
      </c>
      <c r="K206" t="inlineStr">
        <is>
          <t>Châteauneuf-sur-Cher</t>
        </is>
      </c>
      <c r="L206" t="inlineStr">
        <is>
          <t>02 48 60 42 74</t>
        </is>
      </c>
      <c r="M206" s="4" t="inlineStr">
        <is>
          <t>contact@comcomabc.fr</t>
        </is>
      </c>
      <c r="N206" s="4" t="inlineStr">
        <is>
          <t>https://www.comcomabc.fr/</t>
        </is>
      </c>
      <c r="O206" s="4" t="inlineStr">
        <is>
          <t>https://www.comcomabc.fr/contact/</t>
        </is>
      </c>
      <c r="P206" s="4" t="inlineStr">
        <is>
          <t>https://lannuaire.service-public.gouv.fr/centre-val-de-loire/cher/66080191-8942-4bec-bf50-44cd8c6185a6</t>
        </is>
      </c>
      <c r="Q206" t="inlineStr">
        <is>
          <t>Annuaire Service-public.fr</t>
        </is>
      </c>
      <c r="R206" t="inlineStr"/>
      <c r="S206" t="inlineStr"/>
      <c r="T206" t="inlineStr"/>
    </row>
    <row r="207">
      <c r="A207" t="inlineStr">
        <is>
          <t>CC Berry Grand Sud</t>
        </is>
      </c>
      <c r="B207" t="inlineStr">
        <is>
          <t>Communauté de communes</t>
        </is>
      </c>
      <c r="C207" t="inlineStr">
        <is>
          <t>200049484</t>
        </is>
      </c>
      <c r="D207" t="inlineStr">
        <is>
          <t>18</t>
        </is>
      </c>
      <c r="E207" t="inlineStr">
        <is>
          <t>Cher</t>
        </is>
      </c>
      <c r="F207" t="inlineStr">
        <is>
          <t>Centre-Val de Loire</t>
        </is>
      </c>
      <c r="G207" s="3" t="n">
        <v>11437</v>
      </c>
      <c r="H207" t="n">
        <v>32</v>
      </c>
      <c r="I207" t="inlineStr">
        <is>
          <t>6 Grande rue</t>
        </is>
      </c>
      <c r="J207" t="inlineStr">
        <is>
          <t>18170</t>
        </is>
      </c>
      <c r="K207" t="inlineStr">
        <is>
          <t>Le Châtelet</t>
        </is>
      </c>
      <c r="L207" t="inlineStr">
        <is>
          <t>02 48 56 37 92</t>
        </is>
      </c>
      <c r="M207" s="4" t="inlineStr">
        <is>
          <t>contact@cdc-berry-grand-sud.fr</t>
        </is>
      </c>
      <c r="N207" s="4" t="inlineStr">
        <is>
          <t>https://cdc-berry-grand-sud.fr/</t>
        </is>
      </c>
      <c r="O207" s="4" t="inlineStr">
        <is>
          <t>https://cdc-berry-grand-sud.fr/contact/</t>
        </is>
      </c>
      <c r="P207" s="4" t="inlineStr">
        <is>
          <t>https://lannuaire.service-public.gouv.fr/centre-val-de-loire/cher/46eace04-0ff0-4fa3-8806-b2eb1b7794ae</t>
        </is>
      </c>
      <c r="Q207" t="inlineStr">
        <is>
          <t>Annuaire Service-public.fr</t>
        </is>
      </c>
      <c r="R207" t="inlineStr"/>
      <c r="S207" t="inlineStr"/>
      <c r="T207" t="inlineStr"/>
    </row>
    <row r="208">
      <c r="A208" t="inlineStr">
        <is>
          <t>CC Berry-Loire-Vauvise</t>
        </is>
      </c>
      <c r="B208" t="inlineStr">
        <is>
          <t>Communauté de communes</t>
        </is>
      </c>
      <c r="C208" t="inlineStr">
        <is>
          <t>200032514</t>
        </is>
      </c>
      <c r="D208" t="inlineStr">
        <is>
          <t>18</t>
        </is>
      </c>
      <c r="E208" t="inlineStr">
        <is>
          <t>Cher</t>
        </is>
      </c>
      <c r="F208" t="inlineStr">
        <is>
          <t>Centre-Val de Loire</t>
        </is>
      </c>
      <c r="G208" s="3" t="n">
        <v>5427</v>
      </c>
      <c r="H208" t="n">
        <v>14</v>
      </c>
      <c r="I208" t="inlineStr">
        <is>
          <t>6 rue Hubert-Gouvernel</t>
        </is>
      </c>
      <c r="J208" t="inlineStr">
        <is>
          <t>18140</t>
        </is>
      </c>
      <c r="K208" t="inlineStr">
        <is>
          <t>Sancergues</t>
        </is>
      </c>
      <c r="L208" t="inlineStr">
        <is>
          <t>02 48 79 38 35</t>
        </is>
      </c>
      <c r="M208" s="4" t="inlineStr">
        <is>
          <t>cdc.berryloirevauvise@gmail.com</t>
        </is>
      </c>
      <c r="N208" s="4" t="inlineStr">
        <is>
          <t>http://www.cdc-berryloirevauvise.fr</t>
        </is>
      </c>
      <c r="O208" t="inlineStr"/>
      <c r="P208" s="4" t="inlineStr">
        <is>
          <t>https://lannuaire.service-public.gouv.fr/centre-val-de-loire/cher/12c37d3d-2b60-4e70-a5fc-6814174295aa</t>
        </is>
      </c>
      <c r="Q208" t="inlineStr">
        <is>
          <t>Annuaire Service-public.fr</t>
        </is>
      </c>
      <c r="R208" t="inlineStr"/>
      <c r="S208" t="inlineStr"/>
      <c r="T208" t="inlineStr"/>
    </row>
    <row r="209">
      <c r="A209" t="inlineStr">
        <is>
          <t>CC Coeur de Berry</t>
        </is>
      </c>
      <c r="B209" t="inlineStr">
        <is>
          <t>Communauté de communes</t>
        </is>
      </c>
      <c r="C209" t="inlineStr">
        <is>
          <t>200070571</t>
        </is>
      </c>
      <c r="D209" t="inlineStr">
        <is>
          <t>18</t>
        </is>
      </c>
      <c r="E209" t="inlineStr">
        <is>
          <t>Cher</t>
        </is>
      </c>
      <c r="F209" t="inlineStr">
        <is>
          <t>Centre-Val de Loire</t>
        </is>
      </c>
      <c r="G209" s="3" t="n">
        <v>6878</v>
      </c>
      <c r="H209" t="n">
        <v>11</v>
      </c>
      <c r="I209" t="inlineStr">
        <is>
          <t>13 rue des Tours</t>
        </is>
      </c>
      <c r="J209" t="inlineStr">
        <is>
          <t>18120</t>
        </is>
      </c>
      <c r="K209" t="inlineStr">
        <is>
          <t>Lury-sur-Arnon</t>
        </is>
      </c>
      <c r="L209" t="inlineStr">
        <is>
          <t>02 48 51 13 73</t>
        </is>
      </c>
      <c r="M209" s="4" t="inlineStr">
        <is>
          <t>coeurdeberry@orange.fr</t>
        </is>
      </c>
      <c r="N209" s="4" t="inlineStr">
        <is>
          <t>https://www.coeurdeberry.fr/</t>
        </is>
      </c>
      <c r="O209" s="4" t="inlineStr">
        <is>
          <t>https://www.coeurdeberry.fr/contact-cc-coeur-de-berry-18_fr.html</t>
        </is>
      </c>
      <c r="P209" s="4" t="inlineStr">
        <is>
          <t>https://lannuaire.service-public.gouv.fr/centre-val-de-loire/cher/a90d2785-ace4-42f2-8142-891ec1387b8e</t>
        </is>
      </c>
      <c r="Q209" t="inlineStr">
        <is>
          <t>Annuaire Service-public.fr</t>
        </is>
      </c>
      <c r="R209" t="inlineStr"/>
      <c r="S209" t="inlineStr"/>
      <c r="T209" t="inlineStr"/>
    </row>
    <row r="210">
      <c r="A210" t="inlineStr">
        <is>
          <t>CC Coeur de France</t>
        </is>
      </c>
      <c r="B210" t="inlineStr">
        <is>
          <t>Communauté de communes</t>
        </is>
      </c>
      <c r="C210" t="inlineStr">
        <is>
          <t>200036135</t>
        </is>
      </c>
      <c r="D210" t="inlineStr">
        <is>
          <t>18</t>
        </is>
      </c>
      <c r="E210" t="inlineStr">
        <is>
          <t>Cher</t>
        </is>
      </c>
      <c r="F210" t="inlineStr">
        <is>
          <t>Centre-Val de Loire</t>
        </is>
      </c>
      <c r="G210" s="3" t="n">
        <v>18225</v>
      </c>
      <c r="H210" t="n">
        <v>19</v>
      </c>
      <c r="I210" t="inlineStr">
        <is>
          <t>1 rue Philibert-Audebrand</t>
        </is>
      </c>
      <c r="J210" t="inlineStr">
        <is>
          <t>18200</t>
        </is>
      </c>
      <c r="K210" t="inlineStr">
        <is>
          <t>Saint-Amand-Montrond</t>
        </is>
      </c>
      <c r="L210" t="inlineStr">
        <is>
          <t>02 48 82 11 46</t>
        </is>
      </c>
      <c r="M210" s="4" t="inlineStr">
        <is>
          <t>contact@cc-coeurdefrance.fr</t>
        </is>
      </c>
      <c r="N210" s="4" t="inlineStr">
        <is>
          <t>https://cc-coeurdefrance.fr/</t>
        </is>
      </c>
      <c r="O210" s="4" t="inlineStr">
        <is>
          <t>https://cc-coeurdefrance.fr/contact/</t>
        </is>
      </c>
      <c r="P210" s="4" t="inlineStr">
        <is>
          <t>https://lannuaire.service-public.gouv.fr/centre-val-de-loire/cher/89b4843f-2621-4872-9219-5e069e3c5d4f</t>
        </is>
      </c>
      <c r="Q210" t="inlineStr">
        <is>
          <t>Annuaire Service-public.fr</t>
        </is>
      </c>
      <c r="R210" t="inlineStr"/>
      <c r="S210" t="inlineStr"/>
      <c r="T210" t="inlineStr"/>
    </row>
    <row r="211">
      <c r="A211" t="inlineStr">
        <is>
          <t>CC FerCher</t>
        </is>
      </c>
      <c r="B211" t="inlineStr">
        <is>
          <t>Communauté de communes</t>
        </is>
      </c>
      <c r="C211" t="inlineStr">
        <is>
          <t>241800457</t>
        </is>
      </c>
      <c r="D211" t="inlineStr">
        <is>
          <t>18</t>
        </is>
      </c>
      <c r="E211" t="inlineStr">
        <is>
          <t>Cher</t>
        </is>
      </c>
      <c r="F211" t="inlineStr">
        <is>
          <t>Centre-Val de Loire</t>
        </is>
      </c>
      <c r="G211" s="3" t="n">
        <v>11296</v>
      </c>
      <c r="H211" t="n">
        <v>9</v>
      </c>
      <c r="I211" t="inlineStr">
        <is>
          <t>Place de la République</t>
        </is>
      </c>
      <c r="J211" t="inlineStr">
        <is>
          <t>18400</t>
        </is>
      </c>
      <c r="K211" t="inlineStr">
        <is>
          <t>Saint-Florent-sur-Cher</t>
        </is>
      </c>
      <c r="L211" t="inlineStr">
        <is>
          <t>02 48 23 22 08</t>
        </is>
      </c>
      <c r="M211" s="4" t="inlineStr">
        <is>
          <t>paysflorentais@cc-fercher.fr</t>
        </is>
      </c>
      <c r="N211" s="4" t="inlineStr">
        <is>
          <t>https://www.ccfercher.fr/</t>
        </is>
      </c>
      <c r="O211" s="4" t="inlineStr">
        <is>
          <t>https://www.ccfercher.fr/nous-contacter/</t>
        </is>
      </c>
      <c r="P211" s="4" t="inlineStr">
        <is>
          <t>https://lannuaire.service-public.gouv.fr/centre-val-de-loire/cher/90e97dce-f69e-4dbe-89f3-f7f85c29d8c0</t>
        </is>
      </c>
      <c r="Q211" t="inlineStr">
        <is>
          <t>Annuaire Service-public.fr</t>
        </is>
      </c>
      <c r="R211" t="inlineStr"/>
      <c r="S211" t="inlineStr"/>
      <c r="T211" t="inlineStr"/>
    </row>
    <row r="212">
      <c r="A212" t="inlineStr">
        <is>
          <t>CC Pays Fort Sancerrois Val de Loire</t>
        </is>
      </c>
      <c r="B212" t="inlineStr">
        <is>
          <t>Communauté de communes</t>
        </is>
      </c>
      <c r="C212" t="inlineStr">
        <is>
          <t>200069227</t>
        </is>
      </c>
      <c r="D212" t="inlineStr">
        <is>
          <t>18</t>
        </is>
      </c>
      <c r="E212" t="inlineStr">
        <is>
          <t>Cher</t>
        </is>
      </c>
      <c r="F212" t="inlineStr">
        <is>
          <t>Centre-Val de Loire</t>
        </is>
      </c>
      <c r="G212" s="3" t="n">
        <v>18143</v>
      </c>
      <c r="H212" t="n">
        <v>36</v>
      </c>
      <c r="I212" t="inlineStr">
        <is>
          <t>41 rue Basse-des-Remparts</t>
        </is>
      </c>
      <c r="J212" t="inlineStr">
        <is>
          <t>18300</t>
        </is>
      </c>
      <c r="K212" t="inlineStr">
        <is>
          <t>Sancerre</t>
        </is>
      </c>
      <c r="L212" t="inlineStr">
        <is>
          <t>02 48 54 74 34</t>
        </is>
      </c>
      <c r="M212" s="4" t="inlineStr">
        <is>
          <t>secretariat@cdc-du-sancerrois.fr</t>
        </is>
      </c>
      <c r="N212" s="4" t="inlineStr">
        <is>
          <t>https://www.comcompsv.fr/</t>
        </is>
      </c>
      <c r="O212" s="4" t="inlineStr">
        <is>
          <t>https://www.comcompsv.fr/contact-pays-fort-sancerrois-valdeloire_fr.html</t>
        </is>
      </c>
      <c r="P212" s="4" t="inlineStr">
        <is>
          <t>https://lannuaire.service-public.gouv.fr/centre-val-de-loire/cher/e2b89a70-4ec8-482e-94fb-dd6a23d8cf11</t>
        </is>
      </c>
      <c r="Q212" t="inlineStr">
        <is>
          <t>Annuaire Service-public.fr</t>
        </is>
      </c>
      <c r="R212" t="inlineStr"/>
      <c r="S212" t="inlineStr"/>
      <c r="T212" t="inlineStr"/>
    </row>
    <row r="213">
      <c r="A213" t="inlineStr">
        <is>
          <t>CC Pays de Nérondes</t>
        </is>
      </c>
      <c r="B213" t="inlineStr">
        <is>
          <t>Communauté de communes</t>
        </is>
      </c>
      <c r="C213" t="inlineStr">
        <is>
          <t>200007177</t>
        </is>
      </c>
      <c r="D213" t="inlineStr">
        <is>
          <t>18</t>
        </is>
      </c>
      <c r="E213" t="inlineStr">
        <is>
          <t>Cher</t>
        </is>
      </c>
      <c r="F213" t="inlineStr">
        <is>
          <t>Centre-Val de Loire</t>
        </is>
      </c>
      <c r="G213" s="3" t="n">
        <v>4644</v>
      </c>
      <c r="H213" t="n">
        <v>12</v>
      </c>
      <c r="I213" t="inlineStr">
        <is>
          <t>27 route de Saint-Amand</t>
        </is>
      </c>
      <c r="J213" t="inlineStr">
        <is>
          <t>18350</t>
        </is>
      </c>
      <c r="K213" t="inlineStr">
        <is>
          <t>Nérondes</t>
        </is>
      </c>
      <c r="L213" t="inlineStr">
        <is>
          <t>02 48 77 62 04</t>
        </is>
      </c>
      <c r="M213" s="4" t="inlineStr">
        <is>
          <t>accueil@cdcpaysnerondes.com</t>
        </is>
      </c>
      <c r="N213" s="4" t="inlineStr">
        <is>
          <t>https://cdcpaysnerondes.com/</t>
        </is>
      </c>
      <c r="O213" s="4" t="inlineStr">
        <is>
          <t>https://cdcpaysnerondes.com/contact/</t>
        </is>
      </c>
      <c r="P213" s="4" t="inlineStr">
        <is>
          <t>https://lannuaire.service-public.gouv.fr/centre-val-de-loire/cher/3369c1f9-70e6-4998-9198-560dc67be1c3</t>
        </is>
      </c>
      <c r="Q213" t="inlineStr">
        <is>
          <t>Annuaire Service-public.fr</t>
        </is>
      </c>
      <c r="R213" t="inlineStr"/>
      <c r="S213" t="inlineStr"/>
      <c r="T213" t="inlineStr"/>
    </row>
    <row r="214">
      <c r="A214" t="inlineStr">
        <is>
          <t>CC Portes du Berry entre Loire et Val d'Aubois</t>
        </is>
      </c>
      <c r="B214" t="inlineStr">
        <is>
          <t>Communauté de communes</t>
        </is>
      </c>
      <c r="C214" t="inlineStr">
        <is>
          <t>200011781</t>
        </is>
      </c>
      <c r="D214" t="inlineStr">
        <is>
          <t>18</t>
        </is>
      </c>
      <c r="E214" t="inlineStr">
        <is>
          <t>Cher</t>
        </is>
      </c>
      <c r="F214" t="inlineStr">
        <is>
          <t>Centre-Val de Loire</t>
        </is>
      </c>
      <c r="G214" s="3" t="n">
        <v>9478</v>
      </c>
      <c r="H214" t="n">
        <v>12</v>
      </c>
      <c r="I214" t="inlineStr">
        <is>
          <t>54 route de Nevers</t>
        </is>
      </c>
      <c r="J214" t="inlineStr">
        <is>
          <t>18320</t>
        </is>
      </c>
      <c r="K214" t="inlineStr">
        <is>
          <t>Jouet-sur-l'Aubois</t>
        </is>
      </c>
      <c r="L214" t="inlineStr">
        <is>
          <t>02 48 77 55 50</t>
        </is>
      </c>
      <c r="M214" s="4" t="inlineStr">
        <is>
          <t>cdcportesduberry@orange.fr</t>
        </is>
      </c>
      <c r="N214" s="4" t="inlineStr">
        <is>
          <t>https://www.cdc-portesduberry.fr/</t>
        </is>
      </c>
      <c r="O214" t="inlineStr"/>
      <c r="P214" s="4" t="inlineStr">
        <is>
          <t>https://lannuaire.service-public.gouv.fr/centre-val-de-loire/cher/93d007d2-03af-444c-a879-1fa24bc5b533</t>
        </is>
      </c>
      <c r="Q214" t="inlineStr">
        <is>
          <t>Annuaire Service-public.fr</t>
        </is>
      </c>
      <c r="R214" t="inlineStr"/>
      <c r="S214" t="inlineStr"/>
      <c r="T214" t="inlineStr"/>
    </row>
    <row r="215">
      <c r="A215" t="inlineStr">
        <is>
          <t>CC Sauldre et Sologne</t>
        </is>
      </c>
      <c r="B215" t="inlineStr">
        <is>
          <t>Communauté de communes</t>
        </is>
      </c>
      <c r="C215" t="inlineStr">
        <is>
          <t>200000933</t>
        </is>
      </c>
      <c r="D215" t="inlineStr">
        <is>
          <t>18</t>
        </is>
      </c>
      <c r="E215" t="inlineStr">
        <is>
          <t>Cher</t>
        </is>
      </c>
      <c r="F215" t="inlineStr">
        <is>
          <t>Centre-Val de Loire</t>
        </is>
      </c>
      <c r="G215" s="3" t="n">
        <v>14335</v>
      </c>
      <c r="H215" t="n">
        <v>14</v>
      </c>
      <c r="I215" t="inlineStr">
        <is>
          <t>7 rue du 4-Septembre</t>
        </is>
      </c>
      <c r="J215" t="inlineStr">
        <is>
          <t>18410</t>
        </is>
      </c>
      <c r="K215" t="inlineStr">
        <is>
          <t>Argent-sur-Sauldre</t>
        </is>
      </c>
      <c r="L215" t="inlineStr">
        <is>
          <t>02 48 73 85 22</t>
        </is>
      </c>
      <c r="M215" s="4" t="inlineStr">
        <is>
          <t>contact@sauldre-sologne.fr</t>
        </is>
      </c>
      <c r="N215" s="4" t="inlineStr">
        <is>
          <t>https://www.sauldre-sologne.fr/</t>
        </is>
      </c>
      <c r="O215" s="4" t="inlineStr">
        <is>
          <t>https://www.sauldre-sologne.fr/contact-cdc-sauldre-sologne_fr.html</t>
        </is>
      </c>
      <c r="P215" s="4" t="inlineStr">
        <is>
          <t>https://lannuaire.service-public.gouv.fr/centre-val-de-loire/cher/98664bfd-73fe-4874-a2c4-67a75a48b2f3</t>
        </is>
      </c>
      <c r="Q215" t="inlineStr">
        <is>
          <t>Annuaire Service-public.fr</t>
        </is>
      </c>
      <c r="R215" t="inlineStr"/>
      <c r="S215" t="inlineStr"/>
      <c r="T215" t="inlineStr"/>
    </row>
    <row r="216">
      <c r="A216" t="inlineStr">
        <is>
          <t>CC Terres du Haut Berry</t>
        </is>
      </c>
      <c r="B216" t="inlineStr">
        <is>
          <t>Communauté de communes</t>
        </is>
      </c>
      <c r="C216" t="inlineStr">
        <is>
          <t>200066330</t>
        </is>
      </c>
      <c r="D216" t="inlineStr">
        <is>
          <t>18</t>
        </is>
      </c>
      <c r="E216" t="inlineStr">
        <is>
          <t>Cher</t>
        </is>
      </c>
      <c r="F216" t="inlineStr">
        <is>
          <t>Centre-Val de Loire</t>
        </is>
      </c>
      <c r="G216" s="3" t="n">
        <v>25976</v>
      </c>
      <c r="H216" t="n">
        <v>30</v>
      </c>
      <c r="I216" t="inlineStr">
        <is>
          <t>31 bis route de Rians</t>
        </is>
      </c>
      <c r="J216" t="inlineStr">
        <is>
          <t>18220</t>
        </is>
      </c>
      <c r="K216" t="inlineStr">
        <is>
          <t>Les Aix-d'Angillon</t>
        </is>
      </c>
      <c r="L216" t="inlineStr">
        <is>
          <t>02 48 64 75 75</t>
        </is>
      </c>
      <c r="M216" s="4" t="inlineStr">
        <is>
          <t>contact@terresduhautberry.fr</t>
        </is>
      </c>
      <c r="N216" s="4" t="inlineStr">
        <is>
          <t>https://terresduhautberry.fr/</t>
        </is>
      </c>
      <c r="O216" t="inlineStr"/>
      <c r="P216" s="4" t="inlineStr">
        <is>
          <t>https://lannuaire.service-public.gouv.fr/centre-val-de-loire/cher/c7ae270d-3b00-46ba-828a-db0fc7934e97</t>
        </is>
      </c>
      <c r="Q216" t="inlineStr">
        <is>
          <t>Annuaire Service-public.fr</t>
        </is>
      </c>
      <c r="R216" t="inlineStr"/>
      <c r="S216" t="inlineStr"/>
      <c r="T216" t="inlineStr"/>
    </row>
    <row r="217">
      <c r="A217" t="inlineStr">
        <is>
          <t>CC Vierzon-Sologne-Berry</t>
        </is>
      </c>
      <c r="B217" t="inlineStr">
        <is>
          <t>Communauté de communes</t>
        </is>
      </c>
      <c r="C217" t="inlineStr">
        <is>
          <t>200090561</t>
        </is>
      </c>
      <c r="D217" t="inlineStr">
        <is>
          <t>18</t>
        </is>
      </c>
      <c r="E217" t="inlineStr">
        <is>
          <t>Cher</t>
        </is>
      </c>
      <c r="F217" t="inlineStr">
        <is>
          <t>Centre-Val de Loire</t>
        </is>
      </c>
      <c r="G217" s="3" t="n">
        <v>38153</v>
      </c>
      <c r="H217" t="n">
        <v>16</v>
      </c>
      <c r="I217" t="inlineStr">
        <is>
          <t>2 rue Blanche-Baron</t>
        </is>
      </c>
      <c r="J217" t="inlineStr">
        <is>
          <t>18100</t>
        </is>
      </c>
      <c r="K217" t="inlineStr">
        <is>
          <t>Vierzon</t>
        </is>
      </c>
      <c r="L217" t="inlineStr">
        <is>
          <t>02 48 71 35 78</t>
        </is>
      </c>
      <c r="M217" s="4" t="inlineStr">
        <is>
          <t>contact@cc-vierzon.fr</t>
        </is>
      </c>
      <c r="N217" s="4" t="inlineStr">
        <is>
          <t>https://www.cc-vierzon.fr/</t>
        </is>
      </c>
      <c r="O217" s="4" t="inlineStr">
        <is>
          <t>https://www.cc-vierzon.fr/contact/</t>
        </is>
      </c>
      <c r="P217" s="4" t="inlineStr">
        <is>
          <t>https://lannuaire.service-public.gouv.fr/centre-val-de-loire/cher/c40b9076-b5d3-4d52-9ec6-0aa4f4ac8e03</t>
        </is>
      </c>
      <c r="Q217" t="inlineStr">
        <is>
          <t>Annuaire Service-public.fr</t>
        </is>
      </c>
      <c r="R217" t="inlineStr"/>
      <c r="S217" t="inlineStr"/>
      <c r="T217" t="inlineStr"/>
    </row>
    <row r="218">
      <c r="A218" t="inlineStr">
        <is>
          <t>CC la Septaine</t>
        </is>
      </c>
      <c r="B218" t="inlineStr">
        <is>
          <t>Communauté de communes</t>
        </is>
      </c>
      <c r="C218" t="inlineStr">
        <is>
          <t>241800374</t>
        </is>
      </c>
      <c r="D218" t="inlineStr">
        <is>
          <t>18</t>
        </is>
      </c>
      <c r="E218" t="inlineStr">
        <is>
          <t>Cher</t>
        </is>
      </c>
      <c r="F218" t="inlineStr">
        <is>
          <t>Centre-Val de Loire</t>
        </is>
      </c>
      <c r="G218" s="3" t="n">
        <v>10794</v>
      </c>
      <c r="H218" t="n">
        <v>15</v>
      </c>
      <c r="I218" t="inlineStr">
        <is>
          <t>ZAC Les Alouettes</t>
        </is>
      </c>
      <c r="J218" t="inlineStr">
        <is>
          <t>18520</t>
        </is>
      </c>
      <c r="K218" t="inlineStr">
        <is>
          <t>Avord</t>
        </is>
      </c>
      <c r="L218" t="inlineStr">
        <is>
          <t>02 48 69 80 77</t>
        </is>
      </c>
      <c r="M218" s="4" t="inlineStr">
        <is>
          <t>cclaseptaine@cc-laseptaine.fr</t>
        </is>
      </c>
      <c r="N218" s="4" t="inlineStr">
        <is>
          <t>http://cc-laseptaine.fr</t>
        </is>
      </c>
      <c r="O218" t="inlineStr"/>
      <c r="P218" s="4" t="inlineStr">
        <is>
          <t>https://lannuaire.service-public.gouv.fr/centre-val-de-loire/cher/6367e3f6-0f95-4398-a7c8-1cc55104be3d</t>
        </is>
      </c>
      <c r="Q218" t="inlineStr">
        <is>
          <t>Annuaire Service-public.fr</t>
        </is>
      </c>
      <c r="R218" t="inlineStr"/>
      <c r="S218" t="inlineStr"/>
      <c r="T218" t="inlineStr"/>
    </row>
    <row r="219">
      <c r="A219" t="inlineStr">
        <is>
          <t>CC le Dunois</t>
        </is>
      </c>
      <c r="B219" t="inlineStr">
        <is>
          <t>Communauté de communes</t>
        </is>
      </c>
      <c r="C219" t="inlineStr">
        <is>
          <t>241800424</t>
        </is>
      </c>
      <c r="D219" t="inlineStr">
        <is>
          <t>18</t>
        </is>
      </c>
      <c r="E219" t="inlineStr">
        <is>
          <t>Cher</t>
        </is>
      </c>
      <c r="F219" t="inlineStr">
        <is>
          <t>Centre-Val de Loire</t>
        </is>
      </c>
      <c r="G219" s="3" t="n">
        <v>7132</v>
      </c>
      <c r="H219" t="n">
        <v>16</v>
      </c>
      <c r="I219" t="inlineStr">
        <is>
          <t>Place du Champ-de-Foire</t>
        </is>
      </c>
      <c r="J219" t="inlineStr">
        <is>
          <t>18130</t>
        </is>
      </c>
      <c r="K219" t="inlineStr">
        <is>
          <t>Dun-sur-Auron</t>
        </is>
      </c>
      <c r="L219" t="inlineStr">
        <is>
          <t>02 48 59 16 32</t>
        </is>
      </c>
      <c r="M219" s="4" t="inlineStr">
        <is>
          <t>contact@cdcledunois.fr</t>
        </is>
      </c>
      <c r="N219" t="inlineStr"/>
      <c r="O219" t="inlineStr"/>
      <c r="P219" s="4" t="inlineStr">
        <is>
          <t>https://lannuaire.service-public.gouv.fr/centre-val-de-loire/cher/10cb3b9b-928f-4d2c-b14b-42c8ba2d83e3</t>
        </is>
      </c>
      <c r="Q219" t="inlineStr">
        <is>
          <t>Annuaire Service-public.fr</t>
        </is>
      </c>
      <c r="R219" t="inlineStr"/>
      <c r="S219" t="inlineStr"/>
      <c r="T219" t="inlineStr"/>
    </row>
    <row r="220">
      <c r="A220" t="inlineStr">
        <is>
          <t>CC les Trois Provinces</t>
        </is>
      </c>
      <c r="B220" t="inlineStr">
        <is>
          <t>Communauté de communes</t>
        </is>
      </c>
      <c r="C220" t="inlineStr">
        <is>
          <t>241800432</t>
        </is>
      </c>
      <c r="D220" t="inlineStr">
        <is>
          <t>18</t>
        </is>
      </c>
      <c r="E220" t="inlineStr">
        <is>
          <t>Cher</t>
        </is>
      </c>
      <c r="F220" t="inlineStr">
        <is>
          <t>Centre-Val de Loire</t>
        </is>
      </c>
      <c r="G220" s="3" t="n">
        <v>5025</v>
      </c>
      <c r="H220" t="n">
        <v>11</v>
      </c>
      <c r="I220" t="inlineStr">
        <is>
          <t>21 rue Pierre-Caldi</t>
        </is>
      </c>
      <c r="J220" t="inlineStr">
        <is>
          <t>18600</t>
        </is>
      </c>
      <c r="K220" t="inlineStr">
        <is>
          <t>Sancoins</t>
        </is>
      </c>
      <c r="L220" t="inlineStr">
        <is>
          <t>02 48 80 09 28</t>
        </is>
      </c>
      <c r="M220" s="4" t="inlineStr">
        <is>
          <t>contact@cc3p.fr</t>
        </is>
      </c>
      <c r="N220" s="4" t="inlineStr">
        <is>
          <t>https://www.cc3p.fr/</t>
        </is>
      </c>
      <c r="O220" s="4" t="inlineStr">
        <is>
          <t>https://www.cc3p.fr/contact/</t>
        </is>
      </c>
      <c r="P220" s="4" t="inlineStr">
        <is>
          <t>https://lannuaire.service-public.gouv.fr/centre-val-de-loire/cher/7ca0ed72-f637-4f65-9029-88f9af27ade0</t>
        </is>
      </c>
      <c r="Q220" t="inlineStr">
        <is>
          <t>Annuaire Service-public.fr</t>
        </is>
      </c>
      <c r="R220" t="inlineStr"/>
      <c r="S220" t="inlineStr"/>
      <c r="T220" t="inlineStr"/>
    </row>
    <row r="221">
      <c r="A221" t="inlineStr">
        <is>
          <t>CC du Pays d'Issoudun</t>
        </is>
      </c>
      <c r="B221" t="inlineStr">
        <is>
          <t>Communauté de communes</t>
        </is>
      </c>
      <c r="C221" t="inlineStr">
        <is>
          <t>243600236</t>
        </is>
      </c>
      <c r="D221" t="inlineStr">
        <is>
          <t>18, 36</t>
        </is>
      </c>
      <c r="E221" t="inlineStr">
        <is>
          <t>Cher, Indre</t>
        </is>
      </c>
      <c r="F221" t="inlineStr">
        <is>
          <t>Centre-Val de Loire</t>
        </is>
      </c>
      <c r="G221" s="3" t="n">
        <v>18778</v>
      </c>
      <c r="H221" t="n">
        <v>12</v>
      </c>
      <c r="I221" t="inlineStr">
        <is>
          <t>Place des Droits-de-l'Homme</t>
        </is>
      </c>
      <c r="J221" t="inlineStr">
        <is>
          <t>36100</t>
        </is>
      </c>
      <c r="K221" t="inlineStr">
        <is>
          <t>Issoudun</t>
        </is>
      </c>
      <c r="L221" t="inlineStr">
        <is>
          <t>02 54 03 36 36</t>
        </is>
      </c>
      <c r="M221" s="4" t="inlineStr">
        <is>
          <t>ccpi@issoudun.fr</t>
        </is>
      </c>
      <c r="N221" s="4" t="inlineStr">
        <is>
          <t>https://www.issoudun.fr/vivre-a-issoudun/ccpi/</t>
        </is>
      </c>
      <c r="O221" t="inlineStr"/>
      <c r="P221" s="4" t="inlineStr">
        <is>
          <t>https://lannuaire.service-public.gouv.fr/centre-val-de-loire/indre/4b9575d2-70d4-470a-a622-0b79613ca1fa</t>
        </is>
      </c>
      <c r="Q221" t="inlineStr">
        <is>
          <t>Annuaire Service-public.fr</t>
        </is>
      </c>
      <c r="R221" t="inlineStr"/>
      <c r="S221" t="inlineStr"/>
      <c r="T221" t="inlineStr"/>
    </row>
    <row r="222">
      <c r="A222" t="inlineStr">
        <is>
          <t>CC Les Bertranges</t>
        </is>
      </c>
      <c r="B222" t="inlineStr">
        <is>
          <t>Communauté de communes</t>
        </is>
      </c>
      <c r="C222" t="inlineStr">
        <is>
          <t>200068088</t>
        </is>
      </c>
      <c r="D222" t="inlineStr">
        <is>
          <t>18, 58</t>
        </is>
      </c>
      <c r="E222" t="inlineStr">
        <is>
          <t>Cher, Nièvre</t>
        </is>
      </c>
      <c r="F222" t="inlineStr">
        <is>
          <t>Centre-Val de Loire, Bourgogne-Franche-Comté</t>
        </is>
      </c>
      <c r="G222" s="3" t="n">
        <v>19625</v>
      </c>
      <c r="H222" t="n">
        <v>32</v>
      </c>
      <c r="I222" t="inlineStr">
        <is>
          <t>14 avenue Henri-Dunant</t>
        </is>
      </c>
      <c r="J222" t="inlineStr">
        <is>
          <t>58400</t>
        </is>
      </c>
      <c r="K222" t="inlineStr">
        <is>
          <t>La Charité-sur-Loire</t>
        </is>
      </c>
      <c r="L222" t="inlineStr">
        <is>
          <t>03 86 69 69 06</t>
        </is>
      </c>
      <c r="M222" s="4" t="inlineStr">
        <is>
          <t>mathilde.adrien@lesbertranges.fr</t>
        </is>
      </c>
      <c r="N222" s="4" t="inlineStr">
        <is>
          <t>https://www.lesbertranges.fr</t>
        </is>
      </c>
      <c r="O222" s="4" t="inlineStr">
        <is>
          <t>https://www.lesbertranges.fr/index.php/contact/</t>
        </is>
      </c>
      <c r="P222" s="4" t="inlineStr">
        <is>
          <t>https://lannuaire.service-public.gouv.fr/bourgogne-franche-comte/nievre/8b336b0c-a53b-4157-b45c-47e404f35b1e</t>
        </is>
      </c>
      <c r="Q222" t="inlineStr">
        <is>
          <t>Annuaire Service-public.fr</t>
        </is>
      </c>
      <c r="R222" t="inlineStr"/>
      <c r="S222" t="inlineStr"/>
      <c r="T222" t="inlineStr"/>
    </row>
    <row r="223">
      <c r="A223" t="inlineStr">
        <is>
          <t>CA Tulle Agglo</t>
        </is>
      </c>
      <c r="B223" t="inlineStr">
        <is>
          <t>Communauté d’agglomération</t>
        </is>
      </c>
      <c r="C223" t="inlineStr">
        <is>
          <t>241927201</t>
        </is>
      </c>
      <c r="D223" t="inlineStr">
        <is>
          <t>19</t>
        </is>
      </c>
      <c r="E223" t="inlineStr">
        <is>
          <t>Corrèze</t>
        </is>
      </c>
      <c r="F223" t="inlineStr">
        <is>
          <t>Nouvelle-Aquitaine</t>
        </is>
      </c>
      <c r="G223" s="3" t="n">
        <v>43550</v>
      </c>
      <c r="H223" t="n">
        <v>43</v>
      </c>
      <c r="I223" t="inlineStr">
        <is>
          <t>7 Impasse Sylvain-Combes</t>
        </is>
      </c>
      <c r="J223" t="inlineStr">
        <is>
          <t>19000</t>
        </is>
      </c>
      <c r="K223" t="inlineStr">
        <is>
          <t>Tulle</t>
        </is>
      </c>
      <c r="L223" t="inlineStr">
        <is>
          <t>05 55 20 75 00</t>
        </is>
      </c>
      <c r="M223" s="4" t="inlineStr">
        <is>
          <t>tulleagglo@tulleagglo.fr</t>
        </is>
      </c>
      <c r="N223" s="4" t="inlineStr">
        <is>
          <t>https://www.tulleagglo.fr/</t>
        </is>
      </c>
      <c r="O223" s="4" t="inlineStr">
        <is>
          <t>https://www.tulleagglo.fr/nous-contacter/</t>
        </is>
      </c>
      <c r="P223" s="4" t="inlineStr">
        <is>
          <t>https://lannuaire.service-public.gouv.fr/nouvelle-aquitaine/correze/7ebd3fe4-fde4-472e-85d2-0478f2aaa09d</t>
        </is>
      </c>
      <c r="Q223" t="inlineStr">
        <is>
          <t>Annuaire Service-public.fr</t>
        </is>
      </c>
      <c r="R223" t="inlineStr"/>
      <c r="S223" t="inlineStr"/>
      <c r="T223" t="inlineStr"/>
    </row>
    <row r="224">
      <c r="A224" t="inlineStr">
        <is>
          <t>CA du Bassin de Brive</t>
        </is>
      </c>
      <c r="B224" t="inlineStr">
        <is>
          <t>Communauté d’agglomération</t>
        </is>
      </c>
      <c r="C224" t="inlineStr">
        <is>
          <t>200043172</t>
        </is>
      </c>
      <c r="D224" t="inlineStr">
        <is>
          <t>19</t>
        </is>
      </c>
      <c r="E224" t="inlineStr">
        <is>
          <t>Corrèze</t>
        </is>
      </c>
      <c r="F224" t="inlineStr">
        <is>
          <t>Nouvelle-Aquitaine</t>
        </is>
      </c>
      <c r="G224" s="3" t="n">
        <v>108611</v>
      </c>
      <c r="H224" t="n">
        <v>48</v>
      </c>
      <c r="I224" t="inlineStr">
        <is>
          <t>9 avenue Léo-Lagrange</t>
        </is>
      </c>
      <c r="J224" t="inlineStr">
        <is>
          <t>19103</t>
        </is>
      </c>
      <c r="K224" t="inlineStr">
        <is>
          <t>Brive-la-Gaillarde</t>
        </is>
      </c>
      <c r="L224" t="inlineStr">
        <is>
          <t>05 55 74 10 00</t>
        </is>
      </c>
      <c r="M224" s="4" t="inlineStr">
        <is>
          <t>contact@agglodebrive.fr</t>
        </is>
      </c>
      <c r="N224" s="4" t="inlineStr">
        <is>
          <t>http://www.agglodebrive.fr</t>
        </is>
      </c>
      <c r="O224" s="4" t="inlineStr">
        <is>
          <t>http://www.agglodebrive.fr/contactez-nous/</t>
        </is>
      </c>
      <c r="P224" s="4" t="inlineStr">
        <is>
          <t>https://lannuaire.service-public.gouv.fr/nouvelle-aquitaine/correze/58e78040-18d0-4384-a2ec-482634091e08</t>
        </is>
      </c>
      <c r="Q224" t="inlineStr">
        <is>
          <t>Annuaire Service-public.fr</t>
        </is>
      </c>
      <c r="R224" t="inlineStr"/>
      <c r="S224" t="inlineStr"/>
      <c r="T224" t="inlineStr"/>
    </row>
    <row r="225">
      <c r="A225" t="inlineStr">
        <is>
          <t>CC Midi Corrézien</t>
        </is>
      </c>
      <c r="B225" t="inlineStr">
        <is>
          <t>Communauté de communes</t>
        </is>
      </c>
      <c r="C225" t="inlineStr">
        <is>
          <t>200066769</t>
        </is>
      </c>
      <c r="D225" t="inlineStr">
        <is>
          <t>19</t>
        </is>
      </c>
      <c r="E225" t="inlineStr">
        <is>
          <t>Corrèze</t>
        </is>
      </c>
      <c r="F225" t="inlineStr">
        <is>
          <t>Nouvelle-Aquitaine</t>
        </is>
      </c>
      <c r="G225" s="3" t="n">
        <v>13215</v>
      </c>
      <c r="H225" t="n">
        <v>34</v>
      </c>
      <c r="I225" t="inlineStr">
        <is>
          <t>Rue Émile-Monbrial</t>
        </is>
      </c>
      <c r="J225" t="inlineStr">
        <is>
          <t>19120</t>
        </is>
      </c>
      <c r="K225" t="inlineStr">
        <is>
          <t>Beaulieu-sur-Dordogne</t>
        </is>
      </c>
      <c r="L225" t="inlineStr">
        <is>
          <t>05 55 84 31 00</t>
        </is>
      </c>
      <c r="M225" s="4" t="inlineStr">
        <is>
          <t>contact@midicorrezien.com</t>
        </is>
      </c>
      <c r="N225" s="4" t="inlineStr">
        <is>
          <t>https://www.midicorrezien.com/</t>
        </is>
      </c>
      <c r="O225" s="4" t="inlineStr">
        <is>
          <t>https://www.midicorrezien.com/contact</t>
        </is>
      </c>
      <c r="P225" s="4" t="inlineStr">
        <is>
          <t>https://lannuaire.service-public.gouv.fr/nouvelle-aquitaine/correze/e6618186-0738-48e0-9ee2-184519ec5a6d</t>
        </is>
      </c>
      <c r="Q225" t="inlineStr">
        <is>
          <t>Annuaire Service-public.fr</t>
        </is>
      </c>
      <c r="R225" t="inlineStr"/>
      <c r="S225" t="inlineStr"/>
      <c r="T225" t="inlineStr"/>
    </row>
    <row r="226">
      <c r="A226" t="inlineStr">
        <is>
          <t>CC Vézère-Monédières-Millesources</t>
        </is>
      </c>
      <c r="B226" t="inlineStr">
        <is>
          <t>Communauté de communes</t>
        </is>
      </c>
      <c r="C226" t="inlineStr">
        <is>
          <t>200066645</t>
        </is>
      </c>
      <c r="D226" t="inlineStr">
        <is>
          <t>19</t>
        </is>
      </c>
      <c r="E226" t="inlineStr">
        <is>
          <t>Corrèze</t>
        </is>
      </c>
      <c r="F226" t="inlineStr">
        <is>
          <t>Nouvelle-Aquitaine</t>
        </is>
      </c>
      <c r="G226" s="3" t="n">
        <v>5691</v>
      </c>
      <c r="H226" t="n">
        <v>20</v>
      </c>
      <c r="I226" t="inlineStr">
        <is>
          <t>15 avenue du Général-de-Gaulle</t>
        </is>
      </c>
      <c r="J226" t="inlineStr">
        <is>
          <t>19260</t>
        </is>
      </c>
      <c r="K226" t="inlineStr">
        <is>
          <t>Treignac</t>
        </is>
      </c>
      <c r="L226" t="inlineStr">
        <is>
          <t>05 55 73 45 92</t>
        </is>
      </c>
      <c r="M226" s="4" t="inlineStr">
        <is>
          <t>contact@ccv2m.fr</t>
        </is>
      </c>
      <c r="N226" s="4" t="inlineStr">
        <is>
          <t>http://ccv2m.fr/</t>
        </is>
      </c>
      <c r="O226" s="4" t="inlineStr">
        <is>
          <t>http://ccv2m.fr/contact/</t>
        </is>
      </c>
      <c r="P226" s="4" t="inlineStr">
        <is>
          <t>https://lannuaire.service-public.gouv.fr/nouvelle-aquitaine/correze/6f9bc01a-452f-4f63-bf91-7aa4f7445d47</t>
        </is>
      </c>
      <c r="Q226" t="inlineStr">
        <is>
          <t>Annuaire Service-public.fr</t>
        </is>
      </c>
      <c r="R226" t="inlineStr"/>
      <c r="S226" t="inlineStr"/>
      <c r="T226" t="inlineStr"/>
    </row>
    <row r="227">
      <c r="A227" t="inlineStr">
        <is>
          <t>CC Xaintrie Val'Dordogne</t>
        </is>
      </c>
      <c r="B227" t="inlineStr">
        <is>
          <t>Communauté de communes</t>
        </is>
      </c>
      <c r="C227" t="inlineStr">
        <is>
          <t>200066751</t>
        </is>
      </c>
      <c r="D227" t="inlineStr">
        <is>
          <t>19</t>
        </is>
      </c>
      <c r="E227" t="inlineStr">
        <is>
          <t>Corrèze</t>
        </is>
      </c>
      <c r="F227" t="inlineStr">
        <is>
          <t>Nouvelle-Aquitaine</t>
        </is>
      </c>
      <c r="G227" s="3" t="n">
        <v>11120</v>
      </c>
      <c r="H227" t="n">
        <v>30</v>
      </c>
      <c r="I227" t="inlineStr">
        <is>
          <t>8 avenue du 8-Mai-1945</t>
        </is>
      </c>
      <c r="J227" t="inlineStr">
        <is>
          <t>19400</t>
        </is>
      </c>
      <c r="K227" t="inlineStr">
        <is>
          <t>Argentat-sur-Dordogne</t>
        </is>
      </c>
      <c r="L227" t="inlineStr">
        <is>
          <t>05 55 91 01 75</t>
        </is>
      </c>
      <c r="M227" s="4" t="inlineStr">
        <is>
          <t>accueil@xaintrie-val-dordogne.fr</t>
        </is>
      </c>
      <c r="N227" s="4" t="inlineStr">
        <is>
          <t>https://www.xaintrie-val-dordogne.fr/</t>
        </is>
      </c>
      <c r="O227" t="inlineStr"/>
      <c r="P227" s="4" t="inlineStr">
        <is>
          <t>https://lannuaire.service-public.gouv.fr/nouvelle-aquitaine/correze/117669f4-baf0-47b4-8ea0-32ca912b3fcf</t>
        </is>
      </c>
      <c r="Q227" t="inlineStr">
        <is>
          <t>Annuaire Service-public.fr</t>
        </is>
      </c>
      <c r="R227" t="inlineStr"/>
      <c r="S227" t="inlineStr"/>
      <c r="T227" t="inlineStr"/>
    </row>
    <row r="228">
      <c r="A228" t="inlineStr">
        <is>
          <t>CC de Ventadour - Egletons - Monédières</t>
        </is>
      </c>
      <c r="B228" t="inlineStr">
        <is>
          <t>Communauté de communes</t>
        </is>
      </c>
      <c r="C228" t="inlineStr">
        <is>
          <t>241900133</t>
        </is>
      </c>
      <c r="D228" t="inlineStr">
        <is>
          <t>19</t>
        </is>
      </c>
      <c r="E228" t="inlineStr">
        <is>
          <t>Corrèze</t>
        </is>
      </c>
      <c r="F228" t="inlineStr">
        <is>
          <t>Nouvelle-Aquitaine</t>
        </is>
      </c>
      <c r="G228" s="3" t="n">
        <v>10212</v>
      </c>
      <c r="H228" t="n">
        <v>19</v>
      </c>
      <c r="I228" t="inlineStr">
        <is>
          <t>Carrefour de l'Épinette, 1 avenue de l'Épinette</t>
        </is>
      </c>
      <c r="J228" t="inlineStr">
        <is>
          <t>19550</t>
        </is>
      </c>
      <c r="K228" t="inlineStr">
        <is>
          <t>Lapleau</t>
        </is>
      </c>
      <c r="L228" t="inlineStr">
        <is>
          <t>05 55 27 69 26</t>
        </is>
      </c>
      <c r="M228" s="4" t="inlineStr">
        <is>
          <t>accueil@cc-ventadour.fr</t>
        </is>
      </c>
      <c r="N228" s="4" t="inlineStr">
        <is>
          <t>http://www.cc-ventadour.fr</t>
        </is>
      </c>
      <c r="O228" t="inlineStr"/>
      <c r="P228" s="4" t="inlineStr">
        <is>
          <t>https://lannuaire.service-public.gouv.fr/nouvelle-aquitaine/correze/d9a08b45-e751-492b-a60c-0d6973d3b0d9</t>
        </is>
      </c>
      <c r="Q228" t="inlineStr">
        <is>
          <t>Annuaire Service-public.fr</t>
        </is>
      </c>
      <c r="R228" t="inlineStr"/>
      <c r="S228" t="inlineStr"/>
      <c r="T228" t="inlineStr"/>
    </row>
    <row r="229">
      <c r="A229" t="inlineStr">
        <is>
          <t>CC du Pays d'Uzerche</t>
        </is>
      </c>
      <c r="B229" t="inlineStr">
        <is>
          <t>Communauté de communes</t>
        </is>
      </c>
      <c r="C229" t="inlineStr">
        <is>
          <t>241927243</t>
        </is>
      </c>
      <c r="D229" t="inlineStr">
        <is>
          <t>19</t>
        </is>
      </c>
      <c r="E229" t="inlineStr">
        <is>
          <t>Corrèze</t>
        </is>
      </c>
      <c r="F229" t="inlineStr">
        <is>
          <t>Nouvelle-Aquitaine</t>
        </is>
      </c>
      <c r="G229" s="3" t="n">
        <v>10599</v>
      </c>
      <c r="H229" t="n">
        <v>12</v>
      </c>
      <c r="I229" t="inlineStr">
        <is>
          <t>10 place de la Libération</t>
        </is>
      </c>
      <c r="J229" t="inlineStr">
        <is>
          <t>19140</t>
        </is>
      </c>
      <c r="K229" t="inlineStr">
        <is>
          <t>Uzerche</t>
        </is>
      </c>
      <c r="L229" t="inlineStr">
        <is>
          <t>05 55 73 26 53</t>
        </is>
      </c>
      <c r="M229" s="4" t="inlineStr">
        <is>
          <t>contact@paysduzerche.fr</t>
        </is>
      </c>
      <c r="N229" s="4" t="inlineStr">
        <is>
          <t>https://www.paysduzerche.fr/</t>
        </is>
      </c>
      <c r="O229" s="4" t="inlineStr">
        <is>
          <t>https://www.paysduzerche.fr/</t>
        </is>
      </c>
      <c r="P229" s="4" t="inlineStr">
        <is>
          <t>https://lannuaire.service-public.gouv.fr/nouvelle-aquitaine/correze/45c397ce-fbc9-45b9-b373-b9a27f9a9a02</t>
        </is>
      </c>
      <c r="Q229" t="inlineStr">
        <is>
          <t>Annuaire Service-public.fr</t>
        </is>
      </c>
      <c r="R229" t="inlineStr"/>
      <c r="S229" t="inlineStr"/>
      <c r="T229" t="inlineStr"/>
    </row>
    <row r="230">
      <c r="A230" t="inlineStr">
        <is>
          <t>CC du Pays de Lubersac-Pompadour</t>
        </is>
      </c>
      <c r="B230" t="inlineStr">
        <is>
          <t>Communauté de communes</t>
        </is>
      </c>
      <c r="C230" t="inlineStr">
        <is>
          <t>200066603</t>
        </is>
      </c>
      <c r="D230" t="inlineStr">
        <is>
          <t>19</t>
        </is>
      </c>
      <c r="E230" t="inlineStr">
        <is>
          <t>Corrèze</t>
        </is>
      </c>
      <c r="F230" t="inlineStr">
        <is>
          <t>Nouvelle-Aquitaine</t>
        </is>
      </c>
      <c r="G230" s="3" t="n">
        <v>6785</v>
      </c>
      <c r="H230" t="n">
        <v>10</v>
      </c>
      <c r="I230" t="inlineStr">
        <is>
          <t>32 place de l'Horloge</t>
        </is>
      </c>
      <c r="J230" t="inlineStr">
        <is>
          <t>19210</t>
        </is>
      </c>
      <c r="K230" t="inlineStr">
        <is>
          <t>Lubersac</t>
        </is>
      </c>
      <c r="L230" t="inlineStr">
        <is>
          <t>05 19 67 01 05</t>
        </is>
      </c>
      <c r="M230" s="4" t="inlineStr">
        <is>
          <t>secretariat@lubersacpompadour.fr</t>
        </is>
      </c>
      <c r="N230" s="4" t="inlineStr">
        <is>
          <t>https://lubersacpompadour.fr/</t>
        </is>
      </c>
      <c r="O230" s="4" t="inlineStr">
        <is>
          <t>https://lubersacpompadour.fr/contact</t>
        </is>
      </c>
      <c r="P230" s="4" t="inlineStr">
        <is>
          <t>https://lannuaire.service-public.gouv.fr/nouvelle-aquitaine/correze/8ed42b46-edd0-419b-8283-d9b4bd370526</t>
        </is>
      </c>
      <c r="Q230" t="inlineStr">
        <is>
          <t>Annuaire Service-public.fr</t>
        </is>
      </c>
      <c r="R230" t="inlineStr"/>
      <c r="S230" t="inlineStr"/>
      <c r="T230" t="inlineStr"/>
    </row>
    <row r="231">
      <c r="A231" t="inlineStr">
        <is>
          <t>CC Haute-Corrèze Communauté</t>
        </is>
      </c>
      <c r="B231" t="inlineStr">
        <is>
          <t>Communauté de communes</t>
        </is>
      </c>
      <c r="C231" t="inlineStr">
        <is>
          <t>200066744</t>
        </is>
      </c>
      <c r="D231" t="inlineStr">
        <is>
          <t>19, 23</t>
        </is>
      </c>
      <c r="E231" t="inlineStr">
        <is>
          <t>Corrèze, Creuse</t>
        </is>
      </c>
      <c r="F231" t="inlineStr">
        <is>
          <t>Nouvelle-Aquitaine</t>
        </is>
      </c>
      <c r="G231" s="3" t="n">
        <v>31994</v>
      </c>
      <c r="H231" t="n">
        <v>70</v>
      </c>
      <c r="I231" t="inlineStr">
        <is>
          <t>23 parc d'activité du Bois-Saint-Michel</t>
        </is>
      </c>
      <c r="J231" t="inlineStr">
        <is>
          <t>19200</t>
        </is>
      </c>
      <c r="K231" t="inlineStr">
        <is>
          <t>Ussel</t>
        </is>
      </c>
      <c r="L231" t="inlineStr">
        <is>
          <t>05 55 95 35 38</t>
        </is>
      </c>
      <c r="M231" s="4" t="inlineStr">
        <is>
          <t>contact@hautecorrezecommunaute.fr</t>
        </is>
      </c>
      <c r="N231" s="4" t="inlineStr">
        <is>
          <t>https://hautecorreze.fr/</t>
        </is>
      </c>
      <c r="O231" s="4" t="inlineStr">
        <is>
          <t>https://hautecorreze.fr/contactez-nous/</t>
        </is>
      </c>
      <c r="P231" s="4" t="inlineStr">
        <is>
          <t>https://lannuaire.service-public.gouv.fr/nouvelle-aquitaine/correze/672fa7df-c23d-41c7-8552-f30be823f513</t>
        </is>
      </c>
      <c r="Q231" t="inlineStr">
        <is>
          <t>Annuaire Service-public.fr</t>
        </is>
      </c>
      <c r="R231" t="inlineStr"/>
      <c r="S231" t="inlineStr"/>
      <c r="T231" t="inlineStr"/>
    </row>
    <row r="232">
      <c r="A232" t="inlineStr">
        <is>
          <t>CC du Pays de Saint Yrieix</t>
        </is>
      </c>
      <c r="B232" t="inlineStr">
        <is>
          <t>Communauté de communes</t>
        </is>
      </c>
      <c r="C232" t="inlineStr">
        <is>
          <t>248700189</t>
        </is>
      </c>
      <c r="D232" t="inlineStr">
        <is>
          <t>19, 87</t>
        </is>
      </c>
      <c r="E232" t="inlineStr">
        <is>
          <t>Corrèze, Haute-Vienne</t>
        </is>
      </c>
      <c r="F232" t="inlineStr">
        <is>
          <t>Nouvelle-Aquitaine</t>
        </is>
      </c>
      <c r="G232" s="3" t="n">
        <v>12161</v>
      </c>
      <c r="H232" t="n">
        <v>9</v>
      </c>
      <c r="I232" t="inlineStr">
        <is>
          <t>Rue du 8-Mai-1945</t>
        </is>
      </c>
      <c r="J232" t="inlineStr">
        <is>
          <t>87500</t>
        </is>
      </c>
      <c r="K232" t="inlineStr">
        <is>
          <t>Saint-Yrieix-la-Perche</t>
        </is>
      </c>
      <c r="L232" t="inlineStr">
        <is>
          <t>05 55 08 88 76</t>
        </is>
      </c>
      <c r="M232" s="4" t="inlineStr">
        <is>
          <t>info@communaute-saint-yrieix.fr</t>
        </is>
      </c>
      <c r="N232" s="4" t="inlineStr">
        <is>
          <t>https://www.communaute-saint-yrieix.fr/</t>
        </is>
      </c>
      <c r="O232" s="4" t="inlineStr">
        <is>
          <t>https://www.communaute-saint-yrieix.fr/nous-contacter/</t>
        </is>
      </c>
      <c r="P232" s="4" t="inlineStr">
        <is>
          <t>https://lannuaire.service-public.gouv.fr/nouvelle-aquitaine/haute-vienne/415a9e87-843e-4ee1-ac13-e3fdb1b2b5b7</t>
        </is>
      </c>
      <c r="Q232" t="inlineStr">
        <is>
          <t>Annuaire Service-public.fr</t>
        </is>
      </c>
      <c r="R232" t="inlineStr"/>
      <c r="S232" t="inlineStr"/>
      <c r="T232" t="inlineStr"/>
    </row>
    <row r="233">
      <c r="A233" t="inlineStr">
        <is>
          <t>CC Auxonne Pontailler Val de Saône</t>
        </is>
      </c>
      <c r="B233" t="inlineStr">
        <is>
          <t>Communauté de communes</t>
        </is>
      </c>
      <c r="C233" t="inlineStr">
        <is>
          <t>200070902</t>
        </is>
      </c>
      <c r="D233" t="inlineStr">
        <is>
          <t>21</t>
        </is>
      </c>
      <c r="E233" t="inlineStr">
        <is>
          <t>Côte-d'Or</t>
        </is>
      </c>
      <c r="F233" t="inlineStr">
        <is>
          <t>Bourgogne-Franche-Comté</t>
        </is>
      </c>
      <c r="G233" s="3" t="n">
        <v>23448</v>
      </c>
      <c r="H233" t="n">
        <v>35</v>
      </c>
      <c r="I233" t="inlineStr">
        <is>
          <t>Ancienne route Nationale</t>
        </is>
      </c>
      <c r="J233" t="inlineStr">
        <is>
          <t>21130</t>
        </is>
      </c>
      <c r="K233" t="inlineStr">
        <is>
          <t>Auxonne</t>
        </is>
      </c>
      <c r="L233" t="inlineStr">
        <is>
          <t>03 80 27 03 20</t>
        </is>
      </c>
      <c r="M233" s="4" t="inlineStr">
        <is>
          <t>contact@capvaldesaone.fr</t>
        </is>
      </c>
      <c r="N233" s="4" t="inlineStr">
        <is>
          <t>https://www.capvaldesaone.fr</t>
        </is>
      </c>
      <c r="O233" s="4" t="inlineStr">
        <is>
          <t>https://www.capvaldesaone.fr/contact</t>
        </is>
      </c>
      <c r="P233" s="4" t="inlineStr">
        <is>
          <t>https://lannuaire.service-public.gouv.fr/bourgogne-franche-comte/cote-d-or/839ea5de-7eb9-4319-8f1c-95d3cf469a67</t>
        </is>
      </c>
      <c r="Q233" t="inlineStr">
        <is>
          <t>Annuaire Service-public.fr</t>
        </is>
      </c>
      <c r="R233" t="inlineStr"/>
      <c r="S233" t="inlineStr"/>
      <c r="T233" t="inlineStr"/>
    </row>
    <row r="234">
      <c r="A234" t="inlineStr">
        <is>
          <t>CC Forêts, Seine et Suzon</t>
        </is>
      </c>
      <c r="B234" t="inlineStr">
        <is>
          <t>Communauté de communes</t>
        </is>
      </c>
      <c r="C234" t="inlineStr">
        <is>
          <t>200039063</t>
        </is>
      </c>
      <c r="D234" t="inlineStr">
        <is>
          <t>21</t>
        </is>
      </c>
      <c r="E234" t="inlineStr">
        <is>
          <t>Côte-d'Or</t>
        </is>
      </c>
      <c r="F234" t="inlineStr">
        <is>
          <t>Bourgogne-Franche-Comté</t>
        </is>
      </c>
      <c r="G234" s="3" t="n">
        <v>7054</v>
      </c>
      <c r="H234" t="n">
        <v>25</v>
      </c>
      <c r="I234" t="inlineStr">
        <is>
          <t>4 bis rue des Écoles</t>
        </is>
      </c>
      <c r="J234" t="inlineStr">
        <is>
          <t>21380</t>
        </is>
      </c>
      <c r="K234" t="inlineStr">
        <is>
          <t>Messigny-et-Vantoux</t>
        </is>
      </c>
      <c r="L234" t="inlineStr">
        <is>
          <t>03 80 42 99 00</t>
        </is>
      </c>
      <c r="M234" s="4" t="inlineStr">
        <is>
          <t>ccfss@ccfss.fr</t>
        </is>
      </c>
      <c r="N234" s="4" t="inlineStr">
        <is>
          <t>https://cc-forets-seine-suzon.fr/</t>
        </is>
      </c>
      <c r="O234" s="4" t="inlineStr">
        <is>
          <t>https://cc-forets-seine-suzon.fr/contact/</t>
        </is>
      </c>
      <c r="P234" s="4" t="inlineStr">
        <is>
          <t>https://lannuaire.service-public.gouv.fr/bourgogne-franche-comte/cote-d-or/412b03f1-7991-4da3-9fab-d7aa4f6ce927</t>
        </is>
      </c>
      <c r="Q234" t="inlineStr">
        <is>
          <t>Annuaire Service-public.fr</t>
        </is>
      </c>
      <c r="R234" t="inlineStr"/>
      <c r="S234" t="inlineStr"/>
      <c r="T234" t="inlineStr"/>
    </row>
    <row r="235">
      <c r="A235" t="inlineStr">
        <is>
          <t>CC Mirebellois et Fontenois</t>
        </is>
      </c>
      <c r="B235" t="inlineStr">
        <is>
          <t>Communauté de communes</t>
        </is>
      </c>
      <c r="C235" t="inlineStr">
        <is>
          <t>200072825</t>
        </is>
      </c>
      <c r="D235" t="inlineStr">
        <is>
          <t>21</t>
        </is>
      </c>
      <c r="E235" t="inlineStr">
        <is>
          <t>Côte-d'Or</t>
        </is>
      </c>
      <c r="F235" t="inlineStr">
        <is>
          <t>Bourgogne-Franche-Comté</t>
        </is>
      </c>
      <c r="G235" s="3" t="n">
        <v>12549</v>
      </c>
      <c r="H235" t="n">
        <v>32</v>
      </c>
      <c r="I235" t="inlineStr">
        <is>
          <t>8 place Général-Viard</t>
        </is>
      </c>
      <c r="J235" t="inlineStr">
        <is>
          <t>21310</t>
        </is>
      </c>
      <c r="K235" t="inlineStr">
        <is>
          <t>Mirebeau-sur-Bèze</t>
        </is>
      </c>
      <c r="L235" t="inlineStr">
        <is>
          <t>03 80 36 53 51</t>
        </is>
      </c>
      <c r="M235" s="4" t="inlineStr">
        <is>
          <t>contact@mfcc.fr</t>
        </is>
      </c>
      <c r="N235" s="4" t="inlineStr">
        <is>
          <t>https://www.mfcc.fr/</t>
        </is>
      </c>
      <c r="O235" s="4" t="inlineStr">
        <is>
          <t>https://www.mfcc.fr/contact.htm</t>
        </is>
      </c>
      <c r="P235" s="4" t="inlineStr">
        <is>
          <t>https://lannuaire.service-public.gouv.fr/bourgogne-franche-comte/cote-d-or/dc823169-a7e5-47bb-813a-c41a18b5d50d</t>
        </is>
      </c>
      <c r="Q235" t="inlineStr">
        <is>
          <t>Annuaire Service-public.fr</t>
        </is>
      </c>
      <c r="R235" t="inlineStr"/>
      <c r="S235" t="inlineStr"/>
      <c r="T235" t="inlineStr"/>
    </row>
    <row r="236">
      <c r="A236" t="inlineStr">
        <is>
          <t>CC Norge et Tille</t>
        </is>
      </c>
      <c r="B236" t="inlineStr">
        <is>
          <t>Communauté de communes</t>
        </is>
      </c>
      <c r="C236" t="inlineStr">
        <is>
          <t>200069540</t>
        </is>
      </c>
      <c r="D236" t="inlineStr">
        <is>
          <t>21</t>
        </is>
      </c>
      <c r="E236" t="inlineStr">
        <is>
          <t>Côte-d'Or</t>
        </is>
      </c>
      <c r="F236" t="inlineStr">
        <is>
          <t>Bourgogne-Franche-Comté</t>
        </is>
      </c>
      <c r="G236" s="3" t="n">
        <v>16671</v>
      </c>
      <c r="H236" t="n">
        <v>14</v>
      </c>
      <c r="I236" t="inlineStr">
        <is>
          <t>47 route de Norges</t>
        </is>
      </c>
      <c r="J236" t="inlineStr">
        <is>
          <t>21490</t>
        </is>
      </c>
      <c r="K236" t="inlineStr">
        <is>
          <t>Bretigny</t>
        </is>
      </c>
      <c r="L236" t="inlineStr">
        <is>
          <t>03 80 35 53 99</t>
        </is>
      </c>
      <c r="M236" s="4" t="inlineStr">
        <is>
          <t>contact@norgeettille.fr</t>
        </is>
      </c>
      <c r="N236" s="4" t="inlineStr">
        <is>
          <t>https://www.norgeettille.fr/</t>
        </is>
      </c>
      <c r="O236" s="4" t="inlineStr">
        <is>
          <t>https://www.norgeettille.fr/contact/</t>
        </is>
      </c>
      <c r="P236" s="4" t="inlineStr">
        <is>
          <t>https://lannuaire.service-public.gouv.fr/bourgogne-franche-comte/cote-d-or/b9c4fe2e-d80c-48b9-8cbd-5416133b925b</t>
        </is>
      </c>
      <c r="Q236" t="inlineStr">
        <is>
          <t>Annuaire Service-public.fr</t>
        </is>
      </c>
      <c r="R236" t="inlineStr"/>
      <c r="S236" t="inlineStr"/>
      <c r="T236" t="inlineStr"/>
    </row>
    <row r="237">
      <c r="A237" t="inlineStr">
        <is>
          <t>CC Ouche et Montagne</t>
        </is>
      </c>
      <c r="B237" t="inlineStr">
        <is>
          <t>Communauté de communes</t>
        </is>
      </c>
      <c r="C237" t="inlineStr">
        <is>
          <t>200039055</t>
        </is>
      </c>
      <c r="D237" t="inlineStr">
        <is>
          <t>21</t>
        </is>
      </c>
      <c r="E237" t="inlineStr">
        <is>
          <t>Côte-d'Or</t>
        </is>
      </c>
      <c r="F237" t="inlineStr">
        <is>
          <t>Bourgogne-Franche-Comté</t>
        </is>
      </c>
      <c r="G237" s="3" t="n">
        <v>11273</v>
      </c>
      <c r="H237" t="n">
        <v>32</v>
      </c>
      <c r="I237" t="inlineStr">
        <is>
          <t>5 place de la Poste, Hameau Pont-de-Pany</t>
        </is>
      </c>
      <c r="J237" t="inlineStr">
        <is>
          <t>21410</t>
        </is>
      </c>
      <c r="K237" t="inlineStr">
        <is>
          <t>Sainte-Marie-sur-Ouche</t>
        </is>
      </c>
      <c r="L237" t="inlineStr">
        <is>
          <t>03 80 49 77 43</t>
        </is>
      </c>
      <c r="M237" s="4" t="inlineStr">
        <is>
          <t>accueil@ouche-montagne.fr</t>
        </is>
      </c>
      <c r="N237" s="4" t="inlineStr">
        <is>
          <t>https://ouche-montagne.fr/</t>
        </is>
      </c>
      <c r="O237" s="4" t="inlineStr">
        <is>
          <t>https://ouche-montagne.fr/nous-contacter/</t>
        </is>
      </c>
      <c r="P237" s="4" t="inlineStr">
        <is>
          <t>https://lannuaire.service-public.gouv.fr/bourgogne-franche-comte/cote-d-or/22135d97-cf72-4e4a-856b-c2f4392799c4</t>
        </is>
      </c>
      <c r="Q237" t="inlineStr">
        <is>
          <t>Annuaire Service-public.fr</t>
        </is>
      </c>
      <c r="R237" t="inlineStr"/>
      <c r="S237" t="inlineStr"/>
      <c r="T237" t="inlineStr"/>
    </row>
    <row r="238">
      <c r="A238" t="inlineStr">
        <is>
          <t>CC Rives de Saône</t>
        </is>
      </c>
      <c r="B238" t="inlineStr">
        <is>
          <t>Communauté de communes</t>
        </is>
      </c>
      <c r="C238" t="inlineStr">
        <is>
          <t>242101509</t>
        </is>
      </c>
      <c r="D238" t="inlineStr">
        <is>
          <t>21</t>
        </is>
      </c>
      <c r="E238" t="inlineStr">
        <is>
          <t>Côte-d'Or</t>
        </is>
      </c>
      <c r="F238" t="inlineStr">
        <is>
          <t>Bourgogne-Franche-Comté</t>
        </is>
      </c>
      <c r="G238" s="3" t="n">
        <v>20587</v>
      </c>
      <c r="H238" t="n">
        <v>38</v>
      </c>
      <c r="I238" t="inlineStr">
        <is>
          <t>15 bis grande rue du Faubourg-Saint-Michel</t>
        </is>
      </c>
      <c r="J238" t="inlineStr">
        <is>
          <t>21250</t>
        </is>
      </c>
      <c r="K238" t="inlineStr">
        <is>
          <t>Seurre</t>
        </is>
      </c>
      <c r="L238" t="inlineStr">
        <is>
          <t>03 80 20 48 54</t>
        </is>
      </c>
      <c r="M238" s="4" t="inlineStr">
        <is>
          <t>secretariat@rivesdesaone.fr</t>
        </is>
      </c>
      <c r="N238" s="4" t="inlineStr">
        <is>
          <t>https://www.rivesdesaone.fr/</t>
        </is>
      </c>
      <c r="O238" t="inlineStr"/>
      <c r="P238" s="4" t="inlineStr">
        <is>
          <t>https://lannuaire.service-public.gouv.fr/bourgogne-franche-comte/cote-d-or/bf6fcc3b-1b3a-4ec2-8810-c14a4c65ba55</t>
        </is>
      </c>
      <c r="Q238" t="inlineStr">
        <is>
          <t>Annuaire Service-public.fr</t>
        </is>
      </c>
      <c r="R238" t="inlineStr"/>
      <c r="S238" t="inlineStr"/>
      <c r="T238" t="inlineStr"/>
    </row>
    <row r="239">
      <c r="A239" t="inlineStr">
        <is>
          <t>CC Tille et Venelle</t>
        </is>
      </c>
      <c r="B239" t="inlineStr">
        <is>
          <t>Communauté de communes</t>
        </is>
      </c>
      <c r="C239" t="inlineStr">
        <is>
          <t>200070910</t>
        </is>
      </c>
      <c r="D239" t="inlineStr">
        <is>
          <t>21</t>
        </is>
      </c>
      <c r="E239" t="inlineStr">
        <is>
          <t>Côte-d'Or</t>
        </is>
      </c>
      <c r="F239" t="inlineStr">
        <is>
          <t>Bourgogne-Franche-Comté</t>
        </is>
      </c>
      <c r="G239" s="3" t="n">
        <v>4933</v>
      </c>
      <c r="H239" t="n">
        <v>18</v>
      </c>
      <c r="I239" t="inlineStr">
        <is>
          <t>20 rue de la Patenée</t>
        </is>
      </c>
      <c r="J239" t="inlineStr">
        <is>
          <t>21260</t>
        </is>
      </c>
      <c r="K239" t="inlineStr">
        <is>
          <t>Selongey</t>
        </is>
      </c>
      <c r="L239" t="inlineStr">
        <is>
          <t>03 80 75 51 11</t>
        </is>
      </c>
      <c r="M239" s="4" t="inlineStr">
        <is>
          <t>bonjour@tille-venelle.fr</t>
        </is>
      </c>
      <c r="N239" s="4" t="inlineStr">
        <is>
          <t>https://www.tille-venelle.fr</t>
        </is>
      </c>
      <c r="O239" t="inlineStr"/>
      <c r="P239" s="4" t="inlineStr">
        <is>
          <t>https://lannuaire.service-public.gouv.fr/bourgogne-franche-comte/cote-d-or/0a1e53da-ee35-4e08-8448-81b79a49c68f</t>
        </is>
      </c>
      <c r="Q239" t="inlineStr">
        <is>
          <t>Annuaire Service-public.fr</t>
        </is>
      </c>
      <c r="R239" t="inlineStr"/>
      <c r="S239" t="inlineStr"/>
      <c r="T239" t="inlineStr"/>
    </row>
    <row r="240">
      <c r="A240" t="inlineStr">
        <is>
          <t>CC de Gevrey-Chambertin et de Nuits-Saint-Georges</t>
        </is>
      </c>
      <c r="B240" t="inlineStr">
        <is>
          <t>Communauté de communes</t>
        </is>
      </c>
      <c r="C240" t="inlineStr">
        <is>
          <t>200070894</t>
        </is>
      </c>
      <c r="D240" t="inlineStr">
        <is>
          <t>21</t>
        </is>
      </c>
      <c r="E240" t="inlineStr">
        <is>
          <t>Côte-d'Or</t>
        </is>
      </c>
      <c r="F240" t="inlineStr">
        <is>
          <t>Bourgogne-Franche-Comté</t>
        </is>
      </c>
      <c r="G240" s="3" t="n">
        <v>29589</v>
      </c>
      <c r="H240" t="n">
        <v>55</v>
      </c>
      <c r="I240" t="inlineStr">
        <is>
          <t>3 rue Jean-Moulin, BP 40029</t>
        </is>
      </c>
      <c r="J240" t="inlineStr">
        <is>
          <t>21701</t>
        </is>
      </c>
      <c r="K240" t="inlineStr">
        <is>
          <t>Nuits-Saint-Georges Cedex</t>
        </is>
      </c>
      <c r="L240" t="inlineStr">
        <is>
          <t>03 80 27 04 70</t>
        </is>
      </c>
      <c r="M240" s="4" t="inlineStr">
        <is>
          <t>contact@ccgevrey-nuits.com</t>
        </is>
      </c>
      <c r="N240" s="4" t="inlineStr">
        <is>
          <t>https://www.ccgevrey-chambertin-et-nuits-saint-georges.com/</t>
        </is>
      </c>
      <c r="O240" s="4" t="inlineStr">
        <is>
          <t>https://www.ccgevrey-chambertin-et-nuits-saint-georges.com/contact/</t>
        </is>
      </c>
      <c r="P240" s="4" t="inlineStr">
        <is>
          <t>https://lannuaire.service-public.gouv.fr/bourgogne-franche-comte/cote-d-or/c96458e1-76c9-42d6-8a64-bc89ef9909b4</t>
        </is>
      </c>
      <c r="Q240" t="inlineStr">
        <is>
          <t>Annuaire Service-public.fr</t>
        </is>
      </c>
      <c r="R240" t="inlineStr"/>
      <c r="S240" t="inlineStr"/>
      <c r="T240" t="inlineStr"/>
    </row>
    <row r="241">
      <c r="A241" t="inlineStr">
        <is>
          <t>CC de Pouilly-en-Auxois / Bligny-sur-Ouche</t>
        </is>
      </c>
      <c r="B241" t="inlineStr">
        <is>
          <t>Communauté de communes</t>
        </is>
      </c>
      <c r="C241" t="inlineStr">
        <is>
          <t>200071207</t>
        </is>
      </c>
      <c r="D241" t="inlineStr">
        <is>
          <t>21</t>
        </is>
      </c>
      <c r="E241" t="inlineStr">
        <is>
          <t>Côte-d'Or</t>
        </is>
      </c>
      <c r="F241" t="inlineStr">
        <is>
          <t>Bourgogne-Franche-Comté</t>
        </is>
      </c>
      <c r="G241" s="3" t="n">
        <v>8777</v>
      </c>
      <c r="H241" t="n">
        <v>47</v>
      </c>
      <c r="I241" t="inlineStr">
        <is>
          <t>Maison de Pays, Le Seuil</t>
        </is>
      </c>
      <c r="J241" t="inlineStr">
        <is>
          <t>21320</t>
        </is>
      </c>
      <c r="K241" t="inlineStr">
        <is>
          <t>Pouilly-en-Auxois</t>
        </is>
      </c>
      <c r="L241" t="inlineStr">
        <is>
          <t>03 80 90 80 44</t>
        </is>
      </c>
      <c r="M241" s="4" t="inlineStr">
        <is>
          <t>contact@ccpouillybligny.fr</t>
        </is>
      </c>
      <c r="N241" s="4" t="inlineStr">
        <is>
          <t>https://ccpouillybligny.fr/</t>
        </is>
      </c>
      <c r="O241" s="4" t="inlineStr">
        <is>
          <t>https://ccpouillybligny.fr/contact/</t>
        </is>
      </c>
      <c r="P241" s="4" t="inlineStr">
        <is>
          <t>https://lannuaire.service-public.gouv.fr/bourgogne-franche-comte/cote-d-or/3b7a2119-c361-4b2c-a217-6256e7d01772</t>
        </is>
      </c>
      <c r="Q241" t="inlineStr">
        <is>
          <t>Annuaire Service-public.fr</t>
        </is>
      </c>
      <c r="R241" t="inlineStr"/>
      <c r="S241" t="inlineStr"/>
      <c r="T241" t="inlineStr"/>
    </row>
    <row r="242">
      <c r="A242" t="inlineStr">
        <is>
          <t>CC de Saulieu-Morvan</t>
        </is>
      </c>
      <c r="B242" t="inlineStr">
        <is>
          <t>Communauté de communes</t>
        </is>
      </c>
      <c r="C242" t="inlineStr">
        <is>
          <t>242101442</t>
        </is>
      </c>
      <c r="D242" t="inlineStr">
        <is>
          <t>21</t>
        </is>
      </c>
      <c r="E242" t="inlineStr">
        <is>
          <t>Côte-d'Or</t>
        </is>
      </c>
      <c r="F242" t="inlineStr">
        <is>
          <t>Bourgogne-Franche-Comté</t>
        </is>
      </c>
      <c r="G242" s="3" t="n">
        <v>5227</v>
      </c>
      <c r="H242" t="n">
        <v>12</v>
      </c>
      <c r="I242" t="inlineStr">
        <is>
          <t>15 place Charles-de-Gaulle</t>
        </is>
      </c>
      <c r="J242" t="inlineStr">
        <is>
          <t>21210</t>
        </is>
      </c>
      <c r="K242" t="inlineStr">
        <is>
          <t>Saulieu</t>
        </is>
      </c>
      <c r="L242" t="inlineStr">
        <is>
          <t>03 80 64 77 44</t>
        </is>
      </c>
      <c r="M242" s="4" t="inlineStr">
        <is>
          <t>contact@saulieu-morvan.fr</t>
        </is>
      </c>
      <c r="N242" s="4" t="inlineStr">
        <is>
          <t>https://www.saulieu-morvan.fr</t>
        </is>
      </c>
      <c r="O242" t="inlineStr"/>
      <c r="P242" s="4" t="inlineStr">
        <is>
          <t>https://lannuaire.service-public.gouv.fr/bourgogne-franche-comte/cote-d-or/9674baa7-3f42-43b9-92ad-4eea18168bb0</t>
        </is>
      </c>
      <c r="Q242" t="inlineStr">
        <is>
          <t>Annuaire Service-public.fr</t>
        </is>
      </c>
      <c r="R242" t="inlineStr"/>
      <c r="S242" t="inlineStr"/>
      <c r="T242" t="inlineStr"/>
    </row>
    <row r="243">
      <c r="A243" t="inlineStr">
        <is>
          <t>CC de la Plaine Dijonnaise</t>
        </is>
      </c>
      <c r="B243" t="inlineStr">
        <is>
          <t>Communauté de communes</t>
        </is>
      </c>
      <c r="C243" t="inlineStr">
        <is>
          <t>200000925</t>
        </is>
      </c>
      <c r="D243" t="inlineStr">
        <is>
          <t>21</t>
        </is>
      </c>
      <c r="E243" t="inlineStr">
        <is>
          <t>Côte-d'Or</t>
        </is>
      </c>
      <c r="F243" t="inlineStr">
        <is>
          <t>Bourgogne-Franche-Comté</t>
        </is>
      </c>
      <c r="G243" s="3" t="n">
        <v>22152</v>
      </c>
      <c r="H243" t="n">
        <v>22</v>
      </c>
      <c r="I243" t="inlineStr">
        <is>
          <t>12 rue Ampère</t>
        </is>
      </c>
      <c r="J243" t="inlineStr">
        <is>
          <t>21110</t>
        </is>
      </c>
      <c r="K243" t="inlineStr">
        <is>
          <t>Genlis</t>
        </is>
      </c>
      <c r="L243" t="inlineStr">
        <is>
          <t>03 80 37 70 12</t>
        </is>
      </c>
      <c r="M243" s="4" t="inlineStr">
        <is>
          <t>accueil@plainedijonnaise.fr</t>
        </is>
      </c>
      <c r="N243" s="4" t="inlineStr">
        <is>
          <t>https://www.plainedijonnaise.fr</t>
        </is>
      </c>
      <c r="O243" t="inlineStr"/>
      <c r="P243" s="4" t="inlineStr">
        <is>
          <t>https://lannuaire.service-public.gouv.fr/bourgogne-franche-comte/cote-d-or/30fb735e-e19f-40eb-9e19-012413ceb864</t>
        </is>
      </c>
      <c r="Q243" t="inlineStr">
        <is>
          <t>Annuaire Service-public.fr</t>
        </is>
      </c>
      <c r="R243" t="inlineStr"/>
      <c r="S243" t="inlineStr"/>
      <c r="T243" t="inlineStr"/>
    </row>
    <row r="244">
      <c r="A244" t="inlineStr">
        <is>
          <t>CC des Terres d'Auxois</t>
        </is>
      </c>
      <c r="B244" t="inlineStr">
        <is>
          <t>Communauté de communes</t>
        </is>
      </c>
      <c r="C244" t="inlineStr">
        <is>
          <t>200071017</t>
        </is>
      </c>
      <c r="D244" t="inlineStr">
        <is>
          <t>21</t>
        </is>
      </c>
      <c r="E244" t="inlineStr">
        <is>
          <t>Côte-d'Or</t>
        </is>
      </c>
      <c r="F244" t="inlineStr">
        <is>
          <t>Bourgogne-Franche-Comté</t>
        </is>
      </c>
      <c r="G244" s="3" t="n">
        <v>15602</v>
      </c>
      <c r="H244" t="n">
        <v>76</v>
      </c>
      <c r="I244" t="inlineStr">
        <is>
          <t>3 place de la Gare</t>
        </is>
      </c>
      <c r="J244" t="inlineStr">
        <is>
          <t>21140</t>
        </is>
      </c>
      <c r="K244" t="inlineStr">
        <is>
          <t>Semur-en-Auxois</t>
        </is>
      </c>
      <c r="L244" t="inlineStr">
        <is>
          <t>03 80 97 26 65</t>
        </is>
      </c>
      <c r="M244" s="4" t="inlineStr">
        <is>
          <t>contact@ccterres-auxois.fr</t>
        </is>
      </c>
      <c r="N244" s="4" t="inlineStr">
        <is>
          <t>https://ccterres-auxois.fr/</t>
        </is>
      </c>
      <c r="O244" t="inlineStr"/>
      <c r="P244" s="4" t="inlineStr">
        <is>
          <t>https://lannuaire.service-public.gouv.fr/bourgogne-franche-comte/cote-d-or/e1ad3cd8-f32f-4a27-94ad-c133e473971d</t>
        </is>
      </c>
      <c r="Q244" t="inlineStr">
        <is>
          <t>Annuaire Service-public.fr</t>
        </is>
      </c>
      <c r="R244" t="inlineStr"/>
      <c r="S244" t="inlineStr"/>
      <c r="T244" t="inlineStr"/>
    </row>
    <row r="245">
      <c r="A245" t="inlineStr">
        <is>
          <t>CC des Vallées de la Tille et de l'Ignon</t>
        </is>
      </c>
      <c r="B245" t="inlineStr">
        <is>
          <t>Communauté de communes</t>
        </is>
      </c>
      <c r="C245" t="inlineStr">
        <is>
          <t>242100154</t>
        </is>
      </c>
      <c r="D245" t="inlineStr">
        <is>
          <t>21</t>
        </is>
      </c>
      <c r="E245" t="inlineStr">
        <is>
          <t>Côte-d'Or</t>
        </is>
      </c>
      <c r="F245" t="inlineStr">
        <is>
          <t>Bourgogne-Franche-Comté</t>
        </is>
      </c>
      <c r="G245" s="3" t="n">
        <v>13659</v>
      </c>
      <c r="H245" t="n">
        <v>23</v>
      </c>
      <c r="I245" t="inlineStr">
        <is>
          <t>4 allée Jean-Moulin</t>
        </is>
      </c>
      <c r="J245" t="inlineStr">
        <is>
          <t>21120</t>
        </is>
      </c>
      <c r="K245" t="inlineStr">
        <is>
          <t>Is-sur-Tille</t>
        </is>
      </c>
      <c r="L245" t="inlineStr">
        <is>
          <t>03 80 95 32 41</t>
        </is>
      </c>
      <c r="M245" s="4" t="inlineStr">
        <is>
          <t>covati@covati.fr</t>
        </is>
      </c>
      <c r="N245" s="4" t="inlineStr">
        <is>
          <t>https://www.covati.fr/</t>
        </is>
      </c>
      <c r="O245" t="inlineStr"/>
      <c r="P245" s="4" t="inlineStr">
        <is>
          <t>https://lannuaire.service-public.gouv.fr/bourgogne-franche-comte/cote-d-or/1014f99d-9607-40f3-9fdb-b2e85ed9b77e</t>
        </is>
      </c>
      <c r="Q245" t="inlineStr">
        <is>
          <t>Annuaire Service-public.fr</t>
        </is>
      </c>
      <c r="R245" t="inlineStr"/>
      <c r="S245" t="inlineStr"/>
      <c r="T245" t="inlineStr"/>
    </row>
    <row r="246">
      <c r="A246" t="inlineStr">
        <is>
          <t>CC du Montbardois</t>
        </is>
      </c>
      <c r="B246" t="inlineStr">
        <is>
          <t>Communauté de communes</t>
        </is>
      </c>
      <c r="C246" t="inlineStr">
        <is>
          <t>242101491</t>
        </is>
      </c>
      <c r="D246" t="inlineStr">
        <is>
          <t>21</t>
        </is>
      </c>
      <c r="E246" t="inlineStr">
        <is>
          <t>Côte-d'Or</t>
        </is>
      </c>
      <c r="F246" t="inlineStr">
        <is>
          <t>Bourgogne-Franche-Comté</t>
        </is>
      </c>
      <c r="G246" s="3" t="n">
        <v>10144</v>
      </c>
      <c r="H246" t="n">
        <v>33</v>
      </c>
      <c r="I246" t="inlineStr">
        <is>
          <t>14 avenue Maréchal-de-Lattre-de-Tassigny</t>
        </is>
      </c>
      <c r="J246" t="inlineStr">
        <is>
          <t>21500</t>
        </is>
      </c>
      <c r="K246" t="inlineStr">
        <is>
          <t>Montbard</t>
        </is>
      </c>
      <c r="L246" t="inlineStr">
        <is>
          <t>03 80 92 15 43</t>
        </is>
      </c>
      <c r="M246" s="4" t="inlineStr">
        <is>
          <t>contact@cc-montbardois.fr</t>
        </is>
      </c>
      <c r="N246" s="4" t="inlineStr">
        <is>
          <t>https://www.cc-montbardois.fr/</t>
        </is>
      </c>
      <c r="O246" s="4" t="inlineStr">
        <is>
          <t>https://www.cc-montbardois.fr/contact/</t>
        </is>
      </c>
      <c r="P246" s="4" t="inlineStr">
        <is>
          <t>https://lannuaire.service-public.gouv.fr/bourgogne-franche-comte/cote-d-or/f3742968-1ee4-4a84-a6ee-a5c72cee9182</t>
        </is>
      </c>
      <c r="Q246" t="inlineStr">
        <is>
          <t>Annuaire Service-public.fr</t>
        </is>
      </c>
      <c r="R246" t="inlineStr"/>
      <c r="S246" t="inlineStr"/>
      <c r="T246" t="inlineStr"/>
    </row>
    <row r="247">
      <c r="A247" t="inlineStr">
        <is>
          <t>CC du Pays Arnay Liernais</t>
        </is>
      </c>
      <c r="B247" t="inlineStr">
        <is>
          <t>Communauté de communes</t>
        </is>
      </c>
      <c r="C247" t="inlineStr">
        <is>
          <t>200071173</t>
        </is>
      </c>
      <c r="D247" t="inlineStr">
        <is>
          <t>21</t>
        </is>
      </c>
      <c r="E247" t="inlineStr">
        <is>
          <t>Côte-d'Or</t>
        </is>
      </c>
      <c r="F247" t="inlineStr">
        <is>
          <t>Bourgogne-Franche-Comté</t>
        </is>
      </c>
      <c r="G247" s="3" t="n">
        <v>7000</v>
      </c>
      <c r="H247" t="n">
        <v>34</v>
      </c>
      <c r="I247" t="inlineStr">
        <is>
          <t>1 rue de la Gare</t>
        </is>
      </c>
      <c r="J247" t="inlineStr">
        <is>
          <t>21230</t>
        </is>
      </c>
      <c r="K247" t="inlineStr">
        <is>
          <t>Arnay-le-Duc</t>
        </is>
      </c>
      <c r="L247" t="inlineStr">
        <is>
          <t>03 80 90 18 36</t>
        </is>
      </c>
      <c r="M247" s="4" t="inlineStr">
        <is>
          <t>cc.arnay-liernais@ccarnayliernais.fr</t>
        </is>
      </c>
      <c r="N247" s="4" t="inlineStr">
        <is>
          <t>https://cc-pays-arnay.fr/</t>
        </is>
      </c>
      <c r="O247" s="4" t="inlineStr">
        <is>
          <t>https://cc-pays-arnay.fr/contact/</t>
        </is>
      </c>
      <c r="P247" s="4" t="inlineStr">
        <is>
          <t>https://lannuaire.service-public.gouv.fr/bourgogne-franche-comte/cote-d-or/f1243926-74a5-4ae3-811f-9f1033bbf784</t>
        </is>
      </c>
      <c r="Q247" t="inlineStr">
        <is>
          <t>Annuaire Service-public.fr</t>
        </is>
      </c>
      <c r="R247" t="inlineStr"/>
      <c r="S247" t="inlineStr"/>
      <c r="T247" t="inlineStr"/>
    </row>
    <row r="248">
      <c r="A248" t="inlineStr">
        <is>
          <t>CC du Pays Châtillonnais</t>
        </is>
      </c>
      <c r="B248" t="inlineStr">
        <is>
          <t>Communauté de communes</t>
        </is>
      </c>
      <c r="C248" t="inlineStr">
        <is>
          <t>242101434</t>
        </is>
      </c>
      <c r="D248" t="inlineStr">
        <is>
          <t>21</t>
        </is>
      </c>
      <c r="E248" t="inlineStr">
        <is>
          <t>Côte-d'Or</t>
        </is>
      </c>
      <c r="F248" t="inlineStr">
        <is>
          <t>Bourgogne-Franche-Comté</t>
        </is>
      </c>
      <c r="G248" s="3" t="n">
        <v>19533</v>
      </c>
      <c r="H248" t="n">
        <v>107</v>
      </c>
      <c r="I248" t="inlineStr">
        <is>
          <t>9-11 rue de la Libération</t>
        </is>
      </c>
      <c r="J248" t="inlineStr">
        <is>
          <t>21400</t>
        </is>
      </c>
      <c r="K248" t="inlineStr">
        <is>
          <t>Châtillon-sur-Seine</t>
        </is>
      </c>
      <c r="L248" t="inlineStr">
        <is>
          <t>03 80 81 57 57</t>
        </is>
      </c>
      <c r="M248" s="4" t="inlineStr">
        <is>
          <t>contact@cc-chatillonnais.fr</t>
        </is>
      </c>
      <c r="N248" s="4" t="inlineStr">
        <is>
          <t>https://www.chatillonnais.fr/</t>
        </is>
      </c>
      <c r="O248" s="4" t="inlineStr">
        <is>
          <t>https://www.chatillonnais.fr/contact</t>
        </is>
      </c>
      <c r="P248" s="4" t="inlineStr">
        <is>
          <t>https://lannuaire.service-public.gouv.fr/bourgogne-franche-comte/cote-d-or/c11e35d9-a820-4d49-90da-b17efedd36a7</t>
        </is>
      </c>
      <c r="Q248" t="inlineStr">
        <is>
          <t>Annuaire Service-public.fr</t>
        </is>
      </c>
      <c r="R248" t="inlineStr"/>
      <c r="S248" t="inlineStr"/>
      <c r="T248" t="inlineStr"/>
    </row>
    <row r="249">
      <c r="A249" t="inlineStr">
        <is>
          <t>CC du Pays d'Alésia et de la Seine</t>
        </is>
      </c>
      <c r="B249" t="inlineStr">
        <is>
          <t>Communauté de communes</t>
        </is>
      </c>
      <c r="C249" t="inlineStr">
        <is>
          <t>242101459</t>
        </is>
      </c>
      <c r="D249" t="inlineStr">
        <is>
          <t>21</t>
        </is>
      </c>
      <c r="E249" t="inlineStr">
        <is>
          <t>Côte-d'Or</t>
        </is>
      </c>
      <c r="F249" t="inlineStr">
        <is>
          <t>Bourgogne-Franche-Comté</t>
        </is>
      </c>
      <c r="G249" s="3" t="n">
        <v>7352</v>
      </c>
      <c r="H249" t="n">
        <v>24</v>
      </c>
      <c r="I249" t="inlineStr">
        <is>
          <t>18 avenue Jean-Jaurès</t>
        </is>
      </c>
      <c r="J249" t="inlineStr">
        <is>
          <t>21150</t>
        </is>
      </c>
      <c r="K249" t="inlineStr">
        <is>
          <t>Venarey-les-Laumes</t>
        </is>
      </c>
      <c r="L249" t="inlineStr">
        <is>
          <t>03 80 96 06 83</t>
        </is>
      </c>
      <c r="M249" s="4" t="inlineStr">
        <is>
          <t>contact@cc-alesia-seine.fr</t>
        </is>
      </c>
      <c r="N249" s="4" t="inlineStr">
        <is>
          <t>https://www.cc-alesia-seine.fr/</t>
        </is>
      </c>
      <c r="O249" t="inlineStr"/>
      <c r="P249" s="4" t="inlineStr">
        <is>
          <t>https://lannuaire.service-public.gouv.fr/bourgogne-franche-comte/cote-d-or/bdd94f38-5772-466c-9cfc-baaaf1bd74a1</t>
        </is>
      </c>
      <c r="Q249" t="inlineStr">
        <is>
          <t>Annuaire Service-public.fr</t>
        </is>
      </c>
      <c r="R249" t="inlineStr"/>
      <c r="S249" t="inlineStr"/>
      <c r="T249" t="inlineStr"/>
    </row>
    <row r="250">
      <c r="A250" t="inlineStr">
        <is>
          <t>Dijon Métropole</t>
        </is>
      </c>
      <c r="B250" t="inlineStr">
        <is>
          <t>Métropole</t>
        </is>
      </c>
      <c r="C250" t="inlineStr">
        <is>
          <t>242100410</t>
        </is>
      </c>
      <c r="D250" t="inlineStr">
        <is>
          <t>21</t>
        </is>
      </c>
      <c r="E250" t="inlineStr">
        <is>
          <t>Côte-d'Or</t>
        </is>
      </c>
      <c r="F250" t="inlineStr">
        <is>
          <t>Bourgogne-Franche-Comté</t>
        </is>
      </c>
      <c r="G250" s="3" t="n">
        <v>258630</v>
      </c>
      <c r="H250" t="n">
        <v>23</v>
      </c>
      <c r="I250" t="inlineStr">
        <is>
          <t>40 avenue du Drapeau</t>
        </is>
      </c>
      <c r="J250" t="inlineStr">
        <is>
          <t>21075</t>
        </is>
      </c>
      <c r="K250" t="inlineStr">
        <is>
          <t>Dijon</t>
        </is>
      </c>
      <c r="L250" t="inlineStr">
        <is>
          <t>03 80 50 35 35</t>
        </is>
      </c>
      <c r="M250" s="4" t="inlineStr">
        <is>
          <t>contact@metropole-dijon.fr</t>
        </is>
      </c>
      <c r="N250" s="4" t="inlineStr">
        <is>
          <t>https://www.dijon-metropole.fr/</t>
        </is>
      </c>
      <c r="O250" s="4" t="inlineStr">
        <is>
          <t>https://www.dijon-metropole.fr/nous-ecrire/</t>
        </is>
      </c>
      <c r="P250" s="4" t="inlineStr">
        <is>
          <t>https://lannuaire.service-public.gouv.fr/bourgogne-franche-comte/cote-d-or/5e1cd4d6-055a-4c7f-a09c-4c18ff3b944a</t>
        </is>
      </c>
      <c r="Q250" t="inlineStr">
        <is>
          <t>Annuaire Service-public.fr</t>
        </is>
      </c>
      <c r="R250" t="inlineStr"/>
      <c r="S250" t="inlineStr"/>
      <c r="T250" t="inlineStr"/>
    </row>
    <row r="251">
      <c r="A251" t="inlineStr">
        <is>
          <t>CA Beaune, Côte et Sud - Communauté Beaune-Chagny-Nolay</t>
        </is>
      </c>
      <c r="B251" t="inlineStr">
        <is>
          <t>Communauté d’agglomération</t>
        </is>
      </c>
      <c r="C251" t="inlineStr">
        <is>
          <t>200006682</t>
        </is>
      </c>
      <c r="D251" t="inlineStr">
        <is>
          <t>21, 71</t>
        </is>
      </c>
      <c r="E251" t="inlineStr">
        <is>
          <t>Côte-d'Or, Saône-et-Loire</t>
        </is>
      </c>
      <c r="F251" t="inlineStr">
        <is>
          <t>Bourgogne-Franche-Comté</t>
        </is>
      </c>
      <c r="G251" s="3" t="n">
        <v>50592</v>
      </c>
      <c r="H251" t="n">
        <v>53</v>
      </c>
      <c r="I251" t="inlineStr">
        <is>
          <t>14 rue Philippe-Trinquet</t>
        </is>
      </c>
      <c r="J251" t="inlineStr">
        <is>
          <t>21200</t>
        </is>
      </c>
      <c r="K251" t="inlineStr">
        <is>
          <t>Beaune</t>
        </is>
      </c>
      <c r="L251" t="inlineStr">
        <is>
          <t>03 80 24 56 80</t>
        </is>
      </c>
      <c r="M251" s="4" t="inlineStr">
        <is>
          <t>dgs@beaunecoteetsud.com</t>
        </is>
      </c>
      <c r="N251" s="4" t="inlineStr">
        <is>
          <t>https://www.beaunecoteetsud.com/</t>
        </is>
      </c>
      <c r="O251" t="inlineStr"/>
      <c r="P251" s="4" t="inlineStr">
        <is>
          <t>https://lannuaire.service-public.gouv.fr/bourgogne-franche-comte/cote-d-or/2541a6a7-3b3e-461e-bb52-9edfc742f593</t>
        </is>
      </c>
      <c r="Q251" t="inlineStr">
        <is>
          <t>Annuaire Service-public.fr</t>
        </is>
      </c>
      <c r="R251" t="inlineStr"/>
      <c r="S251" t="inlineStr"/>
      <c r="T251" t="inlineStr"/>
    </row>
    <row r="252">
      <c r="A252" t="inlineStr">
        <is>
          <t>CA Dinan Agglomération</t>
        </is>
      </c>
      <c r="B252" t="inlineStr">
        <is>
          <t>Communauté d’agglomération</t>
        </is>
      </c>
      <c r="C252" t="inlineStr">
        <is>
          <t>200068989</t>
        </is>
      </c>
      <c r="D252" t="inlineStr">
        <is>
          <t>22</t>
        </is>
      </c>
      <c r="E252" t="inlineStr">
        <is>
          <t>Côtes-d'Armor</t>
        </is>
      </c>
      <c r="F252" t="inlineStr">
        <is>
          <t>Bretagne</t>
        </is>
      </c>
      <c r="G252" s="3" t="n">
        <v>104442</v>
      </c>
      <c r="H252" t="n">
        <v>64</v>
      </c>
      <c r="I252" t="inlineStr">
        <is>
          <t>8 boulevard Simone-Veil</t>
        </is>
      </c>
      <c r="J252" t="inlineStr">
        <is>
          <t>22100</t>
        </is>
      </c>
      <c r="K252" t="inlineStr">
        <is>
          <t>Dinan Cedex</t>
        </is>
      </c>
      <c r="L252" t="inlineStr">
        <is>
          <t>02 96 87 14 14</t>
        </is>
      </c>
      <c r="M252" s="4" t="inlineStr">
        <is>
          <t>contact@dinan-agglomeration.fr</t>
        </is>
      </c>
      <c r="N252" s="4" t="inlineStr">
        <is>
          <t>https://www.dinan-agglomeration.fr/</t>
        </is>
      </c>
      <c r="O252" s="4" t="inlineStr">
        <is>
          <t>https://www.dinan-agglomeration.fr/Nous-contacter</t>
        </is>
      </c>
      <c r="P252" s="4" t="inlineStr">
        <is>
          <t>https://lannuaire.service-public.gouv.fr/bretagne/cotes-d-armor/acf842eb-67f2-474c-8d9f-91a4fdb9122e</t>
        </is>
      </c>
      <c r="Q252" t="inlineStr">
        <is>
          <t>Annuaire Service-public.fr</t>
        </is>
      </c>
      <c r="R252" t="inlineStr"/>
      <c r="S252" t="inlineStr"/>
      <c r="T252" t="inlineStr"/>
    </row>
    <row r="253">
      <c r="A253" t="inlineStr">
        <is>
          <t>CA Guingamp-Paimpol Agglomération de l'Armor à l'Argoat</t>
        </is>
      </c>
      <c r="B253" t="inlineStr">
        <is>
          <t>Communauté d’agglomération</t>
        </is>
      </c>
      <c r="C253" t="inlineStr">
        <is>
          <t>200067981</t>
        </is>
      </c>
      <c r="D253" t="inlineStr">
        <is>
          <t>22</t>
        </is>
      </c>
      <c r="E253" t="inlineStr">
        <is>
          <t>Côtes-d'Armor</t>
        </is>
      </c>
      <c r="F253" t="inlineStr">
        <is>
          <t>Bretagne</t>
        </is>
      </c>
      <c r="G253" s="3" t="n">
        <v>73835</v>
      </c>
      <c r="H253" t="n">
        <v>57</v>
      </c>
      <c r="I253" t="inlineStr">
        <is>
          <t>11 rue de la Trinité</t>
        </is>
      </c>
      <c r="J253" t="inlineStr">
        <is>
          <t>22200</t>
        </is>
      </c>
      <c r="K253" t="inlineStr">
        <is>
          <t>Guingamp</t>
        </is>
      </c>
      <c r="L253" t="inlineStr">
        <is>
          <t>02 96 13 59 59</t>
        </is>
      </c>
      <c r="M253" s="4" t="inlineStr">
        <is>
          <t>contact@guingamp-paimpol.bzh</t>
        </is>
      </c>
      <c r="N253" s="4" t="inlineStr">
        <is>
          <t>https://www.guingamp-paimpol-agglo.bzh/</t>
        </is>
      </c>
      <c r="O253" s="4" t="inlineStr">
        <is>
          <t>https://www.guingamp-paimpol-agglo.bzh/nous-contacter/</t>
        </is>
      </c>
      <c r="P253" s="4" t="inlineStr">
        <is>
          <t>https://lannuaire.service-public.gouv.fr/bretagne/cotes-d-armor/98890f92-fe8f-479f-b7c8-fe9d2e9e8383</t>
        </is>
      </c>
      <c r="Q253" t="inlineStr">
        <is>
          <t>Annuaire Service-public.fr</t>
        </is>
      </c>
      <c r="R253" t="inlineStr"/>
      <c r="S253" t="inlineStr"/>
      <c r="T253" t="inlineStr"/>
    </row>
    <row r="254">
      <c r="A254" t="inlineStr">
        <is>
          <t>CA Lamballe Terre et Mer</t>
        </is>
      </c>
      <c r="B254" t="inlineStr">
        <is>
          <t>Communauté d’agglomération</t>
        </is>
      </c>
      <c r="C254" t="inlineStr">
        <is>
          <t>200069391</t>
        </is>
      </c>
      <c r="D254" t="inlineStr">
        <is>
          <t>22</t>
        </is>
      </c>
      <c r="E254" t="inlineStr">
        <is>
          <t>Côtes-d'Armor</t>
        </is>
      </c>
      <c r="F254" t="inlineStr">
        <is>
          <t>Bretagne</t>
        </is>
      </c>
      <c r="G254" s="3" t="n">
        <v>69087</v>
      </c>
      <c r="H254" t="n">
        <v>38</v>
      </c>
      <c r="I254" t="inlineStr">
        <is>
          <t>41 rue Saint-Martin, CS 83002</t>
        </is>
      </c>
      <c r="J254" t="inlineStr">
        <is>
          <t>22400</t>
        </is>
      </c>
      <c r="K254" t="inlineStr">
        <is>
          <t>Lamballe-Armor</t>
        </is>
      </c>
      <c r="L254" t="inlineStr">
        <is>
          <t>02 96 50 00 30</t>
        </is>
      </c>
      <c r="M254" s="4" t="inlineStr">
        <is>
          <t>contact@lamballe-terre-mer.bzh</t>
        </is>
      </c>
      <c r="N254" s="4" t="inlineStr">
        <is>
          <t>https://www.lamballe-terre-mer.bzh/accueil</t>
        </is>
      </c>
      <c r="O254" t="inlineStr"/>
      <c r="P254" s="4" t="inlineStr">
        <is>
          <t>https://lannuaire.service-public.gouv.fr/bretagne/cotes-d-armor/1fafcb91-af73-4cea-b494-f9c75583ebfd</t>
        </is>
      </c>
      <c r="Q254" t="inlineStr">
        <is>
          <t>Annuaire Service-public.fr</t>
        </is>
      </c>
      <c r="R254" t="inlineStr"/>
      <c r="S254" t="inlineStr"/>
      <c r="T254" t="inlineStr"/>
    </row>
    <row r="255">
      <c r="A255" t="inlineStr">
        <is>
          <t>CA Lannion-Trégor Communauté</t>
        </is>
      </c>
      <c r="B255" t="inlineStr">
        <is>
          <t>Communauté d’agglomération</t>
        </is>
      </c>
      <c r="C255" t="inlineStr">
        <is>
          <t>200065928</t>
        </is>
      </c>
      <c r="D255" t="inlineStr">
        <is>
          <t>22</t>
        </is>
      </c>
      <c r="E255" t="inlineStr">
        <is>
          <t>Côtes-d'Armor</t>
        </is>
      </c>
      <c r="F255" t="inlineStr">
        <is>
          <t>Bretagne</t>
        </is>
      </c>
      <c r="G255" s="3" t="n">
        <v>100877</v>
      </c>
      <c r="H255" t="n">
        <v>57</v>
      </c>
      <c r="I255" t="inlineStr">
        <is>
          <t>1 rue Monge, CS 10761</t>
        </is>
      </c>
      <c r="J255" t="inlineStr">
        <is>
          <t>22307</t>
        </is>
      </c>
      <c r="K255" t="inlineStr">
        <is>
          <t>Lannion Cedex</t>
        </is>
      </c>
      <c r="L255" t="inlineStr">
        <is>
          <t>02 96 05 09 00</t>
        </is>
      </c>
      <c r="M255" s="4" t="inlineStr">
        <is>
          <t>contact@lannion-tregor.com</t>
        </is>
      </c>
      <c r="N255" s="4" t="inlineStr">
        <is>
          <t>https://www.lannion-tregor.com/</t>
        </is>
      </c>
      <c r="O255" s="4" t="inlineStr">
        <is>
          <t>https://www.lannion-tregor.com/fr/contact.html</t>
        </is>
      </c>
      <c r="P255" s="4" t="inlineStr">
        <is>
          <t>https://lannuaire.service-public.gouv.fr/bretagne/cotes-d-armor/bd1eb6f2-93fe-4868-88ac-6678d2b6efde</t>
        </is>
      </c>
      <c r="Q255" t="inlineStr">
        <is>
          <t>Annuaire Service-public.fr</t>
        </is>
      </c>
      <c r="R255" t="inlineStr"/>
      <c r="S255" t="inlineStr"/>
      <c r="T255" t="inlineStr"/>
    </row>
    <row r="256">
      <c r="A256" t="inlineStr">
        <is>
          <t>CA Saint-Brieuc Armor Agglomération</t>
        </is>
      </c>
      <c r="B256" t="inlineStr">
        <is>
          <t>Communauté d’agglomération</t>
        </is>
      </c>
      <c r="C256" t="inlineStr">
        <is>
          <t>200069409</t>
        </is>
      </c>
      <c r="D256" t="inlineStr">
        <is>
          <t>22</t>
        </is>
      </c>
      <c r="E256" t="inlineStr">
        <is>
          <t>Côtes-d'Armor</t>
        </is>
      </c>
      <c r="F256" t="inlineStr">
        <is>
          <t>Bretagne</t>
        </is>
      </c>
      <c r="G256" s="3" t="n">
        <v>154023</v>
      </c>
      <c r="H256" t="n">
        <v>32</v>
      </c>
      <c r="I256" t="inlineStr">
        <is>
          <t>5 rue du 71e-Régiment-d'Infanterie</t>
        </is>
      </c>
      <c r="J256" t="inlineStr">
        <is>
          <t>22000</t>
        </is>
      </c>
      <c r="K256" t="inlineStr">
        <is>
          <t>Saint-Brieuc</t>
        </is>
      </c>
      <c r="L256" t="inlineStr">
        <is>
          <t>02 96 77 20 00</t>
        </is>
      </c>
      <c r="M256" s="4" t="inlineStr">
        <is>
          <t>accueil@sbaa.fr</t>
        </is>
      </c>
      <c r="N256" s="4" t="inlineStr">
        <is>
          <t>https://www.saintbrieuc-armor-agglo.bzh/</t>
        </is>
      </c>
      <c r="O256" s="4" t="inlineStr">
        <is>
          <t>https://www.saintbrieuc-armor-agglo.bzh/pages-pratiques/contact</t>
        </is>
      </c>
      <c r="P256" s="4" t="inlineStr">
        <is>
          <t>https://lannuaire.service-public.gouv.fr/bretagne/cotes-d-armor/72b96b1a-67d0-4700-8e6f-0e5f829d814d</t>
        </is>
      </c>
      <c r="Q256" t="inlineStr">
        <is>
          <t>Annuaire Service-public.fr</t>
        </is>
      </c>
      <c r="R256" t="inlineStr"/>
      <c r="S256" t="inlineStr"/>
      <c r="T256" t="inlineStr"/>
    </row>
    <row r="257">
      <c r="A257" t="inlineStr">
        <is>
          <t>CC Leff Armor Communauté</t>
        </is>
      </c>
      <c r="B257" t="inlineStr">
        <is>
          <t>Communauté de communes</t>
        </is>
      </c>
      <c r="C257" t="inlineStr">
        <is>
          <t>200069086</t>
        </is>
      </c>
      <c r="D257" t="inlineStr">
        <is>
          <t>22</t>
        </is>
      </c>
      <c r="E257" t="inlineStr">
        <is>
          <t>Côtes-d'Armor</t>
        </is>
      </c>
      <c r="F257" t="inlineStr">
        <is>
          <t>Bretagne</t>
        </is>
      </c>
      <c r="G257" s="3" t="n">
        <v>32064</v>
      </c>
      <c r="H257" t="n">
        <v>27</v>
      </c>
      <c r="I257" t="inlineStr">
        <is>
          <t>Moulin de Blanchardeau, CS 60036</t>
        </is>
      </c>
      <c r="J257" t="inlineStr">
        <is>
          <t>22290</t>
        </is>
      </c>
      <c r="K257" t="inlineStr">
        <is>
          <t>Lanvollon</t>
        </is>
      </c>
      <c r="L257" t="inlineStr">
        <is>
          <t>02 96 70 17 04</t>
        </is>
      </c>
      <c r="M257" s="4" t="inlineStr">
        <is>
          <t>accueil@leffarmor.fr</t>
        </is>
      </c>
      <c r="N257" s="4" t="inlineStr">
        <is>
          <t>https://www.leffarmor.fr</t>
        </is>
      </c>
      <c r="O257" s="4" t="inlineStr">
        <is>
          <t>https://www.leffarmor.fr/systeme/contact/</t>
        </is>
      </c>
      <c r="P257" s="4" t="inlineStr">
        <is>
          <t>https://lannuaire.service-public.gouv.fr/bretagne/cotes-d-armor/fc665dac-214b-4c00-bb07-ee6554a40221</t>
        </is>
      </c>
      <c r="Q257" t="inlineStr">
        <is>
          <t>Annuaire Service-public.fr</t>
        </is>
      </c>
      <c r="R257" t="inlineStr"/>
      <c r="S257" t="inlineStr"/>
      <c r="T257" t="inlineStr"/>
    </row>
    <row r="258">
      <c r="A258" t="inlineStr">
        <is>
          <t>CC Loudéac Communauté - Bretagne Centre</t>
        </is>
      </c>
      <c r="B258" t="inlineStr">
        <is>
          <t>Communauté de communes</t>
        </is>
      </c>
      <c r="C258" t="inlineStr">
        <is>
          <t>200067460</t>
        </is>
      </c>
      <c r="D258" t="inlineStr">
        <is>
          <t>22</t>
        </is>
      </c>
      <c r="E258" t="inlineStr">
        <is>
          <t>Côtes-d'Armor</t>
        </is>
      </c>
      <c r="F258" t="inlineStr">
        <is>
          <t>Bretagne</t>
        </is>
      </c>
      <c r="G258" s="3" t="n">
        <v>51811</v>
      </c>
      <c r="H258" t="n">
        <v>38</v>
      </c>
      <c r="I258" t="inlineStr">
        <is>
          <t>4-6 boulevard de la Gare</t>
        </is>
      </c>
      <c r="J258" t="inlineStr">
        <is>
          <t>22600</t>
        </is>
      </c>
      <c r="K258" t="inlineStr">
        <is>
          <t>Loudéac</t>
        </is>
      </c>
      <c r="L258" t="inlineStr">
        <is>
          <t>02 96 66 09 09</t>
        </is>
      </c>
      <c r="M258" s="4" t="inlineStr">
        <is>
          <t>standard@loudeac-communaute.bzh</t>
        </is>
      </c>
      <c r="N258" s="4" t="inlineStr">
        <is>
          <t>https://www.bretagnecentre.bzh/</t>
        </is>
      </c>
      <c r="O258" s="4" t="inlineStr">
        <is>
          <t>https://www.bretagnecentre.bzh/pages-pratiques/contact</t>
        </is>
      </c>
      <c r="P258" s="4" t="inlineStr">
        <is>
          <t>https://lannuaire.service-public.gouv.fr/bretagne/cotes-d-armor/b3471481-51de-407f-aacb-794abc6ae014</t>
        </is>
      </c>
      <c r="Q258" t="inlineStr">
        <is>
          <t>Annuaire Service-public.fr</t>
        </is>
      </c>
      <c r="R258" t="inlineStr"/>
      <c r="S258" t="inlineStr"/>
      <c r="T258" t="inlineStr"/>
    </row>
    <row r="259">
      <c r="A259" t="inlineStr">
        <is>
          <t>CC du Kreiz-Breizh (CCKB)</t>
        </is>
      </c>
      <c r="B259" t="inlineStr">
        <is>
          <t>Communauté de communes</t>
        </is>
      </c>
      <c r="C259" t="inlineStr">
        <is>
          <t>242200715</t>
        </is>
      </c>
      <c r="D259" t="inlineStr">
        <is>
          <t>22</t>
        </is>
      </c>
      <c r="E259" t="inlineStr">
        <is>
          <t>Côtes-d'Armor</t>
        </is>
      </c>
      <c r="F259" t="inlineStr">
        <is>
          <t>Bretagne</t>
        </is>
      </c>
      <c r="G259" s="3" t="n">
        <v>18400</v>
      </c>
      <c r="H259" t="n">
        <v>23</v>
      </c>
      <c r="I259" t="inlineStr">
        <is>
          <t>6 rue Joseph-Pennec</t>
        </is>
      </c>
      <c r="J259" t="inlineStr">
        <is>
          <t>22110</t>
        </is>
      </c>
      <c r="K259" t="inlineStr">
        <is>
          <t>Rostrenen</t>
        </is>
      </c>
      <c r="L259" t="inlineStr">
        <is>
          <t>02 96 29 18 18</t>
        </is>
      </c>
      <c r="M259" t="inlineStr"/>
      <c r="N259" s="4" t="inlineStr">
        <is>
          <t>https://www.kreiz-breizh.fr/</t>
        </is>
      </c>
      <c r="O259" s="4" t="inlineStr">
        <is>
          <t>https://www.kreiz-breizh.fr/systeme/nous-contacter/</t>
        </is>
      </c>
      <c r="P259" s="4" t="inlineStr">
        <is>
          <t>https://lannuaire.service-public.gouv.fr/bretagne/cotes-d-armor/fa35a782-071e-4cc4-b361-90ba7b87e677</t>
        </is>
      </c>
      <c r="Q259" t="inlineStr">
        <is>
          <t>Annuaire Service-public.fr</t>
        </is>
      </c>
      <c r="R259" t="inlineStr"/>
      <c r="S259" t="inlineStr"/>
      <c r="T259" t="inlineStr"/>
    </row>
    <row r="260">
      <c r="A260" t="inlineStr">
        <is>
          <t>CC Poher Communauté</t>
        </is>
      </c>
      <c r="B260" t="inlineStr">
        <is>
          <t>Communauté de communes</t>
        </is>
      </c>
      <c r="C260" t="inlineStr">
        <is>
          <t>242900744</t>
        </is>
      </c>
      <c r="D260" t="inlineStr">
        <is>
          <t>22, 29</t>
        </is>
      </c>
      <c r="E260" t="inlineStr">
        <is>
          <t>Côtes-d'Armor, Finistère</t>
        </is>
      </c>
      <c r="F260" t="inlineStr">
        <is>
          <t>Bretagne</t>
        </is>
      </c>
      <c r="G260" s="3" t="n">
        <v>15416</v>
      </c>
      <c r="H260" t="n">
        <v>11</v>
      </c>
      <c r="I260" t="inlineStr">
        <is>
          <t>Place de la Tour-d'Auvergne, BP 150</t>
        </is>
      </c>
      <c r="J260" t="inlineStr">
        <is>
          <t>29270</t>
        </is>
      </c>
      <c r="K260" t="inlineStr">
        <is>
          <t>Carhaix-Plouguer</t>
        </is>
      </c>
      <c r="L260" t="inlineStr">
        <is>
          <t>02 98 99 48 00</t>
        </is>
      </c>
      <c r="M260" s="4" t="inlineStr">
        <is>
          <t>poher@poher.bzh</t>
        </is>
      </c>
      <c r="N260" s="4" t="inlineStr">
        <is>
          <t>https://www.poher.bzh/accueil_poher</t>
        </is>
      </c>
      <c r="O260" t="inlineStr"/>
      <c r="P260" s="4" t="inlineStr">
        <is>
          <t>https://lannuaire.service-public.gouv.fr/bretagne/finistere/adc98035-5c0a-431b-b852-0e9593fae53b</t>
        </is>
      </c>
      <c r="Q260" t="inlineStr">
        <is>
          <t>Annuaire Service-public.fr</t>
        </is>
      </c>
      <c r="R260" t="inlineStr"/>
      <c r="S260" t="inlineStr"/>
      <c r="T260" t="inlineStr"/>
    </row>
    <row r="261">
      <c r="A261" t="inlineStr">
        <is>
          <t>CC Côte d'Emeraude</t>
        </is>
      </c>
      <c r="B261" t="inlineStr">
        <is>
          <t>Communauté de communes</t>
        </is>
      </c>
      <c r="C261" t="inlineStr">
        <is>
          <t>243500725</t>
        </is>
      </c>
      <c r="D261" t="inlineStr">
        <is>
          <t>22, 35</t>
        </is>
      </c>
      <c r="E261" t="inlineStr">
        <is>
          <t>Côtes-d'Armor, Ille-et-Vilaine</t>
        </is>
      </c>
      <c r="F261" t="inlineStr">
        <is>
          <t>Bretagne</t>
        </is>
      </c>
      <c r="G261" s="3" t="n">
        <v>28799</v>
      </c>
      <c r="H261" t="n">
        <v>8</v>
      </c>
      <c r="I261" t="inlineStr">
        <is>
          <t>1 esplanade des Équipages, Cap Émeraude</t>
        </is>
      </c>
      <c r="J261" t="inlineStr">
        <is>
          <t>35730</t>
        </is>
      </c>
      <c r="K261" t="inlineStr">
        <is>
          <t>Pleurtuit</t>
        </is>
      </c>
      <c r="L261" t="inlineStr">
        <is>
          <t>02 23 15 13 15</t>
        </is>
      </c>
      <c r="M261" s="4" t="inlineStr">
        <is>
          <t>accueil@cote-emeraude.fr</t>
        </is>
      </c>
      <c r="N261" s="4" t="inlineStr">
        <is>
          <t>http://www.cote-emeraude.fr</t>
        </is>
      </c>
      <c r="O261" t="inlineStr"/>
      <c r="P261" s="4" t="inlineStr">
        <is>
          <t>https://lannuaire.service-public.gouv.fr/bretagne/ille-et-vilaine/04a79dc2-838c-4a79-b3fa-b0bc8efab3a3</t>
        </is>
      </c>
      <c r="Q261" t="inlineStr">
        <is>
          <t>Annuaire Service-public.fr</t>
        </is>
      </c>
      <c r="R261" t="inlineStr"/>
      <c r="S261" t="inlineStr"/>
      <c r="T261" t="inlineStr"/>
    </row>
    <row r="262">
      <c r="A262" t="inlineStr">
        <is>
          <t>CC Pontivy Communauté</t>
        </is>
      </c>
      <c r="B262" t="inlineStr">
        <is>
          <t>Communauté de communes</t>
        </is>
      </c>
      <c r="C262" t="inlineStr">
        <is>
          <t>245614433</t>
        </is>
      </c>
      <c r="D262" t="inlineStr">
        <is>
          <t>22, 56</t>
        </is>
      </c>
      <c r="E262" t="inlineStr">
        <is>
          <t>Côtes-d'Armor, Morbihan</t>
        </is>
      </c>
      <c r="F262" t="inlineStr">
        <is>
          <t>Bretagne</t>
        </is>
      </c>
      <c r="G262" s="3" t="n">
        <v>46032</v>
      </c>
      <c r="H262" t="n">
        <v>24</v>
      </c>
      <c r="I262" t="inlineStr">
        <is>
          <t>1 place Ernest-Jean</t>
        </is>
      </c>
      <c r="J262" t="inlineStr">
        <is>
          <t>56300</t>
        </is>
      </c>
      <c r="K262" t="inlineStr">
        <is>
          <t>Pontivy</t>
        </is>
      </c>
      <c r="L262" t="inlineStr">
        <is>
          <t>02 97 25 01 70</t>
        </is>
      </c>
      <c r="M262" s="4" t="inlineStr">
        <is>
          <t>info@pontivy-communaute.bzh</t>
        </is>
      </c>
      <c r="N262" s="4" t="inlineStr">
        <is>
          <t>https://www.pontivy-communaute.bzh/</t>
        </is>
      </c>
      <c r="O262" t="inlineStr"/>
      <c r="P262" s="4" t="inlineStr">
        <is>
          <t>https://lannuaire.service-public.gouv.fr/bretagne/morbihan/7fe5982f-c685-4acc-baa0-4a789b1d7daf</t>
        </is>
      </c>
      <c r="Q262" t="inlineStr">
        <is>
          <t>Annuaire Service-public.fr</t>
        </is>
      </c>
      <c r="R262" t="inlineStr"/>
      <c r="S262" t="inlineStr"/>
      <c r="T262" t="inlineStr"/>
    </row>
    <row r="263">
      <c r="A263" t="inlineStr">
        <is>
          <t>CA du Grand Guéret</t>
        </is>
      </c>
      <c r="B263" t="inlineStr">
        <is>
          <t>Communauté d’agglomération</t>
        </is>
      </c>
      <c r="C263" t="inlineStr">
        <is>
          <t>200034825</t>
        </is>
      </c>
      <c r="D263" t="inlineStr">
        <is>
          <t>23</t>
        </is>
      </c>
      <c r="E263" t="inlineStr">
        <is>
          <t>Creuse</t>
        </is>
      </c>
      <c r="F263" t="inlineStr">
        <is>
          <t>Nouvelle-Aquitaine</t>
        </is>
      </c>
      <c r="G263" s="3" t="n">
        <v>28450</v>
      </c>
      <c r="H263" t="n">
        <v>25</v>
      </c>
      <c r="I263" t="inlineStr">
        <is>
          <t>9 avenue Charles-de-Gaulle, BP 302</t>
        </is>
      </c>
      <c r="J263" t="inlineStr">
        <is>
          <t>23006</t>
        </is>
      </c>
      <c r="K263" t="inlineStr">
        <is>
          <t>Guéret Cedex</t>
        </is>
      </c>
      <c r="L263" t="inlineStr">
        <is>
          <t>05 55 41 04 48</t>
        </is>
      </c>
      <c r="M263" s="4" t="inlineStr">
        <is>
          <t>direction.generale@agglo-grandgueret.fr</t>
        </is>
      </c>
      <c r="N263" s="4" t="inlineStr">
        <is>
          <t>https://www.agglo-grandgueret.fr/</t>
        </is>
      </c>
      <c r="O263" t="inlineStr"/>
      <c r="P263" s="4" t="inlineStr">
        <is>
          <t>https://lannuaire.service-public.gouv.fr/nouvelle-aquitaine/creuse/11b3f616-22c6-4e0d-b593-c83c9da31b31</t>
        </is>
      </c>
      <c r="Q263" t="inlineStr">
        <is>
          <t>Annuaire Service-public.fr</t>
        </is>
      </c>
      <c r="R263" t="inlineStr"/>
      <c r="S263" t="inlineStr"/>
      <c r="T263" t="inlineStr"/>
    </row>
    <row r="264">
      <c r="A264" t="inlineStr">
        <is>
          <t>CC Creuse Confluence</t>
        </is>
      </c>
      <c r="B264" t="inlineStr">
        <is>
          <t>Communauté de communes</t>
        </is>
      </c>
      <c r="C264" t="inlineStr">
        <is>
          <t>200067544</t>
        </is>
      </c>
      <c r="D264" t="inlineStr">
        <is>
          <t>23</t>
        </is>
      </c>
      <c r="E264" t="inlineStr">
        <is>
          <t>Creuse</t>
        </is>
      </c>
      <c r="F264" t="inlineStr">
        <is>
          <t>Nouvelle-Aquitaine</t>
        </is>
      </c>
      <c r="G264" s="3" t="n">
        <v>16479</v>
      </c>
      <c r="H264" t="n">
        <v>41</v>
      </c>
      <c r="I264" t="inlineStr">
        <is>
          <t>Le Montet</t>
        </is>
      </c>
      <c r="J264" t="inlineStr">
        <is>
          <t>23600</t>
        </is>
      </c>
      <c r="K264" t="inlineStr">
        <is>
          <t>Boussac-Bourg</t>
        </is>
      </c>
      <c r="L264" t="inlineStr">
        <is>
          <t>05 55 65 83 94</t>
        </is>
      </c>
      <c r="M264" s="4" t="inlineStr">
        <is>
          <t>contact@creuseconfluence.com</t>
        </is>
      </c>
      <c r="N264" s="4" t="inlineStr">
        <is>
          <t>https://www.creuseconfluence.com/</t>
        </is>
      </c>
      <c r="O264" s="4" t="inlineStr">
        <is>
          <t>https://www.creuseconfluence.com/contact/</t>
        </is>
      </c>
      <c r="P264" s="4" t="inlineStr">
        <is>
          <t>https://lannuaire.service-public.gouv.fr/nouvelle-aquitaine/creuse/bdf4be8a-aa7a-49a4-ad2c-1f51001014c6</t>
        </is>
      </c>
      <c r="Q264" t="inlineStr">
        <is>
          <t>Annuaire Service-public.fr</t>
        </is>
      </c>
      <c r="R264" t="inlineStr"/>
      <c r="S264" t="inlineStr"/>
      <c r="T264" t="inlineStr"/>
    </row>
    <row r="265">
      <c r="A265" t="inlineStr">
        <is>
          <t>CC Creuse Grand Sud</t>
        </is>
      </c>
      <c r="B265" t="inlineStr">
        <is>
          <t>Communauté de communes</t>
        </is>
      </c>
      <c r="C265" t="inlineStr">
        <is>
          <t>200044014</t>
        </is>
      </c>
      <c r="D265" t="inlineStr">
        <is>
          <t>23</t>
        </is>
      </c>
      <c r="E265" t="inlineStr">
        <is>
          <t>Creuse</t>
        </is>
      </c>
      <c r="F265" t="inlineStr">
        <is>
          <t>Nouvelle-Aquitaine</t>
        </is>
      </c>
      <c r="G265" s="3" t="n">
        <v>11509</v>
      </c>
      <c r="H265" t="n">
        <v>26</v>
      </c>
      <c r="I265" t="inlineStr">
        <is>
          <t>34b rue Jules-Sandeau, BP 40</t>
        </is>
      </c>
      <c r="J265" t="inlineStr">
        <is>
          <t>23200</t>
        </is>
      </c>
      <c r="K265" t="inlineStr">
        <is>
          <t>Aubusson</t>
        </is>
      </c>
      <c r="L265" t="inlineStr">
        <is>
          <t>05 18 18 01 00</t>
        </is>
      </c>
      <c r="M265" s="4" t="inlineStr">
        <is>
          <t>contact@creuse-grand-sud.fr</t>
        </is>
      </c>
      <c r="N265" s="4" t="inlineStr">
        <is>
          <t>https://creuse-grand-sud.fr/</t>
        </is>
      </c>
      <c r="O265" t="inlineStr"/>
      <c r="P265" s="4" t="inlineStr">
        <is>
          <t>https://lannuaire.service-public.gouv.fr/nouvelle-aquitaine/creuse/ffa560f6-26e1-40c8-8204-01ed05d7c060</t>
        </is>
      </c>
      <c r="Q265" t="inlineStr">
        <is>
          <t>Annuaire Service-public.fr</t>
        </is>
      </c>
      <c r="R265" t="inlineStr"/>
      <c r="S265" t="inlineStr"/>
      <c r="T265" t="inlineStr"/>
    </row>
    <row r="266">
      <c r="A266" t="inlineStr">
        <is>
          <t>CC Creuse Sud Ouest</t>
        </is>
      </c>
      <c r="B266" t="inlineStr">
        <is>
          <t>Communauté de communes</t>
        </is>
      </c>
      <c r="C266" t="inlineStr">
        <is>
          <t>200067189</t>
        </is>
      </c>
      <c r="D266" t="inlineStr">
        <is>
          <t>23</t>
        </is>
      </c>
      <c r="E266" t="inlineStr">
        <is>
          <t>Creuse</t>
        </is>
      </c>
      <c r="F266" t="inlineStr">
        <is>
          <t>Nouvelle-Aquitaine</t>
        </is>
      </c>
      <c r="G266" s="3" t="n">
        <v>13483</v>
      </c>
      <c r="H266" t="n">
        <v>43</v>
      </c>
      <c r="I266" t="inlineStr">
        <is>
          <t>Route de la Souterraine</t>
        </is>
      </c>
      <c r="J266" t="inlineStr">
        <is>
          <t>23400</t>
        </is>
      </c>
      <c r="K266" t="inlineStr">
        <is>
          <t>Saint-Dizier-Masbaraud</t>
        </is>
      </c>
      <c r="L266" t="inlineStr">
        <is>
          <t>05 55 54 04 95</t>
        </is>
      </c>
      <c r="M266" s="4" t="inlineStr">
        <is>
          <t>accueil@creusesudouest.fr</t>
        </is>
      </c>
      <c r="N266" s="4" t="inlineStr">
        <is>
          <t>https://www.creusesudouest.fr/</t>
        </is>
      </c>
      <c r="O266" s="4" t="inlineStr">
        <is>
          <t>https://www.creusesudouest.fr/communaute-communes/ecoute/contact/</t>
        </is>
      </c>
      <c r="P266" s="4" t="inlineStr">
        <is>
          <t>https://lannuaire.service-public.gouv.fr/nouvelle-aquitaine/creuse/23c8e72b-2e5a-48ff-9ada-bc3546fbcae6</t>
        </is>
      </c>
      <c r="Q266" t="inlineStr">
        <is>
          <t>Annuaire Service-public.fr</t>
        </is>
      </c>
      <c r="R266" t="inlineStr"/>
      <c r="S266" t="inlineStr"/>
      <c r="T266" t="inlineStr"/>
    </row>
    <row r="267">
      <c r="A267" t="inlineStr">
        <is>
          <t>CC Marche et Combraille en Aquitaine</t>
        </is>
      </c>
      <c r="B267" t="inlineStr">
        <is>
          <t>Communauté de communes</t>
        </is>
      </c>
      <c r="C267" t="inlineStr">
        <is>
          <t>200067593</t>
        </is>
      </c>
      <c r="D267" t="inlineStr">
        <is>
          <t>23</t>
        </is>
      </c>
      <c r="E267" t="inlineStr">
        <is>
          <t>Creuse</t>
        </is>
      </c>
      <c r="F267" t="inlineStr">
        <is>
          <t>Nouvelle-Aquitaine</t>
        </is>
      </c>
      <c r="G267" s="3" t="n">
        <v>13041</v>
      </c>
      <c r="H267" t="n">
        <v>50</v>
      </c>
      <c r="I267" t="inlineStr">
        <is>
          <t>Rue de l'Étang</t>
        </is>
      </c>
      <c r="J267" t="inlineStr">
        <is>
          <t>23700</t>
        </is>
      </c>
      <c r="K267" t="inlineStr">
        <is>
          <t>Auzances</t>
        </is>
      </c>
      <c r="L267" t="inlineStr">
        <is>
          <t>05 55 67 04 99</t>
        </is>
      </c>
      <c r="M267" s="4" t="inlineStr">
        <is>
          <t>accueil@marcheetcombraille.fr</t>
        </is>
      </c>
      <c r="N267" s="4" t="inlineStr">
        <is>
          <t>https://marcheetcombraille.fr/</t>
        </is>
      </c>
      <c r="O267" s="4" t="inlineStr">
        <is>
          <t>https://marcheetcombraille.fr/contact/</t>
        </is>
      </c>
      <c r="P267" s="4" t="inlineStr">
        <is>
          <t>https://lannuaire.service-public.gouv.fr/nouvelle-aquitaine/creuse/429e91a1-9595-4493-b2b1-2703191d3e5c</t>
        </is>
      </c>
      <c r="Q267" t="inlineStr">
        <is>
          <t>Annuaire Service-public.fr</t>
        </is>
      </c>
      <c r="R267" t="inlineStr"/>
      <c r="S267" t="inlineStr"/>
      <c r="T267" t="inlineStr"/>
    </row>
    <row r="268">
      <c r="A268" t="inlineStr">
        <is>
          <t>CC Portes de la Creuse en Marche</t>
        </is>
      </c>
      <c r="B268" t="inlineStr">
        <is>
          <t>Communauté de communes</t>
        </is>
      </c>
      <c r="C268" t="inlineStr">
        <is>
          <t>200041556</t>
        </is>
      </c>
      <c r="D268" t="inlineStr">
        <is>
          <t>23</t>
        </is>
      </c>
      <c r="E268" t="inlineStr">
        <is>
          <t>Creuse</t>
        </is>
      </c>
      <c r="F268" t="inlineStr">
        <is>
          <t>Nouvelle-Aquitaine</t>
        </is>
      </c>
      <c r="G268" s="3" t="n">
        <v>6630</v>
      </c>
      <c r="H268" t="n">
        <v>16</v>
      </c>
      <c r="I268" t="inlineStr">
        <is>
          <t>1 rue des Violettes</t>
        </is>
      </c>
      <c r="J268" t="inlineStr">
        <is>
          <t>23350</t>
        </is>
      </c>
      <c r="K268" t="inlineStr">
        <is>
          <t>Genouillac</t>
        </is>
      </c>
      <c r="L268" t="inlineStr">
        <is>
          <t>05 55 80 88 01</t>
        </is>
      </c>
      <c r="M268" s="4" t="inlineStr">
        <is>
          <t>accueil@portesdelacreuseenmarche.fr</t>
        </is>
      </c>
      <c r="N268" s="4" t="inlineStr">
        <is>
          <t>https://www.portesdelacreuseenmarche.fr/</t>
        </is>
      </c>
      <c r="O268" t="inlineStr"/>
      <c r="P268" s="4" t="inlineStr">
        <is>
          <t>https://lannuaire.service-public.gouv.fr/nouvelle-aquitaine/creuse/d9c52379-4406-41d4-a17b-473fca6ffed5</t>
        </is>
      </c>
      <c r="Q268" t="inlineStr">
        <is>
          <t>Annuaire Service-public.fr</t>
        </is>
      </c>
      <c r="R268" t="inlineStr"/>
      <c r="S268" t="inlineStr"/>
      <c r="T268" t="inlineStr"/>
    </row>
    <row r="269">
      <c r="A269" t="inlineStr">
        <is>
          <t>CC de Bénévent Grand Bourg</t>
        </is>
      </c>
      <c r="B269" t="inlineStr">
        <is>
          <t>Communauté de communes</t>
        </is>
      </c>
      <c r="C269" t="inlineStr">
        <is>
          <t>242320000</t>
        </is>
      </c>
      <c r="D269" t="inlineStr">
        <is>
          <t>23</t>
        </is>
      </c>
      <c r="E269" t="inlineStr">
        <is>
          <t>Creuse</t>
        </is>
      </c>
      <c r="F269" t="inlineStr">
        <is>
          <t>Nouvelle-Aquitaine</t>
        </is>
      </c>
      <c r="G269" s="3" t="n">
        <v>6785</v>
      </c>
      <c r="H269" t="n">
        <v>16</v>
      </c>
      <c r="I269" t="inlineStr">
        <is>
          <t>8 place du marché</t>
        </is>
      </c>
      <c r="J269" t="inlineStr">
        <is>
          <t>23240</t>
        </is>
      </c>
      <c r="K269" t="inlineStr">
        <is>
          <t>Le Grand-Bourg</t>
        </is>
      </c>
      <c r="L269" t="inlineStr">
        <is>
          <t>05 55 80 38 20</t>
        </is>
      </c>
      <c r="M269" s="4" t="inlineStr">
        <is>
          <t>accueil@ccbgb.fr</t>
        </is>
      </c>
      <c r="N269" s="4" t="inlineStr">
        <is>
          <t>https://benevent-legrandbourg.fr</t>
        </is>
      </c>
      <c r="O269" s="4" t="inlineStr">
        <is>
          <t>https://benevent-legrandbourg.fr/fr/rb/980241/contacts-24</t>
        </is>
      </c>
      <c r="P269" s="4" t="inlineStr">
        <is>
          <t>https://lannuaire.service-public.gouv.fr/nouvelle-aquitaine/creuse/8ace3ce4-6837-4831-bdf6-08f3e9e3e803</t>
        </is>
      </c>
      <c r="Q269" t="inlineStr">
        <is>
          <t>Annuaire Service-public.fr</t>
        </is>
      </c>
      <c r="R269" t="inlineStr"/>
      <c r="S269" t="inlineStr"/>
      <c r="T269" t="inlineStr"/>
    </row>
    <row r="270">
      <c r="A270" t="inlineStr">
        <is>
          <t>CC du Pays Dunois</t>
        </is>
      </c>
      <c r="B270" t="inlineStr">
        <is>
          <t>Communauté de communes</t>
        </is>
      </c>
      <c r="C270" t="inlineStr">
        <is>
          <t>242320109</t>
        </is>
      </c>
      <c r="D270" t="inlineStr">
        <is>
          <t>23</t>
        </is>
      </c>
      <c r="E270" t="inlineStr">
        <is>
          <t>Creuse</t>
        </is>
      </c>
      <c r="F270" t="inlineStr">
        <is>
          <t>Nouvelle-Aquitaine</t>
        </is>
      </c>
      <c r="G270" s="3" t="n">
        <v>6979</v>
      </c>
      <c r="H270" t="n">
        <v>17</v>
      </c>
      <c r="I270" t="inlineStr">
        <is>
          <t>19 avenue de Verdun</t>
        </is>
      </c>
      <c r="J270" t="inlineStr">
        <is>
          <t>23800</t>
        </is>
      </c>
      <c r="K270" t="inlineStr">
        <is>
          <t>Dun-Le-Palestel</t>
        </is>
      </c>
      <c r="L270" t="inlineStr">
        <is>
          <t>05 55 89 12 03</t>
        </is>
      </c>
      <c r="M270" s="4" t="inlineStr">
        <is>
          <t>accueil@ccpaysdunois.fr</t>
        </is>
      </c>
      <c r="N270" s="4" t="inlineStr">
        <is>
          <t>https://www.paysdunois.fr</t>
        </is>
      </c>
      <c r="O270" s="4" t="inlineStr">
        <is>
          <t>https://www.paysdunois.fr/spip.php?article162</t>
        </is>
      </c>
      <c r="P270" s="4" t="inlineStr">
        <is>
          <t>https://lannuaire.service-public.gouv.fr/nouvelle-aquitaine/creuse/485773dd-6a34-41c8-92ea-b37a5253099f</t>
        </is>
      </c>
      <c r="Q270" t="inlineStr">
        <is>
          <t>Annuaire Service-public.fr</t>
        </is>
      </c>
      <c r="R270" t="inlineStr"/>
      <c r="S270" t="inlineStr"/>
      <c r="T270" t="inlineStr"/>
    </row>
    <row r="271">
      <c r="A271" t="inlineStr">
        <is>
          <t>CC du Pays Sostranien</t>
        </is>
      </c>
      <c r="B271" t="inlineStr">
        <is>
          <t>Communauté de communes</t>
        </is>
      </c>
      <c r="C271" t="inlineStr">
        <is>
          <t>242300135</t>
        </is>
      </c>
      <c r="D271" t="inlineStr">
        <is>
          <t>23</t>
        </is>
      </c>
      <c r="E271" t="inlineStr">
        <is>
          <t>Creuse</t>
        </is>
      </c>
      <c r="F271" t="inlineStr">
        <is>
          <t>Nouvelle-Aquitaine</t>
        </is>
      </c>
      <c r="G271" s="3" t="n">
        <v>10203</v>
      </c>
      <c r="H271" t="n">
        <v>10</v>
      </c>
      <c r="I271" t="inlineStr">
        <is>
          <t>10 rue Joliot-Curie</t>
        </is>
      </c>
      <c r="J271" t="inlineStr">
        <is>
          <t>23300</t>
        </is>
      </c>
      <c r="K271" t="inlineStr">
        <is>
          <t>La Souterraine</t>
        </is>
      </c>
      <c r="L271" t="inlineStr">
        <is>
          <t>05 55 63 91 11</t>
        </is>
      </c>
      <c r="M271" s="4" t="inlineStr">
        <is>
          <t>infos@cco23.fr</t>
        </is>
      </c>
      <c r="N271" s="4" t="inlineStr">
        <is>
          <t>https://www.pays-sostranien.fr</t>
        </is>
      </c>
      <c r="O271" t="inlineStr"/>
      <c r="P271" s="4" t="inlineStr">
        <is>
          <t>https://lannuaire.service-public.gouv.fr/nouvelle-aquitaine/creuse/1141f74f-0a09-406b-a982-ca24ceb0e687</t>
        </is>
      </c>
      <c r="Q271" t="inlineStr">
        <is>
          <t>Annuaire Service-public.fr</t>
        </is>
      </c>
      <c r="R271" t="inlineStr"/>
      <c r="S271" t="inlineStr"/>
      <c r="T271" t="inlineStr"/>
    </row>
    <row r="272">
      <c r="A272" t="inlineStr">
        <is>
          <t>CA Bergeracoise</t>
        </is>
      </c>
      <c r="B272" t="inlineStr">
        <is>
          <t>Communauté d’agglomération</t>
        </is>
      </c>
      <c r="C272" t="inlineStr">
        <is>
          <t>200070647</t>
        </is>
      </c>
      <c r="D272" t="inlineStr">
        <is>
          <t>24</t>
        </is>
      </c>
      <c r="E272" t="inlineStr">
        <is>
          <t>Dordogne</t>
        </is>
      </c>
      <c r="F272" t="inlineStr">
        <is>
          <t>Nouvelle-Aquitaine</t>
        </is>
      </c>
      <c r="G272" s="3" t="n">
        <v>61551</v>
      </c>
      <c r="H272" t="n">
        <v>38</v>
      </c>
      <c r="I272" t="inlineStr">
        <is>
          <t>Domaine de La Tour, La Tour Est</t>
        </is>
      </c>
      <c r="J272" t="inlineStr">
        <is>
          <t>24112</t>
        </is>
      </c>
      <c r="K272" t="inlineStr">
        <is>
          <t>Bergerac</t>
        </is>
      </c>
      <c r="L272" t="inlineStr">
        <is>
          <t>05 53 23 43 95</t>
        </is>
      </c>
      <c r="M272" s="4" t="inlineStr">
        <is>
          <t>contact@la-cab.fr</t>
        </is>
      </c>
      <c r="N272" s="4" t="inlineStr">
        <is>
          <t>https://www.la-cab.fr/</t>
        </is>
      </c>
      <c r="O272" s="4" t="inlineStr">
        <is>
          <t>https://www.la-cab.fr/contact/</t>
        </is>
      </c>
      <c r="P272" s="4" t="inlineStr">
        <is>
          <t>https://lannuaire.service-public.gouv.fr/nouvelle-aquitaine/dordogne/36e84de1-06cd-44c9-a835-87515b97f146</t>
        </is>
      </c>
      <c r="Q272" t="inlineStr">
        <is>
          <t>Annuaire Service-public.fr</t>
        </is>
      </c>
      <c r="R272" t="inlineStr"/>
      <c r="S272" t="inlineStr"/>
      <c r="T272" t="inlineStr"/>
    </row>
    <row r="273">
      <c r="A273" t="inlineStr">
        <is>
          <t>CA Le Grand Périgueux</t>
        </is>
      </c>
      <c r="B273" t="inlineStr">
        <is>
          <t>Communauté d’agglomération</t>
        </is>
      </c>
      <c r="C273" t="inlineStr">
        <is>
          <t>200040392</t>
        </is>
      </c>
      <c r="D273" t="inlineStr">
        <is>
          <t>24</t>
        </is>
      </c>
      <c r="E273" t="inlineStr">
        <is>
          <t>Dordogne</t>
        </is>
      </c>
      <c r="F273" t="inlineStr">
        <is>
          <t>Nouvelle-Aquitaine</t>
        </is>
      </c>
      <c r="G273" s="3" t="n">
        <v>104933</v>
      </c>
      <c r="H273" t="n">
        <v>43</v>
      </c>
      <c r="I273" t="inlineStr">
        <is>
          <t>1 boulevard Lakanal, BP 70171</t>
        </is>
      </c>
      <c r="J273" t="inlineStr">
        <is>
          <t>24019</t>
        </is>
      </c>
      <c r="K273" t="inlineStr">
        <is>
          <t>Périgueux Cedex</t>
        </is>
      </c>
      <c r="L273" t="inlineStr">
        <is>
          <t>05 53 35 86 00</t>
        </is>
      </c>
      <c r="M273" s="4" t="inlineStr">
        <is>
          <t>contact@grandperigueux.fr</t>
        </is>
      </c>
      <c r="N273" s="4" t="inlineStr">
        <is>
          <t>https://www.grandperigueux.fr/</t>
        </is>
      </c>
      <c r="O273" s="4" t="inlineStr">
        <is>
          <t>https://www.grandperigueux.fr/informations-pratiques/contact</t>
        </is>
      </c>
      <c r="P273" s="4" t="inlineStr">
        <is>
          <t>https://lannuaire.service-public.gouv.fr/nouvelle-aquitaine/dordogne/99794583-62bc-4ea8-861c-51ce457e918f</t>
        </is>
      </c>
      <c r="Q273" t="inlineStr">
        <is>
          <t>Annuaire Service-public.fr</t>
        </is>
      </c>
      <c r="R273" t="inlineStr"/>
      <c r="S273" t="inlineStr"/>
      <c r="T273" t="inlineStr"/>
    </row>
    <row r="274">
      <c r="A274" t="inlineStr">
        <is>
          <t>CC Dronne et Belle</t>
        </is>
      </c>
      <c r="B274" t="inlineStr">
        <is>
          <t>Communauté de communes</t>
        </is>
      </c>
      <c r="C274" t="inlineStr">
        <is>
          <t>200041572</t>
        </is>
      </c>
      <c r="D274" t="inlineStr">
        <is>
          <t>24</t>
        </is>
      </c>
      <c r="E274" t="inlineStr">
        <is>
          <t>Dordogne</t>
        </is>
      </c>
      <c r="F274" t="inlineStr">
        <is>
          <t>Nouvelle-Aquitaine</t>
        </is>
      </c>
      <c r="G274" s="3" t="n">
        <v>11393</v>
      </c>
      <c r="H274" t="n">
        <v>16</v>
      </c>
      <c r="I274" t="inlineStr">
        <is>
          <t>139 rue d'Hippocrate, ZAE Pierre-Levée</t>
        </is>
      </c>
      <c r="J274" t="inlineStr">
        <is>
          <t>24310</t>
        </is>
      </c>
      <c r="K274" t="inlineStr">
        <is>
          <t>Brantôme-en-Périgord</t>
        </is>
      </c>
      <c r="L274" t="inlineStr">
        <is>
          <t>05 53 03 83 55</t>
        </is>
      </c>
      <c r="M274" s="4" t="inlineStr">
        <is>
          <t>accueil@dronneetbelle.fr</t>
        </is>
      </c>
      <c r="N274" s="4" t="inlineStr">
        <is>
          <t>https://dronneetbelle.fr/</t>
        </is>
      </c>
      <c r="O274" s="4" t="inlineStr">
        <is>
          <t>https://dronneetbelle.fr/contacts/</t>
        </is>
      </c>
      <c r="P274" s="4" t="inlineStr">
        <is>
          <t>https://lannuaire.service-public.gouv.fr/nouvelle-aquitaine/dordogne/6bc8d36a-6761-40ea-ba44-db904bdfb6e7</t>
        </is>
      </c>
      <c r="Q274" t="inlineStr">
        <is>
          <t>Annuaire Service-public.fr</t>
        </is>
      </c>
      <c r="R274" t="inlineStr"/>
      <c r="S274" t="inlineStr"/>
      <c r="T274" t="inlineStr"/>
    </row>
    <row r="275">
      <c r="A275" t="inlineStr">
        <is>
          <t>CC Isle Double Landais</t>
        </is>
      </c>
      <c r="B275" t="inlineStr">
        <is>
          <t>Communauté de communes</t>
        </is>
      </c>
      <c r="C275" t="inlineStr">
        <is>
          <t>200040384</t>
        </is>
      </c>
      <c r="D275" t="inlineStr">
        <is>
          <t>24</t>
        </is>
      </c>
      <c r="E275" t="inlineStr">
        <is>
          <t>Dordogne</t>
        </is>
      </c>
      <c r="F275" t="inlineStr">
        <is>
          <t>Nouvelle-Aquitaine</t>
        </is>
      </c>
      <c r="G275" s="3" t="n">
        <v>12546</v>
      </c>
      <c r="H275" t="n">
        <v>9</v>
      </c>
      <c r="I275" t="inlineStr">
        <is>
          <t>4 B rue du Maréchal-Joffre</t>
        </is>
      </c>
      <c r="J275" t="inlineStr">
        <is>
          <t>24700</t>
        </is>
      </c>
      <c r="K275" t="inlineStr">
        <is>
          <t>Montpon-Ménestérol</t>
        </is>
      </c>
      <c r="L275" t="inlineStr">
        <is>
          <t>05 53 82 58 25</t>
        </is>
      </c>
      <c r="M275" s="4" t="inlineStr">
        <is>
          <t>accueil@ccidl.fr</t>
        </is>
      </c>
      <c r="N275" s="4" t="inlineStr">
        <is>
          <t>https://ccidl.fr/</t>
        </is>
      </c>
      <c r="O275" s="4" t="inlineStr">
        <is>
          <t>https://ccidl.fr/contactez-nous/</t>
        </is>
      </c>
      <c r="P275" s="4" t="inlineStr">
        <is>
          <t>https://lannuaire.service-public.gouv.fr/nouvelle-aquitaine/dordogne/1dbfa22b-03f5-437e-b404-f62e60ebbd3e</t>
        </is>
      </c>
      <c r="Q275" t="inlineStr">
        <is>
          <t>Annuaire Service-public.fr</t>
        </is>
      </c>
      <c r="R275" t="inlineStr"/>
      <c r="S275" t="inlineStr"/>
      <c r="T275" t="inlineStr"/>
    </row>
    <row r="276">
      <c r="A276" t="inlineStr">
        <is>
          <t>CC Isle Vern Salembre en Périgord</t>
        </is>
      </c>
      <c r="B276" t="inlineStr">
        <is>
          <t>Communauté de communes</t>
        </is>
      </c>
      <c r="C276" t="inlineStr">
        <is>
          <t>200040095</t>
        </is>
      </c>
      <c r="D276" t="inlineStr">
        <is>
          <t>24</t>
        </is>
      </c>
      <c r="E276" t="inlineStr">
        <is>
          <t>Dordogne</t>
        </is>
      </c>
      <c r="F276" t="inlineStr">
        <is>
          <t>Nouvelle-Aquitaine</t>
        </is>
      </c>
      <c r="G276" s="3" t="n">
        <v>18912</v>
      </c>
      <c r="H276" t="n">
        <v>16</v>
      </c>
      <c r="I276" t="inlineStr">
        <is>
          <t>43 rue Victor-Hugo, Le Bateau, BP 6</t>
        </is>
      </c>
      <c r="J276" t="inlineStr">
        <is>
          <t>24110</t>
        </is>
      </c>
      <c r="K276" t="inlineStr">
        <is>
          <t>Saint-Astier</t>
        </is>
      </c>
      <c r="L276" t="inlineStr">
        <is>
          <t>05 53 03 45 82</t>
        </is>
      </c>
      <c r="M276" s="4" t="inlineStr">
        <is>
          <t>contact@ccivs.fr</t>
        </is>
      </c>
      <c r="N276" s="4" t="inlineStr">
        <is>
          <t>https://www.ccivs.fr/</t>
        </is>
      </c>
      <c r="O276" s="4" t="inlineStr">
        <is>
          <t>https://www.ccivs.fr/contactez-nous</t>
        </is>
      </c>
      <c r="P276" s="4" t="inlineStr">
        <is>
          <t>https://lannuaire.service-public.gouv.fr/nouvelle-aquitaine/dordogne/c8fdc588-fa83-4a31-84a9-020a33290c0e</t>
        </is>
      </c>
      <c r="Q276" t="inlineStr">
        <is>
          <t>Annuaire Service-public.fr</t>
        </is>
      </c>
      <c r="R276" t="inlineStr"/>
      <c r="S276" t="inlineStr"/>
      <c r="T276" t="inlineStr"/>
    </row>
    <row r="277">
      <c r="A277" t="inlineStr">
        <is>
          <t>CC Isle et Crempse en Périgord</t>
        </is>
      </c>
      <c r="B277" t="inlineStr">
        <is>
          <t>Communauté de communes</t>
        </is>
      </c>
      <c r="C277" t="inlineStr">
        <is>
          <t>200069094</t>
        </is>
      </c>
      <c r="D277" t="inlineStr">
        <is>
          <t>24</t>
        </is>
      </c>
      <c r="E277" t="inlineStr">
        <is>
          <t>Dordogne</t>
        </is>
      </c>
      <c r="F277" t="inlineStr">
        <is>
          <t>Nouvelle-Aquitaine</t>
        </is>
      </c>
      <c r="G277" s="3" t="n">
        <v>14475</v>
      </c>
      <c r="H277" t="n">
        <v>25</v>
      </c>
      <c r="I277" t="inlineStr">
        <is>
          <t>2 rue du Périgord</t>
        </is>
      </c>
      <c r="J277" t="inlineStr">
        <is>
          <t>24400</t>
        </is>
      </c>
      <c r="K277" t="inlineStr">
        <is>
          <t>Mussidan</t>
        </is>
      </c>
      <c r="L277" t="inlineStr">
        <is>
          <t>05 53 81 00 88</t>
        </is>
      </c>
      <c r="M277" s="4" t="inlineStr">
        <is>
          <t>ccicp@ccicp.fr</t>
        </is>
      </c>
      <c r="N277" s="4" t="inlineStr">
        <is>
          <t>https://isle-et-crempse-en-perigord.fr/</t>
        </is>
      </c>
      <c r="O277" s="4" t="inlineStr">
        <is>
          <t>https://isle-et-crempse-en-perigord.fr/contact/</t>
        </is>
      </c>
      <c r="P277" s="4" t="inlineStr">
        <is>
          <t>https://lannuaire.service-public.gouv.fr/nouvelle-aquitaine/dordogne/9bd923fc-dc25-4b31-9ece-61eb80ddc778</t>
        </is>
      </c>
      <c r="Q277" t="inlineStr">
        <is>
          <t>Annuaire Service-public.fr</t>
        </is>
      </c>
      <c r="R277" t="inlineStr"/>
      <c r="S277" t="inlineStr"/>
      <c r="T277" t="inlineStr"/>
    </row>
    <row r="278">
      <c r="A278" t="inlineStr">
        <is>
          <t>CC Isle-Loue-Auvézère en Périgord</t>
        </is>
      </c>
      <c r="B278" t="inlineStr">
        <is>
          <t>Communauté de communes</t>
        </is>
      </c>
      <c r="C278" t="inlineStr">
        <is>
          <t>242401024</t>
        </is>
      </c>
      <c r="D278" t="inlineStr">
        <is>
          <t>24</t>
        </is>
      </c>
      <c r="E278" t="inlineStr">
        <is>
          <t>Dordogne</t>
        </is>
      </c>
      <c r="F278" t="inlineStr">
        <is>
          <t>Nouvelle-Aquitaine</t>
        </is>
      </c>
      <c r="G278" s="3" t="n">
        <v>13805</v>
      </c>
      <c r="H278" t="n">
        <v>28</v>
      </c>
      <c r="I278" t="inlineStr">
        <is>
          <t>8 rue de la Tuilerie</t>
        </is>
      </c>
      <c r="J278" t="inlineStr">
        <is>
          <t>24270</t>
        </is>
      </c>
      <c r="K278" t="inlineStr">
        <is>
          <t>Payzac</t>
        </is>
      </c>
      <c r="L278" t="inlineStr">
        <is>
          <t>05 53 55 31 32</t>
        </is>
      </c>
      <c r="M278" s="4" t="inlineStr">
        <is>
          <t>contact@ccilap.fr</t>
        </is>
      </c>
      <c r="N278" s="4" t="inlineStr">
        <is>
          <t>https://www.ccilap.fr/</t>
        </is>
      </c>
      <c r="O278" t="inlineStr"/>
      <c r="P278" s="4" t="inlineStr">
        <is>
          <t>https://lannuaire.service-public.gouv.fr/nouvelle-aquitaine/dordogne/57d9fc64-223b-44da-9f49-ffabb663372e</t>
        </is>
      </c>
      <c r="Q278" t="inlineStr">
        <is>
          <t>Annuaire Service-public.fr</t>
        </is>
      </c>
      <c r="R278" t="inlineStr"/>
      <c r="S278" t="inlineStr"/>
      <c r="T278" t="inlineStr"/>
    </row>
    <row r="279">
      <c r="A279" t="inlineStr">
        <is>
          <t>CC Périgord-Limousin</t>
        </is>
      </c>
      <c r="B279" t="inlineStr">
        <is>
          <t>Communauté de communes</t>
        </is>
      </c>
      <c r="C279" t="inlineStr">
        <is>
          <t>242400752</t>
        </is>
      </c>
      <c r="D279" t="inlineStr">
        <is>
          <t>24</t>
        </is>
      </c>
      <c r="E279" t="inlineStr">
        <is>
          <t>Dordogne</t>
        </is>
      </c>
      <c r="F279" t="inlineStr">
        <is>
          <t>Nouvelle-Aquitaine</t>
        </is>
      </c>
      <c r="G279" s="3" t="n">
        <v>14078</v>
      </c>
      <c r="H279" t="n">
        <v>22</v>
      </c>
      <c r="I279" t="inlineStr">
        <is>
          <t>3 place de la République</t>
        </is>
      </c>
      <c r="J279" t="inlineStr">
        <is>
          <t>24800</t>
        </is>
      </c>
      <c r="K279" t="inlineStr">
        <is>
          <t>Thiviers</t>
        </is>
      </c>
      <c r="L279" t="inlineStr">
        <is>
          <t>05 53 62 28 22</t>
        </is>
      </c>
      <c r="M279" s="4" t="inlineStr">
        <is>
          <t>contact@perigord-limousin.fr</t>
        </is>
      </c>
      <c r="N279" s="4" t="inlineStr">
        <is>
          <t>https://www.perigord-limousin.fr/</t>
        </is>
      </c>
      <c r="O279" s="4" t="inlineStr">
        <is>
          <t>https://www.facebook.com/communautedecommunesperigordlimousin/</t>
        </is>
      </c>
      <c r="P279" s="4" t="inlineStr">
        <is>
          <t>https://lannuaire.service-public.gouv.fr/nouvelle-aquitaine/dordogne/dc0d7a05-78bd-406e-b684-7842ce9b0c31</t>
        </is>
      </c>
      <c r="Q279" t="inlineStr">
        <is>
          <t>Annuaire Service-public.fr</t>
        </is>
      </c>
      <c r="R279" t="inlineStr"/>
      <c r="S279" t="inlineStr"/>
      <c r="T279" t="inlineStr"/>
    </row>
    <row r="280">
      <c r="A280" t="inlineStr">
        <is>
          <t>CC Sarlat-Périgord Noir</t>
        </is>
      </c>
      <c r="B280" t="inlineStr">
        <is>
          <t>Communauté de communes</t>
        </is>
      </c>
      <c r="C280" t="inlineStr">
        <is>
          <t>200027217</t>
        </is>
      </c>
      <c r="D280" t="inlineStr">
        <is>
          <t>24</t>
        </is>
      </c>
      <c r="E280" t="inlineStr">
        <is>
          <t>Dordogne</t>
        </is>
      </c>
      <c r="F280" t="inlineStr">
        <is>
          <t>Nouvelle-Aquitaine</t>
        </is>
      </c>
      <c r="G280" s="3" t="n">
        <v>16168</v>
      </c>
      <c r="H280" t="n">
        <v>13</v>
      </c>
      <c r="I280" t="inlineStr">
        <is>
          <t>1 avenue du Périgord</t>
        </is>
      </c>
      <c r="J280" t="inlineStr">
        <is>
          <t>24200</t>
        </is>
      </c>
      <c r="K280" t="inlineStr">
        <is>
          <t>Sarlat-la-Canéda</t>
        </is>
      </c>
      <c r="L280" t="inlineStr">
        <is>
          <t>05 53 31 90 20</t>
        </is>
      </c>
      <c r="M280" s="4" t="inlineStr">
        <is>
          <t>accueil.ccspn@sarlat.fr</t>
        </is>
      </c>
      <c r="N280" s="4" t="inlineStr">
        <is>
          <t>https://www.cc-sarlatperigordnoir.fr/</t>
        </is>
      </c>
      <c r="O280" s="4" t="inlineStr">
        <is>
          <t>https://www.cc-sarlatperigordnoir.fr/contact/</t>
        </is>
      </c>
      <c r="P280" s="4" t="inlineStr">
        <is>
          <t>https://lannuaire.service-public.gouv.fr/nouvelle-aquitaine/dordogne/a8161d3e-c749-4dd4-b8d4-bbcf553bd5e6</t>
        </is>
      </c>
      <c r="Q280" t="inlineStr">
        <is>
          <t>Annuaire Service-public.fr</t>
        </is>
      </c>
      <c r="R280" t="inlineStr"/>
      <c r="S280" t="inlineStr"/>
      <c r="T280" t="inlineStr"/>
    </row>
    <row r="281">
      <c r="A281" t="inlineStr">
        <is>
          <t>CC Terrassonnais Haut Périgord Noir</t>
        </is>
      </c>
      <c r="B281" t="inlineStr">
        <is>
          <t>Communauté de communes</t>
        </is>
      </c>
      <c r="C281" t="inlineStr">
        <is>
          <t>200041150</t>
        </is>
      </c>
      <c r="D281" t="inlineStr">
        <is>
          <t>24</t>
        </is>
      </c>
      <c r="E281" t="inlineStr">
        <is>
          <t>Dordogne</t>
        </is>
      </c>
      <c r="F281" t="inlineStr">
        <is>
          <t>Nouvelle-Aquitaine</t>
        </is>
      </c>
      <c r="G281" s="3" t="n">
        <v>22161</v>
      </c>
      <c r="H281" t="n">
        <v>37</v>
      </c>
      <c r="I281" t="inlineStr">
        <is>
          <t>58 avenue Jean-Jaurès, Pôle des services publics</t>
        </is>
      </c>
      <c r="J281" t="inlineStr">
        <is>
          <t>24120</t>
        </is>
      </c>
      <c r="K281" t="inlineStr">
        <is>
          <t>Terrasson-Lavilledieu</t>
        </is>
      </c>
      <c r="L281" t="inlineStr">
        <is>
          <t>05 53 50 96 10</t>
        </is>
      </c>
      <c r="M281" s="4" t="inlineStr">
        <is>
          <t>contact@ccthpn.fr</t>
        </is>
      </c>
      <c r="N281" s="4" t="inlineStr">
        <is>
          <t>https://ccthpn.fr/</t>
        </is>
      </c>
      <c r="O281" s="4" t="inlineStr">
        <is>
          <t>https://ccthpn.fr/formulaire-de-contact/</t>
        </is>
      </c>
      <c r="P281" s="4" t="inlineStr">
        <is>
          <t>https://lannuaire.service-public.gouv.fr/nouvelle-aquitaine/dordogne/3eadc106-7981-44a1-83ab-9961e03a1ddf</t>
        </is>
      </c>
      <c r="Q281" t="inlineStr">
        <is>
          <t>Annuaire Service-public.fr</t>
        </is>
      </c>
      <c r="R281" t="inlineStr"/>
      <c r="S281" t="inlineStr"/>
      <c r="T281" t="inlineStr"/>
    </row>
    <row r="282">
      <c r="A282" t="inlineStr">
        <is>
          <t>CC Vallée de la Dordogne et Forêt Bessède</t>
        </is>
      </c>
      <c r="B282" t="inlineStr">
        <is>
          <t>Communauté de communes</t>
        </is>
      </c>
      <c r="C282" t="inlineStr">
        <is>
          <t>200041051</t>
        </is>
      </c>
      <c r="D282" t="inlineStr">
        <is>
          <t>24</t>
        </is>
      </c>
      <c r="E282" t="inlineStr">
        <is>
          <t>Dordogne</t>
        </is>
      </c>
      <c r="F282" t="inlineStr">
        <is>
          <t>Nouvelle-Aquitaine</t>
        </is>
      </c>
      <c r="G282" s="3" t="n">
        <v>8965</v>
      </c>
      <c r="H282" t="n">
        <v>20</v>
      </c>
      <c r="I282" t="inlineStr">
        <is>
          <t>16 avenue de la gare</t>
        </is>
      </c>
      <c r="J282" t="inlineStr">
        <is>
          <t>24220</t>
        </is>
      </c>
      <c r="K282" t="inlineStr">
        <is>
          <t>Saint-Cyprien</t>
        </is>
      </c>
      <c r="L282" t="inlineStr">
        <is>
          <t>05 53 28 66 00</t>
        </is>
      </c>
      <c r="M282" s="4" t="inlineStr">
        <is>
          <t>contact@ccvdfb.fr</t>
        </is>
      </c>
      <c r="N282" s="4" t="inlineStr">
        <is>
          <t>https://www.ccdordogne-bessede.fr/</t>
        </is>
      </c>
      <c r="O282" s="4" t="inlineStr">
        <is>
          <t>https://ccdordogne-bessede.fr/contact/</t>
        </is>
      </c>
      <c r="P282" s="4" t="inlineStr">
        <is>
          <t>https://lannuaire.service-public.gouv.fr/nouvelle-aquitaine/dordogne/2248afa7-4f03-4f4a-ac50-bb42e1633c26</t>
        </is>
      </c>
      <c r="Q282" t="inlineStr">
        <is>
          <t>Annuaire Service-public.fr</t>
        </is>
      </c>
      <c r="R282" t="inlineStr"/>
      <c r="S282" t="inlineStr"/>
      <c r="T282" t="inlineStr"/>
    </row>
    <row r="283">
      <c r="A283" t="inlineStr">
        <is>
          <t>CC de Domme- Villefranche du Périgord</t>
        </is>
      </c>
      <c r="B283" t="inlineStr">
        <is>
          <t>Communauté de communes</t>
        </is>
      </c>
      <c r="C283" t="inlineStr">
        <is>
          <t>200041440</t>
        </is>
      </c>
      <c r="D283" t="inlineStr">
        <is>
          <t>24</t>
        </is>
      </c>
      <c r="E283" t="inlineStr">
        <is>
          <t>Dordogne</t>
        </is>
      </c>
      <c r="F283" t="inlineStr">
        <is>
          <t>Nouvelle-Aquitaine</t>
        </is>
      </c>
      <c r="G283" s="3" t="n">
        <v>8552</v>
      </c>
      <c r="H283" t="n">
        <v>23</v>
      </c>
      <c r="I283" t="inlineStr">
        <is>
          <t>21 rue Grand'rue, Maison des communes et des services publics</t>
        </is>
      </c>
      <c r="J283" t="inlineStr">
        <is>
          <t>24250</t>
        </is>
      </c>
      <c r="K283" t="inlineStr">
        <is>
          <t>Saint-Martial-de-Nabirat</t>
        </is>
      </c>
      <c r="L283" t="inlineStr">
        <is>
          <t>05 53 29 09 14</t>
        </is>
      </c>
      <c r="M283" s="4" t="inlineStr">
        <is>
          <t>contact@comcomdv.fr</t>
        </is>
      </c>
      <c r="N283" s="4" t="inlineStr">
        <is>
          <t>https://domme-villefranche-du-perigord.fr/</t>
        </is>
      </c>
      <c r="O283" t="inlineStr"/>
      <c r="P283" s="4" t="inlineStr">
        <is>
          <t>https://lannuaire.service-public.gouv.fr/nouvelle-aquitaine/dordogne/7fd40a17-6ef7-42a1-a528-9f32c7e49123</t>
        </is>
      </c>
      <c r="Q283" t="inlineStr">
        <is>
          <t>Annuaire Service-public.fr</t>
        </is>
      </c>
      <c r="R283" t="inlineStr"/>
      <c r="S283" t="inlineStr"/>
      <c r="T283" t="inlineStr"/>
    </row>
    <row r="284">
      <c r="A284" t="inlineStr">
        <is>
          <t>CC de Montaigne Montravel et Gurson</t>
        </is>
      </c>
      <c r="B284" t="inlineStr">
        <is>
          <t>Communauté de communes</t>
        </is>
      </c>
      <c r="C284" t="inlineStr">
        <is>
          <t>200034197</t>
        </is>
      </c>
      <c r="D284" t="inlineStr">
        <is>
          <t>24</t>
        </is>
      </c>
      <c r="E284" t="inlineStr">
        <is>
          <t>Dordogne</t>
        </is>
      </c>
      <c r="F284" t="inlineStr">
        <is>
          <t>Nouvelle-Aquitaine</t>
        </is>
      </c>
      <c r="G284" s="3" t="n">
        <v>11859</v>
      </c>
      <c r="H284" t="n">
        <v>18</v>
      </c>
      <c r="I284" t="inlineStr">
        <is>
          <t>58 route des Etangs</t>
        </is>
      </c>
      <c r="J284" t="inlineStr">
        <is>
          <t>24610</t>
        </is>
      </c>
      <c r="K284" t="inlineStr">
        <is>
          <t>Villefranche-de-Lonchat</t>
        </is>
      </c>
      <c r="L284" t="inlineStr">
        <is>
          <t>05 53 82 20 24</t>
        </is>
      </c>
      <c r="M284" s="4" t="inlineStr">
        <is>
          <t>direction@cdcmmg.fr</t>
        </is>
      </c>
      <c r="N284" s="4" t="inlineStr">
        <is>
          <t>https://www.cdcmontaignemontravelgurson.fr</t>
        </is>
      </c>
      <c r="O284" s="4" t="inlineStr">
        <is>
          <t>https://www.cdcmontaignemontravelgurson.fr/contacts.html</t>
        </is>
      </c>
      <c r="P284" s="4" t="inlineStr">
        <is>
          <t>https://lannuaire.service-public.gouv.fr/nouvelle-aquitaine/dordogne/b0f592c1-153d-46fa-acbf-e4518f1790ec</t>
        </is>
      </c>
      <c r="Q284" t="inlineStr">
        <is>
          <t>Annuaire Service-public.fr</t>
        </is>
      </c>
      <c r="R284" t="inlineStr"/>
      <c r="S284" t="inlineStr"/>
      <c r="T284" t="inlineStr"/>
    </row>
    <row r="285">
      <c r="A285" t="inlineStr">
        <is>
          <t>CC de Portes Sud Périgord</t>
        </is>
      </c>
      <c r="B285" t="inlineStr">
        <is>
          <t>Communauté de communes</t>
        </is>
      </c>
      <c r="C285" t="inlineStr">
        <is>
          <t>200040889</t>
        </is>
      </c>
      <c r="D285" t="inlineStr">
        <is>
          <t>24</t>
        </is>
      </c>
      <c r="E285" t="inlineStr">
        <is>
          <t>Dordogne</t>
        </is>
      </c>
      <c r="F285" t="inlineStr">
        <is>
          <t>Nouvelle-Aquitaine</t>
        </is>
      </c>
      <c r="G285" s="3" t="n">
        <v>8450</v>
      </c>
      <c r="H285" t="n">
        <v>25</v>
      </c>
      <c r="I285" t="inlineStr">
        <is>
          <t>23 avenue de la Bastide</t>
        </is>
      </c>
      <c r="J285" t="inlineStr">
        <is>
          <t>24500</t>
        </is>
      </c>
      <c r="K285" t="inlineStr">
        <is>
          <t>Eymet</t>
        </is>
      </c>
      <c r="L285" t="inlineStr">
        <is>
          <t>05 53 22 57 94</t>
        </is>
      </c>
      <c r="M285" s="4" t="inlineStr">
        <is>
          <t>accueil@ccpsp24.fr</t>
        </is>
      </c>
      <c r="N285" s="4" t="inlineStr">
        <is>
          <t>https://www.ccpsp24.fr</t>
        </is>
      </c>
      <c r="O285" s="4" t="inlineStr">
        <is>
          <t>https://www.ccpsp24.fr/fr/nous-contacter</t>
        </is>
      </c>
      <c r="P285" s="4" t="inlineStr">
        <is>
          <t>https://lannuaire.service-public.gouv.fr/nouvelle-aquitaine/dordogne/5b025aea-1a13-45b2-82f6-6dbef818020a</t>
        </is>
      </c>
      <c r="Q285" t="inlineStr">
        <is>
          <t>Annuaire Service-public.fr</t>
        </is>
      </c>
      <c r="R285" t="inlineStr"/>
      <c r="S285" t="inlineStr"/>
      <c r="T285" t="inlineStr"/>
    </row>
    <row r="286">
      <c r="A286" t="inlineStr">
        <is>
          <t>CC de la Vallée de l'Homme</t>
        </is>
      </c>
      <c r="B286" t="inlineStr">
        <is>
          <t>Communauté de communes</t>
        </is>
      </c>
      <c r="C286" t="inlineStr">
        <is>
          <t>200041168</t>
        </is>
      </c>
      <c r="D286" t="inlineStr">
        <is>
          <t>24</t>
        </is>
      </c>
      <c r="E286" t="inlineStr">
        <is>
          <t>Dordogne</t>
        </is>
      </c>
      <c r="F286" t="inlineStr">
        <is>
          <t>Nouvelle-Aquitaine</t>
        </is>
      </c>
      <c r="G286" s="3" t="n">
        <v>15989</v>
      </c>
      <c r="H286" t="n">
        <v>26</v>
      </c>
      <c r="I286" t="inlineStr">
        <is>
          <t>28 avenue de la Forge</t>
        </is>
      </c>
      <c r="J286" t="inlineStr">
        <is>
          <t>24620</t>
        </is>
      </c>
      <c r="K286" t="inlineStr">
        <is>
          <t>Les Eyzies</t>
        </is>
      </c>
      <c r="L286" t="inlineStr">
        <is>
          <t>05 53 51 70 70</t>
        </is>
      </c>
      <c r="M286" s="4" t="inlineStr">
        <is>
          <t>contact@cc-vh.fr</t>
        </is>
      </c>
      <c r="N286" s="4" t="inlineStr">
        <is>
          <t>https://www.cc-valleedelhomme.fr</t>
        </is>
      </c>
      <c r="O286" s="4" t="inlineStr">
        <is>
          <t>https://www.cc-valleedelhomme.fr/contacts/</t>
        </is>
      </c>
      <c r="P286" s="4" t="inlineStr">
        <is>
          <t>https://lannuaire.service-public.gouv.fr/nouvelle-aquitaine/dordogne/e948bb90-935a-428d-8a46-f1bf083c3201</t>
        </is>
      </c>
      <c r="Q286" t="inlineStr">
        <is>
          <t>Annuaire Service-public.fr</t>
        </is>
      </c>
      <c r="R286" t="inlineStr"/>
      <c r="S286" t="inlineStr"/>
      <c r="T286" t="inlineStr"/>
    </row>
    <row r="287">
      <c r="A287" t="inlineStr">
        <is>
          <t>CC des Bastides Dordogne-Périgord</t>
        </is>
      </c>
      <c r="B287" t="inlineStr">
        <is>
          <t>Communauté de communes</t>
        </is>
      </c>
      <c r="C287" t="inlineStr">
        <is>
          <t>200034833</t>
        </is>
      </c>
      <c r="D287" t="inlineStr">
        <is>
          <t>24</t>
        </is>
      </c>
      <c r="E287" t="inlineStr">
        <is>
          <t>Dordogne</t>
        </is>
      </c>
      <c r="F287" t="inlineStr">
        <is>
          <t>Nouvelle-Aquitaine</t>
        </is>
      </c>
      <c r="G287" s="3" t="n">
        <v>18601</v>
      </c>
      <c r="H287" t="n">
        <v>47</v>
      </c>
      <c r="I287" t="inlineStr">
        <is>
          <t>12 avenue Jean-Moulin</t>
        </is>
      </c>
      <c r="J287" t="inlineStr">
        <is>
          <t>24150</t>
        </is>
      </c>
      <c r="K287" t="inlineStr">
        <is>
          <t>Lalinde</t>
        </is>
      </c>
      <c r="L287" t="inlineStr">
        <is>
          <t>05 53 73 56 20</t>
        </is>
      </c>
      <c r="M287" s="4" t="inlineStr">
        <is>
          <t>ccbdp@ccbdp.fr</t>
        </is>
      </c>
      <c r="N287" s="4" t="inlineStr">
        <is>
          <t>https://ccbdp.fr/</t>
        </is>
      </c>
      <c r="O287" t="inlineStr"/>
      <c r="P287" s="4" t="inlineStr">
        <is>
          <t>https://lannuaire.service-public.gouv.fr/nouvelle-aquitaine/dordogne/13e33b66-605e-4952-a164-83fa14ac5b14</t>
        </is>
      </c>
      <c r="Q287" t="inlineStr">
        <is>
          <t>Annuaire Service-public.fr</t>
        </is>
      </c>
      <c r="R287" t="inlineStr"/>
      <c r="S287" t="inlineStr"/>
      <c r="T287" t="inlineStr"/>
    </row>
    <row r="288">
      <c r="A288" t="inlineStr">
        <is>
          <t>CC du Pays de Fénelon</t>
        </is>
      </c>
      <c r="B288" t="inlineStr">
        <is>
          <t>Communauté de communes</t>
        </is>
      </c>
      <c r="C288" t="inlineStr">
        <is>
          <t>200040830</t>
        </is>
      </c>
      <c r="D288" t="inlineStr">
        <is>
          <t>24</t>
        </is>
      </c>
      <c r="E288" t="inlineStr">
        <is>
          <t>Dordogne</t>
        </is>
      </c>
      <c r="F288" t="inlineStr">
        <is>
          <t>Nouvelle-Aquitaine</t>
        </is>
      </c>
      <c r="G288" s="3" t="n">
        <v>9728</v>
      </c>
      <c r="H288" t="n">
        <v>17</v>
      </c>
      <c r="I288" t="inlineStr">
        <is>
          <t>1 place de la Mairie</t>
        </is>
      </c>
      <c r="J288" t="inlineStr">
        <is>
          <t>24590</t>
        </is>
      </c>
      <c r="K288" t="inlineStr">
        <is>
          <t>Salignac-Eyvigues</t>
        </is>
      </c>
      <c r="L288" t="inlineStr">
        <is>
          <t>05 53 30 43 57</t>
        </is>
      </c>
      <c r="M288" s="4" t="inlineStr">
        <is>
          <t>accueil@paysdefenelon.fr</t>
        </is>
      </c>
      <c r="N288" s="4" t="inlineStr">
        <is>
          <t>https://www.paysdefenelon.fr/</t>
        </is>
      </c>
      <c r="O288" s="4" t="inlineStr">
        <is>
          <t>https://www.paysdefenelon.fr/contact/</t>
        </is>
      </c>
      <c r="P288" s="4" t="inlineStr">
        <is>
          <t>https://lannuaire.service-public.gouv.fr/nouvelle-aquitaine/dordogne/315da0f8-ace8-46da-8f7b-7a4965a99a53</t>
        </is>
      </c>
      <c r="Q288" t="inlineStr">
        <is>
          <t>Annuaire Service-public.fr</t>
        </is>
      </c>
      <c r="R288" t="inlineStr"/>
      <c r="S288" t="inlineStr"/>
      <c r="T288" t="inlineStr"/>
    </row>
    <row r="289">
      <c r="A289" t="inlineStr">
        <is>
          <t>CC du Pays de Saint Aulaye</t>
        </is>
      </c>
      <c r="B289" t="inlineStr">
        <is>
          <t>Communauté de communes</t>
        </is>
      </c>
      <c r="C289" t="inlineStr">
        <is>
          <t>242400935</t>
        </is>
      </c>
      <c r="D289" t="inlineStr">
        <is>
          <t>24</t>
        </is>
      </c>
      <c r="E289" t="inlineStr">
        <is>
          <t>Dordogne</t>
        </is>
      </c>
      <c r="F289" t="inlineStr">
        <is>
          <t>Nouvelle-Aquitaine</t>
        </is>
      </c>
      <c r="G289" s="3" t="n">
        <v>6688</v>
      </c>
      <c r="H289" t="n">
        <v>6</v>
      </c>
      <c r="I289" t="inlineStr">
        <is>
          <t>Place Émile-Cheylud</t>
        </is>
      </c>
      <c r="J289" t="inlineStr">
        <is>
          <t>24490</t>
        </is>
      </c>
      <c r="K289" t="inlineStr">
        <is>
          <t>La Roche-Chalais</t>
        </is>
      </c>
      <c r="L289" t="inlineStr">
        <is>
          <t>05 53 91 86 37</t>
        </is>
      </c>
      <c r="M289" s="4" t="inlineStr">
        <is>
          <t>cdc-staulaye@orange.fr</t>
        </is>
      </c>
      <c r="N289" s="4" t="inlineStr">
        <is>
          <t>http://www.cc-paysdesaintaulaye.fr</t>
        </is>
      </c>
      <c r="O289" t="inlineStr"/>
      <c r="P289" s="4" t="inlineStr">
        <is>
          <t>https://lannuaire.service-public.gouv.fr/nouvelle-aquitaine/dordogne/0db38f84-ee88-48b9-84b3-fb3c193497d9</t>
        </is>
      </c>
      <c r="Q289" t="inlineStr">
        <is>
          <t>Annuaire Service-public.fr</t>
        </is>
      </c>
      <c r="R289" t="inlineStr"/>
      <c r="S289" t="inlineStr"/>
      <c r="T289" t="inlineStr"/>
    </row>
    <row r="290">
      <c r="A290" t="inlineStr">
        <is>
          <t>CC du Périgord Nontronnais</t>
        </is>
      </c>
      <c r="B290" t="inlineStr">
        <is>
          <t>Communauté de communes</t>
        </is>
      </c>
      <c r="C290" t="inlineStr">
        <is>
          <t>200071819</t>
        </is>
      </c>
      <c r="D290" t="inlineStr">
        <is>
          <t>24</t>
        </is>
      </c>
      <c r="E290" t="inlineStr">
        <is>
          <t>Dordogne</t>
        </is>
      </c>
      <c r="F290" t="inlineStr">
        <is>
          <t>Nouvelle-Aquitaine</t>
        </is>
      </c>
      <c r="G290" s="3" t="n">
        <v>15184</v>
      </c>
      <c r="H290" t="n">
        <v>28</v>
      </c>
      <c r="I290" t="inlineStr">
        <is>
          <t>48-50 rue Antonin-de-Bidour</t>
        </is>
      </c>
      <c r="J290" t="inlineStr">
        <is>
          <t>24300</t>
        </is>
      </c>
      <c r="K290" t="inlineStr">
        <is>
          <t>Nontron</t>
        </is>
      </c>
      <c r="L290" t="inlineStr">
        <is>
          <t>05 53 60 33 88</t>
        </is>
      </c>
      <c r="M290" s="4" t="inlineStr">
        <is>
          <t>accueil@ccpn.fr</t>
        </is>
      </c>
      <c r="N290" s="4" t="inlineStr">
        <is>
          <t>https://www.perigord-nontronnais.fr/</t>
        </is>
      </c>
      <c r="O290" s="4" t="inlineStr">
        <is>
          <t>https://www.perigord-nontronnais.fr/contact/</t>
        </is>
      </c>
      <c r="P290" s="4" t="inlineStr">
        <is>
          <t>https://lannuaire.service-public.gouv.fr/nouvelle-aquitaine/dordogne/ffd7c770-41f3-4e0b-b73a-0fd731748f72</t>
        </is>
      </c>
      <c r="Q290" t="inlineStr">
        <is>
          <t>Annuaire Service-public.fr</t>
        </is>
      </c>
      <c r="R290" t="inlineStr"/>
      <c r="S290" t="inlineStr"/>
      <c r="T290" t="inlineStr"/>
    </row>
    <row r="291">
      <c r="A291" t="inlineStr">
        <is>
          <t>CC du Périgord Ribéracois</t>
        </is>
      </c>
      <c r="B291" t="inlineStr">
        <is>
          <t>Communauté de communes</t>
        </is>
      </c>
      <c r="C291" t="inlineStr">
        <is>
          <t>200040400</t>
        </is>
      </c>
      <c r="D291" t="inlineStr">
        <is>
          <t>24</t>
        </is>
      </c>
      <c r="E291" t="inlineStr">
        <is>
          <t>Dordogne</t>
        </is>
      </c>
      <c r="F291" t="inlineStr">
        <is>
          <t>Nouvelle-Aquitaine</t>
        </is>
      </c>
      <c r="G291" s="3" t="n">
        <v>19449</v>
      </c>
      <c r="H291" t="n">
        <v>44</v>
      </c>
      <c r="I291" t="inlineStr">
        <is>
          <t>11 rue Couleau, BP 10</t>
        </is>
      </c>
      <c r="J291" t="inlineStr">
        <is>
          <t>24600</t>
        </is>
      </c>
      <c r="K291" t="inlineStr">
        <is>
          <t>Riberac</t>
        </is>
      </c>
      <c r="L291" t="inlineStr">
        <is>
          <t>05 53 92 50 60</t>
        </is>
      </c>
      <c r="M291" s="4" t="inlineStr">
        <is>
          <t>contact@ccpr24.fr</t>
        </is>
      </c>
      <c r="N291" s="4" t="inlineStr">
        <is>
          <t>https://ccpr24.fr/</t>
        </is>
      </c>
      <c r="O291" s="4" t="inlineStr">
        <is>
          <t>https://ccpr24.fr/contactez-nous/</t>
        </is>
      </c>
      <c r="P291" s="4" t="inlineStr">
        <is>
          <t>https://lannuaire.service-public.gouv.fr/nouvelle-aquitaine/dordogne/1f2b8e0d-8d61-49a9-bf42-b073f9c62aa9</t>
        </is>
      </c>
      <c r="Q291" t="inlineStr">
        <is>
          <t>Annuaire Service-public.fr</t>
        </is>
      </c>
      <c r="R291" t="inlineStr"/>
      <c r="S291" t="inlineStr"/>
      <c r="T291" t="inlineStr"/>
    </row>
    <row r="292">
      <c r="A292" t="inlineStr">
        <is>
          <t>CC Castillon/Pujols</t>
        </is>
      </c>
      <c r="B292" t="inlineStr">
        <is>
          <t>Communauté de communes</t>
        </is>
      </c>
      <c r="C292" t="inlineStr">
        <is>
          <t>243301454</t>
        </is>
      </c>
      <c r="D292" t="inlineStr">
        <is>
          <t>24, 33</t>
        </is>
      </c>
      <c r="E292" t="inlineStr">
        <is>
          <t>Dordogne, Gironde</t>
        </is>
      </c>
      <c r="F292" t="inlineStr">
        <is>
          <t>Nouvelle-Aquitaine</t>
        </is>
      </c>
      <c r="G292" s="3" t="n">
        <v>19047</v>
      </c>
      <c r="H292" t="n">
        <v>31</v>
      </c>
      <c r="I292" t="inlineStr">
        <is>
          <t>1 allée de la République</t>
        </is>
      </c>
      <c r="J292" t="inlineStr">
        <is>
          <t>33350</t>
        </is>
      </c>
      <c r="K292" t="inlineStr">
        <is>
          <t>Castillon-la-Bataille</t>
        </is>
      </c>
      <c r="L292" t="inlineStr">
        <is>
          <t>05 57 56 08 70</t>
        </is>
      </c>
      <c r="M292" s="4" t="inlineStr">
        <is>
          <t>secretariat@castillonpujols.fr</t>
        </is>
      </c>
      <c r="N292" s="4" t="inlineStr">
        <is>
          <t>https://www.castillonpujols.fr/</t>
        </is>
      </c>
      <c r="O292" s="4" t="inlineStr">
        <is>
          <t>https://www.castillonpujols.fr/contactez-nous/</t>
        </is>
      </c>
      <c r="P292" s="4" t="inlineStr">
        <is>
          <t>https://lannuaire.service-public.gouv.fr/nouvelle-aquitaine/gironde/938d7116-e8ed-4bfb-b47f-663d55aea58e</t>
        </is>
      </c>
      <c r="Q292" t="inlineStr">
        <is>
          <t>Annuaire Service-public.fr</t>
        </is>
      </c>
      <c r="R292" t="inlineStr"/>
      <c r="S292" t="inlineStr"/>
      <c r="T292" t="inlineStr"/>
    </row>
    <row r="293">
      <c r="A293" t="inlineStr">
        <is>
          <t>CC du Pays Foyen</t>
        </is>
      </c>
      <c r="B293" t="inlineStr">
        <is>
          <t>Communauté de communes</t>
        </is>
      </c>
      <c r="C293" t="inlineStr">
        <is>
          <t>243301371</t>
        </is>
      </c>
      <c r="D293" t="inlineStr">
        <is>
          <t>24, 33</t>
        </is>
      </c>
      <c r="E293" t="inlineStr">
        <is>
          <t>Dordogne, Gironde</t>
        </is>
      </c>
      <c r="F293" t="inlineStr">
        <is>
          <t>Nouvelle-Aquitaine</t>
        </is>
      </c>
      <c r="G293" s="3" t="n">
        <v>16540</v>
      </c>
      <c r="H293" t="n">
        <v>20</v>
      </c>
      <c r="I293" t="inlineStr">
        <is>
          <t>2 avenue Georges-Clemenceau</t>
        </is>
      </c>
      <c r="J293" t="inlineStr">
        <is>
          <t>33220</t>
        </is>
      </c>
      <c r="K293" t="inlineStr">
        <is>
          <t>Pineuilh</t>
        </is>
      </c>
      <c r="L293" t="inlineStr">
        <is>
          <t>05 57 46 20 58</t>
        </is>
      </c>
      <c r="M293" s="4" t="inlineStr">
        <is>
          <t>contact@paysfoyen.fr</t>
        </is>
      </c>
      <c r="N293" s="4" t="inlineStr">
        <is>
          <t>https://www.paysfoyen.fr/</t>
        </is>
      </c>
      <c r="O293" s="4" t="inlineStr">
        <is>
          <t>https://www.paysfoyen.fr/contact-pays-foyen-nouvelle-aquitaine_fr.html</t>
        </is>
      </c>
      <c r="P293" s="4" t="inlineStr">
        <is>
          <t>https://lannuaire.service-public.gouv.fr/nouvelle-aquitaine/gironde/a107cb3e-964b-4fea-8077-fb4d1790228d</t>
        </is>
      </c>
      <c r="Q293" t="inlineStr">
        <is>
          <t>Annuaire Service-public.fr</t>
        </is>
      </c>
      <c r="R293" t="inlineStr"/>
      <c r="S293" t="inlineStr"/>
      <c r="T293" t="inlineStr"/>
    </row>
    <row r="294">
      <c r="A294" t="inlineStr">
        <is>
          <t>CA Pays de Montbéliard Agglomération</t>
        </is>
      </c>
      <c r="B294" t="inlineStr">
        <is>
          <t>Communauté d’agglomération</t>
        </is>
      </c>
      <c r="C294" t="inlineStr">
        <is>
          <t>200065647</t>
        </is>
      </c>
      <c r="D294" t="inlineStr">
        <is>
          <t>25</t>
        </is>
      </c>
      <c r="E294" t="inlineStr">
        <is>
          <t>Doubs</t>
        </is>
      </c>
      <c r="F294" t="inlineStr">
        <is>
          <t>Bourgogne-Franche-Comté</t>
        </is>
      </c>
      <c r="G294" s="3" t="n">
        <v>139232</v>
      </c>
      <c r="H294" t="n">
        <v>73</v>
      </c>
      <c r="I294" t="inlineStr">
        <is>
          <t>8 avenue des Alliés</t>
        </is>
      </c>
      <c r="J294" t="inlineStr">
        <is>
          <t>25208</t>
        </is>
      </c>
      <c r="K294" t="inlineStr">
        <is>
          <t>Montbéliard</t>
        </is>
      </c>
      <c r="L294" t="inlineStr">
        <is>
          <t>03 81 31 88 88</t>
        </is>
      </c>
      <c r="M294" t="inlineStr"/>
      <c r="N294" s="4" t="inlineStr">
        <is>
          <t>https://www.agglo-montbeliard.fr/</t>
        </is>
      </c>
      <c r="O294" s="4" t="inlineStr">
        <is>
          <t>https://www.agglo-montbeliard.fr/contact</t>
        </is>
      </c>
      <c r="P294" s="4" t="inlineStr">
        <is>
          <t>https://lannuaire.service-public.gouv.fr/bourgogne-franche-comte/doubs/391918a0-18bb-467f-8c91-d94088efcde8</t>
        </is>
      </c>
      <c r="Q294" t="inlineStr">
        <is>
          <t>Annuaire Service-public.fr</t>
        </is>
      </c>
      <c r="R294" t="inlineStr"/>
      <c r="S294" t="inlineStr"/>
      <c r="T294" t="inlineStr"/>
    </row>
    <row r="295">
      <c r="A295" t="inlineStr">
        <is>
          <t>CC Altitude 800</t>
        </is>
      </c>
      <c r="B295" t="inlineStr">
        <is>
          <t>Communauté de communes</t>
        </is>
      </c>
      <c r="C295" t="inlineStr">
        <is>
          <t>242504488</t>
        </is>
      </c>
      <c r="D295" t="inlineStr">
        <is>
          <t>25</t>
        </is>
      </c>
      <c r="E295" t="inlineStr">
        <is>
          <t>Doubs</t>
        </is>
      </c>
      <c r="F295" t="inlineStr">
        <is>
          <t>Bourgogne-Franche-Comté</t>
        </is>
      </c>
      <c r="G295" s="3" t="n">
        <v>6675</v>
      </c>
      <c r="H295" t="n">
        <v>9</v>
      </c>
      <c r="I295" t="inlineStr">
        <is>
          <t>7 B place Bugnet</t>
        </is>
      </c>
      <c r="J295" t="inlineStr">
        <is>
          <t>25270</t>
        </is>
      </c>
      <c r="K295" t="inlineStr">
        <is>
          <t>Levier</t>
        </is>
      </c>
      <c r="L295" t="inlineStr">
        <is>
          <t>03 81 38 27 50</t>
        </is>
      </c>
      <c r="M295" s="4" t="inlineStr">
        <is>
          <t>cca@cca800.fr</t>
        </is>
      </c>
      <c r="N295" s="4" t="inlineStr">
        <is>
          <t>https://cca800.fr/fr/</t>
        </is>
      </c>
      <c r="O295" s="4" t="inlineStr">
        <is>
          <t>https://cca800.fr/fr/</t>
        </is>
      </c>
      <c r="P295" s="4" t="inlineStr">
        <is>
          <t>https://lannuaire.service-public.gouv.fr/bourgogne-franche-comte/doubs/5bffaaa9-0d3a-4452-bdcb-78ba38d7a5a0</t>
        </is>
      </c>
      <c r="Q295" t="inlineStr">
        <is>
          <t>Annuaire Service-public.fr</t>
        </is>
      </c>
      <c r="R295" t="inlineStr"/>
      <c r="S295" t="inlineStr"/>
      <c r="T295" t="inlineStr"/>
    </row>
    <row r="296">
      <c r="A296" t="inlineStr">
        <is>
          <t>CC Entre Doubs et Loue</t>
        </is>
      </c>
      <c r="B296" t="inlineStr">
        <is>
          <t>Communauté de communes</t>
        </is>
      </c>
      <c r="C296" t="inlineStr">
        <is>
          <t>242500320</t>
        </is>
      </c>
      <c r="D296" t="inlineStr">
        <is>
          <t>25</t>
        </is>
      </c>
      <c r="E296" t="inlineStr">
        <is>
          <t>Doubs</t>
        </is>
      </c>
      <c r="F296" t="inlineStr">
        <is>
          <t>Bourgogne-Franche-Comté</t>
        </is>
      </c>
      <c r="G296" s="3" t="n">
        <v>8255</v>
      </c>
      <c r="H296" t="n">
        <v>12</v>
      </c>
      <c r="I296" t="inlineStr">
        <is>
          <t>4 rue du Val-Saugeais</t>
        </is>
      </c>
      <c r="J296" t="inlineStr">
        <is>
          <t>25650</t>
        </is>
      </c>
      <c r="K296" t="inlineStr">
        <is>
          <t>Montbenoît</t>
        </is>
      </c>
      <c r="L296" t="inlineStr">
        <is>
          <t>03 81 38 17 71</t>
        </is>
      </c>
      <c r="M296" s="4" t="inlineStr">
        <is>
          <t>contact@doubs-loue.fr</t>
        </is>
      </c>
      <c r="N296" s="4" t="inlineStr">
        <is>
          <t>https://www.cc-montbenoit.fr/</t>
        </is>
      </c>
      <c r="O296" s="4" t="inlineStr">
        <is>
          <t>https://www.cc-montbenoit.fr/contact</t>
        </is>
      </c>
      <c r="P296" s="4" t="inlineStr">
        <is>
          <t>https://lannuaire.service-public.gouv.fr/bourgogne-franche-comte/doubs/362a5337-b2f8-43a4-98bc-b02d973bc152</t>
        </is>
      </c>
      <c r="Q296" t="inlineStr">
        <is>
          <t>Annuaire Service-public.fr</t>
        </is>
      </c>
      <c r="R296" t="inlineStr"/>
      <c r="S296" t="inlineStr"/>
      <c r="T296" t="inlineStr"/>
    </row>
    <row r="297">
      <c r="A297" t="inlineStr">
        <is>
          <t>CC Loue-Lison</t>
        </is>
      </c>
      <c r="B297" t="inlineStr">
        <is>
          <t>Communauté de communes</t>
        </is>
      </c>
      <c r="C297" t="inlineStr">
        <is>
          <t>200068070</t>
        </is>
      </c>
      <c r="D297" t="inlineStr">
        <is>
          <t>25</t>
        </is>
      </c>
      <c r="E297" t="inlineStr">
        <is>
          <t>Doubs</t>
        </is>
      </c>
      <c r="F297" t="inlineStr">
        <is>
          <t>Bourgogne-Franche-Comté</t>
        </is>
      </c>
      <c r="G297" s="3" t="n">
        <v>25269</v>
      </c>
      <c r="H297" t="n">
        <v>71</v>
      </c>
      <c r="I297" t="inlineStr">
        <is>
          <t>7 rue Édouard-Bastide</t>
        </is>
      </c>
      <c r="J297" t="inlineStr">
        <is>
          <t>25290</t>
        </is>
      </c>
      <c r="K297" t="inlineStr">
        <is>
          <t>Ornans</t>
        </is>
      </c>
      <c r="L297" t="inlineStr">
        <is>
          <t>03 81 57 16 33</t>
        </is>
      </c>
      <c r="M297" s="4" t="inlineStr">
        <is>
          <t>contact@cclouelison.fr</t>
        </is>
      </c>
      <c r="N297" s="4" t="inlineStr">
        <is>
          <t>https://cclouelison.fr/fr/</t>
        </is>
      </c>
      <c r="O297" s="4" t="inlineStr">
        <is>
          <t>https://cclouelison.fr/fr/rb/384373/le-territoire-4</t>
        </is>
      </c>
      <c r="P297" s="4" t="inlineStr">
        <is>
          <t>https://lannuaire.service-public.gouv.fr/bourgogne-franche-comte/doubs/2d1e88bf-eabe-4dce-a43e-2d2639037784</t>
        </is>
      </c>
      <c r="Q297" t="inlineStr">
        <is>
          <t>Annuaire Service-public.fr</t>
        </is>
      </c>
      <c r="R297" t="inlineStr"/>
      <c r="S297" t="inlineStr"/>
      <c r="T297" t="inlineStr"/>
    </row>
    <row r="298">
      <c r="A298" t="inlineStr">
        <is>
          <t>CC des Deux Vallées Vertes</t>
        </is>
      </c>
      <c r="B298" t="inlineStr">
        <is>
          <t>Communauté de communes</t>
        </is>
      </c>
      <c r="C298" t="inlineStr">
        <is>
          <t>200068294</t>
        </is>
      </c>
      <c r="D298" t="inlineStr">
        <is>
          <t>25</t>
        </is>
      </c>
      <c r="E298" t="inlineStr">
        <is>
          <t>Doubs</t>
        </is>
      </c>
      <c r="F298" t="inlineStr">
        <is>
          <t>Bourgogne-Franche-Comté</t>
        </is>
      </c>
      <c r="G298" s="3" t="n">
        <v>15608</v>
      </c>
      <c r="H298" t="n">
        <v>54</v>
      </c>
      <c r="I298" t="inlineStr">
        <is>
          <t>23 avenue Gaston-Renaud</t>
        </is>
      </c>
      <c r="J298" t="inlineStr">
        <is>
          <t>25340</t>
        </is>
      </c>
      <c r="K298" t="inlineStr">
        <is>
          <t>Pays-de-Clerval</t>
        </is>
      </c>
      <c r="L298" t="inlineStr">
        <is>
          <t>03 81 97 85 10</t>
        </is>
      </c>
      <c r="M298" s="4" t="inlineStr">
        <is>
          <t>contact@cc2vv.fr</t>
        </is>
      </c>
      <c r="N298" s="4" t="inlineStr">
        <is>
          <t>https://www.cc2vv.fr/</t>
        </is>
      </c>
      <c r="O298" t="inlineStr"/>
      <c r="P298" s="4" t="inlineStr">
        <is>
          <t>https://lannuaire.service-public.gouv.fr/bourgogne-franche-comte/doubs/10ba482e-6f1a-45dc-9fc1-ea2acb236d70</t>
        </is>
      </c>
      <c r="Q298" t="inlineStr">
        <is>
          <t>Annuaire Service-public.fr</t>
        </is>
      </c>
      <c r="R298" t="inlineStr"/>
      <c r="S298" t="inlineStr"/>
      <c r="T298" t="inlineStr"/>
    </row>
    <row r="299">
      <c r="A299" t="inlineStr">
        <is>
          <t>CC des Lacs et Montagnes du Haut-Doubs</t>
        </is>
      </c>
      <c r="B299" t="inlineStr">
        <is>
          <t>Communauté de communes</t>
        </is>
      </c>
      <c r="C299" t="inlineStr">
        <is>
          <t>200069565</t>
        </is>
      </c>
      <c r="D299" t="inlineStr">
        <is>
          <t>25</t>
        </is>
      </c>
      <c r="E299" t="inlineStr">
        <is>
          <t>Doubs</t>
        </is>
      </c>
      <c r="F299" t="inlineStr">
        <is>
          <t>Bourgogne-Franche-Comté</t>
        </is>
      </c>
      <c r="G299" s="3" t="n">
        <v>16727</v>
      </c>
      <c r="H299" t="n">
        <v>32</v>
      </c>
      <c r="I299" t="inlineStr">
        <is>
          <t>5 rue de la Caserne</t>
        </is>
      </c>
      <c r="J299" t="inlineStr">
        <is>
          <t>25370</t>
        </is>
      </c>
      <c r="K299" t="inlineStr">
        <is>
          <t>Les Hopitaux-Vieux</t>
        </is>
      </c>
      <c r="L299" t="inlineStr">
        <is>
          <t>03 81 49 10 30</t>
        </is>
      </c>
      <c r="M299" s="4" t="inlineStr">
        <is>
          <t>accueil@cclmhd.fr</t>
        </is>
      </c>
      <c r="N299" s="4" t="inlineStr">
        <is>
          <t>https://www.cclmhd.fr/</t>
        </is>
      </c>
      <c r="O299" s="4" t="inlineStr">
        <is>
          <t>https://cclmhd.fr/contact/</t>
        </is>
      </c>
      <c r="P299" s="4" t="inlineStr">
        <is>
          <t>https://lannuaire.service-public.gouv.fr/bourgogne-franche-comte/doubs/d77da0b8-ec15-4493-bb14-8af1c2e53e6e</t>
        </is>
      </c>
      <c r="Q299" t="inlineStr">
        <is>
          <t>Annuaire Service-public.fr</t>
        </is>
      </c>
      <c r="R299" t="inlineStr"/>
      <c r="S299" t="inlineStr"/>
      <c r="T299" t="inlineStr"/>
    </row>
    <row r="300">
      <c r="A300" t="inlineStr">
        <is>
          <t>CC des Portes du Haut-Doubs</t>
        </is>
      </c>
      <c r="B300" t="inlineStr">
        <is>
          <t>Communauté de communes</t>
        </is>
      </c>
      <c r="C300" t="inlineStr">
        <is>
          <t>242504181</t>
        </is>
      </c>
      <c r="D300" t="inlineStr">
        <is>
          <t>25</t>
        </is>
      </c>
      <c r="E300" t="inlineStr">
        <is>
          <t>Doubs</t>
        </is>
      </c>
      <c r="F300" t="inlineStr">
        <is>
          <t>Bourgogne-Franche-Comté</t>
        </is>
      </c>
      <c r="G300" s="3" t="n">
        <v>26872</v>
      </c>
      <c r="H300" t="n">
        <v>47</v>
      </c>
      <c r="I300" t="inlineStr">
        <is>
          <t>7 rue Denis-Papin</t>
        </is>
      </c>
      <c r="J300" t="inlineStr">
        <is>
          <t>25800</t>
        </is>
      </c>
      <c r="K300" t="inlineStr">
        <is>
          <t>Valdahon</t>
        </is>
      </c>
      <c r="L300" t="inlineStr">
        <is>
          <t>03 81 65 15 15</t>
        </is>
      </c>
      <c r="M300" s="4" t="inlineStr">
        <is>
          <t>contact@portes-haut-doubs.fr</t>
        </is>
      </c>
      <c r="N300" s="4" t="inlineStr">
        <is>
          <t>https://www.portes-haut-doubs.com/</t>
        </is>
      </c>
      <c r="O300" s="4" t="inlineStr">
        <is>
          <t>https://www.portes-haut-doubs.com/contact</t>
        </is>
      </c>
      <c r="P300" s="4" t="inlineStr">
        <is>
          <t>https://lannuaire.service-public.gouv.fr/bourgogne-franche-comte/doubs/91d35ecd-d694-4758-a28c-1496caff22d6</t>
        </is>
      </c>
      <c r="Q300" t="inlineStr">
        <is>
          <t>Annuaire Service-public.fr</t>
        </is>
      </c>
      <c r="R300" t="inlineStr"/>
      <c r="S300" t="inlineStr"/>
      <c r="T300" t="inlineStr"/>
    </row>
    <row r="301">
      <c r="A301" t="inlineStr">
        <is>
          <t>CC du Doubs Baumois</t>
        </is>
      </c>
      <c r="B301" t="inlineStr">
        <is>
          <t>Communauté de communes</t>
        </is>
      </c>
      <c r="C301" t="inlineStr">
        <is>
          <t>242504447</t>
        </is>
      </c>
      <c r="D301" t="inlineStr">
        <is>
          <t>25</t>
        </is>
      </c>
      <c r="E301" t="inlineStr">
        <is>
          <t>Doubs</t>
        </is>
      </c>
      <c r="F301" t="inlineStr">
        <is>
          <t>Bourgogne-Franche-Comté</t>
        </is>
      </c>
      <c r="G301" s="3" t="n">
        <v>16135</v>
      </c>
      <c r="H301" t="n">
        <v>58</v>
      </c>
      <c r="I301" t="inlineStr">
        <is>
          <t>4 rue des Terreaux</t>
        </is>
      </c>
      <c r="J301" t="inlineStr">
        <is>
          <t>25110</t>
        </is>
      </c>
      <c r="K301" t="inlineStr">
        <is>
          <t>Baume-les-Dames</t>
        </is>
      </c>
      <c r="L301" t="inlineStr">
        <is>
          <t>03 81 84 75 90</t>
        </is>
      </c>
      <c r="M301" s="4" t="inlineStr">
        <is>
          <t>contact@doubsbaumois.org</t>
        </is>
      </c>
      <c r="N301" s="4" t="inlineStr">
        <is>
          <t>https://doubsbaumois.org/</t>
        </is>
      </c>
      <c r="O301" s="4" t="inlineStr">
        <is>
          <t>https://doubsbaumois.org/nous-contacter/</t>
        </is>
      </c>
      <c r="P301" s="4" t="inlineStr">
        <is>
          <t>https://lannuaire.service-public.gouv.fr/bourgogne-franche-comte/doubs/52eb697d-7755-415b-af00-205b8b98f8af</t>
        </is>
      </c>
      <c r="Q301" t="inlineStr">
        <is>
          <t>Annuaire Service-public.fr</t>
        </is>
      </c>
      <c r="R301" t="inlineStr"/>
      <c r="S301" t="inlineStr"/>
      <c r="T301" t="inlineStr"/>
    </row>
    <row r="302">
      <c r="A302" t="inlineStr">
        <is>
          <t>CC du Grand Pontarlier</t>
        </is>
      </c>
      <c r="B302" t="inlineStr">
        <is>
          <t>Communauté de communes</t>
        </is>
      </c>
      <c r="C302" t="inlineStr">
        <is>
          <t>242500338</t>
        </is>
      </c>
      <c r="D302" t="inlineStr">
        <is>
          <t>25</t>
        </is>
      </c>
      <c r="E302" t="inlineStr">
        <is>
          <t>Doubs</t>
        </is>
      </c>
      <c r="F302" t="inlineStr">
        <is>
          <t>Bourgogne-Franche-Comté</t>
        </is>
      </c>
      <c r="G302" s="3" t="n">
        <v>28580</v>
      </c>
      <c r="H302" t="n">
        <v>10</v>
      </c>
      <c r="I302" t="inlineStr">
        <is>
          <t>22 rue Pierre-Déchanet, Maison de l'intercommunalité</t>
        </is>
      </c>
      <c r="J302" t="inlineStr">
        <is>
          <t>25300</t>
        </is>
      </c>
      <c r="K302" t="inlineStr">
        <is>
          <t>Pontarlier</t>
        </is>
      </c>
      <c r="L302" t="inlineStr">
        <is>
          <t>03 81 39 40 02</t>
        </is>
      </c>
      <c r="M302" s="4" t="inlineStr">
        <is>
          <t>contact@grandpontarlier.fr</t>
        </is>
      </c>
      <c r="N302" s="4" t="inlineStr">
        <is>
          <t>https://www.grandpontarlier.fr/</t>
        </is>
      </c>
      <c r="O302" t="inlineStr"/>
      <c r="P302" s="4" t="inlineStr">
        <is>
          <t>https://lannuaire.service-public.gouv.fr/bourgogne-franche-comte/doubs/8a77d268-8902-4b1a-9ac2-12e93a0e5e6e</t>
        </is>
      </c>
      <c r="Q302" t="inlineStr">
        <is>
          <t>Annuaire Service-public.fr</t>
        </is>
      </c>
      <c r="R302" t="inlineStr"/>
      <c r="S302" t="inlineStr"/>
      <c r="T302" t="inlineStr"/>
    </row>
    <row r="303">
      <c r="A303" t="inlineStr">
        <is>
          <t>CC du Pays de Maîche</t>
        </is>
      </c>
      <c r="B303" t="inlineStr">
        <is>
          <t>Communauté de communes</t>
        </is>
      </c>
      <c r="C303" t="inlineStr">
        <is>
          <t>200023075</t>
        </is>
      </c>
      <c r="D303" t="inlineStr">
        <is>
          <t>25</t>
        </is>
      </c>
      <c r="E303" t="inlineStr">
        <is>
          <t>Doubs</t>
        </is>
      </c>
      <c r="F303" t="inlineStr">
        <is>
          <t>Bourgogne-Franche-Comté</t>
        </is>
      </c>
      <c r="G303" s="3" t="n">
        <v>18577</v>
      </c>
      <c r="H303" t="n">
        <v>42</v>
      </c>
      <c r="I303" t="inlineStr">
        <is>
          <t>24 rue Montalembert</t>
        </is>
      </c>
      <c r="J303" t="inlineStr">
        <is>
          <t>25120</t>
        </is>
      </c>
      <c r="K303" t="inlineStr">
        <is>
          <t>Maîche</t>
        </is>
      </c>
      <c r="L303" t="inlineStr">
        <is>
          <t>03 81 64 17 06</t>
        </is>
      </c>
      <c r="M303" s="4" t="inlineStr">
        <is>
          <t>contact@ccpm-maiche.com</t>
        </is>
      </c>
      <c r="N303" s="4" t="inlineStr">
        <is>
          <t>http://www.ccpaysmaiche.fr</t>
        </is>
      </c>
      <c r="O303" s="4" t="inlineStr">
        <is>
          <t>http://www.ccpaysmaiche.fr/fr/contact</t>
        </is>
      </c>
      <c r="P303" s="4" t="inlineStr">
        <is>
          <t>https://lannuaire.service-public.gouv.fr/bourgogne-franche-comte/doubs/b7785555-3f4e-44ee-8f41-ea944ddeedd8</t>
        </is>
      </c>
      <c r="Q303" t="inlineStr">
        <is>
          <t>Annuaire Service-public.fr</t>
        </is>
      </c>
      <c r="R303" t="inlineStr"/>
      <c r="S303" t="inlineStr"/>
      <c r="T303" t="inlineStr"/>
    </row>
    <row r="304">
      <c r="A304" t="inlineStr">
        <is>
          <t>CC du Pays de Sancey-Belleherbe</t>
        </is>
      </c>
      <c r="B304" t="inlineStr">
        <is>
          <t>Communauté de communes</t>
        </is>
      </c>
      <c r="C304" t="inlineStr">
        <is>
          <t>242504371</t>
        </is>
      </c>
      <c r="D304" t="inlineStr">
        <is>
          <t>25</t>
        </is>
      </c>
      <c r="E304" t="inlineStr">
        <is>
          <t>Doubs</t>
        </is>
      </c>
      <c r="F304" t="inlineStr">
        <is>
          <t>Bourgogne-Franche-Comté</t>
        </is>
      </c>
      <c r="G304" s="3" t="n">
        <v>5520</v>
      </c>
      <c r="H304" t="n">
        <v>27</v>
      </c>
      <c r="I304" t="inlineStr">
        <is>
          <t>14 Rue De Lattre De Tassigny</t>
        </is>
      </c>
      <c r="J304" t="inlineStr">
        <is>
          <t>25430</t>
        </is>
      </c>
      <c r="K304" t="inlineStr">
        <is>
          <t>Sancey</t>
        </is>
      </c>
      <c r="L304" t="inlineStr"/>
      <c r="M304" t="inlineStr"/>
      <c r="N304" t="inlineStr"/>
      <c r="O304" t="inlineStr"/>
      <c r="P304" t="inlineStr"/>
      <c r="Q304" t="inlineStr">
        <is>
          <t>SIRENE (siège) : pas de fiche dans l’annuaire</t>
        </is>
      </c>
      <c r="R304" t="inlineStr"/>
      <c r="S304" t="inlineStr"/>
      <c r="T304" t="inlineStr"/>
    </row>
    <row r="305">
      <c r="A305" t="inlineStr">
        <is>
          <t>CC du Plateau de Frasne et du Val de Drugeon</t>
        </is>
      </c>
      <c r="B305" t="inlineStr">
        <is>
          <t>Communauté de communes</t>
        </is>
      </c>
      <c r="C305" t="inlineStr">
        <is>
          <t>242504496</t>
        </is>
      </c>
      <c r="D305" t="inlineStr">
        <is>
          <t>25</t>
        </is>
      </c>
      <c r="E305" t="inlineStr">
        <is>
          <t>Doubs</t>
        </is>
      </c>
      <c r="F305" t="inlineStr">
        <is>
          <t>Bourgogne-Franche-Comté</t>
        </is>
      </c>
      <c r="G305" s="3" t="n">
        <v>6356</v>
      </c>
      <c r="H305" t="n">
        <v>10</v>
      </c>
      <c r="I305" t="inlineStr">
        <is>
          <t>3 rue de la Gare</t>
        </is>
      </c>
      <c r="J305" t="inlineStr">
        <is>
          <t>25560</t>
        </is>
      </c>
      <c r="K305" t="inlineStr">
        <is>
          <t>Frasne</t>
        </is>
      </c>
      <c r="L305" t="inlineStr">
        <is>
          <t>03 81 49 88 84</t>
        </is>
      </c>
      <c r="M305" s="4" t="inlineStr">
        <is>
          <t>secretariat@frasnedrugeon-cfd.fr</t>
        </is>
      </c>
      <c r="N305" s="4" t="inlineStr">
        <is>
          <t>https://www.frasnedrugeon-cfd.fr/</t>
        </is>
      </c>
      <c r="O305" s="4" t="inlineStr">
        <is>
          <t>https://www.frasnedrugeon-cfd.fr/contact/</t>
        </is>
      </c>
      <c r="P305" s="4" t="inlineStr">
        <is>
          <t>https://lannuaire.service-public.gouv.fr/bourgogne-franche-comte/doubs/69b3ebf7-b06d-466f-b028-d6bd38b0c6a1</t>
        </is>
      </c>
      <c r="Q305" t="inlineStr">
        <is>
          <t>Annuaire Service-public.fr</t>
        </is>
      </c>
      <c r="R305" t="inlineStr"/>
      <c r="S305" t="inlineStr"/>
      <c r="T305" t="inlineStr"/>
    </row>
    <row r="306">
      <c r="A306" t="inlineStr">
        <is>
          <t>CC du Plateau de Russey</t>
        </is>
      </c>
      <c r="B306" t="inlineStr">
        <is>
          <t>Communauté de communes</t>
        </is>
      </c>
      <c r="C306" t="inlineStr">
        <is>
          <t>242504355</t>
        </is>
      </c>
      <c r="D306" t="inlineStr">
        <is>
          <t>25</t>
        </is>
      </c>
      <c r="E306" t="inlineStr">
        <is>
          <t>Doubs</t>
        </is>
      </c>
      <c r="F306" t="inlineStr">
        <is>
          <t>Bourgogne-Franche-Comté</t>
        </is>
      </c>
      <c r="G306" s="3" t="n">
        <v>7007</v>
      </c>
      <c r="H306" t="n">
        <v>17</v>
      </c>
      <c r="I306" t="inlineStr">
        <is>
          <t>17 avenue De-Lattre-de-Tassigny</t>
        </is>
      </c>
      <c r="J306" t="inlineStr">
        <is>
          <t>25210</t>
        </is>
      </c>
      <c r="K306" t="inlineStr">
        <is>
          <t>Le Russey</t>
        </is>
      </c>
      <c r="L306" t="inlineStr">
        <is>
          <t>03 81 43 81 26</t>
        </is>
      </c>
      <c r="M306" s="4" t="inlineStr">
        <is>
          <t>contact@cc-russey.fr</t>
        </is>
      </c>
      <c r="N306" s="4" t="inlineStr">
        <is>
          <t>https://cc-russey.fr/fr/</t>
        </is>
      </c>
      <c r="O306" t="inlineStr"/>
      <c r="P306" s="4" t="inlineStr">
        <is>
          <t>https://lannuaire.service-public.gouv.fr/bourgogne-franche-comte/doubs/9c948202-41df-475c-ac8b-36e0f583e4ef</t>
        </is>
      </c>
      <c r="Q306" t="inlineStr">
        <is>
          <t>Annuaire Service-public.fr</t>
        </is>
      </c>
      <c r="R306" t="inlineStr"/>
      <c r="S306" t="inlineStr"/>
      <c r="T306" t="inlineStr"/>
    </row>
    <row r="307">
      <c r="A307" t="inlineStr">
        <is>
          <t>CC du Val de Morteau</t>
        </is>
      </c>
      <c r="B307" t="inlineStr">
        <is>
          <t>Communauté de communes</t>
        </is>
      </c>
      <c r="C307" t="inlineStr">
        <is>
          <t>242504116</t>
        </is>
      </c>
      <c r="D307" t="inlineStr">
        <is>
          <t>25</t>
        </is>
      </c>
      <c r="E307" t="inlineStr">
        <is>
          <t>Doubs</t>
        </is>
      </c>
      <c r="F307" t="inlineStr">
        <is>
          <t>Bourgogne-Franche-Comté</t>
        </is>
      </c>
      <c r="G307" s="3" t="n">
        <v>21035</v>
      </c>
      <c r="H307" t="n">
        <v>8</v>
      </c>
      <c r="I307" t="inlineStr">
        <is>
          <t>Mairie</t>
        </is>
      </c>
      <c r="J307" t="inlineStr">
        <is>
          <t>25500</t>
        </is>
      </c>
      <c r="K307" t="inlineStr">
        <is>
          <t>Morteau</t>
        </is>
      </c>
      <c r="L307" t="inlineStr">
        <is>
          <t>03 81 68 56 56</t>
        </is>
      </c>
      <c r="M307" s="4" t="inlineStr">
        <is>
          <t>morteau@morteau.org</t>
        </is>
      </c>
      <c r="N307" s="4" t="inlineStr">
        <is>
          <t>https://www.cc-valdemorteau.fr/</t>
        </is>
      </c>
      <c r="O307" s="4" t="inlineStr">
        <is>
          <t>https://www.cc-valdemorteau.fr/votre-communaute-de-communes/infos-pratiques/contact/</t>
        </is>
      </c>
      <c r="P307" s="4" t="inlineStr">
        <is>
          <t>https://lannuaire.service-public.gouv.fr/bourgogne-franche-comte/doubs/dc5467e4-8e34-407b-b254-35dc3f0c7228</t>
        </is>
      </c>
      <c r="Q307" t="inlineStr">
        <is>
          <t>Annuaire Service-public.fr</t>
        </is>
      </c>
      <c r="R307" t="inlineStr"/>
      <c r="S307" t="inlineStr"/>
      <c r="T307" t="inlineStr"/>
    </row>
    <row r="308">
      <c r="A308" t="inlineStr">
        <is>
          <t>CU Grand Besançon Métropole</t>
        </is>
      </c>
      <c r="B308" t="inlineStr">
        <is>
          <t>Communauté urbaine</t>
        </is>
      </c>
      <c r="C308" t="inlineStr">
        <is>
          <t>242500361</t>
        </is>
      </c>
      <c r="D308" t="inlineStr">
        <is>
          <t>25</t>
        </is>
      </c>
      <c r="E308" t="inlineStr">
        <is>
          <t>Doubs</t>
        </is>
      </c>
      <c r="F308" t="inlineStr">
        <is>
          <t>Bourgogne-Franche-Comté</t>
        </is>
      </c>
      <c r="G308" s="3" t="n">
        <v>198387</v>
      </c>
      <c r="H308" t="n">
        <v>67</v>
      </c>
      <c r="I308" t="inlineStr">
        <is>
          <t>4 rue Gabriel-Plançon, La City</t>
        </is>
      </c>
      <c r="J308" t="inlineStr">
        <is>
          <t>25043</t>
        </is>
      </c>
      <c r="K308" t="inlineStr">
        <is>
          <t>Besançon Cedex</t>
        </is>
      </c>
      <c r="L308" t="inlineStr">
        <is>
          <t>03 81 87 88 89</t>
        </is>
      </c>
      <c r="M308" s="4" t="inlineStr">
        <is>
          <t>contact.gbm@grandbesancon.fr</t>
        </is>
      </c>
      <c r="N308" s="4" t="inlineStr">
        <is>
          <t>https://www.grandbesancon.fr/</t>
        </is>
      </c>
      <c r="O308" s="4" t="inlineStr">
        <is>
          <t>https://www.grandbesancon.fr/grand-besancon-metropole-nous-contacter/</t>
        </is>
      </c>
      <c r="P308" s="4" t="inlineStr">
        <is>
          <t>https://lannuaire.service-public.gouv.fr/bourgogne-franche-comte/doubs/4a954010-1afe-472b-9d3f-f471cf546500</t>
        </is>
      </c>
      <c r="Q308" t="inlineStr">
        <is>
          <t>Annuaire Service-public.fr</t>
        </is>
      </c>
      <c r="R308" t="inlineStr"/>
      <c r="S308" t="inlineStr"/>
      <c r="T308" t="inlineStr"/>
    </row>
    <row r="309">
      <c r="A309" t="inlineStr">
        <is>
          <t>CC du Pays d'Héricourt</t>
        </is>
      </c>
      <c r="B309" t="inlineStr">
        <is>
          <t>Communauté de communes</t>
        </is>
      </c>
      <c r="C309" t="inlineStr">
        <is>
          <t>247000722</t>
        </is>
      </c>
      <c r="D309" t="inlineStr">
        <is>
          <t>25, 70</t>
        </is>
      </c>
      <c r="E309" t="inlineStr">
        <is>
          <t>Doubs, Haute-Saône</t>
        </is>
      </c>
      <c r="F309" t="inlineStr">
        <is>
          <t>Bourgogne-Franche-Comté</t>
        </is>
      </c>
      <c r="G309" s="3" t="n">
        <v>20925</v>
      </c>
      <c r="H309" t="n">
        <v>23</v>
      </c>
      <c r="I309" t="inlineStr">
        <is>
          <t>3 rue Martin-Niemöller, Maison du territoire</t>
        </is>
      </c>
      <c r="J309" t="inlineStr">
        <is>
          <t>70400</t>
        </is>
      </c>
      <c r="K309" t="inlineStr">
        <is>
          <t>Héricourt</t>
        </is>
      </c>
      <c r="L309" t="inlineStr">
        <is>
          <t>03 84 46 98 70</t>
        </is>
      </c>
      <c r="M309" s="4" t="inlineStr">
        <is>
          <t>contact@payshericourt.fr</t>
        </is>
      </c>
      <c r="N309" s="4" t="inlineStr">
        <is>
          <t>https://www.payshericourt.fr/</t>
        </is>
      </c>
      <c r="O309" s="4" t="inlineStr">
        <is>
          <t>https://www.payshericourt.fr/rubrique.php?id=249#RubEnCours</t>
        </is>
      </c>
      <c r="P309" s="4" t="inlineStr">
        <is>
          <t>https://lannuaire.service-public.gouv.fr/bourgogne-franche-comte/haute-saone/c6b3c529-d97b-43e7-a8f6-db70d290ce34</t>
        </is>
      </c>
      <c r="Q309" t="inlineStr">
        <is>
          <t>Annuaire Service-public.fr</t>
        </is>
      </c>
      <c r="R309" t="inlineStr"/>
      <c r="S309" t="inlineStr"/>
      <c r="T309" t="inlineStr"/>
    </row>
    <row r="310">
      <c r="A310" t="inlineStr">
        <is>
          <t>CC du Pays de Villersexel</t>
        </is>
      </c>
      <c r="B310" t="inlineStr">
        <is>
          <t>Communauté de communes</t>
        </is>
      </c>
      <c r="C310" t="inlineStr">
        <is>
          <t>247000714</t>
        </is>
      </c>
      <c r="D310" t="inlineStr">
        <is>
          <t>25, 70</t>
        </is>
      </c>
      <c r="E310" t="inlineStr">
        <is>
          <t>Doubs, Haute-Saône</t>
        </is>
      </c>
      <c r="F310" t="inlineStr">
        <is>
          <t>Bourgogne-Franche-Comté</t>
        </is>
      </c>
      <c r="G310" s="3" t="n">
        <v>7726</v>
      </c>
      <c r="H310" t="n">
        <v>32</v>
      </c>
      <c r="I310" t="inlineStr">
        <is>
          <t>144 rue de la Prairie</t>
        </is>
      </c>
      <c r="J310" t="inlineStr">
        <is>
          <t>70110</t>
        </is>
      </c>
      <c r="K310" t="inlineStr">
        <is>
          <t>Villersexel</t>
        </is>
      </c>
      <c r="L310" t="inlineStr">
        <is>
          <t>03 84 20 54 50</t>
        </is>
      </c>
      <c r="M310" s="4" t="inlineStr">
        <is>
          <t>accueil@cc-villersexel.fr</t>
        </is>
      </c>
      <c r="N310" s="4" t="inlineStr">
        <is>
          <t>https://cc-villersexel.fr/</t>
        </is>
      </c>
      <c r="O310" t="inlineStr"/>
      <c r="P310" s="4" t="inlineStr">
        <is>
          <t>https://lannuaire.service-public.gouv.fr/bourgogne-franche-comte/haute-saone/fff137ad-a7e5-4c3c-8c8a-934c41293b5b</t>
        </is>
      </c>
      <c r="Q310" t="inlineStr">
        <is>
          <t>Annuaire Service-public.fr</t>
        </is>
      </c>
      <c r="R310" t="inlineStr"/>
      <c r="S310" t="inlineStr"/>
      <c r="T310" t="inlineStr"/>
    </row>
    <row r="311">
      <c r="A311" t="inlineStr">
        <is>
          <t>CC du Val Marnaysien</t>
        </is>
      </c>
      <c r="B311" t="inlineStr">
        <is>
          <t>Communauté de communes</t>
        </is>
      </c>
      <c r="C311" t="inlineStr">
        <is>
          <t>200041887</t>
        </is>
      </c>
      <c r="D311" t="inlineStr">
        <is>
          <t>25, 70</t>
        </is>
      </c>
      <c r="E311" t="inlineStr">
        <is>
          <t>Doubs, Haute-Saône</t>
        </is>
      </c>
      <c r="F311" t="inlineStr">
        <is>
          <t>Bourgogne-Franche-Comté</t>
        </is>
      </c>
      <c r="G311" s="3" t="n">
        <v>14652</v>
      </c>
      <c r="H311" t="n">
        <v>45</v>
      </c>
      <c r="I311" t="inlineStr">
        <is>
          <t>21 place de lHôtel-de-Ville</t>
        </is>
      </c>
      <c r="J311" t="inlineStr">
        <is>
          <t>70150</t>
        </is>
      </c>
      <c r="K311" t="inlineStr">
        <is>
          <t>Marnay</t>
        </is>
      </c>
      <c r="L311" t="inlineStr">
        <is>
          <t>03 84 31 94 84</t>
        </is>
      </c>
      <c r="M311" s="4" t="inlineStr">
        <is>
          <t>cc@valmarnaysien.com</t>
        </is>
      </c>
      <c r="N311" s="4" t="inlineStr">
        <is>
          <t>https://valmarnaysien.com/</t>
        </is>
      </c>
      <c r="O311" s="4" t="inlineStr">
        <is>
          <t>https://valmarnaysien.com/contact--1632138199.html</t>
        </is>
      </c>
      <c r="P311" s="4" t="inlineStr">
        <is>
          <t>https://lannuaire.service-public.gouv.fr/bourgogne-franche-comte/haute-saone/2aa73826-fc01-43f2-9498-b4d69019ce55</t>
        </is>
      </c>
      <c r="Q311" t="inlineStr">
        <is>
          <t>Annuaire Service-public.fr</t>
        </is>
      </c>
      <c r="R311" t="inlineStr"/>
      <c r="S311" t="inlineStr"/>
      <c r="T311" t="inlineStr"/>
    </row>
    <row r="312">
      <c r="A312" t="inlineStr">
        <is>
          <t>CA Montélimar Agglomération</t>
        </is>
      </c>
      <c r="B312" t="inlineStr">
        <is>
          <t>Communauté d’agglomération</t>
        </is>
      </c>
      <c r="C312" t="inlineStr">
        <is>
          <t>200040459</t>
        </is>
      </c>
      <c r="D312" t="inlineStr">
        <is>
          <t>26</t>
        </is>
      </c>
      <c r="E312" t="inlineStr">
        <is>
          <t>Drôme</t>
        </is>
      </c>
      <c r="F312" t="inlineStr">
        <is>
          <t>Auvergne-Rhône-Alpes</t>
        </is>
      </c>
      <c r="G312" s="3" t="n">
        <v>68756</v>
      </c>
      <c r="H312" t="n">
        <v>27</v>
      </c>
      <c r="I312" t="inlineStr">
        <is>
          <t>1 avenue Saint-Martin, Maison des services publics</t>
        </is>
      </c>
      <c r="J312" t="inlineStr">
        <is>
          <t>26200</t>
        </is>
      </c>
      <c r="K312" t="inlineStr">
        <is>
          <t>Montélimar</t>
        </is>
      </c>
      <c r="L312" t="inlineStr">
        <is>
          <t>04 75 00 64 41</t>
        </is>
      </c>
      <c r="M312" s="4" t="inlineStr">
        <is>
          <t>contact@montelimar-agglo.fr</t>
        </is>
      </c>
      <c r="N312" s="4" t="inlineStr">
        <is>
          <t>https://www.montelimar-agglo.fr/</t>
        </is>
      </c>
      <c r="O312" s="4" t="inlineStr">
        <is>
          <t>https://www.montelimar-agglo.fr/vie-quotidienne/contact</t>
        </is>
      </c>
      <c r="P312" s="4" t="inlineStr">
        <is>
          <t>https://lannuaire.service-public.gouv.fr/auvergne-rhone-alpes/drome/e3dfe242-624f-4114-b34b-45bca540ccf1</t>
        </is>
      </c>
      <c r="Q312" t="inlineStr">
        <is>
          <t>Annuaire Service-public.fr</t>
        </is>
      </c>
      <c r="R312" t="inlineStr"/>
      <c r="S312" t="inlineStr"/>
      <c r="T312" t="inlineStr"/>
    </row>
    <row r="313">
      <c r="A313" t="inlineStr">
        <is>
          <t>CA Valence Romans Agglo</t>
        </is>
      </c>
      <c r="B313" t="inlineStr">
        <is>
          <t>Communauté d’agglomération</t>
        </is>
      </c>
      <c r="C313" t="inlineStr">
        <is>
          <t>200068781</t>
        </is>
      </c>
      <c r="D313" t="inlineStr">
        <is>
          <t>26</t>
        </is>
      </c>
      <c r="E313" t="inlineStr">
        <is>
          <t>Drôme</t>
        </is>
      </c>
      <c r="F313" t="inlineStr">
        <is>
          <t>Auvergne-Rhône-Alpes</t>
        </is>
      </c>
      <c r="G313" s="3" t="n">
        <v>224841</v>
      </c>
      <c r="H313" t="n">
        <v>54</v>
      </c>
      <c r="I313" t="inlineStr">
        <is>
          <t>1 place Jacques-Brel</t>
        </is>
      </c>
      <c r="J313" t="inlineStr">
        <is>
          <t>26300</t>
        </is>
      </c>
      <c r="K313" t="inlineStr">
        <is>
          <t>Valence</t>
        </is>
      </c>
      <c r="L313" t="inlineStr">
        <is>
          <t>04 75 81 30 30</t>
        </is>
      </c>
      <c r="M313" s="4" t="inlineStr">
        <is>
          <t>accueil@valenceromansagglo.fr</t>
        </is>
      </c>
      <c r="N313" s="4" t="inlineStr">
        <is>
          <t>https://www.valenceromansagglo.fr/fr/index.html</t>
        </is>
      </c>
      <c r="O313" t="inlineStr"/>
      <c r="P313" s="4" t="inlineStr">
        <is>
          <t>https://lannuaire.service-public.gouv.fr/auvergne-rhone-alpes/drome/7f0de546-5ef7-4c28-9831-842f6b78ab78</t>
        </is>
      </c>
      <c r="Q313" t="inlineStr">
        <is>
          <t>Annuaire Service-public.fr</t>
        </is>
      </c>
      <c r="R313" t="inlineStr"/>
      <c r="S313" t="inlineStr"/>
      <c r="T313" t="inlineStr"/>
    </row>
    <row r="314">
      <c r="A314" t="inlineStr">
        <is>
          <t>CC Dieulefit-Bourdeaux</t>
        </is>
      </c>
      <c r="B314" t="inlineStr">
        <is>
          <t>Communauté de communes</t>
        </is>
      </c>
      <c r="C314" t="inlineStr">
        <is>
          <t>242600492</t>
        </is>
      </c>
      <c r="D314" t="inlineStr">
        <is>
          <t>26</t>
        </is>
      </c>
      <c r="E314" t="inlineStr">
        <is>
          <t>Drôme</t>
        </is>
      </c>
      <c r="F314" t="inlineStr">
        <is>
          <t>Auvergne-Rhône-Alpes</t>
        </is>
      </c>
      <c r="G314" s="3" t="n">
        <v>9592</v>
      </c>
      <c r="H314" t="n">
        <v>21</v>
      </c>
      <c r="I314" t="inlineStr">
        <is>
          <t>8 rue Garde-de-Dieu</t>
        </is>
      </c>
      <c r="J314" t="inlineStr">
        <is>
          <t>26220</t>
        </is>
      </c>
      <c r="K314" t="inlineStr">
        <is>
          <t>Dieulefit</t>
        </is>
      </c>
      <c r="L314" t="inlineStr">
        <is>
          <t>04 75 46 82 33</t>
        </is>
      </c>
      <c r="M314" s="4" t="inlineStr">
        <is>
          <t>ccpd.courrier@orange.fr</t>
        </is>
      </c>
      <c r="N314" s="4" t="inlineStr">
        <is>
          <t>https://www.ccdb26.fr/</t>
        </is>
      </c>
      <c r="O314" s="4" t="inlineStr">
        <is>
          <t>https://www.ccdb26.fr/contacts/</t>
        </is>
      </c>
      <c r="P314" s="4" t="inlineStr">
        <is>
          <t>https://lannuaire.service-public.gouv.fr/auvergne-rhone-alpes/drome/4cf23729-29ea-4838-8e81-32c28fda680f</t>
        </is>
      </c>
      <c r="Q314" t="inlineStr">
        <is>
          <t>Annuaire Service-public.fr</t>
        </is>
      </c>
      <c r="R314" t="inlineStr"/>
      <c r="S314" t="inlineStr"/>
      <c r="T314" t="inlineStr"/>
    </row>
    <row r="315">
      <c r="A315" t="inlineStr">
        <is>
          <t>CC Drôme Sud Provence</t>
        </is>
      </c>
      <c r="B315" t="inlineStr">
        <is>
          <t>Communauté de communes</t>
        </is>
      </c>
      <c r="C315" t="inlineStr">
        <is>
          <t>200042901</t>
        </is>
      </c>
      <c r="D315" t="inlineStr">
        <is>
          <t>26</t>
        </is>
      </c>
      <c r="E315" t="inlineStr">
        <is>
          <t>Drôme</t>
        </is>
      </c>
      <c r="F315" t="inlineStr">
        <is>
          <t>Auvergne-Rhône-Alpes</t>
        </is>
      </c>
      <c r="G315" s="3" t="n">
        <v>43119</v>
      </c>
      <c r="H315" t="n">
        <v>14</v>
      </c>
      <c r="I315" t="inlineStr">
        <is>
          <t>3 rue Jean-Charcot</t>
        </is>
      </c>
      <c r="J315" t="inlineStr">
        <is>
          <t>26700</t>
        </is>
      </c>
      <c r="K315" t="inlineStr">
        <is>
          <t>Pierrelatte</t>
        </is>
      </c>
      <c r="L315" t="inlineStr">
        <is>
          <t>04 75 96 63 02</t>
        </is>
      </c>
      <c r="M315" s="4" t="inlineStr">
        <is>
          <t>secretariat@ccdsp.fr</t>
        </is>
      </c>
      <c r="N315" s="4" t="inlineStr">
        <is>
          <t>https://www.ccdsp.fr/</t>
        </is>
      </c>
      <c r="O315" s="4" t="inlineStr">
        <is>
          <t>https://www.ccdsp.fr/contact</t>
        </is>
      </c>
      <c r="P315" s="4" t="inlineStr">
        <is>
          <t>https://lannuaire.service-public.gouv.fr/auvergne-rhone-alpes/drome/4ed2aa08-9486-4143-8ef4-8f765305cf15</t>
        </is>
      </c>
      <c r="Q315" t="inlineStr">
        <is>
          <t>Annuaire Service-public.fr</t>
        </is>
      </c>
      <c r="R315" t="inlineStr"/>
      <c r="S315" t="inlineStr"/>
      <c r="T315" t="inlineStr"/>
    </row>
    <row r="316">
      <c r="A316" t="inlineStr">
        <is>
          <t>CC des Baronnies en Drôme Provençale</t>
        </is>
      </c>
      <c r="B316" t="inlineStr">
        <is>
          <t>Communauté de communes</t>
        </is>
      </c>
      <c r="C316" t="inlineStr">
        <is>
          <t>200068229</t>
        </is>
      </c>
      <c r="D316" t="inlineStr">
        <is>
          <t>26</t>
        </is>
      </c>
      <c r="E316" t="inlineStr">
        <is>
          <t>Drôme</t>
        </is>
      </c>
      <c r="F316" t="inlineStr">
        <is>
          <t>Auvergne-Rhône-Alpes</t>
        </is>
      </c>
      <c r="G316" s="3" t="n">
        <v>20753</v>
      </c>
      <c r="H316" t="n">
        <v>67</v>
      </c>
      <c r="I316" t="inlineStr">
        <is>
          <t>170 rue Ferdinand-Fert, Les Laurons, CS 30005</t>
        </is>
      </c>
      <c r="J316" t="inlineStr">
        <is>
          <t>26110</t>
        </is>
      </c>
      <c r="K316" t="inlineStr">
        <is>
          <t>Nyons</t>
        </is>
      </c>
      <c r="L316" t="inlineStr">
        <is>
          <t>04 75 26 34 37</t>
        </is>
      </c>
      <c r="M316" s="4" t="inlineStr">
        <is>
          <t>ccbdp@cc-bdp.fr</t>
        </is>
      </c>
      <c r="N316" s="4" t="inlineStr">
        <is>
          <t>https://www.cc-bdp.fr/</t>
        </is>
      </c>
      <c r="O316" t="inlineStr"/>
      <c r="P316" s="4" t="inlineStr">
        <is>
          <t>https://lannuaire.service-public.gouv.fr/auvergne-rhone-alpes/drome/bfe37c02-431b-4a4d-9165-6f951b7fe4f9</t>
        </is>
      </c>
      <c r="Q316" t="inlineStr">
        <is>
          <t>Annuaire Service-public.fr</t>
        </is>
      </c>
      <c r="R316" t="inlineStr"/>
      <c r="S316" t="inlineStr"/>
      <c r="T316" t="inlineStr"/>
    </row>
    <row r="317">
      <c r="A317" t="inlineStr">
        <is>
          <t>CC du Crestois et de Pays de Saillans Coeur de Drôme</t>
        </is>
      </c>
      <c r="B317" t="inlineStr">
        <is>
          <t>Communauté de communes</t>
        </is>
      </c>
      <c r="C317" t="inlineStr">
        <is>
          <t>200040509</t>
        </is>
      </c>
      <c r="D317" t="inlineStr">
        <is>
          <t>26</t>
        </is>
      </c>
      <c r="E317" t="inlineStr">
        <is>
          <t>Drôme</t>
        </is>
      </c>
      <c r="F317" t="inlineStr">
        <is>
          <t>Auvergne-Rhône-Alpes</t>
        </is>
      </c>
      <c r="G317" s="3" t="n">
        <v>16118</v>
      </c>
      <c r="H317" t="n">
        <v>14</v>
      </c>
      <c r="I317" t="inlineStr">
        <is>
          <t>15 chemin des Senteurs</t>
        </is>
      </c>
      <c r="J317" t="inlineStr">
        <is>
          <t>26400</t>
        </is>
      </c>
      <c r="K317" t="inlineStr">
        <is>
          <t>Aouste-sur-Sye</t>
        </is>
      </c>
      <c r="L317" t="inlineStr">
        <is>
          <t>04 75 40 03 89</t>
        </is>
      </c>
      <c r="M317" s="4" t="inlineStr">
        <is>
          <t>accueil@cccps.fr</t>
        </is>
      </c>
      <c r="N317" s="4" t="inlineStr">
        <is>
          <t>https://www.cccps.fr</t>
        </is>
      </c>
      <c r="O317" s="4" t="inlineStr">
        <is>
          <t>https://www.cccps.fr/contact/</t>
        </is>
      </c>
      <c r="P317" s="4" t="inlineStr">
        <is>
          <t>https://lannuaire.service-public.gouv.fr/auvergne-rhone-alpes/drome/822292b2-e5e2-4a4a-8be3-a605d02fc95d</t>
        </is>
      </c>
      <c r="Q317" t="inlineStr">
        <is>
          <t>Annuaire Service-public.fr</t>
        </is>
      </c>
      <c r="R317" t="inlineStr"/>
      <c r="S317" t="inlineStr"/>
      <c r="T317" t="inlineStr"/>
    </row>
    <row r="318">
      <c r="A318" t="inlineStr">
        <is>
          <t>CC du Diois</t>
        </is>
      </c>
      <c r="B318" t="inlineStr">
        <is>
          <t>Communauté de communes</t>
        </is>
      </c>
      <c r="C318" t="inlineStr">
        <is>
          <t>242600534</t>
        </is>
      </c>
      <c r="D318" t="inlineStr">
        <is>
          <t>26</t>
        </is>
      </c>
      <c r="E318" t="inlineStr">
        <is>
          <t>Drôme</t>
        </is>
      </c>
      <c r="F318" t="inlineStr">
        <is>
          <t>Auvergne-Rhône-Alpes</t>
        </is>
      </c>
      <c r="G318" s="3" t="n">
        <v>12081</v>
      </c>
      <c r="H318" t="n">
        <v>50</v>
      </c>
      <c r="I318" t="inlineStr">
        <is>
          <t>42 rue Camille-Buffardel</t>
        </is>
      </c>
      <c r="J318" t="inlineStr">
        <is>
          <t>26150</t>
        </is>
      </c>
      <c r="K318" t="inlineStr">
        <is>
          <t>Die</t>
        </is>
      </c>
      <c r="L318" t="inlineStr">
        <is>
          <t>04 75 22 29 44</t>
        </is>
      </c>
      <c r="M318" s="4" t="inlineStr">
        <is>
          <t>contact@paysdiois.fr</t>
        </is>
      </c>
      <c r="N318" s="4" t="inlineStr">
        <is>
          <t>https://www.paysdiois.fr/</t>
        </is>
      </c>
      <c r="O318" s="4" t="inlineStr">
        <is>
          <t>https://www.paysdiois.fr/contact/</t>
        </is>
      </c>
      <c r="P318" s="4" t="inlineStr">
        <is>
          <t>https://lannuaire.service-public.gouv.fr/auvergne-rhone-alpes/drome/1c9c9c76-088d-4fa9-b94d-4f80d3910e05</t>
        </is>
      </c>
      <c r="Q318" t="inlineStr">
        <is>
          <t>Annuaire Service-public.fr</t>
        </is>
      </c>
      <c r="R318" t="inlineStr"/>
      <c r="S318" t="inlineStr"/>
      <c r="T318" t="inlineStr"/>
    </row>
    <row r="319">
      <c r="A319" t="inlineStr">
        <is>
          <t>CC du Royans-Vercors</t>
        </is>
      </c>
      <c r="B319" t="inlineStr">
        <is>
          <t>Communauté de communes</t>
        </is>
      </c>
      <c r="C319" t="inlineStr">
        <is>
          <t>200067767</t>
        </is>
      </c>
      <c r="D319" t="inlineStr">
        <is>
          <t>26</t>
        </is>
      </c>
      <c r="E319" t="inlineStr">
        <is>
          <t>Drôme</t>
        </is>
      </c>
      <c r="F319" t="inlineStr">
        <is>
          <t>Auvergne-Rhône-Alpes</t>
        </is>
      </c>
      <c r="G319" s="3" t="n">
        <v>9733</v>
      </c>
      <c r="H319" t="n">
        <v>18</v>
      </c>
      <c r="I319" t="inlineStr">
        <is>
          <t>28 rue Hector-Alléobert</t>
        </is>
      </c>
      <c r="J319" t="inlineStr">
        <is>
          <t>26190</t>
        </is>
      </c>
      <c r="K319" t="inlineStr">
        <is>
          <t>Saint-Jean-en-Royans</t>
        </is>
      </c>
      <c r="L319" t="inlineStr">
        <is>
          <t>04 75 47 79 42</t>
        </is>
      </c>
      <c r="M319" s="4" t="inlineStr">
        <is>
          <t>contact@cc-royans-vercors.org</t>
        </is>
      </c>
      <c r="N319" s="4" t="inlineStr">
        <is>
          <t>http://www.cc-royans-vercors.org/fr_FR/index.php</t>
        </is>
      </c>
      <c r="O319" t="inlineStr"/>
      <c r="P319" s="4" t="inlineStr">
        <is>
          <t>https://lannuaire.service-public.gouv.fr/auvergne-rhone-alpes/drome/22e97e83-777f-41a4-8283-8d46d57be547</t>
        </is>
      </c>
      <c r="Q319" t="inlineStr">
        <is>
          <t>Annuaire Service-public.fr</t>
        </is>
      </c>
      <c r="R319" t="inlineStr"/>
      <c r="S319" t="inlineStr"/>
      <c r="T319" t="inlineStr"/>
    </row>
    <row r="320">
      <c r="A320" t="inlineStr">
        <is>
          <t>CC du Val de Drôme en Biovallée</t>
        </is>
      </c>
      <c r="B320" t="inlineStr">
        <is>
          <t>Communauté de communes</t>
        </is>
      </c>
      <c r="C320" t="inlineStr">
        <is>
          <t>242600252</t>
        </is>
      </c>
      <c r="D320" t="inlineStr">
        <is>
          <t>26</t>
        </is>
      </c>
      <c r="E320" t="inlineStr">
        <is>
          <t>Drôme</t>
        </is>
      </c>
      <c r="F320" t="inlineStr">
        <is>
          <t>Auvergne-Rhône-Alpes</t>
        </is>
      </c>
      <c r="G320" s="3" t="n">
        <v>31033</v>
      </c>
      <c r="H320" t="n">
        <v>29</v>
      </c>
      <c r="I320" t="inlineStr">
        <is>
          <t>96 ronde des Alisiers, Écosite du Val de Drôme</t>
        </is>
      </c>
      <c r="J320" t="inlineStr">
        <is>
          <t>26400</t>
        </is>
      </c>
      <c r="K320" t="inlineStr">
        <is>
          <t>Eurre</t>
        </is>
      </c>
      <c r="L320" t="inlineStr">
        <is>
          <t>04 75 25 43 82</t>
        </is>
      </c>
      <c r="M320" s="4" t="inlineStr">
        <is>
          <t>ccvd@val-de-drome.com</t>
        </is>
      </c>
      <c r="N320" s="4" t="inlineStr">
        <is>
          <t>https://www.valdedrome.com/</t>
        </is>
      </c>
      <c r="O320" s="4" t="inlineStr">
        <is>
          <t>https://www.valdedrome.com/5404-contact.htm</t>
        </is>
      </c>
      <c r="P320" s="4" t="inlineStr">
        <is>
          <t>https://lannuaire.service-public.gouv.fr/auvergne-rhone-alpes/drome/ca756fd0-fe35-4b0c-a2a7-c29fe95b6bb8</t>
        </is>
      </c>
      <c r="Q320" t="inlineStr">
        <is>
          <t>Annuaire Service-public.fr</t>
        </is>
      </c>
      <c r="R320" t="inlineStr"/>
      <c r="S320" t="inlineStr"/>
      <c r="T320" t="inlineStr"/>
    </row>
    <row r="321">
      <c r="A321" t="inlineStr">
        <is>
          <t>CC Enclave des Papes - Pays de Grignan</t>
        </is>
      </c>
      <c r="B321" t="inlineStr">
        <is>
          <t>Communauté de communes</t>
        </is>
      </c>
      <c r="C321" t="inlineStr">
        <is>
          <t>200040681</t>
        </is>
      </c>
      <c r="D321" t="inlineStr">
        <is>
          <t>26, 84</t>
        </is>
      </c>
      <c r="E321" t="inlineStr">
        <is>
          <t>Drôme, Vaucluse</t>
        </is>
      </c>
      <c r="F321" t="inlineStr">
        <is>
          <t>Auvergne-Rhône-Alpes, Provence-Alpes-Côte d'Azur</t>
        </is>
      </c>
      <c r="G321" s="3" t="n">
        <v>22626</v>
      </c>
      <c r="H321" t="n">
        <v>19</v>
      </c>
      <c r="I321" t="inlineStr">
        <is>
          <t>17A rue de Tourville, Espace Germain-Aubert</t>
        </is>
      </c>
      <c r="J321" t="inlineStr">
        <is>
          <t>84600</t>
        </is>
      </c>
      <c r="K321" t="inlineStr">
        <is>
          <t>Valréas</t>
        </is>
      </c>
      <c r="L321" t="inlineStr">
        <is>
          <t>04 90 35 01 52</t>
        </is>
      </c>
      <c r="M321" s="4" t="inlineStr">
        <is>
          <t>infos@cceppg.fr</t>
        </is>
      </c>
      <c r="N321" s="4" t="inlineStr">
        <is>
          <t>http://www.cceppg.fr</t>
        </is>
      </c>
      <c r="O321" s="4" t="inlineStr">
        <is>
          <t>http://www.cceppg.fr/nous-contacter</t>
        </is>
      </c>
      <c r="P321" s="4" t="inlineStr">
        <is>
          <t>https://lannuaire.service-public.gouv.fr/provence-alpes-cote-d-azur/vaucluse/f044792b-b622-4cf0-9ebe-2b73dcd29c6d</t>
        </is>
      </c>
      <c r="Q321" t="inlineStr">
        <is>
          <t>Annuaire Service-public.fr</t>
        </is>
      </c>
      <c r="R321" t="inlineStr"/>
      <c r="S321" t="inlineStr"/>
      <c r="T321" t="inlineStr"/>
    </row>
    <row r="322">
      <c r="A322" t="inlineStr">
        <is>
          <t>CC Vaison Ventoux</t>
        </is>
      </c>
      <c r="B322" t="inlineStr">
        <is>
          <t>Communauté de communes</t>
        </is>
      </c>
      <c r="C322" t="inlineStr">
        <is>
          <t>248400335</t>
        </is>
      </c>
      <c r="D322" t="inlineStr">
        <is>
          <t>26, 84</t>
        </is>
      </c>
      <c r="E322" t="inlineStr">
        <is>
          <t>Drôme, Vaucluse</t>
        </is>
      </c>
      <c r="F322" t="inlineStr">
        <is>
          <t>Auvergne-Rhône-Alpes, Provence-Alpes-Côte d'Azur</t>
        </is>
      </c>
      <c r="G322" s="3" t="n">
        <v>16792</v>
      </c>
      <c r="H322" t="n">
        <v>19</v>
      </c>
      <c r="I322" t="inlineStr">
        <is>
          <t>375 avenue Gabriel-Péri, BP 90</t>
        </is>
      </c>
      <c r="J322" t="inlineStr">
        <is>
          <t>84110</t>
        </is>
      </c>
      <c r="K322" t="inlineStr">
        <is>
          <t>Vaison-la-Romaine Cedex 1</t>
        </is>
      </c>
      <c r="L322" t="inlineStr">
        <is>
          <t>04 90 36 16 29</t>
        </is>
      </c>
      <c r="M322" s="4" t="inlineStr">
        <is>
          <t>direction-generale@vaison-ventoux.fr</t>
        </is>
      </c>
      <c r="N322" s="4" t="inlineStr">
        <is>
          <t>https://www.vaison-ventoux.fr/</t>
        </is>
      </c>
      <c r="O322" s="4" t="inlineStr">
        <is>
          <t>https://rdv.vaison-ventoux.fr/contact/</t>
        </is>
      </c>
      <c r="P322" s="4" t="inlineStr">
        <is>
          <t>https://lannuaire.service-public.gouv.fr/provence-alpes-cote-d-azur/vaucluse/70246917-8ca2-4e24-9d28-64e24e27415d</t>
        </is>
      </c>
      <c r="Q322" t="inlineStr">
        <is>
          <t>Annuaire Service-public.fr</t>
        </is>
      </c>
      <c r="R322" t="inlineStr"/>
      <c r="S322" t="inlineStr"/>
      <c r="T322" t="inlineStr"/>
    </row>
    <row r="323">
      <c r="A323" t="inlineStr">
        <is>
          <t>CC Ventoux Sud</t>
        </is>
      </c>
      <c r="B323" t="inlineStr">
        <is>
          <t>Communauté de communes</t>
        </is>
      </c>
      <c r="C323" t="inlineStr">
        <is>
          <t>200035723</t>
        </is>
      </c>
      <c r="D323" t="inlineStr">
        <is>
          <t>26, 84</t>
        </is>
      </c>
      <c r="E323" t="inlineStr">
        <is>
          <t>Drôme, Vaucluse</t>
        </is>
      </c>
      <c r="F323" t="inlineStr">
        <is>
          <t>Auvergne-Rhône-Alpes, Provence-Alpes-Côte d'Azur</t>
        </is>
      </c>
      <c r="G323" s="3" t="n">
        <v>9595</v>
      </c>
      <c r="H323" t="n">
        <v>11</v>
      </c>
      <c r="I323" t="inlineStr">
        <is>
          <t>186 rue des Péquélets</t>
        </is>
      </c>
      <c r="J323" t="inlineStr">
        <is>
          <t>84390</t>
        </is>
      </c>
      <c r="K323" t="inlineStr">
        <is>
          <t>Sault</t>
        </is>
      </c>
      <c r="L323" t="inlineStr">
        <is>
          <t>04 90 64 15 29</t>
        </is>
      </c>
      <c r="M323" s="4" t="inlineStr">
        <is>
          <t>accueilsault@ccvs84.fr</t>
        </is>
      </c>
      <c r="N323" s="4" t="inlineStr">
        <is>
          <t>https://ccvs84.fr/accueil.html</t>
        </is>
      </c>
      <c r="O323" s="4" t="inlineStr">
        <is>
          <t>https://ccvs84.fr/nous-contacter.html</t>
        </is>
      </c>
      <c r="P323" s="4" t="inlineStr">
        <is>
          <t>https://lannuaire.service-public.gouv.fr/provence-alpes-cote-d-azur/vaucluse/cddf522a-fdbe-451c-98bf-b7002db17928</t>
        </is>
      </c>
      <c r="Q323" t="inlineStr">
        <is>
          <t>Annuaire Service-public.fr</t>
        </is>
      </c>
      <c r="R323" t="inlineStr"/>
      <c r="S323" t="inlineStr"/>
      <c r="T323" t="inlineStr"/>
    </row>
    <row r="324">
      <c r="A324" t="inlineStr">
        <is>
          <t>CA Evreux Portes de Normandie</t>
        </is>
      </c>
      <c r="B324" t="inlineStr">
        <is>
          <t>Communauté d’agglomération</t>
        </is>
      </c>
      <c r="C324" t="inlineStr">
        <is>
          <t>200071454</t>
        </is>
      </c>
      <c r="D324" t="inlineStr">
        <is>
          <t>27</t>
        </is>
      </c>
      <c r="E324" t="inlineStr">
        <is>
          <t>Eure</t>
        </is>
      </c>
      <c r="F324" t="inlineStr">
        <is>
          <t>Normandie</t>
        </is>
      </c>
      <c r="G324" s="3" t="n">
        <v>112285</v>
      </c>
      <c r="H324" t="n">
        <v>74</v>
      </c>
      <c r="I324" t="inlineStr">
        <is>
          <t>9 rue Voltaire, CS 40423</t>
        </is>
      </c>
      <c r="J324" t="inlineStr">
        <is>
          <t>27004</t>
        </is>
      </c>
      <c r="K324" t="inlineStr">
        <is>
          <t>Évreux Cedex</t>
        </is>
      </c>
      <c r="L324" t="inlineStr">
        <is>
          <t>02 32 31 92 92</t>
        </is>
      </c>
      <c r="M324" s="4" t="inlineStr">
        <is>
          <t>dgs@epn-agglo.fr</t>
        </is>
      </c>
      <c r="N324" s="4" t="inlineStr">
        <is>
          <t>https://evreuxportesdenormandie.fr/</t>
        </is>
      </c>
      <c r="O324" t="inlineStr"/>
      <c r="P324" s="4" t="inlineStr">
        <is>
          <t>https://lannuaire.service-public.gouv.fr/normandie/eure/cff36589-4122-4ced-906f-cae5af481abe</t>
        </is>
      </c>
      <c r="Q324" t="inlineStr">
        <is>
          <t>Annuaire Service-public.fr</t>
        </is>
      </c>
      <c r="R324" t="inlineStr"/>
      <c r="S324" t="inlineStr"/>
      <c r="T324" t="inlineStr"/>
    </row>
    <row r="325">
      <c r="A325" t="inlineStr">
        <is>
          <t>CA Seine Normandie Agglomération</t>
        </is>
      </c>
      <c r="B325" t="inlineStr">
        <is>
          <t>Communauté d’agglomération</t>
        </is>
      </c>
      <c r="C325" t="inlineStr">
        <is>
          <t>200072312</t>
        </is>
      </c>
      <c r="D325" t="inlineStr">
        <is>
          <t>27</t>
        </is>
      </c>
      <c r="E325" t="inlineStr">
        <is>
          <t>Eure</t>
        </is>
      </c>
      <c r="F325" t="inlineStr">
        <is>
          <t>Normandie</t>
        </is>
      </c>
      <c r="G325" s="3" t="n">
        <v>82981</v>
      </c>
      <c r="H325" t="n">
        <v>61</v>
      </c>
      <c r="I325" t="inlineStr">
        <is>
          <t>12 rue de la Mare-à-Jouy</t>
        </is>
      </c>
      <c r="J325" t="inlineStr">
        <is>
          <t>27120</t>
        </is>
      </c>
      <c r="K325" t="inlineStr">
        <is>
          <t>Douains</t>
        </is>
      </c>
      <c r="L325" t="inlineStr">
        <is>
          <t>02 32 53 50 03</t>
        </is>
      </c>
      <c r="M325" s="4" t="inlineStr">
        <is>
          <t>accueil@sna27.fr</t>
        </is>
      </c>
      <c r="N325" s="4" t="inlineStr">
        <is>
          <t>https://www.sna27.fr/</t>
        </is>
      </c>
      <c r="O325" s="4" t="inlineStr">
        <is>
          <t>https://www.sna27.fr/nous-contacter/</t>
        </is>
      </c>
      <c r="P325" s="4" t="inlineStr">
        <is>
          <t>https://lannuaire.service-public.gouv.fr/normandie/eure/b073eb56-dc96-426b-bfda-389f0bf4950c</t>
        </is>
      </c>
      <c r="Q325" t="inlineStr">
        <is>
          <t>Annuaire Service-public.fr</t>
        </is>
      </c>
      <c r="R325" t="inlineStr"/>
      <c r="S325" t="inlineStr"/>
      <c r="T325" t="inlineStr"/>
    </row>
    <row r="326">
      <c r="A326" t="inlineStr">
        <is>
          <t>CA Seine-Eure</t>
        </is>
      </c>
      <c r="B326" t="inlineStr">
        <is>
          <t>Communauté d’agglomération</t>
        </is>
      </c>
      <c r="C326" t="inlineStr">
        <is>
          <t>200089456</t>
        </is>
      </c>
      <c r="D326" t="inlineStr">
        <is>
          <t>27</t>
        </is>
      </c>
      <c r="E326" t="inlineStr">
        <is>
          <t>Eure</t>
        </is>
      </c>
      <c r="F326" t="inlineStr">
        <is>
          <t>Normandie</t>
        </is>
      </c>
      <c r="G326" s="3" t="n">
        <v>102892</v>
      </c>
      <c r="H326" t="n">
        <v>60</v>
      </c>
      <c r="I326" t="inlineStr">
        <is>
          <t>1 place Ernest-Thorel</t>
        </is>
      </c>
      <c r="J326" t="inlineStr">
        <is>
          <t>27405</t>
        </is>
      </c>
      <c r="K326" t="inlineStr">
        <is>
          <t>Louviers</t>
        </is>
      </c>
      <c r="L326" t="inlineStr">
        <is>
          <t>02 32 50 85 50</t>
        </is>
      </c>
      <c r="M326" s="4" t="inlineStr">
        <is>
          <t>agglo@seine-eure.com</t>
        </is>
      </c>
      <c r="N326" s="4" t="inlineStr">
        <is>
          <t>https://www.agglo-seine-eure.fr</t>
        </is>
      </c>
      <c r="O326" s="4" t="inlineStr">
        <is>
          <t>https://formulaires.demarches.seine-eure.fr/contact/contacter-agglomeration-seine-eure/</t>
        </is>
      </c>
      <c r="P326" s="4" t="inlineStr">
        <is>
          <t>https://lannuaire.service-public.gouv.fr/normandie/eure/6bff501d-4cd5-49a7-9151-746c6196eda5</t>
        </is>
      </c>
      <c r="Q326" t="inlineStr">
        <is>
          <t>Annuaire Service-public.fr</t>
        </is>
      </c>
      <c r="R326" t="inlineStr"/>
      <c r="S326" t="inlineStr"/>
      <c r="T326" t="inlineStr"/>
    </row>
    <row r="327">
      <c r="A327" t="inlineStr">
        <is>
          <t>CC Intercom Bernay Terres de Normandie</t>
        </is>
      </c>
      <c r="B327" t="inlineStr">
        <is>
          <t>Communauté de communes</t>
        </is>
      </c>
      <c r="C327" t="inlineStr">
        <is>
          <t>200066413</t>
        </is>
      </c>
      <c r="D327" t="inlineStr">
        <is>
          <t>27</t>
        </is>
      </c>
      <c r="E327" t="inlineStr">
        <is>
          <t>Eure</t>
        </is>
      </c>
      <c r="F327" t="inlineStr">
        <is>
          <t>Normandie</t>
        </is>
      </c>
      <c r="G327" s="3" t="n">
        <v>54314</v>
      </c>
      <c r="H327" t="n">
        <v>75</v>
      </c>
      <c r="I327" t="inlineStr">
        <is>
          <t>1025 route de Broglie</t>
        </is>
      </c>
      <c r="J327" t="inlineStr">
        <is>
          <t>27300</t>
        </is>
      </c>
      <c r="K327" t="inlineStr">
        <is>
          <t>Bernay</t>
        </is>
      </c>
      <c r="L327" t="inlineStr">
        <is>
          <t>02 32 43 50 06</t>
        </is>
      </c>
      <c r="M327" s="4" t="inlineStr">
        <is>
          <t>accueil@bernaynormandie.fr</t>
        </is>
      </c>
      <c r="N327" s="4" t="inlineStr">
        <is>
          <t>https://bernaynormandie.fr/</t>
        </is>
      </c>
      <c r="O327" t="inlineStr"/>
      <c r="P327" s="4" t="inlineStr">
        <is>
          <t>https://lannuaire.service-public.gouv.fr/normandie/eure/103df6a6-cc46-466a-92e8-d957b10b39ce</t>
        </is>
      </c>
      <c r="Q327" t="inlineStr">
        <is>
          <t>Annuaire Service-public.fr</t>
        </is>
      </c>
      <c r="R327" t="inlineStr"/>
      <c r="S327" t="inlineStr"/>
      <c r="T327" t="inlineStr"/>
    </row>
    <row r="328">
      <c r="A328" t="inlineStr">
        <is>
          <t>CC Lieuvin Pays d'Auge</t>
        </is>
      </c>
      <c r="B328" t="inlineStr">
        <is>
          <t>Communauté de communes</t>
        </is>
      </c>
      <c r="C328" t="inlineStr">
        <is>
          <t>200066017</t>
        </is>
      </c>
      <c r="D328" t="inlineStr">
        <is>
          <t>27</t>
        </is>
      </c>
      <c r="E328" t="inlineStr">
        <is>
          <t>Eure</t>
        </is>
      </c>
      <c r="F328" t="inlineStr">
        <is>
          <t>Normandie</t>
        </is>
      </c>
      <c r="G328" s="3" t="n">
        <v>20316</v>
      </c>
      <c r="H328" t="n">
        <v>51</v>
      </c>
      <c r="I328" t="inlineStr">
        <is>
          <t>21 bis rue de Lisieux</t>
        </is>
      </c>
      <c r="J328" t="inlineStr">
        <is>
          <t>27230</t>
        </is>
      </c>
      <c r="K328" t="inlineStr">
        <is>
          <t>Thiberville</t>
        </is>
      </c>
      <c r="L328" t="inlineStr">
        <is>
          <t>02 32 46 80 88</t>
        </is>
      </c>
      <c r="M328" s="4" t="inlineStr">
        <is>
          <t>accueil@lieuvinpaysdauge.fr</t>
        </is>
      </c>
      <c r="N328" s="4" t="inlineStr">
        <is>
          <t>https://www.lieuvinpaysdauge.fr/</t>
        </is>
      </c>
      <c r="O328" s="4" t="inlineStr">
        <is>
          <t>https://www.lieuvinpaysdauge.fr/contact/</t>
        </is>
      </c>
      <c r="P328" s="4" t="inlineStr">
        <is>
          <t>https://lannuaire.service-public.gouv.fr/normandie/eure/31b3d4b7-02c7-4344-a092-921bbcbbca4c</t>
        </is>
      </c>
      <c r="Q328" t="inlineStr">
        <is>
          <t>Annuaire Service-public.fr</t>
        </is>
      </c>
      <c r="R328" t="inlineStr"/>
      <c r="S328" t="inlineStr"/>
      <c r="T328" t="inlineStr"/>
    </row>
    <row r="329">
      <c r="A329" t="inlineStr">
        <is>
          <t>CC Lyons Andelle</t>
        </is>
      </c>
      <c r="B329" t="inlineStr">
        <is>
          <t>Communauté de communes</t>
        </is>
      </c>
      <c r="C329" t="inlineStr">
        <is>
          <t>200070142</t>
        </is>
      </c>
      <c r="D329" t="inlineStr">
        <is>
          <t>27</t>
        </is>
      </c>
      <c r="E329" t="inlineStr">
        <is>
          <t>Eure</t>
        </is>
      </c>
      <c r="F329" t="inlineStr">
        <is>
          <t>Normandie</t>
        </is>
      </c>
      <c r="G329" s="3" t="n">
        <v>20594</v>
      </c>
      <c r="H329" t="n">
        <v>30</v>
      </c>
      <c r="I329" t="inlineStr">
        <is>
          <t>15 Rue Martin-Liesse, La Vente-Cartier</t>
        </is>
      </c>
      <c r="J329" t="inlineStr">
        <is>
          <t>27380</t>
        </is>
      </c>
      <c r="K329" t="inlineStr">
        <is>
          <t>Charleval</t>
        </is>
      </c>
      <c r="L329" t="inlineStr">
        <is>
          <t>02 32 49 61 27</t>
        </is>
      </c>
      <c r="M329" s="4" t="inlineStr">
        <is>
          <t>contact@cdcla.fr</t>
        </is>
      </c>
      <c r="N329" s="4" t="inlineStr">
        <is>
          <t>https://www.cdcla.fr/</t>
        </is>
      </c>
      <c r="O329" s="4" t="inlineStr">
        <is>
          <t>https://www.cdcla.fr/contact/</t>
        </is>
      </c>
      <c r="P329" s="4" t="inlineStr">
        <is>
          <t>https://lannuaire.service-public.gouv.fr/normandie/eure/a5d41f46-eabd-40a3-a739-0e0652fd6144</t>
        </is>
      </c>
      <c r="Q329" t="inlineStr">
        <is>
          <t>Annuaire Service-public.fr</t>
        </is>
      </c>
      <c r="R329" t="inlineStr"/>
      <c r="S329" t="inlineStr"/>
      <c r="T329" t="inlineStr"/>
    </row>
    <row r="330">
      <c r="A330" t="inlineStr">
        <is>
          <t>CC de Pont-Audemer / Val de Risle</t>
        </is>
      </c>
      <c r="B330" t="inlineStr">
        <is>
          <t>Communauté de communes</t>
        </is>
      </c>
      <c r="C330" t="inlineStr">
        <is>
          <t>200065787</t>
        </is>
      </c>
      <c r="D330" t="inlineStr">
        <is>
          <t>27</t>
        </is>
      </c>
      <c r="E330" t="inlineStr">
        <is>
          <t>Eure</t>
        </is>
      </c>
      <c r="F330" t="inlineStr">
        <is>
          <t>Normandie</t>
        </is>
      </c>
      <c r="G330" s="3" t="n">
        <v>32563</v>
      </c>
      <c r="H330" t="n">
        <v>32</v>
      </c>
      <c r="I330" t="inlineStr">
        <is>
          <t>2 place de Verdun</t>
        </is>
      </c>
      <c r="J330" t="inlineStr">
        <is>
          <t>27504</t>
        </is>
      </c>
      <c r="K330" t="inlineStr">
        <is>
          <t>Pont-Audemer</t>
        </is>
      </c>
      <c r="L330" t="inlineStr">
        <is>
          <t>02 32 41 08 15</t>
        </is>
      </c>
      <c r="M330" s="4" t="inlineStr">
        <is>
          <t>info@cc-pont-audemer.fr</t>
        </is>
      </c>
      <c r="N330" s="4" t="inlineStr">
        <is>
          <t>https://www.ville-pont-audemer.fr/votre-territoire/communaute-de-communes/</t>
        </is>
      </c>
      <c r="O330" t="inlineStr"/>
      <c r="P330" s="4" t="inlineStr">
        <is>
          <t>https://lannuaire.service-public.gouv.fr/normandie/eure/4d583b2c-e57b-4944-a471-583cb88648cc</t>
        </is>
      </c>
      <c r="Q330" t="inlineStr">
        <is>
          <t>Annuaire Service-public.fr</t>
        </is>
      </c>
      <c r="R330" t="inlineStr"/>
      <c r="S330" t="inlineStr"/>
      <c r="T330" t="inlineStr"/>
    </row>
    <row r="331">
      <c r="A331" t="inlineStr">
        <is>
          <t>CC du Pays de Conches</t>
        </is>
      </c>
      <c r="B331" t="inlineStr">
        <is>
          <t>Communauté de communes</t>
        </is>
      </c>
      <c r="C331" t="inlineStr">
        <is>
          <t>242700276</t>
        </is>
      </c>
      <c r="D331" t="inlineStr">
        <is>
          <t>27</t>
        </is>
      </c>
      <c r="E331" t="inlineStr">
        <is>
          <t>Eure</t>
        </is>
      </c>
      <c r="F331" t="inlineStr">
        <is>
          <t>Normandie</t>
        </is>
      </c>
      <c r="G331" s="3" t="n">
        <v>18141</v>
      </c>
      <c r="H331" t="n">
        <v>25</v>
      </c>
      <c r="I331" t="inlineStr">
        <is>
          <t>Rue de l'Hôtel-de-Ville, CS 20073</t>
        </is>
      </c>
      <c r="J331" t="inlineStr">
        <is>
          <t>27190</t>
        </is>
      </c>
      <c r="K331" t="inlineStr">
        <is>
          <t>Conches-en-Ouche</t>
        </is>
      </c>
      <c r="L331" t="inlineStr">
        <is>
          <t>02 32 30 11 42</t>
        </is>
      </c>
      <c r="M331" s="4" t="inlineStr">
        <is>
          <t>angelique.fontaine@conchesenouche.com</t>
        </is>
      </c>
      <c r="N331" s="4" t="inlineStr">
        <is>
          <t>https://www.conches-en-ouche.fr/</t>
        </is>
      </c>
      <c r="O331" s="4" t="inlineStr">
        <is>
          <t>https://www.conches-en-ouche.fr/contact</t>
        </is>
      </c>
      <c r="P331" s="4" t="inlineStr">
        <is>
          <t>https://lannuaire.service-public.gouv.fr/normandie/eure/dcb48c18-0bdf-431f-8273-cf3d555e4abe</t>
        </is>
      </c>
      <c r="Q331" t="inlineStr">
        <is>
          <t>Annuaire Service-public.fr</t>
        </is>
      </c>
      <c r="R331" t="inlineStr"/>
      <c r="S331" t="inlineStr"/>
      <c r="T331" t="inlineStr"/>
    </row>
    <row r="332">
      <c r="A332" t="inlineStr">
        <is>
          <t>CC du Pays du Neubourg</t>
        </is>
      </c>
      <c r="B332" t="inlineStr">
        <is>
          <t>Communauté de communes</t>
        </is>
      </c>
      <c r="C332" t="inlineStr">
        <is>
          <t>242700607</t>
        </is>
      </c>
      <c r="D332" t="inlineStr">
        <is>
          <t>27</t>
        </is>
      </c>
      <c r="E332" t="inlineStr">
        <is>
          <t>Eure</t>
        </is>
      </c>
      <c r="F332" t="inlineStr">
        <is>
          <t>Normandie</t>
        </is>
      </c>
      <c r="G332" s="3" t="n">
        <v>22537</v>
      </c>
      <c r="H332" t="n">
        <v>41</v>
      </c>
      <c r="I332" t="inlineStr">
        <is>
          <t>1 chemin Saint-Célerin</t>
        </is>
      </c>
      <c r="J332" t="inlineStr">
        <is>
          <t>27110</t>
        </is>
      </c>
      <c r="K332" t="inlineStr">
        <is>
          <t>Le Neubourg</t>
        </is>
      </c>
      <c r="L332" t="inlineStr">
        <is>
          <t>02 32 34 04 41</t>
        </is>
      </c>
      <c r="M332" s="4" t="inlineStr">
        <is>
          <t>contact@paysduneubourg.fr</t>
        </is>
      </c>
      <c r="N332" s="4" t="inlineStr">
        <is>
          <t>https://www.paysduneubourg.fr/</t>
        </is>
      </c>
      <c r="O332" s="4" t="inlineStr">
        <is>
          <t>https://www.paysduneubourg.fr/contact/</t>
        </is>
      </c>
      <c r="P332" s="4" t="inlineStr">
        <is>
          <t>https://lannuaire.service-public.gouv.fr/normandie/eure/9ec0042c-4567-44c9-a1b2-3445c99f82d5</t>
        </is>
      </c>
      <c r="Q332" t="inlineStr">
        <is>
          <t>Annuaire Service-public.fr</t>
        </is>
      </c>
      <c r="R332" t="inlineStr"/>
      <c r="S332" t="inlineStr"/>
      <c r="T332" t="inlineStr"/>
    </row>
    <row r="333">
      <c r="A333" t="inlineStr">
        <is>
          <t>CC du Vexin Normand</t>
        </is>
      </c>
      <c r="B333" t="inlineStr">
        <is>
          <t>Communauté de communes</t>
        </is>
      </c>
      <c r="C333" t="inlineStr">
        <is>
          <t>200071843</t>
        </is>
      </c>
      <c r="D333" t="inlineStr">
        <is>
          <t>27</t>
        </is>
      </c>
      <c r="E333" t="inlineStr">
        <is>
          <t>Eure</t>
        </is>
      </c>
      <c r="F333" t="inlineStr">
        <is>
          <t>Normandie</t>
        </is>
      </c>
      <c r="G333" s="3" t="n">
        <v>33174</v>
      </c>
      <c r="H333" t="n">
        <v>39</v>
      </c>
      <c r="I333" t="inlineStr">
        <is>
          <t>5 rue Albert-Leroy, CS 80039</t>
        </is>
      </c>
      <c r="J333" t="inlineStr">
        <is>
          <t>27140</t>
        </is>
      </c>
      <c r="K333" t="inlineStr">
        <is>
          <t>Gisors</t>
        </is>
      </c>
      <c r="L333" t="inlineStr">
        <is>
          <t>02 32 27 89 50</t>
        </is>
      </c>
      <c r="M333" s="4" t="inlineStr">
        <is>
          <t>contact@ccvexin-normand.fr</t>
        </is>
      </c>
      <c r="N333" s="4" t="inlineStr">
        <is>
          <t>https://www.cdc-vexin-normand.fr/</t>
        </is>
      </c>
      <c r="O333" s="4" t="inlineStr">
        <is>
          <t>https://www.cdc-vexin-normand.fr/contactez-nous.html</t>
        </is>
      </c>
      <c r="P333" s="4" t="inlineStr">
        <is>
          <t>https://lannuaire.service-public.gouv.fr/normandie/eure/283770cd-91b0-43a4-8ed3-190b0de82e12</t>
        </is>
      </c>
      <c r="Q333" t="inlineStr">
        <is>
          <t>Annuaire Service-public.fr</t>
        </is>
      </c>
      <c r="R333" t="inlineStr"/>
      <c r="S333" t="inlineStr"/>
      <c r="T333" t="inlineStr"/>
    </row>
    <row r="334">
      <c r="A334" t="inlineStr">
        <is>
          <t>CA Agglo du Pays de Dreux</t>
        </is>
      </c>
      <c r="B334" t="inlineStr">
        <is>
          <t>Communauté d’agglomération</t>
        </is>
      </c>
      <c r="C334" t="inlineStr">
        <is>
          <t>200040277</t>
        </is>
      </c>
      <c r="D334" t="inlineStr">
        <is>
          <t>27, 28</t>
        </is>
      </c>
      <c r="E334" t="inlineStr">
        <is>
          <t>Eure, Eure-et-Loir</t>
        </is>
      </c>
      <c r="F334" t="inlineStr">
        <is>
          <t>Centre-Val de Loire, Normandie</t>
        </is>
      </c>
      <c r="G334" s="3" t="n">
        <v>116484</v>
      </c>
      <c r="H334" t="n">
        <v>81</v>
      </c>
      <c r="I334" t="inlineStr">
        <is>
          <t>4 rue de Châteaudun</t>
        </is>
      </c>
      <c r="J334" t="inlineStr">
        <is>
          <t>28100</t>
        </is>
      </c>
      <c r="K334" t="inlineStr">
        <is>
          <t>Dreux</t>
        </is>
      </c>
      <c r="L334" t="inlineStr">
        <is>
          <t>02 37 64 82 00</t>
        </is>
      </c>
      <c r="M334" s="4" t="inlineStr">
        <is>
          <t>contact@dreux-agglomeration.fr</t>
        </is>
      </c>
      <c r="N334" s="4" t="inlineStr">
        <is>
          <t>https://www.dreux-agglomeration.fr/</t>
        </is>
      </c>
      <c r="O334" s="4" t="inlineStr">
        <is>
          <t>https://www.dreux-agglomeration.fr/nous-contacter/</t>
        </is>
      </c>
      <c r="P334" s="4" t="inlineStr">
        <is>
          <t>https://lannuaire.service-public.gouv.fr/centre-val-de-loire/eure-et-loir/cd135617-cbf4-49e4-9221-a83f5942243f</t>
        </is>
      </c>
      <c r="Q334" t="inlineStr">
        <is>
          <t>Annuaire Service-public.fr</t>
        </is>
      </c>
      <c r="R334" t="inlineStr"/>
      <c r="S334" t="inlineStr"/>
      <c r="T334" t="inlineStr"/>
    </row>
    <row r="335">
      <c r="A335" t="inlineStr">
        <is>
          <t>CC Interco Normandie Sud Eure</t>
        </is>
      </c>
      <c r="B335" t="inlineStr">
        <is>
          <t>Communauté de communes</t>
        </is>
      </c>
      <c r="C335" t="inlineStr">
        <is>
          <t>200066462</t>
        </is>
      </c>
      <c r="D335" t="inlineStr">
        <is>
          <t>27, 28</t>
        </is>
      </c>
      <c r="E335" t="inlineStr">
        <is>
          <t>Eure, Eure-et-Loir</t>
        </is>
      </c>
      <c r="F335" t="inlineStr">
        <is>
          <t>Centre-Val de Loire, Normandie</t>
        </is>
      </c>
      <c r="G335" s="3" t="n">
        <v>37606</v>
      </c>
      <c r="H335" t="n">
        <v>41</v>
      </c>
      <c r="I335" t="inlineStr">
        <is>
          <t>84 rue du Canon</t>
        </is>
      </c>
      <c r="J335" t="inlineStr">
        <is>
          <t>27130</t>
        </is>
      </c>
      <c r="K335" t="inlineStr">
        <is>
          <t>Verneuil-d'Avre-et-d'Iton</t>
        </is>
      </c>
      <c r="L335" t="inlineStr">
        <is>
          <t>02 32 32 93 01</t>
        </is>
      </c>
      <c r="M335" s="4" t="inlineStr">
        <is>
          <t>communication@inse27.fr</t>
        </is>
      </c>
      <c r="N335" s="4" t="inlineStr">
        <is>
          <t>https://www.inse27.fr/</t>
        </is>
      </c>
      <c r="O335" s="4" t="inlineStr">
        <is>
          <t>https://www.inse27.fr/systeme/contact/</t>
        </is>
      </c>
      <c r="P335" s="4" t="inlineStr">
        <is>
          <t>https://lannuaire.service-public.gouv.fr/normandie/eure/d28bbe90-f972-46a7-b329-3c97d168fa8a</t>
        </is>
      </c>
      <c r="Q335" t="inlineStr">
        <is>
          <t>Annuaire Service-public.fr</t>
        </is>
      </c>
      <c r="R335" t="inlineStr"/>
      <c r="S335" t="inlineStr"/>
      <c r="T335" t="inlineStr"/>
    </row>
    <row r="336">
      <c r="A336" t="inlineStr">
        <is>
          <t>CC Roumois Seine</t>
        </is>
      </c>
      <c r="B336" t="inlineStr">
        <is>
          <t>Communauté de communes</t>
        </is>
      </c>
      <c r="C336" t="inlineStr">
        <is>
          <t>200066405</t>
        </is>
      </c>
      <c r="D336" t="inlineStr">
        <is>
          <t>27, 76</t>
        </is>
      </c>
      <c r="E336" t="inlineStr">
        <is>
          <t>Eure, Seine-Maritime</t>
        </is>
      </c>
      <c r="F336" t="inlineStr">
        <is>
          <t>Normandie</t>
        </is>
      </c>
      <c r="G336" s="3" t="n">
        <v>41773</v>
      </c>
      <c r="H336" t="n">
        <v>40</v>
      </c>
      <c r="I336" t="inlineStr">
        <is>
          <t>666 rue Adolphe-Coquelin</t>
        </is>
      </c>
      <c r="J336" t="inlineStr">
        <is>
          <t>27310</t>
        </is>
      </c>
      <c r="K336" t="inlineStr">
        <is>
          <t>Bourg-Achard</t>
        </is>
      </c>
      <c r="L336" t="inlineStr">
        <is>
          <t>02 32 57 95 28</t>
        </is>
      </c>
      <c r="M336" s="4" t="inlineStr">
        <is>
          <t>contact@roumoiseine.fr</t>
        </is>
      </c>
      <c r="N336" s="4" t="inlineStr">
        <is>
          <t>https://www.roumoiseine.fr/</t>
        </is>
      </c>
      <c r="O336" s="4" t="inlineStr">
        <is>
          <t>https://www.roumoiseine.fr/contact/</t>
        </is>
      </c>
      <c r="P336" s="4" t="inlineStr">
        <is>
          <t>https://lannuaire.service-public.gouv.fr/normandie/eure/e6a0bbae-eb2a-40f1-a539-c9ad04a08039</t>
        </is>
      </c>
      <c r="Q336" t="inlineStr">
        <is>
          <t>Annuaire Service-public.fr</t>
        </is>
      </c>
      <c r="R336" t="inlineStr"/>
      <c r="S336" t="inlineStr"/>
      <c r="T336" t="inlineStr"/>
    </row>
    <row r="337">
      <c r="A337" t="inlineStr">
        <is>
          <t>CC des Quatre Rivières en Bray</t>
        </is>
      </c>
      <c r="B337" t="inlineStr">
        <is>
          <t>Communauté de communes</t>
        </is>
      </c>
      <c r="C337" t="inlineStr">
        <is>
          <t>200069730</t>
        </is>
      </c>
      <c r="D337" t="inlineStr">
        <is>
          <t>27, 76</t>
        </is>
      </c>
      <c r="E337" t="inlineStr">
        <is>
          <t>Eure, Seine-Maritime</t>
        </is>
      </c>
      <c r="F337" t="inlineStr">
        <is>
          <t>Normandie</t>
        </is>
      </c>
      <c r="G337" s="3" t="n">
        <v>28632</v>
      </c>
      <c r="H337" t="n">
        <v>52</v>
      </c>
      <c r="I337" t="inlineStr">
        <is>
          <t>2 Avenue de la Garenne, communauté de commune des 4 rivières en Bray</t>
        </is>
      </c>
      <c r="J337" t="inlineStr">
        <is>
          <t>76220</t>
        </is>
      </c>
      <c r="K337" t="inlineStr">
        <is>
          <t>Gournay-en-Bray</t>
        </is>
      </c>
      <c r="L337" t="inlineStr">
        <is>
          <t>02 35 09 85 69</t>
        </is>
      </c>
      <c r="M337" s="4" t="inlineStr">
        <is>
          <t>contact@cc4rivieres.com</t>
        </is>
      </c>
      <c r="N337" s="4" t="inlineStr">
        <is>
          <t>https://cc4rivieres.com/</t>
        </is>
      </c>
      <c r="O337" s="4" t="inlineStr">
        <is>
          <t>https://cc4rivieres.com/</t>
        </is>
      </c>
      <c r="P337" s="4" t="inlineStr">
        <is>
          <t>https://lannuaire.service-public.gouv.fr/normandie/seine-maritime/0b461098-0a5b-45b2-b830-6e58c763d88e</t>
        </is>
      </c>
      <c r="Q337" t="inlineStr">
        <is>
          <t>Annuaire Service-public.fr</t>
        </is>
      </c>
      <c r="R337" t="inlineStr"/>
      <c r="S337" t="inlineStr"/>
      <c r="T337" t="inlineStr"/>
    </row>
    <row r="338">
      <c r="A338" t="inlineStr">
        <is>
          <t>CA Chartres Métropole</t>
        </is>
      </c>
      <c r="B338" t="inlineStr">
        <is>
          <t>Communauté d’agglomération</t>
        </is>
      </c>
      <c r="C338" t="inlineStr">
        <is>
          <t>200033181</t>
        </is>
      </c>
      <c r="D338" t="inlineStr">
        <is>
          <t>28</t>
        </is>
      </c>
      <c r="E338" t="inlineStr">
        <is>
          <t>Eure-et-Loir</t>
        </is>
      </c>
      <c r="F338" t="inlineStr">
        <is>
          <t>Centre-Val de Loire</t>
        </is>
      </c>
      <c r="G338" s="3" t="n">
        <v>136921</v>
      </c>
      <c r="H338" t="n">
        <v>66</v>
      </c>
      <c r="I338" t="inlineStr">
        <is>
          <t>Place des Halles</t>
        </is>
      </c>
      <c r="J338" t="inlineStr">
        <is>
          <t>28000</t>
        </is>
      </c>
      <c r="K338" t="inlineStr">
        <is>
          <t>Chartres</t>
        </is>
      </c>
      <c r="L338" t="inlineStr">
        <is>
          <t>02 37 23 40 00</t>
        </is>
      </c>
      <c r="M338" s="4" t="inlineStr">
        <is>
          <t>contact@agglo-ville.chartres.fr</t>
        </is>
      </c>
      <c r="N338" s="4" t="inlineStr">
        <is>
          <t>https://www.chartres-metropole.fr/</t>
        </is>
      </c>
      <c r="O338" s="4" t="inlineStr">
        <is>
          <t>https://www.chartres-metropole.fr/contacts</t>
        </is>
      </c>
      <c r="P338" s="4" t="inlineStr">
        <is>
          <t>https://lannuaire.service-public.gouv.fr/centre-val-de-loire/eure-et-loir/eb9313cf-a218-4554-aed0-17171be25368</t>
        </is>
      </c>
      <c r="Q338" t="inlineStr">
        <is>
          <t>Annuaire Service-public.fr</t>
        </is>
      </c>
      <c r="R338" t="inlineStr"/>
      <c r="S338" t="inlineStr"/>
      <c r="T338" t="inlineStr"/>
    </row>
    <row r="339">
      <c r="A339" t="inlineStr">
        <is>
          <t>CC Coeur de Beauce</t>
        </is>
      </c>
      <c r="B339" t="inlineStr">
        <is>
          <t>Communauté de communes</t>
        </is>
      </c>
      <c r="C339" t="inlineStr">
        <is>
          <t>200070159</t>
        </is>
      </c>
      <c r="D339" t="inlineStr">
        <is>
          <t>28</t>
        </is>
      </c>
      <c r="E339" t="inlineStr">
        <is>
          <t>Eure-et-Loir</t>
        </is>
      </c>
      <c r="F339" t="inlineStr">
        <is>
          <t>Centre-Val de Loire</t>
        </is>
      </c>
      <c r="G339" s="3" t="n">
        <v>24406</v>
      </c>
      <c r="H339" t="n">
        <v>46</v>
      </c>
      <c r="I339" t="inlineStr">
        <is>
          <t>1 rue du Docteur-Casimir-Lebel, ZA de l'Ermitage</t>
        </is>
      </c>
      <c r="J339" t="inlineStr">
        <is>
          <t>28310</t>
        </is>
      </c>
      <c r="K339" t="inlineStr">
        <is>
          <t>Janville</t>
        </is>
      </c>
      <c r="L339" t="inlineStr">
        <is>
          <t>02 37 90 15 41</t>
        </is>
      </c>
      <c r="M339" s="4" t="inlineStr">
        <is>
          <t>contact@coeurdebeauce.fr</t>
        </is>
      </c>
      <c r="N339" s="4" t="inlineStr">
        <is>
          <t>https://www.coeurdebeauce.fr/</t>
        </is>
      </c>
      <c r="O339" s="4" t="inlineStr">
        <is>
          <t>https://www.coeurdebeauce.fr/coeur-de-beauce/nous-ecrire/</t>
        </is>
      </c>
      <c r="P339" s="4" t="inlineStr">
        <is>
          <t>https://lannuaire.service-public.gouv.fr/centre-val-de-loire/eure-et-loir/2f603f8d-0d05-4352-be94-7c2dc3863cd0</t>
        </is>
      </c>
      <c r="Q339" t="inlineStr">
        <is>
          <t>Annuaire Service-public.fr</t>
        </is>
      </c>
      <c r="R339" t="inlineStr"/>
      <c r="S339" t="inlineStr"/>
      <c r="T339" t="inlineStr"/>
    </row>
    <row r="340">
      <c r="A340" t="inlineStr">
        <is>
          <t>CC Entre Beauce et Perche</t>
        </is>
      </c>
      <c r="B340" t="inlineStr">
        <is>
          <t>Communauté de communes</t>
        </is>
      </c>
      <c r="C340" t="inlineStr">
        <is>
          <t>200058360</t>
        </is>
      </c>
      <c r="D340" t="inlineStr">
        <is>
          <t>28</t>
        </is>
      </c>
      <c r="E340" t="inlineStr">
        <is>
          <t>Eure-et-Loir</t>
        </is>
      </c>
      <c r="F340" t="inlineStr">
        <is>
          <t>Centre-Val de Loire</t>
        </is>
      </c>
      <c r="G340" s="3" t="n">
        <v>21164</v>
      </c>
      <c r="H340" t="n">
        <v>33</v>
      </c>
      <c r="I340" t="inlineStr">
        <is>
          <t>2 rue du Pavillon</t>
        </is>
      </c>
      <c r="J340" t="inlineStr">
        <is>
          <t>28120</t>
        </is>
      </c>
      <c r="K340" t="inlineStr">
        <is>
          <t>Illiers-Combray</t>
        </is>
      </c>
      <c r="L340" t="inlineStr">
        <is>
          <t>02 37 24 38 47</t>
        </is>
      </c>
      <c r="M340" s="4" t="inlineStr">
        <is>
          <t>contact@entrebeauceetperche.fr</t>
        </is>
      </c>
      <c r="N340" s="4" t="inlineStr">
        <is>
          <t>https://entrebeauceetperche.fr/</t>
        </is>
      </c>
      <c r="O340" s="4" t="inlineStr">
        <is>
          <t>https://entrebeauceetperche.fr/contact/</t>
        </is>
      </c>
      <c r="P340" s="4" t="inlineStr">
        <is>
          <t>https://lannuaire.service-public.gouv.fr/centre-val-de-loire/eure-et-loir/3b7bd96f-42a6-4e80-bd12-690db6c49991</t>
        </is>
      </c>
      <c r="Q340" t="inlineStr">
        <is>
          <t>Annuaire Service-public.fr</t>
        </is>
      </c>
      <c r="R340" t="inlineStr"/>
      <c r="S340" t="inlineStr"/>
      <c r="T340" t="inlineStr"/>
    </row>
    <row r="341">
      <c r="A341" t="inlineStr">
        <is>
          <t>CC Terres de Perche</t>
        </is>
      </c>
      <c r="B341" t="inlineStr">
        <is>
          <t>Communauté de communes</t>
        </is>
      </c>
      <c r="C341" t="inlineStr">
        <is>
          <t>200070167</t>
        </is>
      </c>
      <c r="D341" t="inlineStr">
        <is>
          <t>28</t>
        </is>
      </c>
      <c r="E341" t="inlineStr">
        <is>
          <t>Eure-et-Loir</t>
        </is>
      </c>
      <c r="F341" t="inlineStr">
        <is>
          <t>Centre-Val de Loire</t>
        </is>
      </c>
      <c r="G341" s="3" t="n">
        <v>14116</v>
      </c>
      <c r="H341" t="n">
        <v>22</v>
      </c>
      <c r="I341" t="inlineStr">
        <is>
          <t>Place de l'Hôtel-de-Ville</t>
        </is>
      </c>
      <c r="J341" t="inlineStr">
        <is>
          <t>28240</t>
        </is>
      </c>
      <c r="K341" t="inlineStr">
        <is>
          <t>La Loupe</t>
        </is>
      </c>
      <c r="L341" t="inlineStr">
        <is>
          <t>02 37 81 29 59</t>
        </is>
      </c>
      <c r="M341" s="4" t="inlineStr">
        <is>
          <t>cdc@terresdeperche.fr</t>
        </is>
      </c>
      <c r="N341" s="4" t="inlineStr">
        <is>
          <t>https://www.terresdeperche.fr/</t>
        </is>
      </c>
      <c r="O341" s="4" t="inlineStr">
        <is>
          <t>https://www.terresdeperche.fr/</t>
        </is>
      </c>
      <c r="P341" s="4" t="inlineStr">
        <is>
          <t>https://lannuaire.service-public.gouv.fr/centre-val-de-loire/eure-et-loir/9d0b7414-fca0-4419-a998-22df8e738bd0</t>
        </is>
      </c>
      <c r="Q341" t="inlineStr">
        <is>
          <t>Annuaire Service-public.fr</t>
        </is>
      </c>
      <c r="R341" t="inlineStr"/>
      <c r="S341" t="inlineStr"/>
      <c r="T341" t="inlineStr"/>
    </row>
    <row r="342">
      <c r="A342" t="inlineStr">
        <is>
          <t>CC des Forêts du Perche</t>
        </is>
      </c>
      <c r="B342" t="inlineStr">
        <is>
          <t>Communauté de communes</t>
        </is>
      </c>
      <c r="C342" t="inlineStr">
        <is>
          <t>200069912</t>
        </is>
      </c>
      <c r="D342" t="inlineStr">
        <is>
          <t>28</t>
        </is>
      </c>
      <c r="E342" t="inlineStr">
        <is>
          <t>Eure-et-Loir</t>
        </is>
      </c>
      <c r="F342" t="inlineStr">
        <is>
          <t>Centre-Val de Loire</t>
        </is>
      </c>
      <c r="G342" s="3" t="n">
        <v>7700</v>
      </c>
      <c r="H342" t="n">
        <v>15</v>
      </c>
      <c r="I342" t="inlineStr">
        <is>
          <t>2 rue de Verdun, Mairie</t>
        </is>
      </c>
      <c r="J342" t="inlineStr">
        <is>
          <t>28250</t>
        </is>
      </c>
      <c r="K342" t="inlineStr">
        <is>
          <t>Senonches</t>
        </is>
      </c>
      <c r="L342" t="inlineStr">
        <is>
          <t>02 37 37 37 28</t>
        </is>
      </c>
      <c r="M342" s="4" t="inlineStr">
        <is>
          <t>contact@foretsduperche.fr</t>
        </is>
      </c>
      <c r="N342" s="4" t="inlineStr">
        <is>
          <t>https://mairielafertevidame.fr/la-communaute-de-communes-des-forets-du-perche/</t>
        </is>
      </c>
      <c r="O342" t="inlineStr"/>
      <c r="P342" s="4" t="inlineStr">
        <is>
          <t>https://lannuaire.service-public.gouv.fr/centre-val-de-loire/eure-et-loir/8ba81e2e-2e5c-4133-b1f3-5fd6153acb7a</t>
        </is>
      </c>
      <c r="Q342" t="inlineStr">
        <is>
          <t>Annuaire Service-public.fr</t>
        </is>
      </c>
      <c r="R342" t="inlineStr"/>
      <c r="S342" t="inlineStr"/>
      <c r="T342" t="inlineStr"/>
    </row>
    <row r="343">
      <c r="A343" t="inlineStr">
        <is>
          <t>CC des Portes Euréliennes d'Ile de France</t>
        </is>
      </c>
      <c r="B343" t="inlineStr">
        <is>
          <t>Communauté de communes</t>
        </is>
      </c>
      <c r="C343" t="inlineStr">
        <is>
          <t>200069953</t>
        </is>
      </c>
      <c r="D343" t="inlineStr">
        <is>
          <t>28</t>
        </is>
      </c>
      <c r="E343" t="inlineStr">
        <is>
          <t>Eure-et-Loir</t>
        </is>
      </c>
      <c r="F343" t="inlineStr">
        <is>
          <t>Centre-Val de Loire</t>
        </is>
      </c>
      <c r="G343" s="3" t="n">
        <v>48698</v>
      </c>
      <c r="H343" t="n">
        <v>39</v>
      </c>
      <c r="I343" t="inlineStr">
        <is>
          <t>22 rue de savonniere</t>
        </is>
      </c>
      <c r="J343" t="inlineStr">
        <is>
          <t>28230</t>
        </is>
      </c>
      <c r="K343" t="inlineStr">
        <is>
          <t>Épernon</t>
        </is>
      </c>
      <c r="L343" t="inlineStr">
        <is>
          <t>02 37 83 49 33</t>
        </is>
      </c>
      <c r="M343" s="4" t="inlineStr">
        <is>
          <t>contact@porteseureliennesidf.fr</t>
        </is>
      </c>
      <c r="N343" s="4" t="inlineStr">
        <is>
          <t>https://www.porteseureliennesidf.fr/</t>
        </is>
      </c>
      <c r="O343" s="4" t="inlineStr">
        <is>
          <t>https://www.porteseureliennesidf.fr/pages/contact-123.html</t>
        </is>
      </c>
      <c r="P343" s="4" t="inlineStr">
        <is>
          <t>https://lannuaire.service-public.gouv.fr/centre-val-de-loire/eure-et-loir/de59be2a-5052-4f01-acb5-cc302ec7a33a</t>
        </is>
      </c>
      <c r="Q343" t="inlineStr">
        <is>
          <t>Annuaire Service-public.fr</t>
        </is>
      </c>
      <c r="R343" t="inlineStr"/>
      <c r="S343" t="inlineStr"/>
      <c r="T343" t="inlineStr"/>
    </row>
    <row r="344">
      <c r="A344" t="inlineStr">
        <is>
          <t>CC du Bonnevalais</t>
        </is>
      </c>
      <c r="B344" t="inlineStr">
        <is>
          <t>Communauté de communes</t>
        </is>
      </c>
      <c r="C344" t="inlineStr">
        <is>
          <t>242852465</t>
        </is>
      </c>
      <c r="D344" t="inlineStr">
        <is>
          <t>28</t>
        </is>
      </c>
      <c r="E344" t="inlineStr">
        <is>
          <t>Eure-et-Loir</t>
        </is>
      </c>
      <c r="F344" t="inlineStr">
        <is>
          <t>Centre-Val de Loire</t>
        </is>
      </c>
      <c r="G344" s="3" t="n">
        <v>12203</v>
      </c>
      <c r="H344" t="n">
        <v>19</v>
      </c>
      <c r="I344" t="inlineStr">
        <is>
          <t>19 rue Saint-Roch</t>
        </is>
      </c>
      <c r="J344" t="inlineStr">
        <is>
          <t>28800</t>
        </is>
      </c>
      <c r="K344" t="inlineStr">
        <is>
          <t>Bonneval</t>
        </is>
      </c>
      <c r="L344" t="inlineStr">
        <is>
          <t>02 37 47 32 56</t>
        </is>
      </c>
      <c r="M344" s="4" t="inlineStr">
        <is>
          <t>accueil@cdcdubonnevalais.fr</t>
        </is>
      </c>
      <c r="N344" s="4" t="inlineStr">
        <is>
          <t>https://www.comcomdubonnevalais.com/</t>
        </is>
      </c>
      <c r="O344" t="inlineStr"/>
      <c r="P344" s="4" t="inlineStr">
        <is>
          <t>https://lannuaire.service-public.gouv.fr/centre-val-de-loire/eure-et-loir/2647a571-faf0-49ee-a84f-d018ce45499f</t>
        </is>
      </c>
      <c r="Q344" t="inlineStr">
        <is>
          <t>Annuaire Service-public.fr</t>
        </is>
      </c>
      <c r="R344" t="inlineStr"/>
      <c r="S344" t="inlineStr"/>
      <c r="T344" t="inlineStr"/>
    </row>
    <row r="345">
      <c r="A345" t="inlineStr">
        <is>
          <t>CC du Grand Châteaudun</t>
        </is>
      </c>
      <c r="B345" t="inlineStr">
        <is>
          <t>Communauté de communes</t>
        </is>
      </c>
      <c r="C345" t="inlineStr">
        <is>
          <t>200069961</t>
        </is>
      </c>
      <c r="D345" t="inlineStr">
        <is>
          <t>28</t>
        </is>
      </c>
      <c r="E345" t="inlineStr">
        <is>
          <t>Eure-et-Loir</t>
        </is>
      </c>
      <c r="F345" t="inlineStr">
        <is>
          <t>Centre-Val de Loire</t>
        </is>
      </c>
      <c r="G345" s="3" t="n">
        <v>39734</v>
      </c>
      <c r="H345" t="n">
        <v>23</v>
      </c>
      <c r="I345" t="inlineStr">
        <is>
          <t>2 route de Blois</t>
        </is>
      </c>
      <c r="J345" t="inlineStr">
        <is>
          <t>28200</t>
        </is>
      </c>
      <c r="K345" t="inlineStr">
        <is>
          <t>Châteaudun</t>
        </is>
      </c>
      <c r="L345" t="inlineStr">
        <is>
          <t>02 37 44 98 94</t>
        </is>
      </c>
      <c r="M345" s="4" t="inlineStr">
        <is>
          <t>contact@grandchateaudun.fr</t>
        </is>
      </c>
      <c r="N345" s="4" t="inlineStr">
        <is>
          <t>https://www.grandchateaudun.fr/</t>
        </is>
      </c>
      <c r="O345" s="4" t="inlineStr">
        <is>
          <t>https://www.grandchateaudun.fr/</t>
        </is>
      </c>
      <c r="P345" s="4" t="inlineStr">
        <is>
          <t>https://lannuaire.service-public.gouv.fr/centre-val-de-loire/eure-et-loir/3d22665f-7143-4f2e-8bc4-7e13064efc13</t>
        </is>
      </c>
      <c r="Q345" t="inlineStr">
        <is>
          <t>Annuaire Service-public.fr</t>
        </is>
      </c>
      <c r="R345" t="inlineStr"/>
      <c r="S345" t="inlineStr"/>
      <c r="T345" t="inlineStr"/>
    </row>
    <row r="346">
      <c r="A346" t="inlineStr">
        <is>
          <t>CC du Perche</t>
        </is>
      </c>
      <c r="B346" t="inlineStr">
        <is>
          <t>Communauté de communes</t>
        </is>
      </c>
      <c r="C346" t="inlineStr">
        <is>
          <t>200006971</t>
        </is>
      </c>
      <c r="D346" t="inlineStr">
        <is>
          <t>28</t>
        </is>
      </c>
      <c r="E346" t="inlineStr">
        <is>
          <t>Eure-et-Loir</t>
        </is>
      </c>
      <c r="F346" t="inlineStr">
        <is>
          <t>Centre-Val de Loire</t>
        </is>
      </c>
      <c r="G346" s="3" t="n">
        <v>17971</v>
      </c>
      <c r="H346" t="n">
        <v>20</v>
      </c>
      <c r="I346" t="inlineStr">
        <is>
          <t>3 rue Doullay</t>
        </is>
      </c>
      <c r="J346" t="inlineStr">
        <is>
          <t>28400</t>
        </is>
      </c>
      <c r="K346" t="inlineStr">
        <is>
          <t>Nogent-le-Rotrou</t>
        </is>
      </c>
      <c r="L346" t="inlineStr">
        <is>
          <t>02 37 52 18 82</t>
        </is>
      </c>
      <c r="M346" s="4" t="inlineStr">
        <is>
          <t>contact@cc-perche.fr</t>
        </is>
      </c>
      <c r="N346" s="4" t="inlineStr">
        <is>
          <t>https://www.cc-perche.fr/</t>
        </is>
      </c>
      <c r="O346" t="inlineStr"/>
      <c r="P346" s="4" t="inlineStr">
        <is>
          <t>https://lannuaire.service-public.gouv.fr/centre-val-de-loire/eure-et-loir/ff4cca9c-0bed-466d-90a3-b2e166e2f897</t>
        </is>
      </c>
      <c r="Q346" t="inlineStr">
        <is>
          <t>Annuaire Service-public.fr</t>
        </is>
      </c>
      <c r="R346" t="inlineStr"/>
      <c r="S346" t="inlineStr"/>
      <c r="T346" t="inlineStr"/>
    </row>
    <row r="347">
      <c r="A347" t="inlineStr">
        <is>
          <t>CC du Pays Houdanais (CCPH)</t>
        </is>
      </c>
      <c r="B347" t="inlineStr">
        <is>
          <t>Communauté de communes</t>
        </is>
      </c>
      <c r="C347" t="inlineStr">
        <is>
          <t>247800550</t>
        </is>
      </c>
      <c r="D347" t="inlineStr">
        <is>
          <t>28, 78</t>
        </is>
      </c>
      <c r="E347" t="inlineStr">
        <is>
          <t>Eure-et-Loir, Yvelines</t>
        </is>
      </c>
      <c r="F347" t="inlineStr">
        <is>
          <t>Île-de-France, Centre-Val de Loire</t>
        </is>
      </c>
      <c r="G347" s="3" t="n">
        <v>30287</v>
      </c>
      <c r="H347" t="n">
        <v>36</v>
      </c>
      <c r="I347" t="inlineStr">
        <is>
          <t>22 porte d'Epernon</t>
        </is>
      </c>
      <c r="J347" t="inlineStr">
        <is>
          <t>78550</t>
        </is>
      </c>
      <c r="K347" t="inlineStr">
        <is>
          <t>Maulette</t>
        </is>
      </c>
      <c r="L347" t="inlineStr">
        <is>
          <t>01 30 46 82 80</t>
        </is>
      </c>
      <c r="M347" s="4" t="inlineStr">
        <is>
          <t>ccph@cc-payshoudanais.fr</t>
        </is>
      </c>
      <c r="N347" s="4" t="inlineStr">
        <is>
          <t>https://www.cc-payshoudanais.fr/</t>
        </is>
      </c>
      <c r="O347" t="inlineStr"/>
      <c r="P347" s="4" t="inlineStr">
        <is>
          <t>https://lannuaire.service-public.gouv.fr/ile-de-france/yvelines/e46b86f5-aa86-477d-9839-0965492089c4</t>
        </is>
      </c>
      <c r="Q347" t="inlineStr">
        <is>
          <t>Annuaire Service-public.fr</t>
        </is>
      </c>
      <c r="R347" t="inlineStr"/>
      <c r="S347" t="inlineStr"/>
      <c r="T347" t="inlineStr"/>
    </row>
    <row r="348">
      <c r="A348" t="inlineStr">
        <is>
          <t>Brest Métropole</t>
        </is>
      </c>
      <c r="B348" t="inlineStr">
        <is>
          <t>Métropole</t>
        </is>
      </c>
      <c r="C348" t="inlineStr">
        <is>
          <t>242900314</t>
        </is>
      </c>
      <c r="D348" t="inlineStr">
        <is>
          <t>29</t>
        </is>
      </c>
      <c r="E348" t="inlineStr">
        <is>
          <t>Finistère</t>
        </is>
      </c>
      <c r="F348" t="inlineStr">
        <is>
          <t>Bretagne</t>
        </is>
      </c>
      <c r="G348" s="3" t="n">
        <v>213403</v>
      </c>
      <c r="H348" t="n">
        <v>8</v>
      </c>
      <c r="I348" t="inlineStr">
        <is>
          <t>24 rue Coat-ar-Guéven</t>
        </is>
      </c>
      <c r="J348" t="inlineStr">
        <is>
          <t>29238</t>
        </is>
      </c>
      <c r="K348" t="inlineStr">
        <is>
          <t>Brest</t>
        </is>
      </c>
      <c r="L348" t="inlineStr">
        <is>
          <t>02 98 33 50 50</t>
        </is>
      </c>
      <c r="M348" s="4" t="inlineStr">
        <is>
          <t>contact@brest-metropole.fr</t>
        </is>
      </c>
      <c r="N348" s="4" t="inlineStr">
        <is>
          <t>https://brest.fr/</t>
        </is>
      </c>
      <c r="O348" s="4" t="inlineStr">
        <is>
          <t>https://brest.fr/contacter-nos-services</t>
        </is>
      </c>
      <c r="P348" s="4" t="inlineStr">
        <is>
          <t>https://lannuaire.service-public.gouv.fr/bretagne/finistere/118a2e23-7918-43f9-a77a-09cf61e56bdf</t>
        </is>
      </c>
      <c r="Q348" t="inlineStr">
        <is>
          <t>Annuaire Service-public.fr</t>
        </is>
      </c>
      <c r="R348" t="inlineStr"/>
      <c r="S348" t="inlineStr"/>
      <c r="T348" t="inlineStr"/>
    </row>
    <row r="349">
      <c r="A349" t="inlineStr">
        <is>
          <t>CA Concarneau Cornouaille Agglomération</t>
        </is>
      </c>
      <c r="B349" t="inlineStr">
        <is>
          <t>Communauté d’agglomération</t>
        </is>
      </c>
      <c r="C349" t="inlineStr">
        <is>
          <t>242900769</t>
        </is>
      </c>
      <c r="D349" t="inlineStr">
        <is>
          <t>29</t>
        </is>
      </c>
      <c r="E349" t="inlineStr">
        <is>
          <t>Finistère</t>
        </is>
      </c>
      <c r="F349" t="inlineStr">
        <is>
          <t>Bretagne</t>
        </is>
      </c>
      <c r="G349" s="3" t="n">
        <v>52012</v>
      </c>
      <c r="H349" t="n">
        <v>9</v>
      </c>
      <c r="I349" t="inlineStr">
        <is>
          <t>1 rue Victor-Schoelcher</t>
        </is>
      </c>
      <c r="J349" t="inlineStr">
        <is>
          <t>29180</t>
        </is>
      </c>
      <c r="K349" t="inlineStr">
        <is>
          <t>Concarneau</t>
        </is>
      </c>
      <c r="L349" t="inlineStr">
        <is>
          <t>02 98 97 71 50</t>
        </is>
      </c>
      <c r="M349" s="4" t="inlineStr">
        <is>
          <t>contact@cca.bzh</t>
        </is>
      </c>
      <c r="N349" s="4" t="inlineStr">
        <is>
          <t>https://www.cca.bzh/</t>
        </is>
      </c>
      <c r="O349" s="4" t="inlineStr">
        <is>
          <t>https://www.cca.bzh/contactez-nous/</t>
        </is>
      </c>
      <c r="P349" s="4" t="inlineStr">
        <is>
          <t>https://lannuaire.service-public.gouv.fr/bretagne/finistere/388f6841-9593-4d2b-96d2-6c42bdc4bb30</t>
        </is>
      </c>
      <c r="Q349" t="inlineStr">
        <is>
          <t>Annuaire Service-public.fr</t>
        </is>
      </c>
      <c r="R349" t="inlineStr"/>
      <c r="S349" t="inlineStr"/>
      <c r="T349" t="inlineStr"/>
    </row>
    <row r="350">
      <c r="A350" t="inlineStr">
        <is>
          <t>CA Morlaix Communauté</t>
        </is>
      </c>
      <c r="B350" t="inlineStr">
        <is>
          <t>Communauté d’agglomération</t>
        </is>
      </c>
      <c r="C350" t="inlineStr">
        <is>
          <t>242900835</t>
        </is>
      </c>
      <c r="D350" t="inlineStr">
        <is>
          <t>29</t>
        </is>
      </c>
      <c r="E350" t="inlineStr">
        <is>
          <t>Finistère</t>
        </is>
      </c>
      <c r="F350" t="inlineStr">
        <is>
          <t>Bretagne</t>
        </is>
      </c>
      <c r="G350" s="3" t="n">
        <v>65507</v>
      </c>
      <c r="H350" t="n">
        <v>26</v>
      </c>
      <c r="I350" t="inlineStr">
        <is>
          <t>2b voie d'accès-au-Port</t>
        </is>
      </c>
      <c r="J350" t="inlineStr">
        <is>
          <t>29600</t>
        </is>
      </c>
      <c r="K350" t="inlineStr">
        <is>
          <t>Morlaix</t>
        </is>
      </c>
      <c r="L350" t="inlineStr">
        <is>
          <t>02 98 15 31 31</t>
        </is>
      </c>
      <c r="M350" s="4" t="inlineStr">
        <is>
          <t>contact@agglo.morlaix.fr</t>
        </is>
      </c>
      <c r="N350" s="4" t="inlineStr">
        <is>
          <t>https://www.morlaix-communaute.bzh/</t>
        </is>
      </c>
      <c r="O350" s="4" t="inlineStr">
        <is>
          <t>https://www.morlaix-communaute.bzh/contact</t>
        </is>
      </c>
      <c r="P350" s="4" t="inlineStr">
        <is>
          <t>https://lannuaire.service-public.gouv.fr/bretagne/finistere/ff97fd39-e15d-4d43-8d8c-0a805d859a72</t>
        </is>
      </c>
      <c r="Q350" t="inlineStr">
        <is>
          <t>Annuaire Service-public.fr</t>
        </is>
      </c>
      <c r="R350" t="inlineStr"/>
      <c r="S350" t="inlineStr"/>
      <c r="T350" t="inlineStr"/>
    </row>
    <row r="351">
      <c r="A351" t="inlineStr">
        <is>
          <t>CA Quimper Bretagne Occidentale</t>
        </is>
      </c>
      <c r="B351" t="inlineStr">
        <is>
          <t>Communauté d’agglomération</t>
        </is>
      </c>
      <c r="C351" t="inlineStr">
        <is>
          <t>200068120</t>
        </is>
      </c>
      <c r="D351" t="inlineStr">
        <is>
          <t>29</t>
        </is>
      </c>
      <c r="E351" t="inlineStr">
        <is>
          <t>Finistère</t>
        </is>
      </c>
      <c r="F351" t="inlineStr">
        <is>
          <t>Bretagne</t>
        </is>
      </c>
      <c r="G351" s="3" t="n">
        <v>102574</v>
      </c>
      <c r="H351" t="n">
        <v>14</v>
      </c>
      <c r="I351" t="inlineStr">
        <is>
          <t>44 place Saint-Corentin, Hôtel de Ville et d'Agglomération, CS 26004</t>
        </is>
      </c>
      <c r="J351" t="inlineStr">
        <is>
          <t>29107</t>
        </is>
      </c>
      <c r="K351" t="inlineStr">
        <is>
          <t>Quimper Cedex</t>
        </is>
      </c>
      <c r="L351" t="inlineStr">
        <is>
          <t>02 98 98 89 89</t>
        </is>
      </c>
      <c r="M351" s="4" t="inlineStr">
        <is>
          <t>contact@quimper.bzh</t>
        </is>
      </c>
      <c r="N351" s="4" t="inlineStr">
        <is>
          <t>https://www.quimper-bretagne-occidentale.bzh/</t>
        </is>
      </c>
      <c r="O351" s="4" t="inlineStr">
        <is>
          <t>https://www.quimper-bretagne-occidentale.bzh/324-contact.htm</t>
        </is>
      </c>
      <c r="P351" s="4" t="inlineStr">
        <is>
          <t>https://lannuaire.service-public.gouv.fr/bretagne/finistere/78d0cdcc-418e-4d60-90cc-df1422330578</t>
        </is>
      </c>
      <c r="Q351" t="inlineStr">
        <is>
          <t>Annuaire Service-public.fr</t>
        </is>
      </c>
      <c r="R351" t="inlineStr"/>
      <c r="S351" t="inlineStr"/>
      <c r="T351" t="inlineStr"/>
    </row>
    <row r="352">
      <c r="A352" t="inlineStr">
        <is>
          <t>CA Quimperlé Communauté</t>
        </is>
      </c>
      <c r="B352" t="inlineStr">
        <is>
          <t>Communauté d’agglomération</t>
        </is>
      </c>
      <c r="C352" t="inlineStr">
        <is>
          <t>242900694</t>
        </is>
      </c>
      <c r="D352" t="inlineStr">
        <is>
          <t>29</t>
        </is>
      </c>
      <c r="E352" t="inlineStr">
        <is>
          <t>Finistère</t>
        </is>
      </c>
      <c r="F352" t="inlineStr">
        <is>
          <t>Bretagne</t>
        </is>
      </c>
      <c r="G352" s="3" t="n">
        <v>56977</v>
      </c>
      <c r="H352" t="n">
        <v>16</v>
      </c>
      <c r="I352" t="inlineStr">
        <is>
          <t>1 rue Andreï-Sakharov, CS 20245</t>
        </is>
      </c>
      <c r="J352" t="inlineStr">
        <is>
          <t>29394</t>
        </is>
      </c>
      <c r="K352" t="inlineStr">
        <is>
          <t>Quimperlé Cedex</t>
        </is>
      </c>
      <c r="L352" t="inlineStr">
        <is>
          <t>02 98 35 09 40</t>
        </is>
      </c>
      <c r="M352" s="4" t="inlineStr">
        <is>
          <t>contact@quimperle-co.bzh</t>
        </is>
      </c>
      <c r="N352" s="4" t="inlineStr">
        <is>
          <t>https://www.quimperle-communaute.bzh/</t>
        </is>
      </c>
      <c r="O352" s="4" t="inlineStr">
        <is>
          <t>https://www.quimperle-communaute.bzh/nous-contacter</t>
        </is>
      </c>
      <c r="P352" s="4" t="inlineStr">
        <is>
          <t>https://lannuaire.service-public.gouv.fr/bretagne/finistere/4a1e25da-8442-4cdf-a6d8-0250aceb67db</t>
        </is>
      </c>
      <c r="Q352" t="inlineStr">
        <is>
          <t>Annuaire Service-public.fr</t>
        </is>
      </c>
      <c r="R352" t="inlineStr"/>
      <c r="S352" t="inlineStr"/>
      <c r="T352" t="inlineStr"/>
    </row>
    <row r="353">
      <c r="A353" t="inlineStr">
        <is>
          <t>CA du Pays de Landerneau-Daoulas</t>
        </is>
      </c>
      <c r="B353" t="inlineStr">
        <is>
          <t>Communauté d’agglomération</t>
        </is>
      </c>
      <c r="C353" t="inlineStr">
        <is>
          <t>242900801</t>
        </is>
      </c>
      <c r="D353" t="inlineStr">
        <is>
          <t>29</t>
        </is>
      </c>
      <c r="E353" t="inlineStr">
        <is>
          <t>Finistère</t>
        </is>
      </c>
      <c r="F353" t="inlineStr">
        <is>
          <t>Bretagne</t>
        </is>
      </c>
      <c r="G353" s="3" t="n">
        <v>49868</v>
      </c>
      <c r="H353" t="n">
        <v>22</v>
      </c>
      <c r="I353" t="inlineStr">
        <is>
          <t>59 rue de Brest, Maison des services publics</t>
        </is>
      </c>
      <c r="J353" t="inlineStr">
        <is>
          <t>29800</t>
        </is>
      </c>
      <c r="K353" t="inlineStr">
        <is>
          <t>Landerneau</t>
        </is>
      </c>
      <c r="L353" t="inlineStr">
        <is>
          <t>02 98 21 37 67</t>
        </is>
      </c>
      <c r="M353" s="4" t="inlineStr">
        <is>
          <t>assemblees@capld.bzh</t>
        </is>
      </c>
      <c r="N353" s="4" t="inlineStr">
        <is>
          <t>https://www.pays-landerneau-daoulas.fr/</t>
        </is>
      </c>
      <c r="O353" s="4" t="inlineStr">
        <is>
          <t>https://www.pays-landerneau-daoulas.fr/systeme/nous-contacter/</t>
        </is>
      </c>
      <c r="P353" s="4" t="inlineStr">
        <is>
          <t>https://lannuaire.service-public.gouv.fr/bretagne/finistere/a2dde166-94fa-4bd3-a957-36c884e81b10</t>
        </is>
      </c>
      <c r="Q353" t="inlineStr">
        <is>
          <t>Annuaire Service-public.fr</t>
        </is>
      </c>
      <c r="R353" t="inlineStr"/>
      <c r="S353" t="inlineStr"/>
      <c r="T353" t="inlineStr"/>
    </row>
    <row r="354">
      <c r="A354" t="inlineStr">
        <is>
          <t>CC Cap Sizun - Pointe du Raz</t>
        </is>
      </c>
      <c r="B354" t="inlineStr">
        <is>
          <t>Communauté de communes</t>
        </is>
      </c>
      <c r="C354" t="inlineStr">
        <is>
          <t>242900629</t>
        </is>
      </c>
      <c r="D354" t="inlineStr">
        <is>
          <t>29</t>
        </is>
      </c>
      <c r="E354" t="inlineStr">
        <is>
          <t>Finistère</t>
        </is>
      </c>
      <c r="F354" t="inlineStr">
        <is>
          <t>Bretagne</t>
        </is>
      </c>
      <c r="G354" s="3" t="n">
        <v>15313</v>
      </c>
      <c r="H354" t="n">
        <v>10</v>
      </c>
      <c r="I354" t="inlineStr">
        <is>
          <t>Rue Renoir</t>
        </is>
      </c>
      <c r="J354" t="inlineStr">
        <is>
          <t>29770</t>
        </is>
      </c>
      <c r="K354" t="inlineStr">
        <is>
          <t>Audierne</t>
        </is>
      </c>
      <c r="L354" t="inlineStr">
        <is>
          <t>02 98 70 16 00</t>
        </is>
      </c>
      <c r="M354" s="4" t="inlineStr">
        <is>
          <t>contactcc@cap-sizun.fr</t>
        </is>
      </c>
      <c r="N354" s="4" t="inlineStr">
        <is>
          <t>http://www.cap-sizun.fr</t>
        </is>
      </c>
      <c r="O354" t="inlineStr"/>
      <c r="P354" s="4" t="inlineStr">
        <is>
          <t>https://lannuaire.service-public.gouv.fr/bretagne/finistere/475aec14-8f6b-4acb-9122-f9f9494fef00</t>
        </is>
      </c>
      <c r="Q354" t="inlineStr">
        <is>
          <t>Annuaire Service-public.fr</t>
        </is>
      </c>
      <c r="R354" t="inlineStr"/>
      <c r="S354" t="inlineStr"/>
      <c r="T354" t="inlineStr"/>
    </row>
    <row r="355">
      <c r="A355" t="inlineStr">
        <is>
          <t>CC Communauté Lesneven Côte des Légendes</t>
        </is>
      </c>
      <c r="B355" t="inlineStr">
        <is>
          <t>Communauté de communes</t>
        </is>
      </c>
      <c r="C355" t="inlineStr">
        <is>
          <t>242900793</t>
        </is>
      </c>
      <c r="D355" t="inlineStr">
        <is>
          <t>29</t>
        </is>
      </c>
      <c r="E355" t="inlineStr">
        <is>
          <t>Finistère</t>
        </is>
      </c>
      <c r="F355" t="inlineStr">
        <is>
          <t>Bretagne</t>
        </is>
      </c>
      <c r="G355" s="3" t="n">
        <v>27619</v>
      </c>
      <c r="H355" t="n">
        <v>14</v>
      </c>
      <c r="I355" t="inlineStr">
        <is>
          <t>12 boulevard des Frères-Lumière</t>
        </is>
      </c>
      <c r="J355" t="inlineStr">
        <is>
          <t>29260</t>
        </is>
      </c>
      <c r="K355" t="inlineStr">
        <is>
          <t>Lesneven</t>
        </is>
      </c>
      <c r="L355" t="inlineStr">
        <is>
          <t>02 98 21 11 77</t>
        </is>
      </c>
      <c r="M355" s="4" t="inlineStr">
        <is>
          <t>contact@clcl.bzh</t>
        </is>
      </c>
      <c r="N355" s="4" t="inlineStr">
        <is>
          <t>https://www.clcl.bzh/</t>
        </is>
      </c>
      <c r="O355" s="4" t="inlineStr">
        <is>
          <t>https://www.clcl.bzh/pratique/formulaire-de-contact</t>
        </is>
      </c>
      <c r="P355" s="4" t="inlineStr">
        <is>
          <t>https://lannuaire.service-public.gouv.fr/bretagne/finistere/3d0bafeb-c328-4370-83a3-c755751bbbb4</t>
        </is>
      </c>
      <c r="Q355" t="inlineStr">
        <is>
          <t>Annuaire Service-public.fr</t>
        </is>
      </c>
      <c r="R355" t="inlineStr"/>
      <c r="S355" t="inlineStr"/>
      <c r="T355" t="inlineStr"/>
    </row>
    <row r="356">
      <c r="A356" t="inlineStr">
        <is>
          <t>CC Douarnenez Communauté</t>
        </is>
      </c>
      <c r="B356" t="inlineStr">
        <is>
          <t>Communauté de communes</t>
        </is>
      </c>
      <c r="C356" t="inlineStr">
        <is>
          <t>242900645</t>
        </is>
      </c>
      <c r="D356" t="inlineStr">
        <is>
          <t>29</t>
        </is>
      </c>
      <c r="E356" t="inlineStr">
        <is>
          <t>Finistère</t>
        </is>
      </c>
      <c r="F356" t="inlineStr">
        <is>
          <t>Bretagne</t>
        </is>
      </c>
      <c r="G356" s="3" t="n">
        <v>18412</v>
      </c>
      <c r="H356" t="n">
        <v>5</v>
      </c>
      <c r="I356" t="inlineStr">
        <is>
          <t>75 rue Ar-Veret</t>
        </is>
      </c>
      <c r="J356" t="inlineStr">
        <is>
          <t>29177</t>
        </is>
      </c>
      <c r="K356" t="inlineStr">
        <is>
          <t>Douarnenez</t>
        </is>
      </c>
      <c r="L356" t="inlineStr">
        <is>
          <t>02 98 74 48 50</t>
        </is>
      </c>
      <c r="M356" s="4" t="inlineStr">
        <is>
          <t>accueil@douarnenez-communaute.fr</t>
        </is>
      </c>
      <c r="N356" s="4" t="inlineStr">
        <is>
          <t>https://www.douarnenez-communaute.fr/</t>
        </is>
      </c>
      <c r="O356" s="4" t="inlineStr">
        <is>
          <t>https://www.douarnenez-communaute.fr/contact/</t>
        </is>
      </c>
      <c r="P356" s="4" t="inlineStr">
        <is>
          <t>https://lannuaire.service-public.gouv.fr/bretagne/finistere/b68e511c-1ab0-4c88-aaa6-4f6ff638e07b</t>
        </is>
      </c>
      <c r="Q356" t="inlineStr">
        <is>
          <t>Annuaire Service-public.fr</t>
        </is>
      </c>
      <c r="R356" t="inlineStr"/>
      <c r="S356" t="inlineStr"/>
      <c r="T356" t="inlineStr"/>
    </row>
    <row r="357">
      <c r="A357" t="inlineStr">
        <is>
          <t>CC Haut-Léon Communauté</t>
        </is>
      </c>
      <c r="B357" t="inlineStr">
        <is>
          <t>Communauté de communes</t>
        </is>
      </c>
      <c r="C357" t="inlineStr">
        <is>
          <t>200067072</t>
        </is>
      </c>
      <c r="D357" t="inlineStr">
        <is>
          <t>29</t>
        </is>
      </c>
      <c r="E357" t="inlineStr">
        <is>
          <t>Finistère</t>
        </is>
      </c>
      <c r="F357" t="inlineStr">
        <is>
          <t>Bretagne</t>
        </is>
      </c>
      <c r="G357" s="3" t="n">
        <v>31706</v>
      </c>
      <c r="H357" t="n">
        <v>14</v>
      </c>
      <c r="I357" t="inlineStr">
        <is>
          <t>29 rue des Carmes</t>
        </is>
      </c>
      <c r="J357" t="inlineStr">
        <is>
          <t>29250</t>
        </is>
      </c>
      <c r="K357" t="inlineStr">
        <is>
          <t>Saint-Pol-de-Léon</t>
        </is>
      </c>
      <c r="L357" t="inlineStr">
        <is>
          <t>02 98 69 10 44</t>
        </is>
      </c>
      <c r="M357" s="4" t="inlineStr">
        <is>
          <t>contact@hlc.bzh</t>
        </is>
      </c>
      <c r="N357" s="4" t="inlineStr">
        <is>
          <t>https://www.hautleoncommunaute.bzh/</t>
        </is>
      </c>
      <c r="O357" s="4" t="inlineStr">
        <is>
          <t>https://www.hautleoncommunaute.bzh/contact/</t>
        </is>
      </c>
      <c r="P357" s="4" t="inlineStr">
        <is>
          <t>https://lannuaire.service-public.gouv.fr/bretagne/finistere/e3ba5e5d-ccf1-43c6-b4cb-71f75301b007</t>
        </is>
      </c>
      <c r="Q357" t="inlineStr">
        <is>
          <t>Annuaire Service-public.fr</t>
        </is>
      </c>
      <c r="R357" t="inlineStr"/>
      <c r="S357" t="inlineStr"/>
      <c r="T357" t="inlineStr"/>
    </row>
    <row r="358">
      <c r="A358" t="inlineStr">
        <is>
          <t>CC Monts d'Arrée Communauté</t>
        </is>
      </c>
      <c r="B358" t="inlineStr">
        <is>
          <t>Communauté de communes</t>
        </is>
      </c>
      <c r="C358" t="inlineStr">
        <is>
          <t>200067197</t>
        </is>
      </c>
      <c r="D358" t="inlineStr">
        <is>
          <t>29</t>
        </is>
      </c>
      <c r="E358" t="inlineStr">
        <is>
          <t>Finistère</t>
        </is>
      </c>
      <c r="F358" t="inlineStr">
        <is>
          <t>Bretagne</t>
        </is>
      </c>
      <c r="G358" s="3" t="n">
        <v>7765</v>
      </c>
      <c r="H358" t="n">
        <v>12</v>
      </c>
      <c r="I358" t="inlineStr">
        <is>
          <t>12 route de Plonevez-du-Faou</t>
        </is>
      </c>
      <c r="J358" t="inlineStr">
        <is>
          <t>29530</t>
        </is>
      </c>
      <c r="K358" t="inlineStr">
        <is>
          <t>Loqueffret</t>
        </is>
      </c>
      <c r="L358" t="inlineStr">
        <is>
          <t>02 98 26 43 99</t>
        </is>
      </c>
      <c r="M358" s="4" t="inlineStr">
        <is>
          <t>contact@lesmontsdarre.bzh</t>
        </is>
      </c>
      <c r="N358" s="4" t="inlineStr">
        <is>
          <t>https://www.lesmontsdarree.fr/</t>
        </is>
      </c>
      <c r="O358" s="4" t="inlineStr">
        <is>
          <t>https://www.lesmontsdarree.fr/contact/</t>
        </is>
      </c>
      <c r="P358" s="4" t="inlineStr">
        <is>
          <t>https://lannuaire.service-public.gouv.fr/bretagne/finistere/a3823fde-810b-4600-b939-b6050c8df83a</t>
        </is>
      </c>
      <c r="Q358" t="inlineStr">
        <is>
          <t>Annuaire Service-public.fr</t>
        </is>
      </c>
      <c r="R358" t="inlineStr"/>
      <c r="S358" t="inlineStr"/>
      <c r="T358" t="inlineStr"/>
    </row>
    <row r="359">
      <c r="A359" t="inlineStr">
        <is>
          <t>CC Pleyben-Châteaulin-Porzay</t>
        </is>
      </c>
      <c r="B359" t="inlineStr">
        <is>
          <t>Communauté de communes</t>
        </is>
      </c>
      <c r="C359" t="inlineStr">
        <is>
          <t>200067247</t>
        </is>
      </c>
      <c r="D359" t="inlineStr">
        <is>
          <t>29</t>
        </is>
      </c>
      <c r="E359" t="inlineStr">
        <is>
          <t>Finistère</t>
        </is>
      </c>
      <c r="F359" t="inlineStr">
        <is>
          <t>Bretagne</t>
        </is>
      </c>
      <c r="G359" s="3" t="n">
        <v>22863</v>
      </c>
      <c r="H359" t="n">
        <v>17</v>
      </c>
      <c r="I359" t="inlineStr">
        <is>
          <t>9 rue Camille-Danguillaume, CS 60043</t>
        </is>
      </c>
      <c r="J359" t="inlineStr">
        <is>
          <t>29150</t>
        </is>
      </c>
      <c r="K359" t="inlineStr">
        <is>
          <t>Châteaulin</t>
        </is>
      </c>
      <c r="L359" t="inlineStr">
        <is>
          <t>02 98 16 14 00</t>
        </is>
      </c>
      <c r="M359" s="4" t="inlineStr">
        <is>
          <t>accueil@ccpcp.bzh</t>
        </is>
      </c>
      <c r="N359" s="4" t="inlineStr">
        <is>
          <t>https://www.ccpcp.bzh/</t>
        </is>
      </c>
      <c r="O359" s="4" t="inlineStr">
        <is>
          <t>https://www.ccpcp.bzh/nous-contacter/</t>
        </is>
      </c>
      <c r="P359" s="4" t="inlineStr">
        <is>
          <t>https://lannuaire.service-public.gouv.fr/bretagne/finistere/3ddb8b8d-998e-42cd-9fcf-ec89844d312d</t>
        </is>
      </c>
      <c r="Q359" t="inlineStr">
        <is>
          <t>Annuaire Service-public.fr</t>
        </is>
      </c>
      <c r="R359" t="inlineStr"/>
      <c r="S359" t="inlineStr"/>
      <c r="T359" t="inlineStr"/>
    </row>
    <row r="360">
      <c r="A360" t="inlineStr">
        <is>
          <t>CC Presqu'île de Crozon-Aulne maritime</t>
        </is>
      </c>
      <c r="B360" t="inlineStr">
        <is>
          <t>Communauté de communes</t>
        </is>
      </c>
      <c r="C360" t="inlineStr">
        <is>
          <t>200066868</t>
        </is>
      </c>
      <c r="D360" t="inlineStr">
        <is>
          <t>29</t>
        </is>
      </c>
      <c r="E360" t="inlineStr">
        <is>
          <t>Finistère</t>
        </is>
      </c>
      <c r="F360" t="inlineStr">
        <is>
          <t>Bretagne</t>
        </is>
      </c>
      <c r="G360" s="3" t="n">
        <v>22603</v>
      </c>
      <c r="H360" t="n">
        <v>10</v>
      </c>
      <c r="I360" t="inlineStr">
        <is>
          <t>ZA de Kerdanvez</t>
        </is>
      </c>
      <c r="J360" t="inlineStr">
        <is>
          <t>29160</t>
        </is>
      </c>
      <c r="K360" t="inlineStr">
        <is>
          <t>Crozon</t>
        </is>
      </c>
      <c r="L360" t="inlineStr">
        <is>
          <t>02 98 27 24 76</t>
        </is>
      </c>
      <c r="M360" s="4" t="inlineStr">
        <is>
          <t>contact@comcom-crozon.bzh</t>
        </is>
      </c>
      <c r="N360" s="4" t="inlineStr">
        <is>
          <t>https://www.comcom-crozon.com/</t>
        </is>
      </c>
      <c r="O360" s="4" t="inlineStr">
        <is>
          <t>https://www.comcom-crozon.com/contact/</t>
        </is>
      </c>
      <c r="P360" s="4" t="inlineStr">
        <is>
          <t>https://lannuaire.service-public.gouv.fr/bretagne/finistere/42576b57-5900-48fc-a903-9a05f981eb78</t>
        </is>
      </c>
      <c r="Q360" t="inlineStr">
        <is>
          <t>Annuaire Service-public.fr</t>
        </is>
      </c>
      <c r="R360" t="inlineStr"/>
      <c r="S360" t="inlineStr"/>
      <c r="T360" t="inlineStr"/>
    </row>
    <row r="361">
      <c r="A361" t="inlineStr">
        <is>
          <t>CC de Haute Cornouaille</t>
        </is>
      </c>
      <c r="B361" t="inlineStr">
        <is>
          <t>Communauté de communes</t>
        </is>
      </c>
      <c r="C361" t="inlineStr">
        <is>
          <t>242900561</t>
        </is>
      </c>
      <c r="D361" t="inlineStr">
        <is>
          <t>29</t>
        </is>
      </c>
      <c r="E361" t="inlineStr">
        <is>
          <t>Finistère</t>
        </is>
      </c>
      <c r="F361" t="inlineStr">
        <is>
          <t>Bretagne</t>
        </is>
      </c>
      <c r="G361" s="3" t="n">
        <v>14917</v>
      </c>
      <c r="H361" t="n">
        <v>11</v>
      </c>
      <c r="I361" t="inlineStr">
        <is>
          <t>6 rue de Morlaix</t>
        </is>
      </c>
      <c r="J361" t="inlineStr">
        <is>
          <t>29520</t>
        </is>
      </c>
      <c r="K361" t="inlineStr">
        <is>
          <t>Châteauneuf-du-Faou</t>
        </is>
      </c>
      <c r="L361" t="inlineStr">
        <is>
          <t>02 98 73 25 36</t>
        </is>
      </c>
      <c r="M361" s="4" t="inlineStr">
        <is>
          <t>contact@haute-cornouaille.bzh</t>
        </is>
      </c>
      <c r="N361" s="4" t="inlineStr">
        <is>
          <t>https://haute-cornouaille.bzh/</t>
        </is>
      </c>
      <c r="O361" s="4" t="inlineStr">
        <is>
          <t>https://haute-cornouaille.bzh/contactez-nous/</t>
        </is>
      </c>
      <c r="P361" s="4" t="inlineStr">
        <is>
          <t>https://lannuaire.service-public.gouv.fr/bretagne/finistere/61fd5fe4-8b25-4e58-b850-cf13a9e1c68e</t>
        </is>
      </c>
      <c r="Q361" t="inlineStr">
        <is>
          <t>Annuaire Service-public.fr</t>
        </is>
      </c>
      <c r="R361" t="inlineStr"/>
      <c r="S361" t="inlineStr"/>
      <c r="T361" t="inlineStr"/>
    </row>
    <row r="362">
      <c r="A362" t="inlineStr">
        <is>
          <t>CC du Haut Pays Bigouden</t>
        </is>
      </c>
      <c r="B362" t="inlineStr">
        <is>
          <t>Communauté de communes</t>
        </is>
      </c>
      <c r="C362" t="inlineStr">
        <is>
          <t>242900710</t>
        </is>
      </c>
      <c r="D362" t="inlineStr">
        <is>
          <t>29</t>
        </is>
      </c>
      <c r="E362" t="inlineStr">
        <is>
          <t>Finistère</t>
        </is>
      </c>
      <c r="F362" t="inlineStr">
        <is>
          <t>Bretagne</t>
        </is>
      </c>
      <c r="G362" s="3" t="n">
        <v>18622</v>
      </c>
      <c r="H362" t="n">
        <v>10</v>
      </c>
      <c r="I362" t="inlineStr">
        <is>
          <t>2 A rue de la Mer</t>
        </is>
      </c>
      <c r="J362" t="inlineStr">
        <is>
          <t>29710</t>
        </is>
      </c>
      <c r="K362" t="inlineStr">
        <is>
          <t>Pouldreuzic</t>
        </is>
      </c>
      <c r="L362" t="inlineStr">
        <is>
          <t>02 98 54 49 04</t>
        </is>
      </c>
      <c r="M362" s="4" t="inlineStr">
        <is>
          <t>info@cchpb.com</t>
        </is>
      </c>
      <c r="N362" s="4" t="inlineStr">
        <is>
          <t>https://www.cchpb.bzh/</t>
        </is>
      </c>
      <c r="O362" t="inlineStr"/>
      <c r="P362" s="4" t="inlineStr">
        <is>
          <t>https://lannuaire.service-public.gouv.fr/bretagne/finistere/cd3d6ae5-b973-404f-83bb-126822020b3d</t>
        </is>
      </c>
      <c r="Q362" t="inlineStr">
        <is>
          <t>Annuaire Service-public.fr</t>
        </is>
      </c>
      <c r="R362" t="inlineStr"/>
      <c r="S362" t="inlineStr"/>
      <c r="T362" t="inlineStr"/>
    </row>
    <row r="363">
      <c r="A363" t="inlineStr">
        <is>
          <t>CC du Pays Bigouden Sud</t>
        </is>
      </c>
      <c r="B363" t="inlineStr">
        <is>
          <t>Communauté de communes</t>
        </is>
      </c>
      <c r="C363" t="inlineStr">
        <is>
          <t>242900702</t>
        </is>
      </c>
      <c r="D363" t="inlineStr">
        <is>
          <t>29</t>
        </is>
      </c>
      <c r="E363" t="inlineStr">
        <is>
          <t>Finistère</t>
        </is>
      </c>
      <c r="F363" t="inlineStr">
        <is>
          <t>Bretagne</t>
        </is>
      </c>
      <c r="G363" s="3" t="n">
        <v>38259</v>
      </c>
      <c r="H363" t="n">
        <v>12</v>
      </c>
      <c r="I363" t="inlineStr">
        <is>
          <t>17 rue Raymonde-Folgoas-Guillou</t>
        </is>
      </c>
      <c r="J363" t="inlineStr">
        <is>
          <t>29120</t>
        </is>
      </c>
      <c r="K363" t="inlineStr">
        <is>
          <t>Pont-l'Abbé</t>
        </is>
      </c>
      <c r="L363" t="inlineStr">
        <is>
          <t>02 98 87 14 42</t>
        </is>
      </c>
      <c r="M363" s="4" t="inlineStr">
        <is>
          <t>contact@ccpbs.fr</t>
        </is>
      </c>
      <c r="N363" s="4" t="inlineStr">
        <is>
          <t>https://www.ccpbs.fr/</t>
        </is>
      </c>
      <c r="O363" s="4" t="inlineStr">
        <is>
          <t>https://www.ccpbs.fr/contact/</t>
        </is>
      </c>
      <c r="P363" s="4" t="inlineStr">
        <is>
          <t>https://lannuaire.service-public.gouv.fr/bretagne/finistere/e92faed0-6868-441a-90e6-b4bc91e6e5e2</t>
        </is>
      </c>
      <c r="Q363" t="inlineStr">
        <is>
          <t>Annuaire Service-public.fr</t>
        </is>
      </c>
      <c r="R363" t="inlineStr"/>
      <c r="S363" t="inlineStr"/>
      <c r="T363" t="inlineStr"/>
    </row>
    <row r="364">
      <c r="A364" t="inlineStr">
        <is>
          <t>CC du Pays Fouesnantais</t>
        </is>
      </c>
      <c r="B364" t="inlineStr">
        <is>
          <t>Communauté de communes</t>
        </is>
      </c>
      <c r="C364" t="inlineStr">
        <is>
          <t>242900660</t>
        </is>
      </c>
      <c r="D364" t="inlineStr">
        <is>
          <t>29</t>
        </is>
      </c>
      <c r="E364" t="inlineStr">
        <is>
          <t>Finistère</t>
        </is>
      </c>
      <c r="F364" t="inlineStr">
        <is>
          <t>Bretagne</t>
        </is>
      </c>
      <c r="G364" s="3" t="n">
        <v>29273</v>
      </c>
      <c r="H364" t="n">
        <v>7</v>
      </c>
      <c r="I364" t="inlineStr">
        <is>
          <t>11 espace Kérourgué</t>
        </is>
      </c>
      <c r="J364" t="inlineStr">
        <is>
          <t>29170</t>
        </is>
      </c>
      <c r="K364" t="inlineStr">
        <is>
          <t>Fouesnant</t>
        </is>
      </c>
      <c r="L364" t="inlineStr">
        <is>
          <t>02 98 51 61 27</t>
        </is>
      </c>
      <c r="M364" s="4" t="inlineStr">
        <is>
          <t>contact@cc-paysfouesnantais.fr</t>
        </is>
      </c>
      <c r="N364" s="4" t="inlineStr">
        <is>
          <t>https://www.cc-paysfouesnantais.fr/</t>
        </is>
      </c>
      <c r="O364" s="4" t="inlineStr">
        <is>
          <t>https://www.cc-paysfouesnantais.fr/systeme/contact/</t>
        </is>
      </c>
      <c r="P364" s="4" t="inlineStr">
        <is>
          <t>https://lannuaire.service-public.gouv.fr/bretagne/finistere/3ad0e9c5-1ecd-4fae-85d4-ab66c38857c1</t>
        </is>
      </c>
      <c r="Q364" t="inlineStr">
        <is>
          <t>Annuaire Service-public.fr</t>
        </is>
      </c>
      <c r="R364" t="inlineStr"/>
      <c r="S364" t="inlineStr"/>
      <c r="T364" t="inlineStr"/>
    </row>
    <row r="365">
      <c r="A365" t="inlineStr">
        <is>
          <t>CC du Pays d'Iroise</t>
        </is>
      </c>
      <c r="B365" t="inlineStr">
        <is>
          <t>Communauté de communes</t>
        </is>
      </c>
      <c r="C365" t="inlineStr">
        <is>
          <t>242900074</t>
        </is>
      </c>
      <c r="D365" t="inlineStr">
        <is>
          <t>29</t>
        </is>
      </c>
      <c r="E365" t="inlineStr">
        <is>
          <t>Finistère</t>
        </is>
      </c>
      <c r="F365" t="inlineStr">
        <is>
          <t>Bretagne</t>
        </is>
      </c>
      <c r="G365" s="3" t="n">
        <v>50017</v>
      </c>
      <c r="H365" t="n">
        <v>19</v>
      </c>
      <c r="I365" t="inlineStr">
        <is>
          <t>Zone de Kerdrioual</t>
        </is>
      </c>
      <c r="J365" t="inlineStr">
        <is>
          <t>29290</t>
        </is>
      </c>
      <c r="K365" t="inlineStr">
        <is>
          <t>Lanrivoaré</t>
        </is>
      </c>
      <c r="L365" t="inlineStr">
        <is>
          <t>02 98 84 28 65</t>
        </is>
      </c>
      <c r="M365" s="4" t="inlineStr">
        <is>
          <t>accueil@ccpi.bzh</t>
        </is>
      </c>
      <c r="N365" s="4" t="inlineStr">
        <is>
          <t>https://www.pays-iroise.bzh/</t>
        </is>
      </c>
      <c r="O365" s="4" t="inlineStr">
        <is>
          <t>https://www.pays-iroise.bzh/contact/</t>
        </is>
      </c>
      <c r="P365" s="4" t="inlineStr">
        <is>
          <t>https://lannuaire.service-public.gouv.fr/bretagne/finistere/c65b4648-b116-407c-9bca-559bd4d021f0</t>
        </is>
      </c>
      <c r="Q365" t="inlineStr">
        <is>
          <t>Annuaire Service-public.fr</t>
        </is>
      </c>
      <c r="R365" t="inlineStr"/>
      <c r="S365" t="inlineStr"/>
      <c r="T365" t="inlineStr"/>
    </row>
    <row r="366">
      <c r="A366" t="inlineStr">
        <is>
          <t>CC du Pays de Landivisiau</t>
        </is>
      </c>
      <c r="B366" t="inlineStr">
        <is>
          <t>Communauté de communes</t>
        </is>
      </c>
      <c r="C366" t="inlineStr">
        <is>
          <t>242900751</t>
        </is>
      </c>
      <c r="D366" t="inlineStr">
        <is>
          <t>29</t>
        </is>
      </c>
      <c r="E366" t="inlineStr">
        <is>
          <t>Finistère</t>
        </is>
      </c>
      <c r="F366" t="inlineStr">
        <is>
          <t>Bretagne</t>
        </is>
      </c>
      <c r="G366" s="3" t="n">
        <v>33667</v>
      </c>
      <c r="H366" t="n">
        <v>19</v>
      </c>
      <c r="I366" t="inlineStr">
        <is>
          <t>Rue Robert-Schumann</t>
        </is>
      </c>
      <c r="J366" t="inlineStr">
        <is>
          <t>29401</t>
        </is>
      </c>
      <c r="K366" t="inlineStr">
        <is>
          <t>Landivisiau</t>
        </is>
      </c>
      <c r="L366" t="inlineStr">
        <is>
          <t>02 98 68 42 41</t>
        </is>
      </c>
      <c r="M366" s="4" t="inlineStr">
        <is>
          <t>contact@paysdelandi.com</t>
        </is>
      </c>
      <c r="N366" s="4" t="inlineStr">
        <is>
          <t>https://www.paysdelandi.com/</t>
        </is>
      </c>
      <c r="O366" s="4" t="inlineStr">
        <is>
          <t>https://www.paysdelandi.com/contact/</t>
        </is>
      </c>
      <c r="P366" s="4" t="inlineStr">
        <is>
          <t>https://lannuaire.service-public.gouv.fr/bretagne/finistere/04041aa2-4bc8-4955-ac5b-e58a74a8c2ef</t>
        </is>
      </c>
      <c r="Q366" t="inlineStr">
        <is>
          <t>Annuaire Service-public.fr</t>
        </is>
      </c>
      <c r="R366" t="inlineStr"/>
      <c r="S366" t="inlineStr"/>
      <c r="T366" t="inlineStr"/>
    </row>
    <row r="367">
      <c r="A367" t="inlineStr">
        <is>
          <t>CC du Pays des Abers</t>
        </is>
      </c>
      <c r="B367" t="inlineStr">
        <is>
          <t>Communauté de communes</t>
        </is>
      </c>
      <c r="C367" t="inlineStr">
        <is>
          <t>242900553</t>
        </is>
      </c>
      <c r="D367" t="inlineStr">
        <is>
          <t>29</t>
        </is>
      </c>
      <c r="E367" t="inlineStr">
        <is>
          <t>Finistère</t>
        </is>
      </c>
      <c r="F367" t="inlineStr">
        <is>
          <t>Bretagne</t>
        </is>
      </c>
      <c r="G367" s="3" t="n">
        <v>42029</v>
      </c>
      <c r="H367" t="n">
        <v>13</v>
      </c>
      <c r="I367" t="inlineStr">
        <is>
          <t>58 avenue de Waltenhofen</t>
        </is>
      </c>
      <c r="J367" t="inlineStr">
        <is>
          <t>29860</t>
        </is>
      </c>
      <c r="K367" t="inlineStr">
        <is>
          <t>Plabennec</t>
        </is>
      </c>
      <c r="L367" t="inlineStr">
        <is>
          <t>02 98 37 66 00</t>
        </is>
      </c>
      <c r="M367" s="4" t="inlineStr">
        <is>
          <t>accueil@pays-des-abers.fr</t>
        </is>
      </c>
      <c r="N367" s="4" t="inlineStr">
        <is>
          <t>https://www.paysdesabers.bzh/</t>
        </is>
      </c>
      <c r="O367" s="4" t="inlineStr">
        <is>
          <t>https://www.paysdesabers.bzh/nous-contacter/</t>
        </is>
      </c>
      <c r="P367" s="4" t="inlineStr">
        <is>
          <t>https://lannuaire.service-public.gouv.fr/bretagne/finistere/208fa09e-2745-4d85-9c4a-92d799f0982f</t>
        </is>
      </c>
      <c r="Q367" t="inlineStr">
        <is>
          <t>Annuaire Service-public.fr</t>
        </is>
      </c>
      <c r="R367" t="inlineStr"/>
      <c r="S367" t="inlineStr"/>
      <c r="T367" t="inlineStr"/>
    </row>
    <row r="368">
      <c r="A368" t="inlineStr">
        <is>
          <t>CA du Pays Ajaccien</t>
        </is>
      </c>
      <c r="B368" t="inlineStr">
        <is>
          <t>Communauté d’agglomération</t>
        </is>
      </c>
      <c r="C368" t="inlineStr">
        <is>
          <t>242010056</t>
        </is>
      </c>
      <c r="D368" t="inlineStr">
        <is>
          <t>2A</t>
        </is>
      </c>
      <c r="E368" t="inlineStr">
        <is>
          <t>Corse-du-Sud</t>
        </is>
      </c>
      <c r="F368" t="inlineStr">
        <is>
          <t>Corse</t>
        </is>
      </c>
      <c r="G368" s="3" t="n">
        <v>92766</v>
      </c>
      <c r="H368" t="n">
        <v>10</v>
      </c>
      <c r="I368" t="inlineStr">
        <is>
          <t>18 rue Antoine-Sollacaro, Espace Alban Bât G et H</t>
        </is>
      </c>
      <c r="J368" t="inlineStr">
        <is>
          <t>20000</t>
        </is>
      </c>
      <c r="K368" t="inlineStr">
        <is>
          <t>Ajaccio</t>
        </is>
      </c>
      <c r="L368" t="inlineStr">
        <is>
          <t>04 95 52 95 00</t>
        </is>
      </c>
      <c r="M368" s="4" t="inlineStr">
        <is>
          <t>contact@ca-ajaccien.fr</t>
        </is>
      </c>
      <c r="N368" s="4" t="inlineStr">
        <is>
          <t>https://www.ca-ajaccien.corsica/</t>
        </is>
      </c>
      <c r="O368" t="inlineStr"/>
      <c r="P368" s="4" t="inlineStr">
        <is>
          <t>https://lannuaire.service-public.gouv.fr/corse/corse-du-sud/6aed69f9-1ea4-4b35-8190-fa6bc29f0899</t>
        </is>
      </c>
      <c r="Q368" t="inlineStr">
        <is>
          <t>Annuaire Service-public.fr</t>
        </is>
      </c>
      <c r="R368" t="inlineStr"/>
      <c r="S368" t="inlineStr"/>
      <c r="T368" t="inlineStr"/>
    </row>
    <row r="369">
      <c r="A369" t="inlineStr">
        <is>
          <t>CC Celavu-Prunelli</t>
        </is>
      </c>
      <c r="B369" t="inlineStr">
        <is>
          <t>Communauté de communes</t>
        </is>
      </c>
      <c r="C369" t="inlineStr">
        <is>
          <t>242000503</t>
        </is>
      </c>
      <c r="D369" t="inlineStr">
        <is>
          <t>2A</t>
        </is>
      </c>
      <c r="E369" t="inlineStr">
        <is>
          <t>Corse-du-Sud</t>
        </is>
      </c>
      <c r="F369" t="inlineStr">
        <is>
          <t>Corse</t>
        </is>
      </c>
      <c r="G369" s="3" t="n">
        <v>9246</v>
      </c>
      <c r="H369" t="n">
        <v>10</v>
      </c>
      <c r="I369" t="inlineStr">
        <is>
          <t>Fontanaccia</t>
        </is>
      </c>
      <c r="J369" t="inlineStr">
        <is>
          <t>20129</t>
        </is>
      </c>
      <c r="K369" t="inlineStr">
        <is>
          <t>Bastelicaesia</t>
        </is>
      </c>
      <c r="L369" t="inlineStr">
        <is>
          <t>04 95 29 19 40</t>
        </is>
      </c>
      <c r="M369" s="4" t="inlineStr">
        <is>
          <t>contact@celavu-prunelli.fr</t>
        </is>
      </c>
      <c r="N369" s="4" t="inlineStr">
        <is>
          <t>https://celavu-prunelli.fr/</t>
        </is>
      </c>
      <c r="O369" t="inlineStr"/>
      <c r="P369" s="4" t="inlineStr">
        <is>
          <t>https://lannuaire.service-public.gouv.fr/corse/corse-du-sud/b764278d-67b6-4e7e-8061-efb9f8670b51</t>
        </is>
      </c>
      <c r="Q369" t="inlineStr">
        <is>
          <t>Annuaire Service-public.fr</t>
        </is>
      </c>
      <c r="R369" t="inlineStr"/>
      <c r="S369" t="inlineStr"/>
      <c r="T369" t="inlineStr"/>
    </row>
    <row r="370">
      <c r="A370" t="inlineStr">
        <is>
          <t>CC Spelunca-Liamone</t>
        </is>
      </c>
      <c r="B370" t="inlineStr">
        <is>
          <t>Communauté de communes</t>
        </is>
      </c>
      <c r="C370" t="inlineStr">
        <is>
          <t>200067049</t>
        </is>
      </c>
      <c r="D370" t="inlineStr">
        <is>
          <t>2A</t>
        </is>
      </c>
      <c r="E370" t="inlineStr">
        <is>
          <t>Corse-du-Sud</t>
        </is>
      </c>
      <c r="F370" t="inlineStr">
        <is>
          <t>Corse</t>
        </is>
      </c>
      <c r="G370" s="3" t="n">
        <v>7815</v>
      </c>
      <c r="H370" t="n">
        <v>33</v>
      </c>
      <c r="I370" t="inlineStr">
        <is>
          <t>Route du Couvent</t>
        </is>
      </c>
      <c r="J370" t="inlineStr">
        <is>
          <t>20160</t>
        </is>
      </c>
      <c r="K370" t="inlineStr">
        <is>
          <t>Vico</t>
        </is>
      </c>
      <c r="L370" t="inlineStr">
        <is>
          <t>04 95 25 12 16</t>
        </is>
      </c>
      <c r="M370" s="4" t="inlineStr">
        <is>
          <t>contact@spelunca-liamone.corsica</t>
        </is>
      </c>
      <c r="N370" s="4" t="inlineStr">
        <is>
          <t>https://spelunca-liamone.corsica/</t>
        </is>
      </c>
      <c r="O370" s="4" t="inlineStr">
        <is>
          <t>https://spelunca-liamone.corsica/contact/</t>
        </is>
      </c>
      <c r="P370" s="4" t="inlineStr">
        <is>
          <t>https://lannuaire.service-public.gouv.fr/corse/corse-du-sud/b720ee0f-73aa-49ac-b317-c8a4a5f75fdc</t>
        </is>
      </c>
      <c r="Q370" t="inlineStr">
        <is>
          <t>Annuaire Service-public.fr</t>
        </is>
      </c>
      <c r="R370" t="inlineStr"/>
      <c r="S370" t="inlineStr"/>
      <c r="T370" t="inlineStr"/>
    </row>
    <row r="371">
      <c r="A371" t="inlineStr">
        <is>
          <t>CC de l'Alta Rocca</t>
        </is>
      </c>
      <c r="B371" t="inlineStr">
        <is>
          <t>Communauté de communes</t>
        </is>
      </c>
      <c r="C371" t="inlineStr">
        <is>
          <t>242000495</t>
        </is>
      </c>
      <c r="D371" t="inlineStr">
        <is>
          <t>2A</t>
        </is>
      </c>
      <c r="E371" t="inlineStr">
        <is>
          <t>Corse-du-Sud</t>
        </is>
      </c>
      <c r="F371" t="inlineStr">
        <is>
          <t>Corse</t>
        </is>
      </c>
      <c r="G371" s="3" t="n">
        <v>8795</v>
      </c>
      <c r="H371" t="n">
        <v>18</v>
      </c>
      <c r="I371" t="inlineStr">
        <is>
          <t>Rue Sorba</t>
        </is>
      </c>
      <c r="J371" t="inlineStr">
        <is>
          <t>20170</t>
        </is>
      </c>
      <c r="K371" t="inlineStr">
        <is>
          <t>Levie</t>
        </is>
      </c>
      <c r="L371" t="inlineStr">
        <is>
          <t>04 95 78 47 93</t>
        </is>
      </c>
      <c r="M371" s="4" t="inlineStr">
        <is>
          <t>secretariat@alta-rocca.com</t>
        </is>
      </c>
      <c r="N371" s="4" t="inlineStr">
        <is>
          <t>https://www.alta-rocca.com/</t>
        </is>
      </c>
      <c r="O371" s="4" t="inlineStr">
        <is>
          <t>https://www.alta-rocca.com/alta-rocca-corse/102-alta-rocca-contact.html</t>
        </is>
      </c>
      <c r="P371" s="4" t="inlineStr">
        <is>
          <t>https://lannuaire.service-public.gouv.fr/corse/corse-du-sud/00b4106d-21c4-4544-a4e8-2cd16e80491e</t>
        </is>
      </c>
      <c r="Q371" t="inlineStr">
        <is>
          <t>Annuaire Service-public.fr</t>
        </is>
      </c>
      <c r="R371" t="inlineStr"/>
      <c r="S371" t="inlineStr"/>
      <c r="T371" t="inlineStr"/>
    </row>
    <row r="372">
      <c r="A372" t="inlineStr">
        <is>
          <t>CC de la Pieve de l'Ornano et du Taravo</t>
        </is>
      </c>
      <c r="B372" t="inlineStr">
        <is>
          <t>Communauté de communes</t>
        </is>
      </c>
      <c r="C372" t="inlineStr">
        <is>
          <t>200038958</t>
        </is>
      </c>
      <c r="D372" t="inlineStr">
        <is>
          <t>2A</t>
        </is>
      </c>
      <c r="E372" t="inlineStr">
        <is>
          <t>Corse-du-Sud</t>
        </is>
      </c>
      <c r="F372" t="inlineStr">
        <is>
          <t>Corse</t>
        </is>
      </c>
      <c r="G372" s="3" t="n">
        <v>13293</v>
      </c>
      <c r="H372" t="n">
        <v>28</v>
      </c>
      <c r="I372" t="inlineStr">
        <is>
          <t>428 boulevard Marie-Jeanne-Bozzi</t>
        </is>
      </c>
      <c r="J372" t="inlineStr">
        <is>
          <t>20166</t>
        </is>
      </c>
      <c r="K372" t="inlineStr">
        <is>
          <t>Porticcio</t>
        </is>
      </c>
      <c r="L372" t="inlineStr">
        <is>
          <t>04 95 23 02 00</t>
        </is>
      </c>
      <c r="M372" s="4" t="inlineStr">
        <is>
          <t>contact@pieveornano.com</t>
        </is>
      </c>
      <c r="N372" s="4" t="inlineStr">
        <is>
          <t>http://www.pieveornano.fr</t>
        </is>
      </c>
      <c r="O372" t="inlineStr"/>
      <c r="P372" s="4" t="inlineStr">
        <is>
          <t>https://lannuaire.service-public.gouv.fr/corse/corse-du-sud/18dd9f65-b530-4234-ad37-d05777b788e0</t>
        </is>
      </c>
      <c r="Q372" t="inlineStr">
        <is>
          <t>Annuaire Service-public.fr</t>
        </is>
      </c>
      <c r="R372" t="inlineStr"/>
      <c r="S372" t="inlineStr"/>
      <c r="T372" t="inlineStr"/>
    </row>
    <row r="373">
      <c r="A373" t="inlineStr">
        <is>
          <t>CC du Sartenais Valinco Taravo</t>
        </is>
      </c>
      <c r="B373" t="inlineStr">
        <is>
          <t>Communauté de communes</t>
        </is>
      </c>
      <c r="C373" t="inlineStr">
        <is>
          <t>242010130</t>
        </is>
      </c>
      <c r="D373" t="inlineStr">
        <is>
          <t>2A</t>
        </is>
      </c>
      <c r="E373" t="inlineStr">
        <is>
          <t>Corse-du-Sud</t>
        </is>
      </c>
      <c r="F373" t="inlineStr">
        <is>
          <t>Corse</t>
        </is>
      </c>
      <c r="G373" s="3" t="n">
        <v>12351</v>
      </c>
      <c r="H373" t="n">
        <v>18</v>
      </c>
      <c r="I373" t="inlineStr">
        <is>
          <t>Avenue Napoléon-III, Maison des douaniers</t>
        </is>
      </c>
      <c r="J373" t="inlineStr">
        <is>
          <t>20110</t>
        </is>
      </c>
      <c r="K373" t="inlineStr">
        <is>
          <t>Propriano</t>
        </is>
      </c>
      <c r="L373" t="inlineStr">
        <is>
          <t>04 95 20 06 34</t>
        </is>
      </c>
      <c r="M373" s="4" t="inlineStr">
        <is>
          <t>contact@sartenaisvalinco.fr</t>
        </is>
      </c>
      <c r="N373" s="4" t="inlineStr">
        <is>
          <t>https://ccsvt.fr/</t>
        </is>
      </c>
      <c r="O373" s="4" t="inlineStr">
        <is>
          <t>https://ccsvt.fr/contact/</t>
        </is>
      </c>
      <c r="P373" s="4" t="inlineStr">
        <is>
          <t>https://lannuaire.service-public.gouv.fr/corse/corse-du-sud/e81b8541-ddc0-4427-bf10-c6e28460368f</t>
        </is>
      </c>
      <c r="Q373" t="inlineStr">
        <is>
          <t>Annuaire Service-public.fr</t>
        </is>
      </c>
      <c r="R373" t="inlineStr"/>
      <c r="S373" t="inlineStr"/>
      <c r="T373" t="inlineStr"/>
    </row>
    <row r="374">
      <c r="A374" t="inlineStr">
        <is>
          <t>CC du Sud Corse</t>
        </is>
      </c>
      <c r="B374" t="inlineStr">
        <is>
          <t>Communauté de communes</t>
        </is>
      </c>
      <c r="C374" t="inlineStr">
        <is>
          <t>200040764</t>
        </is>
      </c>
      <c r="D374" t="inlineStr">
        <is>
          <t>2A</t>
        </is>
      </c>
      <c r="E374" t="inlineStr">
        <is>
          <t>Corse-du-Sud</t>
        </is>
      </c>
      <c r="F374" t="inlineStr">
        <is>
          <t>Corse</t>
        </is>
      </c>
      <c r="G374" s="3" t="n">
        <v>21779</v>
      </c>
      <c r="H374" t="n">
        <v>7</v>
      </c>
      <c r="I374" t="inlineStr">
        <is>
          <t>Rue du Maréchal-Juin, Immeuble Le Sphinx, CS 945</t>
        </is>
      </c>
      <c r="J374" t="inlineStr">
        <is>
          <t>20538</t>
        </is>
      </c>
      <c r="K374" t="inlineStr">
        <is>
          <t>Porto-Vecchio Cedex</t>
        </is>
      </c>
      <c r="L374" t="inlineStr">
        <is>
          <t>04 95 70 73 43</t>
        </is>
      </c>
      <c r="M374" s="4" t="inlineStr">
        <is>
          <t>secretariat.general@cc-sudcorse.fr</t>
        </is>
      </c>
      <c r="N374" s="4" t="inlineStr">
        <is>
          <t>https://www.cc-sudcorse.fr</t>
        </is>
      </c>
      <c r="O374" s="4" t="inlineStr">
        <is>
          <t>https://cc-sudcorse.fr/contactez-nous/</t>
        </is>
      </c>
      <c r="P374" s="4" t="inlineStr">
        <is>
          <t>https://lannuaire.service-public.gouv.fr/corse/corse-du-sud/e18ba497-a79c-4387-b84d-cb47dfec32b3</t>
        </is>
      </c>
      <c r="Q374" t="inlineStr">
        <is>
          <t>Annuaire Service-public.fr</t>
        </is>
      </c>
      <c r="R374" t="inlineStr"/>
      <c r="S374" t="inlineStr"/>
      <c r="T374" t="inlineStr"/>
    </row>
    <row r="375">
      <c r="A375" t="inlineStr">
        <is>
          <t>CA de Bastia</t>
        </is>
      </c>
      <c r="B375" t="inlineStr">
        <is>
          <t>Communauté d’agglomération</t>
        </is>
      </c>
      <c r="C375" t="inlineStr">
        <is>
          <t>242000354</t>
        </is>
      </c>
      <c r="D375" t="inlineStr">
        <is>
          <t>2B</t>
        </is>
      </c>
      <c r="E375" t="inlineStr">
        <is>
          <t>Haute-Corse</t>
        </is>
      </c>
      <c r="F375" t="inlineStr">
        <is>
          <t>Corse</t>
        </is>
      </c>
      <c r="G375" s="3" t="n">
        <v>61920</v>
      </c>
      <c r="H375" t="n">
        <v>5</v>
      </c>
      <c r="I375" t="inlineStr">
        <is>
          <t>Port de Toga</t>
        </is>
      </c>
      <c r="J375" t="inlineStr">
        <is>
          <t>20200</t>
        </is>
      </c>
      <c r="K375" t="inlineStr">
        <is>
          <t>Bastia</t>
        </is>
      </c>
      <c r="L375" t="inlineStr">
        <is>
          <t>04 95 55 18 18</t>
        </is>
      </c>
      <c r="M375" s="4" t="inlineStr">
        <is>
          <t>contact@agglo-bastia.corsica</t>
        </is>
      </c>
      <c r="N375" s="4" t="inlineStr">
        <is>
          <t>https://www.bastia-agglomeration.corsica/</t>
        </is>
      </c>
      <c r="O375" s="4" t="inlineStr">
        <is>
          <t>https://www.bastia-agglomeration.corsica/contact/</t>
        </is>
      </c>
      <c r="P375" s="4" t="inlineStr">
        <is>
          <t>https://lannuaire.service-public.gouv.fr/corse/haute-corse/4d2fa6f9-0111-4544-b42d-45fdd7e8e56b</t>
        </is>
      </c>
      <c r="Q375" t="inlineStr">
        <is>
          <t>Annuaire Service-public.fr</t>
        </is>
      </c>
      <c r="R375" t="inlineStr"/>
      <c r="S375" t="inlineStr"/>
      <c r="T375" t="inlineStr"/>
    </row>
    <row r="376">
      <c r="A376" t="inlineStr">
        <is>
          <t>CC Nebbiu - Conca d'Oro</t>
        </is>
      </c>
      <c r="B376" t="inlineStr">
        <is>
          <t>Communauté de communes</t>
        </is>
      </c>
      <c r="C376" t="inlineStr">
        <is>
          <t>200073120</t>
        </is>
      </c>
      <c r="D376" t="inlineStr">
        <is>
          <t>2B</t>
        </is>
      </c>
      <c r="E376" t="inlineStr">
        <is>
          <t>Haute-Corse</t>
        </is>
      </c>
      <c r="F376" t="inlineStr">
        <is>
          <t>Corse</t>
        </is>
      </c>
      <c r="G376" s="3" t="n">
        <v>7783</v>
      </c>
      <c r="H376" t="n">
        <v>15</v>
      </c>
      <c r="I376" t="inlineStr">
        <is>
          <t>Bâtiment administratif</t>
        </is>
      </c>
      <c r="J376" t="inlineStr">
        <is>
          <t>20217</t>
        </is>
      </c>
      <c r="K376" t="inlineStr">
        <is>
          <t>Saint-Florent</t>
        </is>
      </c>
      <c r="L376" t="inlineStr">
        <is>
          <t>04 95 36 07 69</t>
        </is>
      </c>
      <c r="M376" s="4" t="inlineStr">
        <is>
          <t>ccnebbiuconcadoru@orange.fr</t>
        </is>
      </c>
      <c r="N376" s="4" t="inlineStr">
        <is>
          <t>https://www.ccnebbiuconcadoru.com/</t>
        </is>
      </c>
      <c r="O376" s="4" t="inlineStr">
        <is>
          <t>https://www.ccnebbiuconcadoru.com/fr/contact</t>
        </is>
      </c>
      <c r="P376" s="4" t="inlineStr">
        <is>
          <t>https://lannuaire.service-public.gouv.fr/corse/haute-corse/32c1cb96-ff43-4796-9165-0e2826247bf0</t>
        </is>
      </c>
      <c r="Q376" t="inlineStr">
        <is>
          <t>Annuaire Service-public.fr</t>
        </is>
      </c>
      <c r="R376" t="inlineStr"/>
      <c r="S376" t="inlineStr"/>
      <c r="T376" t="inlineStr"/>
    </row>
    <row r="377">
      <c r="A377" t="inlineStr">
        <is>
          <t>CC Pasquale Paoli</t>
        </is>
      </c>
      <c r="B377" t="inlineStr">
        <is>
          <t>Communauté de communes</t>
        </is>
      </c>
      <c r="C377" t="inlineStr">
        <is>
          <t>200073138</t>
        </is>
      </c>
      <c r="D377" t="inlineStr">
        <is>
          <t>2B</t>
        </is>
      </c>
      <c r="E377" t="inlineStr">
        <is>
          <t>Haute-Corse</t>
        </is>
      </c>
      <c r="F377" t="inlineStr">
        <is>
          <t>Corse</t>
        </is>
      </c>
      <c r="G377" s="3" t="n">
        <v>6117</v>
      </c>
      <c r="H377" t="n">
        <v>42</v>
      </c>
      <c r="I377" t="inlineStr">
        <is>
          <t>Site Prumtei</t>
        </is>
      </c>
      <c r="J377" t="inlineStr">
        <is>
          <t>20236</t>
        </is>
      </c>
      <c r="K377" t="inlineStr">
        <is>
          <t>Omessa</t>
        </is>
      </c>
      <c r="L377" t="inlineStr">
        <is>
          <t>04 95 32 34 08</t>
        </is>
      </c>
      <c r="M377" s="4" t="inlineStr">
        <is>
          <t>secretariat@cc-pasquale-paoli.corsica</t>
        </is>
      </c>
      <c r="N377" s="4" t="inlineStr">
        <is>
          <t>https://cc-pasquale-paoli.com/</t>
        </is>
      </c>
      <c r="O377" t="inlineStr"/>
      <c r="P377" s="4" t="inlineStr">
        <is>
          <t>https://lannuaire.service-public.gouv.fr/corse/haute-corse/cf033f3c-ffbb-49bc-a1c3-ac85f0d15059</t>
        </is>
      </c>
      <c r="Q377" t="inlineStr">
        <is>
          <t>Annuaire Service-public.fr</t>
        </is>
      </c>
      <c r="R377" t="inlineStr"/>
      <c r="S377" t="inlineStr"/>
      <c r="T377" t="inlineStr"/>
    </row>
    <row r="378">
      <c r="A378" t="inlineStr">
        <is>
          <t>CC de Calvi Balagne</t>
        </is>
      </c>
      <c r="B378" t="inlineStr">
        <is>
          <t>Communauté de communes</t>
        </is>
      </c>
      <c r="C378" t="inlineStr">
        <is>
          <t>242020105</t>
        </is>
      </c>
      <c r="D378" t="inlineStr">
        <is>
          <t>2B</t>
        </is>
      </c>
      <c r="E378" t="inlineStr">
        <is>
          <t>Haute-Corse</t>
        </is>
      </c>
      <c r="F378" t="inlineStr">
        <is>
          <t>Corse</t>
        </is>
      </c>
      <c r="G378" s="3" t="n">
        <v>12638</v>
      </c>
      <c r="H378" t="n">
        <v>14</v>
      </c>
      <c r="I378" t="inlineStr">
        <is>
          <t>4 bis avenue du Commandant-Marche</t>
        </is>
      </c>
      <c r="J378" t="inlineStr">
        <is>
          <t>20260</t>
        </is>
      </c>
      <c r="K378" t="inlineStr">
        <is>
          <t>Calvi</t>
        </is>
      </c>
      <c r="L378" t="inlineStr">
        <is>
          <t>04 95 62 88 41</t>
        </is>
      </c>
      <c r="M378" s="4" t="inlineStr">
        <is>
          <t>accueil@cc-calvi-balagne.fr</t>
        </is>
      </c>
      <c r="N378" s="4" t="inlineStr">
        <is>
          <t>http://www.cc-calvi-balagne.fr</t>
        </is>
      </c>
      <c r="O378" t="inlineStr"/>
      <c r="P378" s="4" t="inlineStr">
        <is>
          <t>https://lannuaire.service-public.gouv.fr/corse/haute-corse/32a788ac-44bc-4eeb-b724-0e271ff220d0</t>
        </is>
      </c>
      <c r="Q378" t="inlineStr">
        <is>
          <t>Annuaire Service-public.fr</t>
        </is>
      </c>
      <c r="R378" t="inlineStr"/>
      <c r="S378" t="inlineStr"/>
      <c r="T378" t="inlineStr"/>
    </row>
    <row r="379">
      <c r="A379" t="inlineStr">
        <is>
          <t>CC de Fium'Orbu Castellu</t>
        </is>
      </c>
      <c r="B379" t="inlineStr">
        <is>
          <t>Communauté de communes</t>
        </is>
      </c>
      <c r="C379" t="inlineStr">
        <is>
          <t>200033827</t>
        </is>
      </c>
      <c r="D379" t="inlineStr">
        <is>
          <t>2B</t>
        </is>
      </c>
      <c r="E379" t="inlineStr">
        <is>
          <t>Haute-Corse</t>
        </is>
      </c>
      <c r="F379" t="inlineStr">
        <is>
          <t>Corse</t>
        </is>
      </c>
      <c r="G379" s="3" t="n">
        <v>13280</v>
      </c>
      <c r="H379" t="n">
        <v>13</v>
      </c>
      <c r="I379" t="inlineStr">
        <is>
          <t>675 route de Ghisoni, Ghisonaccia</t>
        </is>
      </c>
      <c r="J379" t="inlineStr">
        <is>
          <t>20240</t>
        </is>
      </c>
      <c r="K379" t="inlineStr">
        <is>
          <t>Ghisonaccia</t>
        </is>
      </c>
      <c r="L379" t="inlineStr">
        <is>
          <t>04 95 56 10 10</t>
        </is>
      </c>
      <c r="M379" s="4" t="inlineStr">
        <is>
          <t>accueil@ccfc.corsica</t>
        </is>
      </c>
      <c r="N379" s="4" t="inlineStr">
        <is>
          <t>https://www.ccfiumorbucastellu.corsica/</t>
        </is>
      </c>
      <c r="O379" t="inlineStr"/>
      <c r="P379" s="4" t="inlineStr">
        <is>
          <t>https://lannuaire.service-public.gouv.fr/corse/haute-corse/a114e5df-17fa-4e20-acc2-7554cac94d8d</t>
        </is>
      </c>
      <c r="Q379" t="inlineStr">
        <is>
          <t>Annuaire Service-public.fr</t>
        </is>
      </c>
      <c r="R379" t="inlineStr"/>
      <c r="S379" t="inlineStr"/>
      <c r="T379" t="inlineStr"/>
    </row>
    <row r="380">
      <c r="A380" t="inlineStr">
        <is>
          <t>CC de Marana-Golo</t>
        </is>
      </c>
      <c r="B380" t="inlineStr">
        <is>
          <t>Communauté de communes</t>
        </is>
      </c>
      <c r="C380" t="inlineStr">
        <is>
          <t>200036499</t>
        </is>
      </c>
      <c r="D380" t="inlineStr">
        <is>
          <t>2B</t>
        </is>
      </c>
      <c r="E380" t="inlineStr">
        <is>
          <t>Haute-Corse</t>
        </is>
      </c>
      <c r="F380" t="inlineStr">
        <is>
          <t>Corse</t>
        </is>
      </c>
      <c r="G380" s="3" t="n">
        <v>25474</v>
      </c>
      <c r="H380" t="n">
        <v>10</v>
      </c>
      <c r="I380" t="inlineStr">
        <is>
          <t>2008 route de l'Aéroport</t>
        </is>
      </c>
      <c r="J380" t="inlineStr">
        <is>
          <t>20290</t>
        </is>
      </c>
      <c r="K380" t="inlineStr">
        <is>
          <t>Lucciana</t>
        </is>
      </c>
      <c r="L380" t="inlineStr">
        <is>
          <t>04 95 58 40 40</t>
        </is>
      </c>
      <c r="M380" s="4" t="inlineStr">
        <is>
          <t>contact@maranagolo.org</t>
        </is>
      </c>
      <c r="N380" s="4" t="inlineStr">
        <is>
          <t>https://maranagolo.org</t>
        </is>
      </c>
      <c r="O380" t="inlineStr"/>
      <c r="P380" s="4" t="inlineStr">
        <is>
          <t>https://lannuaire.service-public.gouv.fr/corse/haute-corse/32a84c9a-b6c6-4406-bbb8-cfed4b0d2526</t>
        </is>
      </c>
      <c r="Q380" t="inlineStr">
        <is>
          <t>Annuaire Service-public.fr</t>
        </is>
      </c>
      <c r="R380" t="inlineStr"/>
      <c r="S380" t="inlineStr"/>
      <c r="T380" t="inlineStr"/>
    </row>
    <row r="381">
      <c r="A381" t="inlineStr">
        <is>
          <t>CC de l'Ile-Rousse - Balagne</t>
        </is>
      </c>
      <c r="B381" t="inlineStr">
        <is>
          <t>Communauté de communes</t>
        </is>
      </c>
      <c r="C381" t="inlineStr">
        <is>
          <t>200073104</t>
        </is>
      </c>
      <c r="D381" t="inlineStr">
        <is>
          <t>2B</t>
        </is>
      </c>
      <c r="E381" t="inlineStr">
        <is>
          <t>Haute-Corse</t>
        </is>
      </c>
      <c r="F381" t="inlineStr">
        <is>
          <t>Corse</t>
        </is>
      </c>
      <c r="G381" s="3" t="n">
        <v>10982</v>
      </c>
      <c r="H381" t="n">
        <v>22</v>
      </c>
      <c r="I381" t="inlineStr">
        <is>
          <t>Lieu-dit E-Padule</t>
        </is>
      </c>
      <c r="J381" t="inlineStr">
        <is>
          <t>20220</t>
        </is>
      </c>
      <c r="K381" t="inlineStr">
        <is>
          <t>L'Île-Rousse</t>
        </is>
      </c>
      <c r="L381" t="inlineStr">
        <is>
          <t>04 95 46 31 34</t>
        </is>
      </c>
      <c r="M381" s="4" t="inlineStr">
        <is>
          <t>contact@ccirb.fr</t>
        </is>
      </c>
      <c r="N381" s="4" t="inlineStr">
        <is>
          <t>https://www.lisula-balagna.fr/</t>
        </is>
      </c>
      <c r="O381" s="4" t="inlineStr">
        <is>
          <t>https://www.lisula-balagna.fr/contact/</t>
        </is>
      </c>
      <c r="P381" s="4" t="inlineStr">
        <is>
          <t>https://lannuaire.service-public.gouv.fr/corse/haute-corse/6fa48813-8b77-40fe-856a-0e577a814cc0</t>
        </is>
      </c>
      <c r="Q381" t="inlineStr">
        <is>
          <t>Annuaire Service-public.fr</t>
        </is>
      </c>
      <c r="R381" t="inlineStr"/>
      <c r="S381" t="inlineStr"/>
      <c r="T381" t="inlineStr"/>
    </row>
    <row r="382">
      <c r="A382" t="inlineStr">
        <is>
          <t>CC de l'Oriente</t>
        </is>
      </c>
      <c r="B382" t="inlineStr">
        <is>
          <t>Communauté de communes</t>
        </is>
      </c>
      <c r="C382" t="inlineStr">
        <is>
          <t>200015162</t>
        </is>
      </c>
      <c r="D382" t="inlineStr">
        <is>
          <t>2B</t>
        </is>
      </c>
      <c r="E382" t="inlineStr">
        <is>
          <t>Haute-Corse</t>
        </is>
      </c>
      <c r="F382" t="inlineStr">
        <is>
          <t>Corse</t>
        </is>
      </c>
      <c r="G382" s="3" t="n">
        <v>6173</v>
      </c>
      <c r="H382" t="n">
        <v>22</v>
      </c>
      <c r="I382" t="inlineStr">
        <is>
          <t>15 cours Charles-Jean-Sarocchi, Cateraggio</t>
        </is>
      </c>
      <c r="J382" t="inlineStr">
        <is>
          <t>20270</t>
        </is>
      </c>
      <c r="K382" t="inlineStr">
        <is>
          <t>Aléria</t>
        </is>
      </c>
      <c r="L382" t="inlineStr">
        <is>
          <t>04 95 57 97 63</t>
        </is>
      </c>
      <c r="M382" s="4" t="inlineStr">
        <is>
          <t>comcomoriente@orange.fr</t>
        </is>
      </c>
      <c r="N382" t="inlineStr"/>
      <c r="O382" s="4" t="inlineStr">
        <is>
          <t>https://oriente.fr/contact-us.html</t>
        </is>
      </c>
      <c r="P382" s="4" t="inlineStr">
        <is>
          <t>https://lannuaire.service-public.gouv.fr/corse/haute-corse/386a0331-ef71-42a2-a361-3dd3e6c1498e</t>
        </is>
      </c>
      <c r="Q382" t="inlineStr">
        <is>
          <t>Annuaire Service-public.fr</t>
        </is>
      </c>
      <c r="R382" t="inlineStr"/>
      <c r="S382" t="inlineStr"/>
      <c r="T382" t="inlineStr"/>
    </row>
    <row r="383">
      <c r="A383" t="inlineStr">
        <is>
          <t>CC de la Castagniccia-Casinca</t>
        </is>
      </c>
      <c r="B383" t="inlineStr">
        <is>
          <t>Communauté de communes</t>
        </is>
      </c>
      <c r="C383" t="inlineStr">
        <is>
          <t>200073252</t>
        </is>
      </c>
      <c r="D383" t="inlineStr">
        <is>
          <t>2B</t>
        </is>
      </c>
      <c r="E383" t="inlineStr">
        <is>
          <t>Haute-Corse</t>
        </is>
      </c>
      <c r="F383" t="inlineStr">
        <is>
          <t>Corse</t>
        </is>
      </c>
      <c r="G383" s="3" t="n">
        <v>13304</v>
      </c>
      <c r="H383" t="n">
        <v>42</v>
      </c>
      <c r="I383" t="inlineStr">
        <is>
          <t>Route du Stade</t>
        </is>
      </c>
      <c r="J383" t="inlineStr">
        <is>
          <t>20215</t>
        </is>
      </c>
      <c r="K383" t="inlineStr">
        <is>
          <t>Vescovato</t>
        </is>
      </c>
      <c r="L383" t="inlineStr">
        <is>
          <t>04 95 30 61 09</t>
        </is>
      </c>
      <c r="M383" s="4" t="inlineStr">
        <is>
          <t>contact@castagnicciacasinca.fr</t>
        </is>
      </c>
      <c r="N383" s="4" t="inlineStr">
        <is>
          <t>https://www.castagnicciacasinca.fr/</t>
        </is>
      </c>
      <c r="O383" s="4" t="inlineStr">
        <is>
          <t>https://www.castagnicciacasinca.fr/fr/contact</t>
        </is>
      </c>
      <c r="P383" s="4" t="inlineStr">
        <is>
          <t>https://lannuaire.service-public.gouv.fr/corse/haute-corse/9c532bbb-6022-49b7-9b78-0ef18c4ca944</t>
        </is>
      </c>
      <c r="Q383" t="inlineStr">
        <is>
          <t>Annuaire Service-public.fr</t>
        </is>
      </c>
      <c r="R383" t="inlineStr"/>
      <c r="S383" t="inlineStr"/>
      <c r="T383" t="inlineStr"/>
    </row>
    <row r="384">
      <c r="A384" t="inlineStr">
        <is>
          <t>CC de la Costa Verde</t>
        </is>
      </c>
      <c r="B384" t="inlineStr">
        <is>
          <t>Communauté de communes</t>
        </is>
      </c>
      <c r="C384" t="inlineStr">
        <is>
          <t>200034205</t>
        </is>
      </c>
      <c r="D384" t="inlineStr">
        <is>
          <t>2B</t>
        </is>
      </c>
      <c r="E384" t="inlineStr">
        <is>
          <t>Haute-Corse</t>
        </is>
      </c>
      <c r="F384" t="inlineStr">
        <is>
          <t>Corse</t>
        </is>
      </c>
      <c r="G384" s="3" t="n">
        <v>10939</v>
      </c>
      <c r="H384" t="n">
        <v>23</v>
      </c>
      <c r="I384" t="inlineStr">
        <is>
          <t>430 route de Moriani, Maison du développement</t>
        </is>
      </c>
      <c r="J384" t="inlineStr">
        <is>
          <t>20230</t>
        </is>
      </c>
      <c r="K384" t="inlineStr">
        <is>
          <t>San-Nicolao</t>
        </is>
      </c>
      <c r="L384" t="inlineStr">
        <is>
          <t>04 95 38 47 39</t>
        </is>
      </c>
      <c r="M384" s="4" t="inlineStr">
        <is>
          <t>contact@costa-verde.fr</t>
        </is>
      </c>
      <c r="N384" s="4" t="inlineStr">
        <is>
          <t>https://www.costa-verde.fr/</t>
        </is>
      </c>
      <c r="O384" s="4" t="inlineStr">
        <is>
          <t>https://www.costa-verde.fr/contact/</t>
        </is>
      </c>
      <c r="P384" s="4" t="inlineStr">
        <is>
          <t>https://lannuaire.service-public.gouv.fr/corse/haute-corse/bb923067-a595-4667-8806-92071602554b</t>
        </is>
      </c>
      <c r="Q384" t="inlineStr">
        <is>
          <t>Annuaire Service-public.fr</t>
        </is>
      </c>
      <c r="R384" t="inlineStr"/>
      <c r="S384" t="inlineStr"/>
      <c r="T384" t="inlineStr"/>
    </row>
    <row r="385">
      <c r="A385" t="inlineStr">
        <is>
          <t>CC du Cap Corse</t>
        </is>
      </c>
      <c r="B385" t="inlineStr">
        <is>
          <t>Communauté de communes</t>
        </is>
      </c>
      <c r="C385" t="inlineStr">
        <is>
          <t>200042943</t>
        </is>
      </c>
      <c r="D385" t="inlineStr">
        <is>
          <t>2B</t>
        </is>
      </c>
      <c r="E385" t="inlineStr">
        <is>
          <t>Haute-Corse</t>
        </is>
      </c>
      <c r="F385" t="inlineStr">
        <is>
          <t>Corse</t>
        </is>
      </c>
      <c r="G385" s="3" t="n">
        <v>6607</v>
      </c>
      <c r="H385" t="n">
        <v>18</v>
      </c>
      <c r="I385" t="inlineStr">
        <is>
          <t>Résidence Les Jardins d'Erbalonga, Bâtiment A et B, U Campu</t>
        </is>
      </c>
      <c r="J385" t="inlineStr">
        <is>
          <t>20222</t>
        </is>
      </c>
      <c r="K385" t="inlineStr">
        <is>
          <t>Brando</t>
        </is>
      </c>
      <c r="L385" t="inlineStr">
        <is>
          <t>04 95 31 02 32</t>
        </is>
      </c>
      <c r="M385" s="4" t="inlineStr">
        <is>
          <t>contact@cc-capcorse.corsica</t>
        </is>
      </c>
      <c r="N385" s="4" t="inlineStr">
        <is>
          <t>https://destination-cap-corse.corsica/</t>
        </is>
      </c>
      <c r="O385" s="4" t="inlineStr">
        <is>
          <t>https://destination-cap-corse.corsica/contact/</t>
        </is>
      </c>
      <c r="P385" s="4" t="inlineStr">
        <is>
          <t>https://lannuaire.service-public.gouv.fr/corse/haute-corse/48580546-1e0c-43df-b7ac-1d2c13b2175e</t>
        </is>
      </c>
      <c r="Q385" t="inlineStr">
        <is>
          <t>Annuaire Service-public.fr</t>
        </is>
      </c>
      <c r="R385" t="inlineStr"/>
      <c r="S385" t="inlineStr"/>
      <c r="T385" t="inlineStr"/>
    </row>
    <row r="386">
      <c r="A386" t="inlineStr">
        <is>
          <t>CC du Centre Corse</t>
        </is>
      </c>
      <c r="B386" t="inlineStr">
        <is>
          <t>Communauté de communes</t>
        </is>
      </c>
      <c r="C386" t="inlineStr">
        <is>
          <t>242020071</t>
        </is>
      </c>
      <c r="D386" t="inlineStr">
        <is>
          <t>2B</t>
        </is>
      </c>
      <c r="E386" t="inlineStr">
        <is>
          <t>Haute-Corse</t>
        </is>
      </c>
      <c r="F386" t="inlineStr">
        <is>
          <t>Corse</t>
        </is>
      </c>
      <c r="G386" s="3" t="n">
        <v>10014</v>
      </c>
      <c r="H386" t="n">
        <v>10</v>
      </c>
      <c r="I386" t="inlineStr">
        <is>
          <t>ZA RT 50</t>
        </is>
      </c>
      <c r="J386" t="inlineStr">
        <is>
          <t>20250</t>
        </is>
      </c>
      <c r="K386" t="inlineStr">
        <is>
          <t>Corte</t>
        </is>
      </c>
      <c r="L386" t="inlineStr">
        <is>
          <t>04 95 47 04 04</t>
        </is>
      </c>
      <c r="M386" s="4" t="inlineStr">
        <is>
          <t>accueil@cccentre-corse.fr</t>
        </is>
      </c>
      <c r="N386" s="4" t="inlineStr">
        <is>
          <t>https://www.centre-corse.com/</t>
        </is>
      </c>
      <c r="O386" t="inlineStr"/>
      <c r="P386" s="4" t="inlineStr">
        <is>
          <t>https://lannuaire.service-public.gouv.fr/corse/haute-corse/3b92c86f-db67-49c1-bf92-7ac679c7482e</t>
        </is>
      </c>
      <c r="Q386" t="inlineStr">
        <is>
          <t>Annuaire Service-public.fr</t>
        </is>
      </c>
      <c r="R386" t="inlineStr"/>
      <c r="S386" t="inlineStr"/>
      <c r="T386" t="inlineStr"/>
    </row>
    <row r="387">
      <c r="A387" t="inlineStr">
        <is>
          <t>CA Alès Agglomération</t>
        </is>
      </c>
      <c r="B387" t="inlineStr">
        <is>
          <t>Communauté d’agglomération</t>
        </is>
      </c>
      <c r="C387" t="inlineStr">
        <is>
          <t>200066918</t>
        </is>
      </c>
      <c r="D387" t="inlineStr">
        <is>
          <t>30</t>
        </is>
      </c>
      <c r="E387" t="inlineStr">
        <is>
          <t>Gard</t>
        </is>
      </c>
      <c r="F387" t="inlineStr">
        <is>
          <t>Occitanie</t>
        </is>
      </c>
      <c r="G387" s="3" t="n">
        <v>135747</v>
      </c>
      <c r="H387" t="n">
        <v>71</v>
      </c>
      <c r="I387" t="inlineStr">
        <is>
          <t>2 rue Michelet, Bâtiment Atome</t>
        </is>
      </c>
      <c r="J387" t="inlineStr">
        <is>
          <t>30100</t>
        </is>
      </c>
      <c r="K387" t="inlineStr">
        <is>
          <t>Alès</t>
        </is>
      </c>
      <c r="L387" t="inlineStr">
        <is>
          <t>04 66 55 84 00</t>
        </is>
      </c>
      <c r="M387" s="4" t="inlineStr">
        <is>
          <t>accueil.atome@alesagglo.fr</t>
        </is>
      </c>
      <c r="N387" s="4" t="inlineStr">
        <is>
          <t>https://www.ales.fr</t>
        </is>
      </c>
      <c r="O387" s="4" t="inlineStr">
        <is>
          <t>https://www.ales.fr/contact/</t>
        </is>
      </c>
      <c r="P387" s="4" t="inlineStr">
        <is>
          <t>https://lannuaire.service-public.gouv.fr/occitanie/gard/8efdd582-964f-4f45-aae2-43f4c29e0503</t>
        </is>
      </c>
      <c r="Q387" t="inlineStr">
        <is>
          <t>Annuaire Service-public.fr</t>
        </is>
      </c>
      <c r="R387" t="inlineStr"/>
      <c r="S387" t="inlineStr"/>
      <c r="T387" t="inlineStr"/>
    </row>
    <row r="388">
      <c r="A388" t="inlineStr">
        <is>
          <t>CA de Nîmes Métropole</t>
        </is>
      </c>
      <c r="B388" t="inlineStr">
        <is>
          <t>Communauté d’agglomération</t>
        </is>
      </c>
      <c r="C388" t="inlineStr">
        <is>
          <t>243000643</t>
        </is>
      </c>
      <c r="D388" t="inlineStr">
        <is>
          <t>30</t>
        </is>
      </c>
      <c r="E388" t="inlineStr">
        <is>
          <t>Gard</t>
        </is>
      </c>
      <c r="F388" t="inlineStr">
        <is>
          <t>Occitanie</t>
        </is>
      </c>
      <c r="G388" s="3" t="n">
        <v>261624</v>
      </c>
      <c r="H388" t="n">
        <v>39</v>
      </c>
      <c r="I388" t="inlineStr">
        <is>
          <t>3 rue du Colisée</t>
        </is>
      </c>
      <c r="J388" t="inlineStr">
        <is>
          <t>30947</t>
        </is>
      </c>
      <c r="K388" t="inlineStr">
        <is>
          <t>Nîmes</t>
        </is>
      </c>
      <c r="L388" t="inlineStr">
        <is>
          <t>04 66 02 55 55</t>
        </is>
      </c>
      <c r="M388" t="inlineStr"/>
      <c r="N388" s="4" t="inlineStr">
        <is>
          <t>https://www.nimes-metropole.fr/accueil.html</t>
        </is>
      </c>
      <c r="O388" s="4" t="inlineStr">
        <is>
          <t>https://www.nimes-metropole.fr/contact-presse.html</t>
        </is>
      </c>
      <c r="P388" s="4" t="inlineStr">
        <is>
          <t>https://lannuaire.service-public.gouv.fr/occitanie/gard/55f805c7-f216-4d91-854c-3924871f20bf</t>
        </is>
      </c>
      <c r="Q388" t="inlineStr">
        <is>
          <t>Annuaire Service-public.fr</t>
        </is>
      </c>
      <c r="R388" t="inlineStr"/>
      <c r="S388" t="inlineStr"/>
      <c r="T388" t="inlineStr"/>
    </row>
    <row r="389">
      <c r="A389" t="inlineStr">
        <is>
          <t>CA du Gard Rhodanien</t>
        </is>
      </c>
      <c r="B389" t="inlineStr">
        <is>
          <t>Communauté d’agglomération</t>
        </is>
      </c>
      <c r="C389" t="inlineStr">
        <is>
          <t>200034692</t>
        </is>
      </c>
      <c r="D389" t="inlineStr">
        <is>
          <t>30</t>
        </is>
      </c>
      <c r="E389" t="inlineStr">
        <is>
          <t>Gard</t>
        </is>
      </c>
      <c r="F389" t="inlineStr">
        <is>
          <t>Occitanie</t>
        </is>
      </c>
      <c r="G389" s="3" t="n">
        <v>75893</v>
      </c>
      <c r="H389" t="n">
        <v>44</v>
      </c>
      <c r="I389" t="inlineStr">
        <is>
          <t>1717 route d'Avignon</t>
        </is>
      </c>
      <c r="J389" t="inlineStr">
        <is>
          <t>30200</t>
        </is>
      </c>
      <c r="K389" t="inlineStr">
        <is>
          <t>Bagnols-sur-Cèze</t>
        </is>
      </c>
      <c r="L389" t="inlineStr">
        <is>
          <t>04 66 79 01 02</t>
        </is>
      </c>
      <c r="M389" s="4" t="inlineStr">
        <is>
          <t>agglo@gardrhodanien.fr</t>
        </is>
      </c>
      <c r="N389" s="4" t="inlineStr">
        <is>
          <t>https://www.gardrhodanien.fr/</t>
        </is>
      </c>
      <c r="O389" s="4" t="inlineStr">
        <is>
          <t>https://www.gardrhodanien.fr/nous-contacter/</t>
        </is>
      </c>
      <c r="P389" s="4" t="inlineStr">
        <is>
          <t>https://lannuaire.service-public.gouv.fr/occitanie/gard/a235555b-17f3-4de5-811b-344dbc127401</t>
        </is>
      </c>
      <c r="Q389" t="inlineStr">
        <is>
          <t>Annuaire Service-public.fr</t>
        </is>
      </c>
      <c r="R389" t="inlineStr"/>
      <c r="S389" t="inlineStr"/>
      <c r="T389" t="inlineStr"/>
    </row>
    <row r="390">
      <c r="A390" t="inlineStr">
        <is>
          <t>CC Beaucaire Terre d'Argence</t>
        </is>
      </c>
      <c r="B390" t="inlineStr">
        <is>
          <t>Communauté de communes</t>
        </is>
      </c>
      <c r="C390" t="inlineStr">
        <is>
          <t>243000585</t>
        </is>
      </c>
      <c r="D390" t="inlineStr">
        <is>
          <t>30</t>
        </is>
      </c>
      <c r="E390" t="inlineStr">
        <is>
          <t>Gard</t>
        </is>
      </c>
      <c r="F390" t="inlineStr">
        <is>
          <t>Occitanie</t>
        </is>
      </c>
      <c r="G390" s="3" t="n">
        <v>31587</v>
      </c>
      <c r="H390" t="n">
        <v>5</v>
      </c>
      <c r="I390" t="inlineStr">
        <is>
          <t>1 avenue de la Croix-Blanche</t>
        </is>
      </c>
      <c r="J390" t="inlineStr">
        <is>
          <t>30300</t>
        </is>
      </c>
      <c r="K390" t="inlineStr">
        <is>
          <t>Beaucaire</t>
        </is>
      </c>
      <c r="L390" t="inlineStr">
        <is>
          <t>04 66 59 54 54</t>
        </is>
      </c>
      <c r="M390" s="4" t="inlineStr">
        <is>
          <t>contact@laterredargence.fr</t>
        </is>
      </c>
      <c r="N390" s="4" t="inlineStr">
        <is>
          <t>http://www.laterredargence.fr</t>
        </is>
      </c>
      <c r="O390" t="inlineStr"/>
      <c r="P390" s="4" t="inlineStr">
        <is>
          <t>https://lannuaire.service-public.gouv.fr/occitanie/gard/5c55bac6-ee9d-4bbd-9eff-86a1c2ef4670</t>
        </is>
      </c>
      <c r="Q390" t="inlineStr">
        <is>
          <t>Annuaire Service-public.fr</t>
        </is>
      </c>
      <c r="R390" t="inlineStr"/>
      <c r="S390" t="inlineStr"/>
      <c r="T390" t="inlineStr"/>
    </row>
    <row r="391">
      <c r="A391" t="inlineStr">
        <is>
          <t>CC Causses Aigoual Cévennes</t>
        </is>
      </c>
      <c r="B391" t="inlineStr">
        <is>
          <t>Communauté de communes</t>
        </is>
      </c>
      <c r="C391" t="inlineStr">
        <is>
          <t>200034601</t>
        </is>
      </c>
      <c r="D391" t="inlineStr">
        <is>
          <t>30</t>
        </is>
      </c>
      <c r="E391" t="inlineStr">
        <is>
          <t>Gard</t>
        </is>
      </c>
      <c r="F391" t="inlineStr">
        <is>
          <t>Occitanie</t>
        </is>
      </c>
      <c r="G391" s="3" t="n">
        <v>5391</v>
      </c>
      <c r="H391" t="n">
        <v>15</v>
      </c>
      <c r="I391" t="inlineStr">
        <is>
          <t>83 avenue Georges Fabre, L'Ésperou</t>
        </is>
      </c>
      <c r="J391" t="inlineStr">
        <is>
          <t>30570</t>
        </is>
      </c>
      <c r="K391" t="inlineStr">
        <is>
          <t>Val d'Aigoual</t>
        </is>
      </c>
      <c r="L391" t="inlineStr">
        <is>
          <t>04 67 82 73 79</t>
        </is>
      </c>
      <c r="M391" s="4" t="inlineStr">
        <is>
          <t>c.c@cac-ts.com</t>
        </is>
      </c>
      <c r="N391" s="4" t="inlineStr">
        <is>
          <t>https://caussesaigoualcevennes.fr/</t>
        </is>
      </c>
      <c r="O391" s="4" t="inlineStr">
        <is>
          <t>https://caussesaigoualcevennes.fr/contact/</t>
        </is>
      </c>
      <c r="P391" s="4" t="inlineStr">
        <is>
          <t>https://lannuaire.service-public.gouv.fr/occitanie/gard/9392a24e-eebc-4b6e-baf2-96825e537609</t>
        </is>
      </c>
      <c r="Q391" t="inlineStr">
        <is>
          <t>Annuaire Service-public.fr</t>
        </is>
      </c>
      <c r="R391" t="inlineStr"/>
      <c r="S391" t="inlineStr"/>
      <c r="T391" t="inlineStr"/>
    </row>
    <row r="392">
      <c r="A392" t="inlineStr">
        <is>
          <t>CC Pays d'Uzès</t>
        </is>
      </c>
      <c r="B392" t="inlineStr">
        <is>
          <t>Communauté de communes</t>
        </is>
      </c>
      <c r="C392" t="inlineStr">
        <is>
          <t>200034379</t>
        </is>
      </c>
      <c r="D392" t="inlineStr">
        <is>
          <t>30</t>
        </is>
      </c>
      <c r="E392" t="inlineStr">
        <is>
          <t>Gard</t>
        </is>
      </c>
      <c r="F392" t="inlineStr">
        <is>
          <t>Occitanie</t>
        </is>
      </c>
      <c r="G392" s="3" t="n">
        <v>30894</v>
      </c>
      <c r="H392" t="n">
        <v>35</v>
      </c>
      <c r="I392" t="inlineStr">
        <is>
          <t>9 avenue du 8-Mai-1945, BP 33122</t>
        </is>
      </c>
      <c r="J392" t="inlineStr">
        <is>
          <t>30703</t>
        </is>
      </c>
      <c r="K392" t="inlineStr">
        <is>
          <t>Uzès Cedex</t>
        </is>
      </c>
      <c r="L392" t="inlineStr">
        <is>
          <t>04 66 03 09 00</t>
        </is>
      </c>
      <c r="M392" s="4" t="inlineStr">
        <is>
          <t>contact@ccpaysduzes.fr</t>
        </is>
      </c>
      <c r="N392" s="4" t="inlineStr">
        <is>
          <t>https://www.ccpaysduzes.fr/</t>
        </is>
      </c>
      <c r="O392" s="4" t="inlineStr">
        <is>
          <t>https://www.ccpaysduzes.fr/contact.html</t>
        </is>
      </c>
      <c r="P392" s="4" t="inlineStr">
        <is>
          <t>https://lannuaire.service-public.gouv.fr/occitanie/gard/32caa9c3-622e-4b2c-bbf9-c8d0772b872d</t>
        </is>
      </c>
      <c r="Q392" t="inlineStr">
        <is>
          <t>Annuaire Service-public.fr</t>
        </is>
      </c>
      <c r="R392" t="inlineStr"/>
      <c r="S392" t="inlineStr"/>
      <c r="T392" t="inlineStr"/>
    </row>
    <row r="393">
      <c r="A393" t="inlineStr">
        <is>
          <t>CC Rhony, Vistre, Vidourle</t>
        </is>
      </c>
      <c r="B393" t="inlineStr">
        <is>
          <t>Communauté de communes</t>
        </is>
      </c>
      <c r="C393" t="inlineStr">
        <is>
          <t>243000569</t>
        </is>
      </c>
      <c r="D393" t="inlineStr">
        <is>
          <t>30</t>
        </is>
      </c>
      <c r="E393" t="inlineStr">
        <is>
          <t>Gard</t>
        </is>
      </c>
      <c r="F393" t="inlineStr">
        <is>
          <t>Occitanie</t>
        </is>
      </c>
      <c r="G393" s="3" t="n">
        <v>28710</v>
      </c>
      <c r="H393" t="n">
        <v>10</v>
      </c>
      <c r="I393" t="inlineStr">
        <is>
          <t>2 avenue de la Fontanisse</t>
        </is>
      </c>
      <c r="J393" t="inlineStr">
        <is>
          <t>30660</t>
        </is>
      </c>
      <c r="K393" t="inlineStr">
        <is>
          <t>Gallargues-le-Montueux</t>
        </is>
      </c>
      <c r="L393" t="inlineStr">
        <is>
          <t>04 66 35 55 55</t>
        </is>
      </c>
      <c r="M393" s="4" t="inlineStr">
        <is>
          <t>accueil@ccrvv.fr</t>
        </is>
      </c>
      <c r="N393" s="4" t="inlineStr">
        <is>
          <t>https://www.ccrvv.fr/</t>
        </is>
      </c>
      <c r="O393" s="4" t="inlineStr">
        <is>
          <t>https://www.ccrvv.fr/communaute-de-communes/restons-connectes/contact-horaires?view=form&amp;id=1</t>
        </is>
      </c>
      <c r="P393" s="4" t="inlineStr">
        <is>
          <t>https://lannuaire.service-public.gouv.fr/occitanie/gard/724f08cd-8fbf-4a00-ae4b-f1f47c0e5693</t>
        </is>
      </c>
      <c r="Q393" t="inlineStr">
        <is>
          <t>Annuaire Service-public.fr</t>
        </is>
      </c>
      <c r="R393" t="inlineStr"/>
      <c r="S393" t="inlineStr"/>
      <c r="T393" t="inlineStr"/>
    </row>
    <row r="394">
      <c r="A394" t="inlineStr">
        <is>
          <t>CC Terre de Camargue</t>
        </is>
      </c>
      <c r="B394" t="inlineStr">
        <is>
          <t>Communauté de communes</t>
        </is>
      </c>
      <c r="C394" t="inlineStr">
        <is>
          <t>243000650</t>
        </is>
      </c>
      <c r="D394" t="inlineStr">
        <is>
          <t>30</t>
        </is>
      </c>
      <c r="E394" t="inlineStr">
        <is>
          <t>Gard</t>
        </is>
      </c>
      <c r="F394" t="inlineStr">
        <is>
          <t>Occitanie</t>
        </is>
      </c>
      <c r="G394" s="3" t="n">
        <v>20871</v>
      </c>
      <c r="H394" t="n">
        <v>3</v>
      </c>
      <c r="I394" t="inlineStr">
        <is>
          <t>13 rue du Port</t>
        </is>
      </c>
      <c r="J394" t="inlineStr">
        <is>
          <t>30220</t>
        </is>
      </c>
      <c r="K394" t="inlineStr">
        <is>
          <t>Aigues-Mortes</t>
        </is>
      </c>
      <c r="L394" t="inlineStr">
        <is>
          <t>04 66 73 91 20</t>
        </is>
      </c>
      <c r="M394" s="4" t="inlineStr">
        <is>
          <t>cc@terredecamargue.fr</t>
        </is>
      </c>
      <c r="N394" s="4" t="inlineStr">
        <is>
          <t>https://www.terredecamargue.fr/</t>
        </is>
      </c>
      <c r="O394" t="inlineStr"/>
      <c r="P394" s="4" t="inlineStr">
        <is>
          <t>https://lannuaire.service-public.gouv.fr/occitanie/gard/d2bfa47d-3329-4587-a232-93226240b517</t>
        </is>
      </c>
      <c r="Q394" t="inlineStr">
        <is>
          <t>Annuaire Service-public.fr</t>
        </is>
      </c>
      <c r="R394" t="inlineStr"/>
      <c r="S394" t="inlineStr"/>
      <c r="T394" t="inlineStr"/>
    </row>
    <row r="395">
      <c r="A395" t="inlineStr">
        <is>
          <t>CC de Petite Camargue</t>
        </is>
      </c>
      <c r="B395" t="inlineStr">
        <is>
          <t>Communauté de communes</t>
        </is>
      </c>
      <c r="C395" t="inlineStr">
        <is>
          <t>243000593</t>
        </is>
      </c>
      <c r="D395" t="inlineStr">
        <is>
          <t>30</t>
        </is>
      </c>
      <c r="E395" t="inlineStr">
        <is>
          <t>Gard</t>
        </is>
      </c>
      <c r="F395" t="inlineStr">
        <is>
          <t>Occitanie</t>
        </is>
      </c>
      <c r="G395" s="3" t="n">
        <v>28263</v>
      </c>
      <c r="H395" t="n">
        <v>5</v>
      </c>
      <c r="I395" t="inlineStr">
        <is>
          <t>145 avenue de la Condamine</t>
        </is>
      </c>
      <c r="J395" t="inlineStr">
        <is>
          <t>30600</t>
        </is>
      </c>
      <c r="K395" t="inlineStr">
        <is>
          <t>Vauvert</t>
        </is>
      </c>
      <c r="L395" t="inlineStr">
        <is>
          <t>04 66 51 19 20</t>
        </is>
      </c>
      <c r="M395" s="4" t="inlineStr">
        <is>
          <t>contact@petitecamargue.fr</t>
        </is>
      </c>
      <c r="N395" s="4" t="inlineStr">
        <is>
          <t>https://www.petitecamargue.fr/</t>
        </is>
      </c>
      <c r="O395" s="4" t="inlineStr">
        <is>
          <t>https://www.petitecamargue.fr/contact-communaute-communes-camargue/</t>
        </is>
      </c>
      <c r="P395" s="4" t="inlineStr">
        <is>
          <t>https://lannuaire.service-public.gouv.fr/occitanie/gard/c73843a4-cadb-4255-b368-5b2df92128ca</t>
        </is>
      </c>
      <c r="Q395" t="inlineStr">
        <is>
          <t>Annuaire Service-public.fr</t>
        </is>
      </c>
      <c r="R395" t="inlineStr"/>
      <c r="S395" t="inlineStr"/>
      <c r="T395" t="inlineStr"/>
    </row>
    <row r="396">
      <c r="A396" t="inlineStr">
        <is>
          <t>CC du Pays Viganais</t>
        </is>
      </c>
      <c r="B396" t="inlineStr">
        <is>
          <t>Communauté de communes</t>
        </is>
      </c>
      <c r="C396" t="inlineStr">
        <is>
          <t>243000270</t>
        </is>
      </c>
      <c r="D396" t="inlineStr">
        <is>
          <t>30</t>
        </is>
      </c>
      <c r="E396" t="inlineStr">
        <is>
          <t>Gard</t>
        </is>
      </c>
      <c r="F396" t="inlineStr">
        <is>
          <t>Occitanie</t>
        </is>
      </c>
      <c r="G396" s="3" t="n">
        <v>10025</v>
      </c>
      <c r="H396" t="n">
        <v>21</v>
      </c>
      <c r="I396" t="inlineStr">
        <is>
          <t>3 avenue Sergent-Triaire, Maison de l'intercommunalité</t>
        </is>
      </c>
      <c r="J396" t="inlineStr">
        <is>
          <t>30120</t>
        </is>
      </c>
      <c r="K396" t="inlineStr">
        <is>
          <t>Le Vigan</t>
        </is>
      </c>
      <c r="L396" t="inlineStr">
        <is>
          <t>04 99 54 27 00</t>
        </is>
      </c>
      <c r="M396" s="4" t="inlineStr">
        <is>
          <t>infos@cc-paysviganais.fr</t>
        </is>
      </c>
      <c r="N396" s="4" t="inlineStr">
        <is>
          <t>https://www.cc-paysviganais.fr/</t>
        </is>
      </c>
      <c r="O396" s="4" t="inlineStr">
        <is>
          <t>https://www.cc-paysviganais.fr/systeme/nous-contacter/</t>
        </is>
      </c>
      <c r="P396" s="4" t="inlineStr">
        <is>
          <t>https://lannuaire.service-public.gouv.fr/occitanie/gard/56d9ca2f-e68d-4ffb-b7a8-26460657dead</t>
        </is>
      </c>
      <c r="Q396" t="inlineStr">
        <is>
          <t>Annuaire Service-public.fr</t>
        </is>
      </c>
      <c r="R396" t="inlineStr"/>
      <c r="S396" t="inlineStr"/>
      <c r="T396" t="inlineStr"/>
    </row>
    <row r="397">
      <c r="A397" t="inlineStr">
        <is>
          <t>CC du Pays de Sommières</t>
        </is>
      </c>
      <c r="B397" t="inlineStr">
        <is>
          <t>Communauté de communes</t>
        </is>
      </c>
      <c r="C397" t="inlineStr">
        <is>
          <t>243000296</t>
        </is>
      </c>
      <c r="D397" t="inlineStr">
        <is>
          <t>30</t>
        </is>
      </c>
      <c r="E397" t="inlineStr">
        <is>
          <t>Gard</t>
        </is>
      </c>
      <c r="F397" t="inlineStr">
        <is>
          <t>Occitanie</t>
        </is>
      </c>
      <c r="G397" s="3" t="n">
        <v>24802</v>
      </c>
      <c r="H397" t="n">
        <v>18</v>
      </c>
      <c r="I397" t="inlineStr">
        <is>
          <t>21 rue de la Socomi, ZAC de lArnède</t>
        </is>
      </c>
      <c r="J397" t="inlineStr">
        <is>
          <t>30250</t>
        </is>
      </c>
      <c r="K397" t="inlineStr">
        <is>
          <t>Sommières</t>
        </is>
      </c>
      <c r="L397" t="inlineStr">
        <is>
          <t>04 66 77 70 39</t>
        </is>
      </c>
      <c r="M397" s="4" t="inlineStr">
        <is>
          <t>contact@ccpaysdesommieres.fr</t>
        </is>
      </c>
      <c r="N397" s="4" t="inlineStr">
        <is>
          <t>https://www.ccpaysdesommieres.fr/</t>
        </is>
      </c>
      <c r="O397" s="4" t="inlineStr">
        <is>
          <t>https://www.ccpaysdesommieres.fr/nous-contacter/</t>
        </is>
      </c>
      <c r="P397" s="4" t="inlineStr">
        <is>
          <t>https://lannuaire.service-public.gouv.fr/occitanie/gard/8c6f29cf-8310-4b06-a149-aa6497210883</t>
        </is>
      </c>
      <c r="Q397" t="inlineStr">
        <is>
          <t>Annuaire Service-public.fr</t>
        </is>
      </c>
      <c r="R397" t="inlineStr"/>
      <c r="S397" t="inlineStr"/>
      <c r="T397" t="inlineStr"/>
    </row>
    <row r="398">
      <c r="A398" t="inlineStr">
        <is>
          <t>CC du Piémont Cévenol</t>
        </is>
      </c>
      <c r="B398" t="inlineStr">
        <is>
          <t>Communauté de communes</t>
        </is>
      </c>
      <c r="C398" t="inlineStr">
        <is>
          <t>200034411</t>
        </is>
      </c>
      <c r="D398" t="inlineStr">
        <is>
          <t>30</t>
        </is>
      </c>
      <c r="E398" t="inlineStr">
        <is>
          <t>Gard</t>
        </is>
      </c>
      <c r="F398" t="inlineStr">
        <is>
          <t>Occitanie</t>
        </is>
      </c>
      <c r="G398" s="3" t="n">
        <v>22529</v>
      </c>
      <c r="H398" t="n">
        <v>34</v>
      </c>
      <c r="I398" t="inlineStr">
        <is>
          <t>13 bis rue du Docteur-Rocheblave</t>
        </is>
      </c>
      <c r="J398" t="inlineStr">
        <is>
          <t>30260</t>
        </is>
      </c>
      <c r="K398" t="inlineStr">
        <is>
          <t>Quissac</t>
        </is>
      </c>
      <c r="L398" t="inlineStr">
        <is>
          <t>04 66 93 06 12</t>
        </is>
      </c>
      <c r="M398" s="4" t="inlineStr">
        <is>
          <t>contact@piemont-cevenol.fr</t>
        </is>
      </c>
      <c r="N398" s="4" t="inlineStr">
        <is>
          <t>https://www.piemont-cevenol.fr/</t>
        </is>
      </c>
      <c r="O398" s="4" t="inlineStr">
        <is>
          <t>https://www.piemont-cevenol.fr/nous-contacter/</t>
        </is>
      </c>
      <c r="P398" s="4" t="inlineStr">
        <is>
          <t>https://lannuaire.service-public.gouv.fr/occitanie/gard/c66e3edd-50ad-4a6a-9929-f8b983fe6a4f</t>
        </is>
      </c>
      <c r="Q398" t="inlineStr">
        <is>
          <t>Annuaire Service-public.fr</t>
        </is>
      </c>
      <c r="R398" t="inlineStr"/>
      <c r="S398" t="inlineStr"/>
      <c r="T398" t="inlineStr"/>
    </row>
    <row r="399">
      <c r="A399" t="inlineStr">
        <is>
          <t>CC du Pont du Gard</t>
        </is>
      </c>
      <c r="B399" t="inlineStr">
        <is>
          <t>Communauté de communes</t>
        </is>
      </c>
      <c r="C399" t="inlineStr">
        <is>
          <t>243000684</t>
        </is>
      </c>
      <c r="D399" t="inlineStr">
        <is>
          <t>30</t>
        </is>
      </c>
      <c r="E399" t="inlineStr">
        <is>
          <t>Gard</t>
        </is>
      </c>
      <c r="F399" t="inlineStr">
        <is>
          <t>Occitanie</t>
        </is>
      </c>
      <c r="G399" s="3" t="n">
        <v>23624</v>
      </c>
      <c r="H399" t="n">
        <v>15</v>
      </c>
      <c r="I399" t="inlineStr">
        <is>
          <t>21 bis avenue du Pont-du-Gard</t>
        </is>
      </c>
      <c r="J399" t="inlineStr">
        <is>
          <t>30210</t>
        </is>
      </c>
      <c r="K399" t="inlineStr">
        <is>
          <t>Remoulins</t>
        </is>
      </c>
      <c r="L399" t="inlineStr">
        <is>
          <t>04 66 37 67 67</t>
        </is>
      </c>
      <c r="M399" s="4" t="inlineStr">
        <is>
          <t>contact@cc-pontdugard.fr</t>
        </is>
      </c>
      <c r="N399" s="4" t="inlineStr">
        <is>
          <t>https://www.cc-pontdugard.fr/</t>
        </is>
      </c>
      <c r="O399" s="4" t="inlineStr">
        <is>
          <t>https://www.cc-pontdugard.fr/90-contacts.htm</t>
        </is>
      </c>
      <c r="P399" s="4" t="inlineStr">
        <is>
          <t>https://lannuaire.service-public.gouv.fr/occitanie/gard/a0ccf4d8-2230-487e-beee-54b64c6da782</t>
        </is>
      </c>
      <c r="Q399" t="inlineStr">
        <is>
          <t>Annuaire Service-public.fr</t>
        </is>
      </c>
      <c r="R399" t="inlineStr"/>
      <c r="S399" t="inlineStr"/>
      <c r="T399" t="inlineStr"/>
    </row>
    <row r="400">
      <c r="A400" t="inlineStr">
        <is>
          <t>CC des Cévennes Gangeoises et Suménoises</t>
        </is>
      </c>
      <c r="B400" t="inlineStr">
        <is>
          <t>Communauté de communes</t>
        </is>
      </c>
      <c r="C400" t="inlineStr">
        <is>
          <t>243400736</t>
        </is>
      </c>
      <c r="D400" t="inlineStr">
        <is>
          <t>30, 34</t>
        </is>
      </c>
      <c r="E400" t="inlineStr">
        <is>
          <t>Gard, Hérault</t>
        </is>
      </c>
      <c r="F400" t="inlineStr">
        <is>
          <t>Occitanie</t>
        </is>
      </c>
      <c r="G400" s="3" t="n">
        <v>12727</v>
      </c>
      <c r="H400" t="n">
        <v>13</v>
      </c>
      <c r="I400" t="inlineStr">
        <is>
          <t>26 avenue Pasteur</t>
        </is>
      </c>
      <c r="J400" t="inlineStr">
        <is>
          <t>34190</t>
        </is>
      </c>
      <c r="K400" t="inlineStr">
        <is>
          <t>Ganges</t>
        </is>
      </c>
      <c r="L400" t="inlineStr">
        <is>
          <t>04 67 73 78 60</t>
        </is>
      </c>
      <c r="M400" s="4" t="inlineStr">
        <is>
          <t>contact@cdcgangesumene.fr</t>
        </is>
      </c>
      <c r="N400" s="4" t="inlineStr">
        <is>
          <t>https://cdcgangesumene.fr/</t>
        </is>
      </c>
      <c r="O400" s="4" t="inlineStr">
        <is>
          <t>https://cdcgangesumene.fr/contact/</t>
        </is>
      </c>
      <c r="P400" s="4" t="inlineStr">
        <is>
          <t>https://lannuaire.service-public.gouv.fr/occitanie/herault/28c61c1e-960c-43c5-bd17-bc2381c887a8</t>
        </is>
      </c>
      <c r="Q400" t="inlineStr">
        <is>
          <t>Annuaire Service-public.fr</t>
        </is>
      </c>
      <c r="R400" t="inlineStr"/>
      <c r="S400" t="inlineStr"/>
      <c r="T400" t="inlineStr"/>
    </row>
    <row r="401">
      <c r="A401" t="inlineStr">
        <is>
          <t>CC Mont Lozère</t>
        </is>
      </c>
      <c r="B401" t="inlineStr">
        <is>
          <t>Communauté de communes</t>
        </is>
      </c>
      <c r="C401" t="inlineStr">
        <is>
          <t>200069128</t>
        </is>
      </c>
      <c r="D401" t="inlineStr">
        <is>
          <t>30, 48</t>
        </is>
      </c>
      <c r="E401" t="inlineStr">
        <is>
          <t>Gard, Lozère</t>
        </is>
      </c>
      <c r="F401" t="inlineStr">
        <is>
          <t>Occitanie</t>
        </is>
      </c>
      <c r="G401" s="3" t="n">
        <v>5827</v>
      </c>
      <c r="H401" t="n">
        <v>21</v>
      </c>
      <c r="I401" t="inlineStr">
        <is>
          <t>Le Bleymard, Route du Mont-Lozère</t>
        </is>
      </c>
      <c r="J401" t="inlineStr">
        <is>
          <t>48190</t>
        </is>
      </c>
      <c r="K401" t="inlineStr">
        <is>
          <t>Mont-Lozère-et-Goulet</t>
        </is>
      </c>
      <c r="L401" t="inlineStr">
        <is>
          <t>04 66 31 68 85</t>
        </is>
      </c>
      <c r="M401" s="4" t="inlineStr">
        <is>
          <t>accueil@ccmontlozere.fr</t>
        </is>
      </c>
      <c r="N401" s="4" t="inlineStr">
        <is>
          <t>https://www.ccmontlozere.fr/</t>
        </is>
      </c>
      <c r="O401" s="4" t="inlineStr">
        <is>
          <t>https://www.ccmontlozere.fr/contact/</t>
        </is>
      </c>
      <c r="P401" s="4" t="inlineStr">
        <is>
          <t>https://lannuaire.service-public.gouv.fr/occitanie/lozere/881ce777-a883-4b9c-b56d-517dc7df4eaf</t>
        </is>
      </c>
      <c r="Q401" t="inlineStr">
        <is>
          <t>Annuaire Service-public.fr</t>
        </is>
      </c>
      <c r="R401" t="inlineStr"/>
      <c r="S401" t="inlineStr"/>
      <c r="T401" t="inlineStr"/>
    </row>
    <row r="402">
      <c r="A402" t="inlineStr">
        <is>
          <t>CA du Grand Avignon (COGA)</t>
        </is>
      </c>
      <c r="B402" t="inlineStr">
        <is>
          <t>Communauté d’agglomération</t>
        </is>
      </c>
      <c r="C402" t="inlineStr">
        <is>
          <t>248400251</t>
        </is>
      </c>
      <c r="D402" t="inlineStr">
        <is>
          <t>30, 84</t>
        </is>
      </c>
      <c r="E402" t="inlineStr">
        <is>
          <t>Gard, Vaucluse</t>
        </is>
      </c>
      <c r="F402" t="inlineStr">
        <is>
          <t>Occitanie, Provence-Alpes-Côte d'Azur</t>
        </is>
      </c>
      <c r="G402" s="3" t="n">
        <v>198133</v>
      </c>
      <c r="H402" t="n">
        <v>16</v>
      </c>
      <c r="I402" t="inlineStr">
        <is>
          <t>320 chemin des Meinajariès, Agroparc</t>
        </is>
      </c>
      <c r="J402" t="inlineStr">
        <is>
          <t>84000</t>
        </is>
      </c>
      <c r="K402" t="inlineStr">
        <is>
          <t>Avignon</t>
        </is>
      </c>
      <c r="L402" t="inlineStr">
        <is>
          <t>04 90 84 47 00</t>
        </is>
      </c>
      <c r="M402" s="4" t="inlineStr">
        <is>
          <t>contact@grandavignon.fr</t>
        </is>
      </c>
      <c r="N402" s="4" t="inlineStr">
        <is>
          <t>https://www.grandavignon.fr/fr</t>
        </is>
      </c>
      <c r="O402" s="4" t="inlineStr">
        <is>
          <t>https://www.grandavignon.fr/fr/nous-contacter</t>
        </is>
      </c>
      <c r="P402" s="4" t="inlineStr">
        <is>
          <t>https://lannuaire.service-public.gouv.fr/provence-alpes-cote-d-azur/vaucluse/56b52a62-107f-4d3e-bf21-3b7a899676ef</t>
        </is>
      </c>
      <c r="Q402" t="inlineStr">
        <is>
          <t>Annuaire Service-public.fr</t>
        </is>
      </c>
      <c r="R402" t="inlineStr"/>
      <c r="S402" t="inlineStr"/>
      <c r="T402" t="inlineStr"/>
    </row>
    <row r="403">
      <c r="A403" t="inlineStr">
        <is>
          <t>CA Le Muretain Agglo</t>
        </is>
      </c>
      <c r="B403" t="inlineStr">
        <is>
          <t>Communauté d’agglomération</t>
        </is>
      </c>
      <c r="C403" t="inlineStr">
        <is>
          <t>200068641</t>
        </is>
      </c>
      <c r="D403" t="inlineStr">
        <is>
          <t>31</t>
        </is>
      </c>
      <c r="E403" t="inlineStr">
        <is>
          <t>Haute-Garonne</t>
        </is>
      </c>
      <c r="F403" t="inlineStr">
        <is>
          <t>Occitanie</t>
        </is>
      </c>
      <c r="G403" s="3" t="n">
        <v>129300</v>
      </c>
      <c r="H403" t="n">
        <v>26</v>
      </c>
      <c r="I403" t="inlineStr">
        <is>
          <t>8 bis avenue Vincent-Auriol</t>
        </is>
      </c>
      <c r="J403" t="inlineStr">
        <is>
          <t>31601</t>
        </is>
      </c>
      <c r="K403" t="inlineStr">
        <is>
          <t>Muret</t>
        </is>
      </c>
      <c r="L403" t="inlineStr">
        <is>
          <t>05 34 46 30 30</t>
        </is>
      </c>
      <c r="M403" s="4" t="inlineStr">
        <is>
          <t>accueil@agglo-muretain.fr</t>
        </is>
      </c>
      <c r="N403" s="4" t="inlineStr">
        <is>
          <t>http://www.agglo-muretain.fr</t>
        </is>
      </c>
      <c r="O403" t="inlineStr"/>
      <c r="P403" s="4" t="inlineStr">
        <is>
          <t>https://lannuaire.service-public.gouv.fr/occitanie/haute-garonne/0949e812-0105-46f8-9bee-4e180a8e5098</t>
        </is>
      </c>
      <c r="Q403" t="inlineStr">
        <is>
          <t>Annuaire Service-public.fr</t>
        </is>
      </c>
      <c r="R403" t="inlineStr"/>
      <c r="S403" t="inlineStr"/>
      <c r="T403" t="inlineStr"/>
    </row>
    <row r="404">
      <c r="A404" t="inlineStr">
        <is>
          <t>CA du Sicoval</t>
        </is>
      </c>
      <c r="B404" t="inlineStr">
        <is>
          <t>Communauté d’agglomération</t>
        </is>
      </c>
      <c r="C404" t="inlineStr">
        <is>
          <t>243100633</t>
        </is>
      </c>
      <c r="D404" t="inlineStr">
        <is>
          <t>31</t>
        </is>
      </c>
      <c r="E404" t="inlineStr">
        <is>
          <t>Haute-Garonne</t>
        </is>
      </c>
      <c r="F404" t="inlineStr">
        <is>
          <t>Occitanie</t>
        </is>
      </c>
      <c r="G404" s="3" t="n">
        <v>83758</v>
      </c>
      <c r="H404" t="n">
        <v>36</v>
      </c>
      <c r="I404" t="inlineStr">
        <is>
          <t>110 rue Marco-Polo</t>
        </is>
      </c>
      <c r="J404" t="inlineStr">
        <is>
          <t>31670</t>
        </is>
      </c>
      <c r="K404" t="inlineStr">
        <is>
          <t>Labège</t>
        </is>
      </c>
      <c r="L404" t="inlineStr">
        <is>
          <t>05 62 24 02 02</t>
        </is>
      </c>
      <c r="M404" s="4" t="inlineStr">
        <is>
          <t>info@sicoval.fr</t>
        </is>
      </c>
      <c r="N404" s="4" t="inlineStr">
        <is>
          <t>https://www.sicoval.fr/</t>
        </is>
      </c>
      <c r="O404" s="4" t="inlineStr">
        <is>
          <t>https://www.sicoval.fr/mon-agglo/infos-pratiques/contactez-nous/</t>
        </is>
      </c>
      <c r="P404" s="4" t="inlineStr">
        <is>
          <t>https://lannuaire.service-public.gouv.fr/occitanie/haute-garonne/1b2c5dea-d387-4c1c-b1b2-3edbef4defed</t>
        </is>
      </c>
      <c r="Q404" t="inlineStr">
        <is>
          <t>Annuaire Service-public.fr</t>
        </is>
      </c>
      <c r="R404" t="inlineStr"/>
      <c r="S404" t="inlineStr"/>
      <c r="T404" t="inlineStr"/>
    </row>
    <row r="405">
      <c r="A405" t="inlineStr">
        <is>
          <t>CC Cagire Garonne Salat</t>
        </is>
      </c>
      <c r="B405" t="inlineStr">
        <is>
          <t>Communauté de communes</t>
        </is>
      </c>
      <c r="C405" t="inlineStr">
        <is>
          <t>200073146</t>
        </is>
      </c>
      <c r="D405" t="inlineStr">
        <is>
          <t>31</t>
        </is>
      </c>
      <c r="E405" t="inlineStr">
        <is>
          <t>Haute-Garonne</t>
        </is>
      </c>
      <c r="F405" t="inlineStr">
        <is>
          <t>Occitanie</t>
        </is>
      </c>
      <c r="G405" s="3" t="n">
        <v>17807</v>
      </c>
      <c r="H405" t="n">
        <v>55</v>
      </c>
      <c r="I405" t="inlineStr">
        <is>
          <t>15 avenue du Comminges</t>
        </is>
      </c>
      <c r="J405" t="inlineStr">
        <is>
          <t>31260</t>
        </is>
      </c>
      <c r="K405" t="inlineStr">
        <is>
          <t>Mane</t>
        </is>
      </c>
      <c r="L405" t="inlineStr">
        <is>
          <t>05 61 98 49 30</t>
        </is>
      </c>
      <c r="M405" s="4" t="inlineStr">
        <is>
          <t>secretariat@cagiregaronnesalat.fr</t>
        </is>
      </c>
      <c r="N405" s="4" t="inlineStr">
        <is>
          <t>https://www.cagiregaronnesalat.fr</t>
        </is>
      </c>
      <c r="O405" t="inlineStr"/>
      <c r="P405" s="4" t="inlineStr">
        <is>
          <t>https://lannuaire.service-public.gouv.fr/occitanie/haute-garonne/c8782446-abc9-4fe1-a2e7-23f4de1030a0</t>
        </is>
      </c>
      <c r="Q405" t="inlineStr">
        <is>
          <t>Annuaire Service-public.fr</t>
        </is>
      </c>
      <c r="R405" t="inlineStr"/>
      <c r="S405" t="inlineStr"/>
      <c r="T405" t="inlineStr"/>
    </row>
    <row r="406">
      <c r="A406" t="inlineStr">
        <is>
          <t>CC Coeur de Garonne</t>
        </is>
      </c>
      <c r="B406" t="inlineStr">
        <is>
          <t>Communauté de communes</t>
        </is>
      </c>
      <c r="C406" t="inlineStr">
        <is>
          <t>200068815</t>
        </is>
      </c>
      <c r="D406" t="inlineStr">
        <is>
          <t>31</t>
        </is>
      </c>
      <c r="E406" t="inlineStr">
        <is>
          <t>Haute-Garonne</t>
        </is>
      </c>
      <c r="F406" t="inlineStr">
        <is>
          <t>Occitanie</t>
        </is>
      </c>
      <c r="G406" s="3" t="n">
        <v>35091</v>
      </c>
      <c r="H406" t="n">
        <v>48</v>
      </c>
      <c r="I406" t="inlineStr">
        <is>
          <t>12 rue Notre-Dame</t>
        </is>
      </c>
      <c r="J406" t="inlineStr">
        <is>
          <t>31370</t>
        </is>
      </c>
      <c r="K406" t="inlineStr">
        <is>
          <t>Rieumes</t>
        </is>
      </c>
      <c r="L406" t="inlineStr">
        <is>
          <t>05 61 91 94 96</t>
        </is>
      </c>
      <c r="M406" s="4" t="inlineStr">
        <is>
          <t>accueil@cc-coeurdegaronne.fr</t>
        </is>
      </c>
      <c r="N406" s="4" t="inlineStr">
        <is>
          <t>https://www.cc-coeurdegaronne.fr/</t>
        </is>
      </c>
      <c r="O406" s="4" t="inlineStr">
        <is>
          <t>https://www.cc-coeurdegaronne.fr/contact</t>
        </is>
      </c>
      <c r="P406" s="4" t="inlineStr">
        <is>
          <t>https://lannuaire.service-public.gouv.fr/occitanie/haute-garonne/87007078-0dc2-463f-bec9-5dd831265ff3</t>
        </is>
      </c>
      <c r="Q406" t="inlineStr">
        <is>
          <t>Annuaire Service-public.fr</t>
        </is>
      </c>
      <c r="R406" t="inlineStr"/>
      <c r="S406" t="inlineStr"/>
      <c r="T406" t="inlineStr"/>
    </row>
    <row r="407">
      <c r="A407" t="inlineStr">
        <is>
          <t>CC Coeur et Coteaux du Comminges</t>
        </is>
      </c>
      <c r="B407" t="inlineStr">
        <is>
          <t>Communauté de communes</t>
        </is>
      </c>
      <c r="C407" t="inlineStr">
        <is>
          <t>200072643</t>
        </is>
      </c>
      <c r="D407" t="inlineStr">
        <is>
          <t>31</t>
        </is>
      </c>
      <c r="E407" t="inlineStr">
        <is>
          <t>Haute-Garonne</t>
        </is>
      </c>
      <c r="F407" t="inlineStr">
        <is>
          <t>Occitanie</t>
        </is>
      </c>
      <c r="G407" s="3" t="n">
        <v>44243</v>
      </c>
      <c r="H407" t="n">
        <v>104</v>
      </c>
      <c r="I407" t="inlineStr">
        <is>
          <t>4 rue de la République</t>
        </is>
      </c>
      <c r="J407" t="inlineStr">
        <is>
          <t>31800</t>
        </is>
      </c>
      <c r="K407" t="inlineStr">
        <is>
          <t>Saint-Gaudens</t>
        </is>
      </c>
      <c r="L407" t="inlineStr">
        <is>
          <t>05 61 89 21 42</t>
        </is>
      </c>
      <c r="M407" s="4" t="inlineStr">
        <is>
          <t>contact@la5c.fr</t>
        </is>
      </c>
      <c r="N407" s="4" t="inlineStr">
        <is>
          <t>https://www.coeurcoteaux-comminges.fr/</t>
        </is>
      </c>
      <c r="O407" s="4" t="inlineStr">
        <is>
          <t>https://www.coeurcoteaux-comminges.fr/contact-9</t>
        </is>
      </c>
      <c r="P407" s="4" t="inlineStr">
        <is>
          <t>https://lannuaire.service-public.gouv.fr/occitanie/haute-garonne/add6a920-f99d-447f-a4dc-1aa2f838e522</t>
        </is>
      </c>
      <c r="Q407" t="inlineStr">
        <is>
          <t>Annuaire Service-public.fr</t>
        </is>
      </c>
      <c r="R407" t="inlineStr"/>
      <c r="S407" t="inlineStr"/>
      <c r="T407" t="inlineStr"/>
    </row>
    <row r="408">
      <c r="A408" t="inlineStr">
        <is>
          <t>CC Le Grand Ouest Toulousain</t>
        </is>
      </c>
      <c r="B408" t="inlineStr">
        <is>
          <t>Communauté de communes</t>
        </is>
      </c>
      <c r="C408" t="inlineStr">
        <is>
          <t>243100781</t>
        </is>
      </c>
      <c r="D408" t="inlineStr">
        <is>
          <t>31</t>
        </is>
      </c>
      <c r="E408" t="inlineStr">
        <is>
          <t>Haute-Garonne</t>
        </is>
      </c>
      <c r="F408" t="inlineStr">
        <is>
          <t>Occitanie</t>
        </is>
      </c>
      <c r="G408" s="3" t="n">
        <v>49059</v>
      </c>
      <c r="H408" t="n">
        <v>8</v>
      </c>
      <c r="I408" t="inlineStr">
        <is>
          <t>10 rue François-Arago</t>
        </is>
      </c>
      <c r="J408" t="inlineStr">
        <is>
          <t>31830</t>
        </is>
      </c>
      <c r="K408" t="inlineStr">
        <is>
          <t>Plaisance-du-Touch</t>
        </is>
      </c>
      <c r="L408" t="inlineStr">
        <is>
          <t>05 34 51 44 33</t>
        </is>
      </c>
      <c r="M408" s="4" t="inlineStr">
        <is>
          <t>contact@grandouesttoulousain.fr</t>
        </is>
      </c>
      <c r="N408" s="4" t="inlineStr">
        <is>
          <t>https://www.grandouesttoulousain.fr/</t>
        </is>
      </c>
      <c r="O408" s="4" t="inlineStr">
        <is>
          <t>https://www.grandouesttoulousain.fr/contact/contactez-nous</t>
        </is>
      </c>
      <c r="P408" s="4" t="inlineStr">
        <is>
          <t>https://lannuaire.service-public.gouv.fr/occitanie/haute-garonne/c4ecc858-a65f-4304-8145-a1b07755a970</t>
        </is>
      </c>
      <c r="Q408" t="inlineStr">
        <is>
          <t>Annuaire Service-public.fr</t>
        </is>
      </c>
      <c r="R408" t="inlineStr"/>
      <c r="S408" t="inlineStr"/>
      <c r="T408" t="inlineStr"/>
    </row>
    <row r="409">
      <c r="A409" t="inlineStr">
        <is>
          <t>CC Pyrénées Haut Garonnaises</t>
        </is>
      </c>
      <c r="B409" t="inlineStr">
        <is>
          <t>Communauté de communes</t>
        </is>
      </c>
      <c r="C409" t="inlineStr">
        <is>
          <t>200072635</t>
        </is>
      </c>
      <c r="D409" t="inlineStr">
        <is>
          <t>31</t>
        </is>
      </c>
      <c r="E409" t="inlineStr">
        <is>
          <t>Haute-Garonne</t>
        </is>
      </c>
      <c r="F409" t="inlineStr">
        <is>
          <t>Occitanie</t>
        </is>
      </c>
      <c r="G409" s="3" t="n">
        <v>15379</v>
      </c>
      <c r="H409" t="n">
        <v>76</v>
      </c>
      <c r="I409" t="inlineStr">
        <is>
          <t>17 avenue de Luchon</t>
        </is>
      </c>
      <c r="J409" t="inlineStr">
        <is>
          <t>31210</t>
        </is>
      </c>
      <c r="K409" t="inlineStr">
        <is>
          <t>Gourdan-Polignan</t>
        </is>
      </c>
      <c r="L409" t="inlineStr">
        <is>
          <t>05 61 94 79 50</t>
        </is>
      </c>
      <c r="M409" s="4" t="inlineStr">
        <is>
          <t>secretariat@ccphg.fr</t>
        </is>
      </c>
      <c r="N409" s="4" t="inlineStr">
        <is>
          <t>https://cc-pyreneeshautgaronnaises.fr/</t>
        </is>
      </c>
      <c r="O409" t="inlineStr"/>
      <c r="P409" s="4" t="inlineStr">
        <is>
          <t>https://lannuaire.service-public.gouv.fr/occitanie/haute-garonne/8afd9139-3d65-4fe4-ba40-f8b5879da947</t>
        </is>
      </c>
      <c r="Q409" t="inlineStr">
        <is>
          <t>Annuaire Service-public.fr</t>
        </is>
      </c>
      <c r="R409" t="inlineStr"/>
      <c r="S409" t="inlineStr"/>
      <c r="T409" t="inlineStr"/>
    </row>
    <row r="410">
      <c r="A410" t="inlineStr">
        <is>
          <t>CC Val'Aïgo</t>
        </is>
      </c>
      <c r="B410" t="inlineStr">
        <is>
          <t>Communauté de communes</t>
        </is>
      </c>
      <c r="C410" t="inlineStr">
        <is>
          <t>243100773</t>
        </is>
      </c>
      <c r="D410" t="inlineStr">
        <is>
          <t>31</t>
        </is>
      </c>
      <c r="E410" t="inlineStr">
        <is>
          <t>Haute-Garonne</t>
        </is>
      </c>
      <c r="F410" t="inlineStr">
        <is>
          <t>Occitanie</t>
        </is>
      </c>
      <c r="G410" s="3" t="n">
        <v>18513</v>
      </c>
      <c r="H410" t="n">
        <v>9</v>
      </c>
      <c r="I410" t="inlineStr">
        <is>
          <t>2 avenue Saint-Exupéry</t>
        </is>
      </c>
      <c r="J410" t="inlineStr">
        <is>
          <t>31340</t>
        </is>
      </c>
      <c r="K410" t="inlineStr">
        <is>
          <t>Villemur-sur-Tarn</t>
        </is>
      </c>
      <c r="L410" t="inlineStr">
        <is>
          <t>05 61 09 91 38</t>
        </is>
      </c>
      <c r="M410" s="4" t="inlineStr">
        <is>
          <t>contact@valaigo.fr</t>
        </is>
      </c>
      <c r="N410" s="4" t="inlineStr">
        <is>
          <t>https://valaigo.com/</t>
        </is>
      </c>
      <c r="O410" t="inlineStr"/>
      <c r="P410" s="4" t="inlineStr">
        <is>
          <t>https://lannuaire.service-public.gouv.fr/occitanie/haute-garonne/5b469453-f428-4a6f-b290-cde189fcc0e5</t>
        </is>
      </c>
      <c r="Q410" t="inlineStr">
        <is>
          <t>Annuaire Service-public.fr</t>
        </is>
      </c>
      <c r="R410" t="inlineStr"/>
      <c r="S410" t="inlineStr"/>
      <c r="T410" t="inlineStr"/>
    </row>
    <row r="411">
      <c r="A411" t="inlineStr">
        <is>
          <t>CC des Coteaux Bellevue</t>
        </is>
      </c>
      <c r="B411" t="inlineStr">
        <is>
          <t>Communauté de communes</t>
        </is>
      </c>
      <c r="C411" t="inlineStr">
        <is>
          <t>243100815</t>
        </is>
      </c>
      <c r="D411" t="inlineStr">
        <is>
          <t>31</t>
        </is>
      </c>
      <c r="E411" t="inlineStr">
        <is>
          <t>Haute-Garonne</t>
        </is>
      </c>
      <c r="F411" t="inlineStr">
        <is>
          <t>Occitanie</t>
        </is>
      </c>
      <c r="G411" s="3" t="n">
        <v>21371</v>
      </c>
      <c r="H411" t="n">
        <v>7</v>
      </c>
      <c r="I411" t="inlineStr">
        <is>
          <t>19 route de Saint-Loup-Cammas</t>
        </is>
      </c>
      <c r="J411" t="inlineStr">
        <is>
          <t>31140</t>
        </is>
      </c>
      <c r="K411" t="inlineStr">
        <is>
          <t>Pechbonnieu</t>
        </is>
      </c>
      <c r="L411" t="inlineStr">
        <is>
          <t>05 34 27 20 50</t>
        </is>
      </c>
      <c r="M411" s="4" t="inlineStr">
        <is>
          <t>coteauxbellevue@cc-coteauxbellevue.fr</t>
        </is>
      </c>
      <c r="N411" s="4" t="inlineStr">
        <is>
          <t>https://cc-coteauxbellevue.fr/</t>
        </is>
      </c>
      <c r="O411" s="4" t="inlineStr">
        <is>
          <t>https://cc-coteauxbellevue.fr/contact/</t>
        </is>
      </c>
      <c r="P411" s="4" t="inlineStr">
        <is>
          <t>https://lannuaire.service-public.gouv.fr/occitanie/haute-garonne/27eb554a-578f-4f77-a4cb-91683bfb9275</t>
        </is>
      </c>
      <c r="Q411" t="inlineStr">
        <is>
          <t>Annuaire Service-public.fr</t>
        </is>
      </c>
      <c r="R411" t="inlineStr"/>
      <c r="S411" t="inlineStr"/>
      <c r="T411" t="inlineStr"/>
    </row>
    <row r="412">
      <c r="A412" t="inlineStr">
        <is>
          <t>CC des Coteaux du Girou</t>
        </is>
      </c>
      <c r="B412" t="inlineStr">
        <is>
          <t>Communauté de communes</t>
        </is>
      </c>
      <c r="C412" t="inlineStr">
        <is>
          <t>243100732</t>
        </is>
      </c>
      <c r="D412" t="inlineStr">
        <is>
          <t>31</t>
        </is>
      </c>
      <c r="E412" t="inlineStr">
        <is>
          <t>Haute-Garonne</t>
        </is>
      </c>
      <c r="F412" t="inlineStr">
        <is>
          <t>Occitanie</t>
        </is>
      </c>
      <c r="G412" s="3" t="n">
        <v>23257</v>
      </c>
      <c r="H412" t="n">
        <v>18</v>
      </c>
      <c r="I412" t="inlineStr">
        <is>
          <t>1 rue du Girou</t>
        </is>
      </c>
      <c r="J412" t="inlineStr">
        <is>
          <t>31380</t>
        </is>
      </c>
      <c r="K412" t="inlineStr">
        <is>
          <t>Gragnague</t>
        </is>
      </c>
      <c r="L412" t="inlineStr">
        <is>
          <t>05 34 27 45 73</t>
        </is>
      </c>
      <c r="M412" s="4" t="inlineStr">
        <is>
          <t>contact@coteauxdugirou.fr</t>
        </is>
      </c>
      <c r="N412" s="4" t="inlineStr">
        <is>
          <t>https://www.cc-coteaux-du-girou.fr/</t>
        </is>
      </c>
      <c r="O412" s="4" t="inlineStr">
        <is>
          <t>https://www.cc-coteaux-du-girou.fr/contact</t>
        </is>
      </c>
      <c r="P412" s="4" t="inlineStr">
        <is>
          <t>https://lannuaire.service-public.gouv.fr/occitanie/haute-garonne/50262b8c-86cb-4e19-b3ac-a32bfc15601f</t>
        </is>
      </c>
      <c r="Q412" t="inlineStr">
        <is>
          <t>Annuaire Service-public.fr</t>
        </is>
      </c>
      <c r="R412" t="inlineStr"/>
      <c r="S412" t="inlineStr"/>
      <c r="T412" t="inlineStr"/>
    </row>
    <row r="413">
      <c r="A413" t="inlineStr">
        <is>
          <t>CC des Hauts-Tolosans</t>
        </is>
      </c>
      <c r="B413" t="inlineStr">
        <is>
          <t>Communauté de communes</t>
        </is>
      </c>
      <c r="C413" t="inlineStr">
        <is>
          <t>200071314</t>
        </is>
      </c>
      <c r="D413" t="inlineStr">
        <is>
          <t>31</t>
        </is>
      </c>
      <c r="E413" t="inlineStr">
        <is>
          <t>Haute-Garonne</t>
        </is>
      </c>
      <c r="F413" t="inlineStr">
        <is>
          <t>Occitanie</t>
        </is>
      </c>
      <c r="G413" s="3" t="n">
        <v>35996</v>
      </c>
      <c r="H413" t="n">
        <v>29</v>
      </c>
      <c r="I413" t="inlineStr">
        <is>
          <t>1237 rue des Pyrénées</t>
        </is>
      </c>
      <c r="J413" t="inlineStr">
        <is>
          <t>31330</t>
        </is>
      </c>
      <c r="K413" t="inlineStr">
        <is>
          <t>Grenade</t>
        </is>
      </c>
      <c r="L413" t="inlineStr">
        <is>
          <t>05 61 82 85 55</t>
        </is>
      </c>
      <c r="M413" s="4" t="inlineStr">
        <is>
          <t>contact@hautstolosans.fr</t>
        </is>
      </c>
      <c r="N413" s="4" t="inlineStr">
        <is>
          <t>https://www.hautstolosans.fr/</t>
        </is>
      </c>
      <c r="O413" s="4" t="inlineStr">
        <is>
          <t>https://www.hautstolosans.fr/demarche-administrative/nous-contacter/</t>
        </is>
      </c>
      <c r="P413" s="4" t="inlineStr">
        <is>
          <t>https://lannuaire.service-public.gouv.fr/occitanie/haute-garonne/14a72b61-2422-4d9e-99ef-fa0dd9ec6129</t>
        </is>
      </c>
      <c r="Q413" t="inlineStr">
        <is>
          <t>Annuaire Service-public.fr</t>
        </is>
      </c>
      <c r="R413" t="inlineStr"/>
      <c r="S413" t="inlineStr"/>
      <c r="T413" t="inlineStr"/>
    </row>
    <row r="414">
      <c r="A414" t="inlineStr">
        <is>
          <t>CC des Terres du Lauragais</t>
        </is>
      </c>
      <c r="B414" t="inlineStr">
        <is>
          <t>Communauté de communes</t>
        </is>
      </c>
      <c r="C414" t="inlineStr">
        <is>
          <t>200071298</t>
        </is>
      </c>
      <c r="D414" t="inlineStr">
        <is>
          <t>31</t>
        </is>
      </c>
      <c r="E414" t="inlineStr">
        <is>
          <t>Haute-Garonne</t>
        </is>
      </c>
      <c r="F414" t="inlineStr">
        <is>
          <t>Occitanie</t>
        </is>
      </c>
      <c r="G414" s="3" t="n">
        <v>42195</v>
      </c>
      <c r="H414" t="n">
        <v>58</v>
      </c>
      <c r="I414" t="inlineStr">
        <is>
          <t>73 avenue de la Fontasse</t>
        </is>
      </c>
      <c r="J414" t="inlineStr">
        <is>
          <t>31290</t>
        </is>
      </c>
      <c r="K414" t="inlineStr">
        <is>
          <t>Villefranche-de-Lauragais</t>
        </is>
      </c>
      <c r="L414" t="inlineStr">
        <is>
          <t>05 31 50 45 50</t>
        </is>
      </c>
      <c r="M414" s="4" t="inlineStr">
        <is>
          <t>accueil@terres-du-lauragais.fr</t>
        </is>
      </c>
      <c r="N414" s="4" t="inlineStr">
        <is>
          <t>https://www.terres-du-lauragais.fr/fr/index.html</t>
        </is>
      </c>
      <c r="O414" t="inlineStr"/>
      <c r="P414" s="4" t="inlineStr">
        <is>
          <t>https://lannuaire.service-public.gouv.fr/occitanie/haute-garonne/107a6b55-17e7-4160-bac9-f9747b74c154</t>
        </is>
      </c>
      <c r="Q414" t="inlineStr">
        <is>
          <t>Annuaire Service-public.fr</t>
        </is>
      </c>
      <c r="R414" t="inlineStr"/>
      <c r="S414" t="inlineStr"/>
      <c r="T414" t="inlineStr"/>
    </row>
    <row r="415">
      <c r="A415" t="inlineStr">
        <is>
          <t>CC du Bassin Auterivain Haut-Garonnais</t>
        </is>
      </c>
      <c r="B415" t="inlineStr">
        <is>
          <t>Communauté de communes</t>
        </is>
      </c>
      <c r="C415" t="inlineStr">
        <is>
          <t>200068807</t>
        </is>
      </c>
      <c r="D415" t="inlineStr">
        <is>
          <t>31</t>
        </is>
      </c>
      <c r="E415" t="inlineStr">
        <is>
          <t>Haute-Garonne</t>
        </is>
      </c>
      <c r="F415" t="inlineStr">
        <is>
          <t>Occitanie</t>
        </is>
      </c>
      <c r="G415" s="3" t="n">
        <v>34207</v>
      </c>
      <c r="H415" t="n">
        <v>19</v>
      </c>
      <c r="I415" t="inlineStr">
        <is>
          <t>Route départementale 820, ZI Robert-Lavigne</t>
        </is>
      </c>
      <c r="J415" t="inlineStr">
        <is>
          <t>31190</t>
        </is>
      </c>
      <c r="K415" t="inlineStr">
        <is>
          <t>Auterive</t>
        </is>
      </c>
      <c r="L415" t="inlineStr">
        <is>
          <t>05 61 50 99 00</t>
        </is>
      </c>
      <c r="M415" s="4" t="inlineStr">
        <is>
          <t>accueil@ccba31.fr</t>
        </is>
      </c>
      <c r="N415" s="4" t="inlineStr">
        <is>
          <t>https://www.ccba31.fr/</t>
        </is>
      </c>
      <c r="O415" t="inlineStr"/>
      <c r="P415" s="4" t="inlineStr">
        <is>
          <t>https://lannuaire.service-public.gouv.fr/occitanie/haute-garonne/4eef5706-bce9-4cb4-9105-33b0923dfb80</t>
        </is>
      </c>
      <c r="Q415" t="inlineStr">
        <is>
          <t>Annuaire Service-public.fr</t>
        </is>
      </c>
      <c r="R415" t="inlineStr"/>
      <c r="S415" t="inlineStr"/>
      <c r="T415" t="inlineStr"/>
    </row>
    <row r="416">
      <c r="A416" t="inlineStr">
        <is>
          <t>CC du Frontonnais</t>
        </is>
      </c>
      <c r="B416" t="inlineStr">
        <is>
          <t>Communauté de communes</t>
        </is>
      </c>
      <c r="C416" t="inlineStr">
        <is>
          <t>200034957</t>
        </is>
      </c>
      <c r="D416" t="inlineStr">
        <is>
          <t>31</t>
        </is>
      </c>
      <c r="E416" t="inlineStr">
        <is>
          <t>Haute-Garonne</t>
        </is>
      </c>
      <c r="F416" t="inlineStr">
        <is>
          <t>Occitanie</t>
        </is>
      </c>
      <c r="G416" s="3" t="n">
        <v>28757</v>
      </c>
      <c r="H416" t="n">
        <v>10</v>
      </c>
      <c r="I416" t="inlineStr">
        <is>
          <t>3 rue du Vigé, CS 20053</t>
        </is>
      </c>
      <c r="J416" t="inlineStr">
        <is>
          <t>31620</t>
        </is>
      </c>
      <c r="K416" t="inlineStr">
        <is>
          <t>Bouloc</t>
        </is>
      </c>
      <c r="L416" t="inlineStr">
        <is>
          <t>05 61 82 13 32</t>
        </is>
      </c>
      <c r="M416" s="4" t="inlineStr">
        <is>
          <t>contact@cc-dufrontonnais.fr</t>
        </is>
      </c>
      <c r="N416" s="4" t="inlineStr">
        <is>
          <t>https://www.cc-dufrontonnais.fr/</t>
        </is>
      </c>
      <c r="O416" t="inlineStr"/>
      <c r="P416" s="4" t="inlineStr">
        <is>
          <t>https://lannuaire.service-public.gouv.fr/occitanie/haute-garonne/9ba033fc-5feb-4830-ad35-5a373fbe032a</t>
        </is>
      </c>
      <c r="Q416" t="inlineStr">
        <is>
          <t>Annuaire Service-public.fr</t>
        </is>
      </c>
      <c r="R416" t="inlineStr"/>
      <c r="S416" t="inlineStr"/>
      <c r="T416" t="inlineStr"/>
    </row>
    <row r="417">
      <c r="A417" t="inlineStr">
        <is>
          <t>CC du Volvestre</t>
        </is>
      </c>
      <c r="B417" t="inlineStr">
        <is>
          <t>Communauté de communes</t>
        </is>
      </c>
      <c r="C417" t="inlineStr">
        <is>
          <t>200066819</t>
        </is>
      </c>
      <c r="D417" t="inlineStr">
        <is>
          <t>31</t>
        </is>
      </c>
      <c r="E417" t="inlineStr">
        <is>
          <t>Haute-Garonne</t>
        </is>
      </c>
      <c r="F417" t="inlineStr">
        <is>
          <t>Occitanie</t>
        </is>
      </c>
      <c r="G417" s="3" t="n">
        <v>30806</v>
      </c>
      <c r="H417" t="n">
        <v>32</v>
      </c>
      <c r="I417" t="inlineStr">
        <is>
          <t>34 avenue de Toulouse</t>
        </is>
      </c>
      <c r="J417" t="inlineStr">
        <is>
          <t>31390</t>
        </is>
      </c>
      <c r="K417" t="inlineStr">
        <is>
          <t>Carbonne</t>
        </is>
      </c>
      <c r="L417" t="inlineStr">
        <is>
          <t>05 61 90 80 70</t>
        </is>
      </c>
      <c r="M417" s="4" t="inlineStr">
        <is>
          <t>contact@cc-volvestre.fr</t>
        </is>
      </c>
      <c r="N417" s="4" t="inlineStr">
        <is>
          <t>https://volvestre.fr/</t>
        </is>
      </c>
      <c r="O417" s="4" t="inlineStr">
        <is>
          <t>https://volvestre.fr/contactez-nous/</t>
        </is>
      </c>
      <c r="P417" s="4" t="inlineStr">
        <is>
          <t>https://lannuaire.service-public.gouv.fr/occitanie/haute-garonne/46f6ee70-306e-4e28-9383-304714e0bc16</t>
        </is>
      </c>
      <c r="Q417" t="inlineStr">
        <is>
          <t>Annuaire Service-public.fr</t>
        </is>
      </c>
      <c r="R417" t="inlineStr"/>
      <c r="S417" t="inlineStr"/>
      <c r="T417" t="inlineStr"/>
    </row>
    <row r="418">
      <c r="A418" t="inlineStr">
        <is>
          <t>Toulouse Métropole</t>
        </is>
      </c>
      <c r="B418" t="inlineStr">
        <is>
          <t>Métropole</t>
        </is>
      </c>
      <c r="C418" t="inlineStr">
        <is>
          <t>243100518</t>
        </is>
      </c>
      <c r="D418" t="inlineStr">
        <is>
          <t>31</t>
        </is>
      </c>
      <c r="E418" t="inlineStr">
        <is>
          <t>Haute-Garonne</t>
        </is>
      </c>
      <c r="F418" t="inlineStr">
        <is>
          <t>Occitanie</t>
        </is>
      </c>
      <c r="G418" s="3" t="n">
        <v>832348</v>
      </c>
      <c r="H418" t="n">
        <v>37</v>
      </c>
      <c r="I418" t="inlineStr">
        <is>
          <t>6 rue René-Leduc</t>
        </is>
      </c>
      <c r="J418" t="inlineStr">
        <is>
          <t>31500</t>
        </is>
      </c>
      <c r="K418" t="inlineStr">
        <is>
          <t>Toulouse</t>
        </is>
      </c>
      <c r="L418" t="inlineStr">
        <is>
          <t>05 81 91 72 00</t>
        </is>
      </c>
      <c r="M418" s="4" t="inlineStr">
        <is>
          <t>accueil@toulouse-metropole.fr</t>
        </is>
      </c>
      <c r="N418" s="4" t="inlineStr">
        <is>
          <t>https://metropole.toulouse.fr/</t>
        </is>
      </c>
      <c r="O418" s="4" t="inlineStr">
        <is>
          <t>https://metropole.toulouse.fr/nous-contacter</t>
        </is>
      </c>
      <c r="P418" s="4" t="inlineStr">
        <is>
          <t>https://lannuaire.service-public.gouv.fr/occitanie/haute-garonne/2ed537d3-c022-4864-9dda-090ebea0202a</t>
        </is>
      </c>
      <c r="Q418" t="inlineStr">
        <is>
          <t>Annuaire Service-public.fr</t>
        </is>
      </c>
      <c r="R418" t="inlineStr"/>
      <c r="S418" t="inlineStr"/>
      <c r="T418" t="inlineStr"/>
    </row>
    <row r="419">
      <c r="A419" t="inlineStr">
        <is>
          <t>CC Tarn-Agout</t>
        </is>
      </c>
      <c r="B419" t="inlineStr">
        <is>
          <t>Communauté de communes</t>
        </is>
      </c>
      <c r="C419" t="inlineStr">
        <is>
          <t>200034023</t>
        </is>
      </c>
      <c r="D419" t="inlineStr">
        <is>
          <t>31, 81</t>
        </is>
      </c>
      <c r="E419" t="inlineStr">
        <is>
          <t>Haute-Garonne, Tarn</t>
        </is>
      </c>
      <c r="F419" t="inlineStr">
        <is>
          <t>Occitanie</t>
        </is>
      </c>
      <c r="G419" s="3" t="n">
        <v>29922</v>
      </c>
      <c r="H419" t="n">
        <v>21</v>
      </c>
      <c r="I419" t="inlineStr">
        <is>
          <t>Rond-Point Gabor</t>
        </is>
      </c>
      <c r="J419" t="inlineStr">
        <is>
          <t>81370</t>
        </is>
      </c>
      <c r="K419" t="inlineStr">
        <is>
          <t>Saint-Sulpice</t>
        </is>
      </c>
      <c r="L419" t="inlineStr">
        <is>
          <t>05 63 41 89 12</t>
        </is>
      </c>
      <c r="M419" s="4" t="inlineStr">
        <is>
          <t>accueil@cc-tarnagout.fr</t>
        </is>
      </c>
      <c r="N419" s="4" t="inlineStr">
        <is>
          <t>https://www.cc-tarnagout.fr/</t>
        </is>
      </c>
      <c r="O419" t="inlineStr"/>
      <c r="P419" s="4" t="inlineStr">
        <is>
          <t>https://lannuaire.service-public.gouv.fr/occitanie/tarn/8a507949-c336-46fc-b344-589110d12e54</t>
        </is>
      </c>
      <c r="Q419" t="inlineStr">
        <is>
          <t>Annuaire Service-public.fr</t>
        </is>
      </c>
      <c r="R419" t="inlineStr"/>
      <c r="S419" t="inlineStr"/>
      <c r="T419" t="inlineStr"/>
    </row>
    <row r="420">
      <c r="A420" t="inlineStr">
        <is>
          <t>CA Grand Auch Coeur de Gascogne</t>
        </is>
      </c>
      <c r="B420" t="inlineStr">
        <is>
          <t>Communauté d’agglomération</t>
        </is>
      </c>
      <c r="C420" t="inlineStr">
        <is>
          <t>200066926</t>
        </is>
      </c>
      <c r="D420" t="inlineStr">
        <is>
          <t>32</t>
        </is>
      </c>
      <c r="E420" t="inlineStr">
        <is>
          <t>Gers</t>
        </is>
      </c>
      <c r="F420" t="inlineStr">
        <is>
          <t>Occitanie</t>
        </is>
      </c>
      <c r="G420" s="3" t="n">
        <v>39498</v>
      </c>
      <c r="H420" t="n">
        <v>34</v>
      </c>
      <c r="I420" t="inlineStr">
        <is>
          <t>Centre économique du Garros, 1 rue Darwin</t>
        </is>
      </c>
      <c r="J420" t="inlineStr">
        <is>
          <t>32000</t>
        </is>
      </c>
      <c r="K420" t="inlineStr">
        <is>
          <t>Auch</t>
        </is>
      </c>
      <c r="L420" t="inlineStr">
        <is>
          <t>05 62 60 40 10</t>
        </is>
      </c>
      <c r="M420" s="4" t="inlineStr">
        <is>
          <t>accueil@grand-auch.fr</t>
        </is>
      </c>
      <c r="N420" s="4" t="inlineStr">
        <is>
          <t>https://www.grandauch.com/</t>
        </is>
      </c>
      <c r="O420" s="4" t="inlineStr">
        <is>
          <t>https://www.grandauch.com/contact</t>
        </is>
      </c>
      <c r="P420" s="4" t="inlineStr">
        <is>
          <t>https://lannuaire.service-public.gouv.fr/occitanie/gers/9368c218-812d-4474-9228-506694d16166</t>
        </is>
      </c>
      <c r="Q420" t="inlineStr">
        <is>
          <t>Annuaire Service-public.fr</t>
        </is>
      </c>
      <c r="R420" t="inlineStr"/>
      <c r="S420" t="inlineStr"/>
      <c r="T420" t="inlineStr"/>
    </row>
    <row r="421">
      <c r="A421" t="inlineStr">
        <is>
          <t>CC Armagnac Adour</t>
        </is>
      </c>
      <c r="B421" t="inlineStr">
        <is>
          <t>Communauté de communes</t>
        </is>
      </c>
      <c r="C421" t="inlineStr">
        <is>
          <t>200035632</t>
        </is>
      </c>
      <c r="D421" t="inlineStr">
        <is>
          <t>32</t>
        </is>
      </c>
      <c r="E421" t="inlineStr">
        <is>
          <t>Gers</t>
        </is>
      </c>
      <c r="F421" t="inlineStr">
        <is>
          <t>Occitanie</t>
        </is>
      </c>
      <c r="G421" s="3" t="n">
        <v>6568</v>
      </c>
      <c r="H421" t="n">
        <v>24</v>
      </c>
      <c r="I421" t="inlineStr">
        <is>
          <t>1 lotissement du Bourdalat</t>
        </is>
      </c>
      <c r="J421" t="inlineStr">
        <is>
          <t>32400</t>
        </is>
      </c>
      <c r="K421" t="inlineStr">
        <is>
          <t>Riscle</t>
        </is>
      </c>
      <c r="L421" t="inlineStr">
        <is>
          <t>05 62 69 86 43</t>
        </is>
      </c>
      <c r="M421" s="4" t="inlineStr">
        <is>
          <t>ccaa@armagnacadour.fr</t>
        </is>
      </c>
      <c r="N421" s="4" t="inlineStr">
        <is>
          <t>http://www.armagnacadour.fr</t>
        </is>
      </c>
      <c r="O421" t="inlineStr"/>
      <c r="P421" s="4" t="inlineStr">
        <is>
          <t>https://lannuaire.service-public.gouv.fr/occitanie/gers/e0e62423-119a-4c94-8c47-0ccdf5d43ba3</t>
        </is>
      </c>
      <c r="Q421" t="inlineStr">
        <is>
          <t>Annuaire Service-public.fr</t>
        </is>
      </c>
      <c r="R421" t="inlineStr"/>
      <c r="S421" t="inlineStr"/>
      <c r="T421" t="inlineStr"/>
    </row>
    <row r="422">
      <c r="A422" t="inlineStr">
        <is>
          <t>CC Artagnan de Fezensac</t>
        </is>
      </c>
      <c r="B422" t="inlineStr">
        <is>
          <t>Communauté de communes</t>
        </is>
      </c>
      <c r="C422" t="inlineStr">
        <is>
          <t>243200607</t>
        </is>
      </c>
      <c r="D422" t="inlineStr">
        <is>
          <t>32</t>
        </is>
      </c>
      <c r="E422" t="inlineStr">
        <is>
          <t>Gers</t>
        </is>
      </c>
      <c r="F422" t="inlineStr">
        <is>
          <t>Occitanie</t>
        </is>
      </c>
      <c r="G422" s="3" t="n">
        <v>6953</v>
      </c>
      <c r="H422" t="n">
        <v>25</v>
      </c>
      <c r="I422" t="inlineStr">
        <is>
          <t>18 rue des Cordeliers, Complexe des Cordeliers</t>
        </is>
      </c>
      <c r="J422" t="inlineStr">
        <is>
          <t>32190</t>
        </is>
      </c>
      <c r="K422" t="inlineStr">
        <is>
          <t>Vic-Fezensac</t>
        </is>
      </c>
      <c r="L422" t="inlineStr">
        <is>
          <t>05 62 64 89 63</t>
        </is>
      </c>
      <c r="M422" s="4" t="inlineStr">
        <is>
          <t>accueil@dartagnanenfezensac.com</t>
        </is>
      </c>
      <c r="N422" s="4" t="inlineStr">
        <is>
          <t>https://www.dartagnanenfezensac.com/</t>
        </is>
      </c>
      <c r="O422" t="inlineStr"/>
      <c r="P422" s="4" t="inlineStr">
        <is>
          <t>https://lannuaire.service-public.gouv.fr/occitanie/gers/730ce44f-d282-4569-9da4-0d69ce78f68f</t>
        </is>
      </c>
      <c r="Q422" t="inlineStr">
        <is>
          <t>Annuaire Service-public.fr</t>
        </is>
      </c>
      <c r="R422" t="inlineStr"/>
      <c r="S422" t="inlineStr"/>
      <c r="T422" t="inlineStr"/>
    </row>
    <row r="423">
      <c r="A423" t="inlineStr">
        <is>
          <t>CC Astarac Arros en Gascogne</t>
        </is>
      </c>
      <c r="B423" t="inlineStr">
        <is>
          <t>Communauté de communes</t>
        </is>
      </c>
      <c r="C423" t="inlineStr">
        <is>
          <t>200035756</t>
        </is>
      </c>
      <c r="D423" t="inlineStr">
        <is>
          <t>32</t>
        </is>
      </c>
      <c r="E423" t="inlineStr">
        <is>
          <t>Gers</t>
        </is>
      </c>
      <c r="F423" t="inlineStr">
        <is>
          <t>Occitanie</t>
        </is>
      </c>
      <c r="G423" s="3" t="n">
        <v>7171</v>
      </c>
      <c r="H423" t="n">
        <v>37</v>
      </c>
      <c r="I423" t="inlineStr">
        <is>
          <t>19 avenue de Gascogne</t>
        </is>
      </c>
      <c r="J423" t="inlineStr">
        <is>
          <t>32730</t>
        </is>
      </c>
      <c r="K423" t="inlineStr">
        <is>
          <t>Villecomtal-sur-Arros</t>
        </is>
      </c>
      <c r="L423" t="inlineStr">
        <is>
          <t>05 62 64 84 51</t>
        </is>
      </c>
      <c r="M423" s="4" t="inlineStr">
        <is>
          <t>contact@cdcaag.fr</t>
        </is>
      </c>
      <c r="N423" s="4" t="inlineStr">
        <is>
          <t>https://www.cdcaag.fr/</t>
        </is>
      </c>
      <c r="O423" s="4" t="inlineStr">
        <is>
          <t>https://www.cdcaag.fr/nous-contacter/</t>
        </is>
      </c>
      <c r="P423" s="4" t="inlineStr">
        <is>
          <t>https://lannuaire.service-public.gouv.fr/occitanie/gers/2c1fbf3a-780b-40ef-a45a-a70705ee2006</t>
        </is>
      </c>
      <c r="Q423" t="inlineStr">
        <is>
          <t>Annuaire Service-public.fr</t>
        </is>
      </c>
      <c r="R423" t="inlineStr"/>
      <c r="S423" t="inlineStr"/>
      <c r="T423" t="inlineStr"/>
    </row>
    <row r="424">
      <c r="A424" t="inlineStr">
        <is>
          <t>CC Bastides de Lomagne</t>
        </is>
      </c>
      <c r="B424" t="inlineStr">
        <is>
          <t>Communauté de communes</t>
        </is>
      </c>
      <c r="C424" t="inlineStr">
        <is>
          <t>200034726</t>
        </is>
      </c>
      <c r="D424" t="inlineStr">
        <is>
          <t>32</t>
        </is>
      </c>
      <c r="E424" t="inlineStr">
        <is>
          <t>Gers</t>
        </is>
      </c>
      <c r="F424" t="inlineStr">
        <is>
          <t>Occitanie</t>
        </is>
      </c>
      <c r="G424" s="3" t="n">
        <v>11318</v>
      </c>
      <c r="H424" t="n">
        <v>41</v>
      </c>
      <c r="I424" t="inlineStr">
        <is>
          <t>Route d'Auch, ZA</t>
        </is>
      </c>
      <c r="J424" t="inlineStr">
        <is>
          <t>32120</t>
        </is>
      </c>
      <c r="K424" t="inlineStr">
        <is>
          <t>Mauvezin</t>
        </is>
      </c>
      <c r="L424" t="inlineStr">
        <is>
          <t>05 62 06 84 67</t>
        </is>
      </c>
      <c r="M424" s="4" t="inlineStr">
        <is>
          <t>contact@ccbl32.fr</t>
        </is>
      </c>
      <c r="N424" s="4" t="inlineStr">
        <is>
          <t>https://www.ccbl32.fr/ccbl/index.php</t>
        </is>
      </c>
      <c r="O424" t="inlineStr"/>
      <c r="P424" s="4" t="inlineStr">
        <is>
          <t>https://lannuaire.service-public.gouv.fr/occitanie/gers/a9b33bed-72fc-4be3-8432-bce2d52a51c4</t>
        </is>
      </c>
      <c r="Q424" t="inlineStr">
        <is>
          <t>Annuaire Service-public.fr</t>
        </is>
      </c>
      <c r="R424" t="inlineStr"/>
      <c r="S424" t="inlineStr"/>
      <c r="T424" t="inlineStr"/>
    </row>
    <row r="425">
      <c r="A425" t="inlineStr">
        <is>
          <t>CC Bastides et Vallons du Gers</t>
        </is>
      </c>
      <c r="B425" t="inlineStr">
        <is>
          <t>Communauté de communes</t>
        </is>
      </c>
      <c r="C425" t="inlineStr">
        <is>
          <t>243200508</t>
        </is>
      </c>
      <c r="D425" t="inlineStr">
        <is>
          <t>32</t>
        </is>
      </c>
      <c r="E425" t="inlineStr">
        <is>
          <t>Gers</t>
        </is>
      </c>
      <c r="F425" t="inlineStr">
        <is>
          <t>Occitanie</t>
        </is>
      </c>
      <c r="G425" s="3" t="n">
        <v>6969</v>
      </c>
      <c r="H425" t="n">
        <v>30</v>
      </c>
      <c r="I425" t="inlineStr">
        <is>
          <t>Route du Lac</t>
        </is>
      </c>
      <c r="J425" t="inlineStr">
        <is>
          <t>32230</t>
        </is>
      </c>
      <c r="K425" t="inlineStr">
        <is>
          <t>Marciac</t>
        </is>
      </c>
      <c r="L425" t="inlineStr">
        <is>
          <t>05 62 09 30 68</t>
        </is>
      </c>
      <c r="M425" s="4" t="inlineStr">
        <is>
          <t>accueil@ccbvg.fr</t>
        </is>
      </c>
      <c r="N425" s="4" t="inlineStr">
        <is>
          <t>https://www.ccbvg.fr/</t>
        </is>
      </c>
      <c r="O425" s="4" t="inlineStr">
        <is>
          <t>https://www.ccbvg.fr/contact/</t>
        </is>
      </c>
      <c r="P425" s="4" t="inlineStr">
        <is>
          <t>https://lannuaire.service-public.gouv.fr/occitanie/gers/c294f1e4-0874-4933-9f7a-c54bf885c0e0</t>
        </is>
      </c>
      <c r="Q425" t="inlineStr">
        <is>
          <t>Annuaire Service-public.fr</t>
        </is>
      </c>
      <c r="R425" t="inlineStr"/>
      <c r="S425" t="inlineStr"/>
      <c r="T425" t="inlineStr"/>
    </row>
    <row r="426">
      <c r="A426" t="inlineStr">
        <is>
          <t>CC Coeur d'Astarac en Gascogne</t>
        </is>
      </c>
      <c r="B426" t="inlineStr">
        <is>
          <t>Communauté de communes</t>
        </is>
      </c>
      <c r="C426" t="inlineStr">
        <is>
          <t>243200425</t>
        </is>
      </c>
      <c r="D426" t="inlineStr">
        <is>
          <t>32</t>
        </is>
      </c>
      <c r="E426" t="inlineStr">
        <is>
          <t>Gers</t>
        </is>
      </c>
      <c r="F426" t="inlineStr">
        <is>
          <t>Occitanie</t>
        </is>
      </c>
      <c r="G426" s="3" t="n">
        <v>7720</v>
      </c>
      <c r="H426" t="n">
        <v>19</v>
      </c>
      <c r="I426" t="inlineStr">
        <is>
          <t>4 avenue Jean-d'Antras</t>
        </is>
      </c>
      <c r="J426" t="inlineStr">
        <is>
          <t>32300</t>
        </is>
      </c>
      <c r="K426" t="inlineStr">
        <is>
          <t>Mirande</t>
        </is>
      </c>
      <c r="L426" t="inlineStr">
        <is>
          <t>05 62 66 51 48</t>
        </is>
      </c>
      <c r="M426" s="4" t="inlineStr">
        <is>
          <t>contact@coeur-dastarac.fr</t>
        </is>
      </c>
      <c r="N426" s="4" t="inlineStr">
        <is>
          <t>https://coeur-dastarac.fr/fr/</t>
        </is>
      </c>
      <c r="O426" s="4" t="inlineStr">
        <is>
          <t>https://coeur-dastarac.fr/fr/</t>
        </is>
      </c>
      <c r="P426" s="4" t="inlineStr">
        <is>
          <t>https://lannuaire.service-public.gouv.fr/occitanie/gers/b01fa094-c53a-4397-8225-fcc7870629fe</t>
        </is>
      </c>
      <c r="Q426" t="inlineStr">
        <is>
          <t>Annuaire Service-public.fr</t>
        </is>
      </c>
      <c r="R426" t="inlineStr"/>
      <c r="S426" t="inlineStr"/>
      <c r="T426" t="inlineStr"/>
    </row>
    <row r="427">
      <c r="A427" t="inlineStr">
        <is>
          <t>CC Val de Gers</t>
        </is>
      </c>
      <c r="B427" t="inlineStr">
        <is>
          <t>Communauté de communes</t>
        </is>
      </c>
      <c r="C427" t="inlineStr">
        <is>
          <t>200072320</t>
        </is>
      </c>
      <c r="D427" t="inlineStr">
        <is>
          <t>32</t>
        </is>
      </c>
      <c r="E427" t="inlineStr">
        <is>
          <t>Gers</t>
        </is>
      </c>
      <c r="F427" t="inlineStr">
        <is>
          <t>Occitanie</t>
        </is>
      </c>
      <c r="G427" s="3" t="n">
        <v>9783</v>
      </c>
      <c r="H427" t="n">
        <v>42</v>
      </c>
      <c r="I427" t="inlineStr">
        <is>
          <t>1 place Carnot</t>
        </is>
      </c>
      <c r="J427" t="inlineStr">
        <is>
          <t>32260</t>
        </is>
      </c>
      <c r="K427" t="inlineStr">
        <is>
          <t>Seissan</t>
        </is>
      </c>
      <c r="L427" t="inlineStr">
        <is>
          <t>05 62 05 99 64</t>
        </is>
      </c>
      <c r="M427" s="4" t="inlineStr">
        <is>
          <t>accueil@cc-valdegers.fr</t>
        </is>
      </c>
      <c r="N427" s="4" t="inlineStr">
        <is>
          <t>https://www.cc-valdegers.fr/</t>
        </is>
      </c>
      <c r="O427" t="inlineStr"/>
      <c r="P427" s="4" t="inlineStr">
        <is>
          <t>https://lannuaire.service-public.gouv.fr/occitanie/gers/ac3e3bab-2126-4483-bcf9-5d23bc81829b</t>
        </is>
      </c>
      <c r="Q427" t="inlineStr">
        <is>
          <t>Annuaire Service-public.fr</t>
        </is>
      </c>
      <c r="R427" t="inlineStr"/>
      <c r="S427" t="inlineStr"/>
      <c r="T427" t="inlineStr"/>
    </row>
    <row r="428">
      <c r="A428" t="inlineStr">
        <is>
          <t>CC de la Gascogne Toulousaine</t>
        </is>
      </c>
      <c r="B428" t="inlineStr">
        <is>
          <t>Communauté de communes</t>
        </is>
      </c>
      <c r="C428" t="inlineStr">
        <is>
          <t>200023620</t>
        </is>
      </c>
      <c r="D428" t="inlineStr">
        <is>
          <t>32</t>
        </is>
      </c>
      <c r="E428" t="inlineStr">
        <is>
          <t>Gers</t>
        </is>
      </c>
      <c r="F428" t="inlineStr">
        <is>
          <t>Occitanie</t>
        </is>
      </c>
      <c r="G428" s="3" t="n">
        <v>17060</v>
      </c>
      <c r="H428" t="n">
        <v>13</v>
      </c>
      <c r="I428" t="inlineStr">
        <is>
          <t>2 Rue Louis-Aygobere, ZA Pont-Peyrin</t>
        </is>
      </c>
      <c r="J428" t="inlineStr">
        <is>
          <t>32600</t>
        </is>
      </c>
      <c r="K428" t="inlineStr">
        <is>
          <t>L'Isle-Jourdain</t>
        </is>
      </c>
      <c r="L428" t="inlineStr">
        <is>
          <t>05 62 07 71 16</t>
        </is>
      </c>
      <c r="M428" s="4" t="inlineStr">
        <is>
          <t>accueil@ccgascognetoulousaine.com</t>
        </is>
      </c>
      <c r="N428" s="4" t="inlineStr">
        <is>
          <t>https://www.ccgascognetoulousaine.com/</t>
        </is>
      </c>
      <c r="O428" s="4" t="inlineStr">
        <is>
          <t>https://www.ccgascognetoulousaine.com/contactez-nous/</t>
        </is>
      </c>
      <c r="P428" s="4" t="inlineStr">
        <is>
          <t>https://lannuaire.service-public.gouv.fr/occitanie/gers/a46e7c9e-2ca4-493f-a5cb-a08607e07bc8</t>
        </is>
      </c>
      <c r="Q428" t="inlineStr">
        <is>
          <t>Annuaire Service-public.fr</t>
        </is>
      </c>
      <c r="R428" t="inlineStr"/>
      <c r="S428" t="inlineStr"/>
      <c r="T428" t="inlineStr"/>
    </row>
    <row r="429">
      <c r="A429" t="inlineStr">
        <is>
          <t>CC de la Lomagne Gersoise</t>
        </is>
      </c>
      <c r="B429" t="inlineStr">
        <is>
          <t>Communauté de communes</t>
        </is>
      </c>
      <c r="C429" t="inlineStr">
        <is>
          <t>243200391</t>
        </is>
      </c>
      <c r="D429" t="inlineStr">
        <is>
          <t>32</t>
        </is>
      </c>
      <c r="E429" t="inlineStr">
        <is>
          <t>Gers</t>
        </is>
      </c>
      <c r="F429" t="inlineStr">
        <is>
          <t>Occitanie</t>
        </is>
      </c>
      <c r="G429" s="3" t="n">
        <v>19309</v>
      </c>
      <c r="H429" t="n">
        <v>43</v>
      </c>
      <c r="I429" t="inlineStr">
        <is>
          <t>8 avenue Pierre-de-Coubertin</t>
        </is>
      </c>
      <c r="J429" t="inlineStr">
        <is>
          <t>32500</t>
        </is>
      </c>
      <c r="K429" t="inlineStr">
        <is>
          <t>Fleurance</t>
        </is>
      </c>
      <c r="L429" t="inlineStr">
        <is>
          <t>05 62 64 22 55</t>
        </is>
      </c>
      <c r="M429" s="4" t="inlineStr">
        <is>
          <t>communaute-de-communes@lomagne-gersoise.com</t>
        </is>
      </c>
      <c r="N429" s="4" t="inlineStr">
        <is>
          <t>https://www.lomagne-gersoise.com</t>
        </is>
      </c>
      <c r="O429" t="inlineStr"/>
      <c r="P429" s="4" t="inlineStr">
        <is>
          <t>https://lannuaire.service-public.gouv.fr/occitanie/gers/ea8ac1f7-0304-4b46-8f3b-729de79ceb6a</t>
        </is>
      </c>
      <c r="Q429" t="inlineStr">
        <is>
          <t>Annuaire Service-public.fr</t>
        </is>
      </c>
      <c r="R429" t="inlineStr"/>
      <c r="S429" t="inlineStr"/>
      <c r="T429" t="inlineStr"/>
    </row>
    <row r="430">
      <c r="A430" t="inlineStr">
        <is>
          <t>CC de la Tenarèze</t>
        </is>
      </c>
      <c r="B430" t="inlineStr">
        <is>
          <t>Communauté de communes</t>
        </is>
      </c>
      <c r="C430" t="inlineStr">
        <is>
          <t>243200417</t>
        </is>
      </c>
      <c r="D430" t="inlineStr">
        <is>
          <t>32</t>
        </is>
      </c>
      <c r="E430" t="inlineStr">
        <is>
          <t>Gers</t>
        </is>
      </c>
      <c r="F430" t="inlineStr">
        <is>
          <t>Occitanie</t>
        </is>
      </c>
      <c r="G430" s="3" t="n">
        <v>14327</v>
      </c>
      <c r="H430" t="n">
        <v>26</v>
      </c>
      <c r="I430" t="inlineStr">
        <is>
          <t>Quai Laboupillère</t>
        </is>
      </c>
      <c r="J430" t="inlineStr">
        <is>
          <t>32100</t>
        </is>
      </c>
      <c r="K430" t="inlineStr">
        <is>
          <t>Condom</t>
        </is>
      </c>
      <c r="L430" t="inlineStr">
        <is>
          <t>05 62 28 73 53</t>
        </is>
      </c>
      <c r="M430" s="4" t="inlineStr">
        <is>
          <t>contact@cc-tenareze.fr</t>
        </is>
      </c>
      <c r="N430" s="4" t="inlineStr">
        <is>
          <t>http://www.cc-tenareze.fr</t>
        </is>
      </c>
      <c r="O430" s="4" t="inlineStr">
        <is>
          <t>http://cc-tenareze.fr/contact</t>
        </is>
      </c>
      <c r="P430" s="4" t="inlineStr">
        <is>
          <t>https://lannuaire.service-public.gouv.fr/occitanie/gers/37e34749-e073-4ef7-a930-67a887e0065a</t>
        </is>
      </c>
      <c r="Q430" t="inlineStr">
        <is>
          <t>Annuaire Service-public.fr</t>
        </is>
      </c>
      <c r="R430" t="inlineStr"/>
      <c r="S430" t="inlineStr"/>
      <c r="T430" t="inlineStr"/>
    </row>
    <row r="431">
      <c r="A431" t="inlineStr">
        <is>
          <t>CC des Coteaux Arrats Gimone</t>
        </is>
      </c>
      <c r="B431" t="inlineStr">
        <is>
          <t>Communauté de communes</t>
        </is>
      </c>
      <c r="C431" t="inlineStr">
        <is>
          <t>200042372</t>
        </is>
      </c>
      <c r="D431" t="inlineStr">
        <is>
          <t>32</t>
        </is>
      </c>
      <c r="E431" t="inlineStr">
        <is>
          <t>Gers</t>
        </is>
      </c>
      <c r="F431" t="inlineStr">
        <is>
          <t>Occitanie</t>
        </is>
      </c>
      <c r="G431" s="3" t="n">
        <v>10784</v>
      </c>
      <c r="H431" t="n">
        <v>30</v>
      </c>
      <c r="I431" t="inlineStr">
        <is>
          <t>53 boulevard du Nord</t>
        </is>
      </c>
      <c r="J431" t="inlineStr">
        <is>
          <t>32200</t>
        </is>
      </c>
      <c r="K431" t="inlineStr">
        <is>
          <t>Gimont</t>
        </is>
      </c>
      <c r="L431" t="inlineStr">
        <is>
          <t>05 62 67 91 67</t>
        </is>
      </c>
      <c r="M431" s="4" t="inlineStr">
        <is>
          <t>secretariat@3cag.fr</t>
        </is>
      </c>
      <c r="N431" s="4" t="inlineStr">
        <is>
          <t>https://3cag.fr/</t>
        </is>
      </c>
      <c r="O431" t="inlineStr"/>
      <c r="P431" s="4" t="inlineStr">
        <is>
          <t>https://lannuaire.service-public.gouv.fr/occitanie/gers/b45a8efe-42ce-4088-ad47-47a46666a460</t>
        </is>
      </c>
      <c r="Q431" t="inlineStr">
        <is>
          <t>Annuaire Service-public.fr</t>
        </is>
      </c>
      <c r="R431" t="inlineStr"/>
      <c r="S431" t="inlineStr"/>
      <c r="T431" t="inlineStr"/>
    </row>
    <row r="432">
      <c r="A432" t="inlineStr">
        <is>
          <t>CC du Bas Armagnac</t>
        </is>
      </c>
      <c r="B432" t="inlineStr">
        <is>
          <t>Communauté de communes</t>
        </is>
      </c>
      <c r="C432" t="inlineStr">
        <is>
          <t>243200409</t>
        </is>
      </c>
      <c r="D432" t="inlineStr">
        <is>
          <t>32</t>
        </is>
      </c>
      <c r="E432" t="inlineStr">
        <is>
          <t>Gers</t>
        </is>
      </c>
      <c r="F432" t="inlineStr">
        <is>
          <t>Occitanie</t>
        </is>
      </c>
      <c r="G432" s="3" t="n">
        <v>8714</v>
      </c>
      <c r="H432" t="n">
        <v>26</v>
      </c>
      <c r="I432" t="inlineStr">
        <is>
          <t>2 route du Nogaropôle</t>
        </is>
      </c>
      <c r="J432" t="inlineStr">
        <is>
          <t>32110</t>
        </is>
      </c>
      <c r="K432" t="inlineStr">
        <is>
          <t>Caupenne-d'Armagnac</t>
        </is>
      </c>
      <c r="L432" t="inlineStr">
        <is>
          <t>05 62 69 01 16</t>
        </is>
      </c>
      <c r="M432" s="4" t="inlineStr">
        <is>
          <t>info@cc-basarmagnac.fr</t>
        </is>
      </c>
      <c r="N432" s="4" t="inlineStr">
        <is>
          <t>https://cc-basarmagnac.fr/</t>
        </is>
      </c>
      <c r="O432" s="4" t="inlineStr">
        <is>
          <t>https://cc-basarmagnac.fr/contact/</t>
        </is>
      </c>
      <c r="P432" s="4" t="inlineStr">
        <is>
          <t>https://lannuaire.service-public.gouv.fr/occitanie/gers/876fcb46-6243-4c8f-8211-d3dd4dcfb30b</t>
        </is>
      </c>
      <c r="Q432" t="inlineStr">
        <is>
          <t>Annuaire Service-public.fr</t>
        </is>
      </c>
      <c r="R432" t="inlineStr"/>
      <c r="S432" t="inlineStr"/>
      <c r="T432" t="inlineStr"/>
    </row>
    <row r="433">
      <c r="A433" t="inlineStr">
        <is>
          <t>CC du Grand Armagnac</t>
        </is>
      </c>
      <c r="B433" t="inlineStr">
        <is>
          <t>Communauté de communes</t>
        </is>
      </c>
      <c r="C433" t="inlineStr">
        <is>
          <t>243200458</t>
        </is>
      </c>
      <c r="D433" t="inlineStr">
        <is>
          <t>32</t>
        </is>
      </c>
      <c r="E433" t="inlineStr">
        <is>
          <t>Gers</t>
        </is>
      </c>
      <c r="F433" t="inlineStr">
        <is>
          <t>Occitanie</t>
        </is>
      </c>
      <c r="G433" s="3" t="n">
        <v>13441</v>
      </c>
      <c r="H433" t="n">
        <v>25</v>
      </c>
      <c r="I433" t="inlineStr">
        <is>
          <t>14 allée Julien-Laudet</t>
        </is>
      </c>
      <c r="J433" t="inlineStr">
        <is>
          <t>32800</t>
        </is>
      </c>
      <c r="K433" t="inlineStr">
        <is>
          <t>Éauze</t>
        </is>
      </c>
      <c r="L433" t="inlineStr">
        <is>
          <t>05 62 08 78 22</t>
        </is>
      </c>
      <c r="M433" s="4" t="inlineStr">
        <is>
          <t>dgs@grand-armagnac.fr</t>
        </is>
      </c>
      <c r="N433" s="4" t="inlineStr">
        <is>
          <t>https://grand-armagnac.fr/accueil</t>
        </is>
      </c>
      <c r="O433" t="inlineStr"/>
      <c r="P433" s="4" t="inlineStr">
        <is>
          <t>https://lannuaire.service-public.gouv.fr/occitanie/gers/4e7ba475-f0a5-4a8c-9e95-79a5d3c7e247</t>
        </is>
      </c>
      <c r="Q433" t="inlineStr">
        <is>
          <t>Annuaire Service-public.fr</t>
        </is>
      </c>
      <c r="R433" t="inlineStr"/>
      <c r="S433" t="inlineStr"/>
      <c r="T433" t="inlineStr"/>
    </row>
    <row r="434">
      <c r="A434" t="inlineStr">
        <is>
          <t>CC du Saves</t>
        </is>
      </c>
      <c r="B434" t="inlineStr">
        <is>
          <t>Communauté de communes</t>
        </is>
      </c>
      <c r="C434" t="inlineStr">
        <is>
          <t>243200599</t>
        </is>
      </c>
      <c r="D434" t="inlineStr">
        <is>
          <t>32</t>
        </is>
      </c>
      <c r="E434" t="inlineStr">
        <is>
          <t>Gers</t>
        </is>
      </c>
      <c r="F434" t="inlineStr">
        <is>
          <t>Occitanie</t>
        </is>
      </c>
      <c r="G434" s="3" t="n">
        <v>9849</v>
      </c>
      <c r="H434" t="n">
        <v>32</v>
      </c>
      <c r="I434" t="inlineStr">
        <is>
          <t>37 avenue de la Gailloue</t>
        </is>
      </c>
      <c r="J434" t="inlineStr">
        <is>
          <t>32220</t>
        </is>
      </c>
      <c r="K434" t="inlineStr">
        <is>
          <t>Lombez</t>
        </is>
      </c>
      <c r="L434" t="inlineStr">
        <is>
          <t>05 62 62 68 70</t>
        </is>
      </c>
      <c r="M434" s="4" t="inlineStr">
        <is>
          <t>contact@ccsaves32.fr</t>
        </is>
      </c>
      <c r="N434" s="4" t="inlineStr">
        <is>
          <t>https://www.ccsaves32.fr/</t>
        </is>
      </c>
      <c r="O434" s="4" t="inlineStr">
        <is>
          <t>https://www.ccsaves32.fr/contact/</t>
        </is>
      </c>
      <c r="P434" s="4" t="inlineStr">
        <is>
          <t>https://lannuaire.service-public.gouv.fr/occitanie/gers/2d85dc3c-6719-4e99-9a2e-15904cccf1b8</t>
        </is>
      </c>
      <c r="Q434" t="inlineStr">
        <is>
          <t>Annuaire Service-public.fr</t>
        </is>
      </c>
      <c r="R434" t="inlineStr"/>
      <c r="S434" t="inlineStr"/>
      <c r="T434" t="inlineStr"/>
    </row>
    <row r="435">
      <c r="A435" t="inlineStr">
        <is>
          <t>CC d'Aire-sur-l'Adour</t>
        </is>
      </c>
      <c r="B435" t="inlineStr">
        <is>
          <t>Communauté de communes</t>
        </is>
      </c>
      <c r="C435" t="inlineStr">
        <is>
          <t>200030435</t>
        </is>
      </c>
      <c r="D435" t="inlineStr">
        <is>
          <t>32, 40</t>
        </is>
      </c>
      <c r="E435" t="inlineStr">
        <is>
          <t>Gers, Landes</t>
        </is>
      </c>
      <c r="F435" t="inlineStr">
        <is>
          <t>Nouvelle-Aquitaine, Occitanie</t>
        </is>
      </c>
      <c r="G435" s="3" t="n">
        <v>12922</v>
      </c>
      <c r="H435" t="n">
        <v>22</v>
      </c>
      <c r="I435" t="inlineStr">
        <is>
          <t>7 boulevard de la Gare</t>
        </is>
      </c>
      <c r="J435" t="inlineStr">
        <is>
          <t>40800</t>
        </is>
      </c>
      <c r="K435" t="inlineStr">
        <is>
          <t>Aire-sur-l'Adour</t>
        </is>
      </c>
      <c r="L435" t="inlineStr">
        <is>
          <t>05 58 45 19 05</t>
        </is>
      </c>
      <c r="M435" s="4" t="inlineStr">
        <is>
          <t>cdc@cdcaire.org</t>
        </is>
      </c>
      <c r="N435" s="4" t="inlineStr">
        <is>
          <t>https://www.cdcaire.org/</t>
        </is>
      </c>
      <c r="O435" t="inlineStr"/>
      <c r="P435" s="4" t="inlineStr">
        <is>
          <t>https://lannuaire.service-public.gouv.fr/nouvelle-aquitaine/landes/5777a985-8940-418f-8498-73dd1a51ae6e</t>
        </is>
      </c>
      <c r="Q435" t="inlineStr">
        <is>
          <t>Annuaire Service-public.fr</t>
        </is>
      </c>
      <c r="R435" t="inlineStr"/>
      <c r="S435" t="inlineStr"/>
      <c r="T435" t="inlineStr"/>
    </row>
    <row r="436">
      <c r="A436" t="inlineStr">
        <is>
          <t>CC des Deux Rives</t>
        </is>
      </c>
      <c r="B436" t="inlineStr">
        <is>
          <t>Communauté de communes</t>
        </is>
      </c>
      <c r="C436" t="inlineStr">
        <is>
          <t>248200016</t>
        </is>
      </c>
      <c r="D436" t="inlineStr">
        <is>
          <t>32, 47, 82</t>
        </is>
      </c>
      <c r="E436" t="inlineStr">
        <is>
          <t>Gers, Lot-et-Garonne, Tarn-et-Garonne</t>
        </is>
      </c>
      <c r="F436" t="inlineStr">
        <is>
          <t>Nouvelle-Aquitaine, Occitanie</t>
        </is>
      </c>
      <c r="G436" s="3" t="n">
        <v>19013</v>
      </c>
      <c r="H436" t="n">
        <v>28</v>
      </c>
      <c r="I436" t="inlineStr">
        <is>
          <t>2 rue du Général-Vidalot</t>
        </is>
      </c>
      <c r="J436" t="inlineStr">
        <is>
          <t>82400</t>
        </is>
      </c>
      <c r="K436" t="inlineStr">
        <is>
          <t>Valence-d'Agen</t>
        </is>
      </c>
      <c r="L436" t="inlineStr">
        <is>
          <t>05 63 29 92 00</t>
        </is>
      </c>
      <c r="M436" s="4" t="inlineStr">
        <is>
          <t>info@cc-deuxrives.fr</t>
        </is>
      </c>
      <c r="N436" s="4" t="inlineStr">
        <is>
          <t>https://www.cc-deuxrives.fr</t>
        </is>
      </c>
      <c r="O436" t="inlineStr"/>
      <c r="P436" s="4" t="inlineStr">
        <is>
          <t>https://lannuaire.service-public.gouv.fr/occitanie/tarn-et-garonne/6ca6ff4d-8306-448c-a87a-8fff38c74dee</t>
        </is>
      </c>
      <c r="Q436" t="inlineStr">
        <is>
          <t>Annuaire Service-public.fr</t>
        </is>
      </c>
      <c r="R436" t="inlineStr"/>
      <c r="S436" t="inlineStr"/>
      <c r="T436" t="inlineStr"/>
    </row>
    <row r="437">
      <c r="A437" t="inlineStr">
        <is>
          <t>Bordeaux Métropole</t>
        </is>
      </c>
      <c r="B437" t="inlineStr">
        <is>
          <t>Métropole</t>
        </is>
      </c>
      <c r="C437" t="inlineStr">
        <is>
          <t>243300316</t>
        </is>
      </c>
      <c r="D437" t="inlineStr">
        <is>
          <t>33</t>
        </is>
      </c>
      <c r="E437" t="inlineStr">
        <is>
          <t>Gironde</t>
        </is>
      </c>
      <c r="F437" t="inlineStr">
        <is>
          <t>Nouvelle-Aquitaine</t>
        </is>
      </c>
      <c r="G437" s="3" t="n">
        <v>843738</v>
      </c>
      <c r="H437" t="n">
        <v>28</v>
      </c>
      <c r="I437" t="inlineStr">
        <is>
          <t>Esplanade Charles-de-Gaulle, Bordeaux Métropole</t>
        </is>
      </c>
      <c r="J437" t="inlineStr">
        <is>
          <t>33045</t>
        </is>
      </c>
      <c r="K437" t="inlineStr">
        <is>
          <t>Bordeaux Cedex</t>
        </is>
      </c>
      <c r="L437" t="inlineStr">
        <is>
          <t>05 56 99 84 84</t>
        </is>
      </c>
      <c r="M437" t="inlineStr"/>
      <c r="N437" s="4" t="inlineStr">
        <is>
          <t>https://www.bordeaux-metropole.fr/</t>
        </is>
      </c>
      <c r="O437" s="4" t="inlineStr">
        <is>
          <t>https://mesdemarches.bordeaux-metropole.fr/</t>
        </is>
      </c>
      <c r="P437" s="4" t="inlineStr">
        <is>
          <t>https://lannuaire.service-public.gouv.fr/nouvelle-aquitaine/gironde/9e2406f5-c496-4b3b-9b9c-faa3ca7b6aba</t>
        </is>
      </c>
      <c r="Q437" t="inlineStr">
        <is>
          <t>Annuaire Service-public.fr</t>
        </is>
      </c>
      <c r="R437" t="inlineStr"/>
      <c r="S437" t="inlineStr"/>
      <c r="T437" t="inlineStr"/>
    </row>
    <row r="438">
      <c r="A438" t="inlineStr">
        <is>
          <t>CA Bassin d'Arcachon Sud (COBAS)</t>
        </is>
      </c>
      <c r="B438" t="inlineStr">
        <is>
          <t>Communauté d’agglomération</t>
        </is>
      </c>
      <c r="C438" t="inlineStr">
        <is>
          <t>243300563</t>
        </is>
      </c>
      <c r="D438" t="inlineStr">
        <is>
          <t>33</t>
        </is>
      </c>
      <c r="E438" t="inlineStr">
        <is>
          <t>Gironde</t>
        </is>
      </c>
      <c r="F438" t="inlineStr">
        <is>
          <t>Nouvelle-Aquitaine</t>
        </is>
      </c>
      <c r="G438" s="3" t="n">
        <v>69892</v>
      </c>
      <c r="H438" t="n">
        <v>4</v>
      </c>
      <c r="I438" t="inlineStr">
        <is>
          <t>2 allée d'Espagne</t>
        </is>
      </c>
      <c r="J438" t="inlineStr">
        <is>
          <t>33120</t>
        </is>
      </c>
      <c r="K438" t="inlineStr">
        <is>
          <t>Arcachon</t>
        </is>
      </c>
      <c r="L438" t="inlineStr">
        <is>
          <t>05 56 22 33 44</t>
        </is>
      </c>
      <c r="M438" s="4" t="inlineStr">
        <is>
          <t>cobas@agglo-cobas.fr</t>
        </is>
      </c>
      <c r="N438" s="4" t="inlineStr">
        <is>
          <t>https://www.agglo-cobas.fr/</t>
        </is>
      </c>
      <c r="O438" s="4" t="inlineStr">
        <is>
          <t>https://www.agglo-cobas.fr/contact/</t>
        </is>
      </c>
      <c r="P438" s="4" t="inlineStr">
        <is>
          <t>https://lannuaire.service-public.gouv.fr/nouvelle-aquitaine/gironde/df8d3915-fa4f-42c4-8c6a-954235f99d86</t>
        </is>
      </c>
      <c r="Q438" t="inlineStr">
        <is>
          <t>Annuaire Service-public.fr</t>
        </is>
      </c>
      <c r="R438" t="inlineStr"/>
      <c r="S438" t="inlineStr"/>
      <c r="T438" t="inlineStr"/>
    </row>
    <row r="439">
      <c r="A439" t="inlineStr">
        <is>
          <t>CA du Bassin d'Arcachon Nord (COBAN)</t>
        </is>
      </c>
      <c r="B439" t="inlineStr">
        <is>
          <t>Communauté d’agglomération</t>
        </is>
      </c>
      <c r="C439" t="inlineStr">
        <is>
          <t>243301504</t>
        </is>
      </c>
      <c r="D439" t="inlineStr">
        <is>
          <t>33</t>
        </is>
      </c>
      <c r="E439" t="inlineStr">
        <is>
          <t>Gironde</t>
        </is>
      </c>
      <c r="F439" t="inlineStr">
        <is>
          <t>Nouvelle-Aquitaine</t>
        </is>
      </c>
      <c r="G439" s="3" t="n">
        <v>72703</v>
      </c>
      <c r="H439" t="n">
        <v>8</v>
      </c>
      <c r="I439" t="inlineStr">
        <is>
          <t>46 avenue des Colonies</t>
        </is>
      </c>
      <c r="J439" t="inlineStr">
        <is>
          <t>33510</t>
        </is>
      </c>
      <c r="K439" t="inlineStr">
        <is>
          <t>Andernos-les-Bains</t>
        </is>
      </c>
      <c r="L439" t="inlineStr">
        <is>
          <t>05 57 76 17 17</t>
        </is>
      </c>
      <c r="M439" s="4" t="inlineStr">
        <is>
          <t>contact@coban-atlantique.fr</t>
        </is>
      </c>
      <c r="N439" s="4" t="inlineStr">
        <is>
          <t>https://coban-atlantique.fr/</t>
        </is>
      </c>
      <c r="O439" s="4" t="inlineStr">
        <is>
          <t>https://coban-atlantique.fr/contact/</t>
        </is>
      </c>
      <c r="P439" s="4" t="inlineStr">
        <is>
          <t>https://lannuaire.service-public.gouv.fr/nouvelle-aquitaine/gironde/fa9d8bc3-560c-4536-a6b3-71b4e5aa41d3</t>
        </is>
      </c>
      <c r="Q439" t="inlineStr">
        <is>
          <t>Annuaire Service-public.fr</t>
        </is>
      </c>
      <c r="R439" t="inlineStr"/>
      <c r="S439" t="inlineStr"/>
      <c r="T439" t="inlineStr"/>
    </row>
    <row r="440">
      <c r="A440" t="inlineStr">
        <is>
          <t>CA du Libournais</t>
        </is>
      </c>
      <c r="B440" t="inlineStr">
        <is>
          <t>Communauté d’agglomération</t>
        </is>
      </c>
      <c r="C440" t="inlineStr">
        <is>
          <t>200070092</t>
        </is>
      </c>
      <c r="D440" t="inlineStr">
        <is>
          <t>33</t>
        </is>
      </c>
      <c r="E440" t="inlineStr">
        <is>
          <t>Gironde</t>
        </is>
      </c>
      <c r="F440" t="inlineStr">
        <is>
          <t>Nouvelle-Aquitaine</t>
        </is>
      </c>
      <c r="G440" s="3" t="n">
        <v>93359</v>
      </c>
      <c r="H440" t="n">
        <v>45</v>
      </c>
      <c r="I440" t="inlineStr">
        <is>
          <t>42 rue Jules-Ferry</t>
        </is>
      </c>
      <c r="J440" t="inlineStr">
        <is>
          <t>33500</t>
        </is>
      </c>
      <c r="K440" t="inlineStr">
        <is>
          <t>Libourne</t>
        </is>
      </c>
      <c r="L440" t="inlineStr">
        <is>
          <t>05 57 25 01 51</t>
        </is>
      </c>
      <c r="M440" s="4" t="inlineStr">
        <is>
          <t>contact@lacali.fr</t>
        </is>
      </c>
      <c r="N440" s="4" t="inlineStr">
        <is>
          <t>https://www.lacali.fr/</t>
        </is>
      </c>
      <c r="O440" s="4" t="inlineStr">
        <is>
          <t>https://www.lacali.fr/contact</t>
        </is>
      </c>
      <c r="P440" s="4" t="inlineStr">
        <is>
          <t>https://lannuaire.service-public.gouv.fr/nouvelle-aquitaine/gironde/51f5fa3c-f0ba-4a62-a7df-0f45fc00f2bc</t>
        </is>
      </c>
      <c r="Q440" t="inlineStr">
        <is>
          <t>Annuaire Service-public.fr</t>
        </is>
      </c>
      <c r="R440" t="inlineStr"/>
      <c r="S440" t="inlineStr"/>
      <c r="T440" t="inlineStr"/>
    </row>
    <row r="441">
      <c r="A441" t="inlineStr">
        <is>
          <t>CC Convergence Garonne</t>
        </is>
      </c>
      <c r="B441" t="inlineStr">
        <is>
          <t>Communauté de communes</t>
        </is>
      </c>
      <c r="C441" t="inlineStr">
        <is>
          <t>200069581</t>
        </is>
      </c>
      <c r="D441" t="inlineStr">
        <is>
          <t>33</t>
        </is>
      </c>
      <c r="E441" t="inlineStr">
        <is>
          <t>Gironde</t>
        </is>
      </c>
      <c r="F441" t="inlineStr">
        <is>
          <t>Nouvelle-Aquitaine</t>
        </is>
      </c>
      <c r="G441" s="3" t="n">
        <v>32781</v>
      </c>
      <c r="H441" t="n">
        <v>27</v>
      </c>
      <c r="I441" t="inlineStr">
        <is>
          <t>12 rue du Maréchal-Leclerc-de-Hauteclocque</t>
        </is>
      </c>
      <c r="J441" t="inlineStr">
        <is>
          <t>33720</t>
        </is>
      </c>
      <c r="K441" t="inlineStr">
        <is>
          <t>Podensac</t>
        </is>
      </c>
      <c r="L441" t="inlineStr">
        <is>
          <t>05 56 76 38 00</t>
        </is>
      </c>
      <c r="M441" s="4" t="inlineStr">
        <is>
          <t>contact@convergence-garonne.fr</t>
        </is>
      </c>
      <c r="N441" s="4" t="inlineStr">
        <is>
          <t>https://convergence-garonne.fr/</t>
        </is>
      </c>
      <c r="O441" t="inlineStr"/>
      <c r="P441" s="4" t="inlineStr">
        <is>
          <t>https://lannuaire.service-public.gouv.fr/nouvelle-aquitaine/gironde/5e51b301-4f57-4723-b1e8-9ab7d54b962a</t>
        </is>
      </c>
      <c r="Q441" t="inlineStr">
        <is>
          <t>Annuaire Service-public.fr</t>
        </is>
      </c>
      <c r="R441" t="inlineStr"/>
      <c r="S441" t="inlineStr"/>
      <c r="T441" t="inlineStr"/>
    </row>
    <row r="442">
      <c r="A442" t="inlineStr">
        <is>
          <t>CC Jalle-Eau-Bourde</t>
        </is>
      </c>
      <c r="B442" t="inlineStr">
        <is>
          <t>Communauté de communes</t>
        </is>
      </c>
      <c r="C442" t="inlineStr">
        <is>
          <t>243301165</t>
        </is>
      </c>
      <c r="D442" t="inlineStr">
        <is>
          <t>33</t>
        </is>
      </c>
      <c r="E442" t="inlineStr">
        <is>
          <t>Gironde</t>
        </is>
      </c>
      <c r="F442" t="inlineStr">
        <is>
          <t>Nouvelle-Aquitaine</t>
        </is>
      </c>
      <c r="G442" s="3" t="n">
        <v>32295</v>
      </c>
      <c r="H442" t="n">
        <v>3</v>
      </c>
      <c r="I442" t="inlineStr">
        <is>
          <t>2 avenue du Baron-Haussmann, Hôtel de Ville</t>
        </is>
      </c>
      <c r="J442" t="inlineStr">
        <is>
          <t>33610</t>
        </is>
      </c>
      <c r="K442" t="inlineStr">
        <is>
          <t>Cestas</t>
        </is>
      </c>
      <c r="L442" t="inlineStr">
        <is>
          <t>05 56 78 13 00</t>
        </is>
      </c>
      <c r="M442" s="4" t="inlineStr">
        <is>
          <t>cdc@jalleeaubourde.fr</t>
        </is>
      </c>
      <c r="N442" s="4" t="inlineStr">
        <is>
          <t>https://jalleeaubourde.fr/</t>
        </is>
      </c>
      <c r="O442" s="4" t="inlineStr">
        <is>
          <t>https://jalleeaubourde.fr/contacter/</t>
        </is>
      </c>
      <c r="P442" s="4" t="inlineStr">
        <is>
          <t>https://lannuaire.service-public.gouv.fr/nouvelle-aquitaine/gironde/289175a4-20e7-42a3-8b2b-8a2dfbdbb0f1</t>
        </is>
      </c>
      <c r="Q442" t="inlineStr">
        <is>
          <t>Annuaire Service-public.fr</t>
        </is>
      </c>
      <c r="R442" t="inlineStr"/>
      <c r="S442" t="inlineStr"/>
      <c r="T442" t="inlineStr"/>
    </row>
    <row r="443">
      <c r="A443" t="inlineStr">
        <is>
          <t>CC Latitude Nord Gironde</t>
        </is>
      </c>
      <c r="B443" t="inlineStr">
        <is>
          <t>Communauté de communes</t>
        </is>
      </c>
      <c r="C443" t="inlineStr">
        <is>
          <t>243301181</t>
        </is>
      </c>
      <c r="D443" t="inlineStr">
        <is>
          <t>33</t>
        </is>
      </c>
      <c r="E443" t="inlineStr">
        <is>
          <t>Gironde</t>
        </is>
      </c>
      <c r="F443" t="inlineStr">
        <is>
          <t>Nouvelle-Aquitaine</t>
        </is>
      </c>
      <c r="G443" s="3" t="n">
        <v>21630</v>
      </c>
      <c r="H443" t="n">
        <v>12</v>
      </c>
      <c r="I443" t="inlineStr">
        <is>
          <t>2 rue de la Gamme, Maison de la communauté de communes</t>
        </is>
      </c>
      <c r="J443" t="inlineStr">
        <is>
          <t>33920</t>
        </is>
      </c>
      <c r="K443" t="inlineStr">
        <is>
          <t>Saint-Savin</t>
        </is>
      </c>
      <c r="L443" t="inlineStr">
        <is>
          <t>05 57 58 98 87</t>
        </is>
      </c>
      <c r="M443" s="4" t="inlineStr">
        <is>
          <t>contact@latitude-nord-gironde.fr</t>
        </is>
      </c>
      <c r="N443" s="4" t="inlineStr">
        <is>
          <t>https://www.latitude-nord-gironde.fr/</t>
        </is>
      </c>
      <c r="O443" t="inlineStr"/>
      <c r="P443" s="4" t="inlineStr">
        <is>
          <t>https://lannuaire.service-public.gouv.fr/nouvelle-aquitaine/gironde/3781c4f7-13f1-4a71-82fc-c3423b208cc0</t>
        </is>
      </c>
      <c r="Q443" t="inlineStr">
        <is>
          <t>Annuaire Service-public.fr</t>
        </is>
      </c>
      <c r="R443" t="inlineStr"/>
      <c r="S443" t="inlineStr"/>
      <c r="T443" t="inlineStr"/>
    </row>
    <row r="444">
      <c r="A444" t="inlineStr">
        <is>
          <t>CC Les Rives de la Laurence</t>
        </is>
      </c>
      <c r="B444" t="inlineStr">
        <is>
          <t>Communauté de communes</t>
        </is>
      </c>
      <c r="C444" t="inlineStr">
        <is>
          <t>243301249</t>
        </is>
      </c>
      <c r="D444" t="inlineStr">
        <is>
          <t>33</t>
        </is>
      </c>
      <c r="E444" t="inlineStr">
        <is>
          <t>Gironde</t>
        </is>
      </c>
      <c r="F444" t="inlineStr">
        <is>
          <t>Nouvelle-Aquitaine</t>
        </is>
      </c>
      <c r="G444" s="3" t="n">
        <v>28873</v>
      </c>
      <c r="H444" t="n">
        <v>6</v>
      </c>
      <c r="I444" t="inlineStr">
        <is>
          <t>30 bis chemin de Nice</t>
        </is>
      </c>
      <c r="J444" t="inlineStr">
        <is>
          <t>33450</t>
        </is>
      </c>
      <c r="K444" t="inlineStr">
        <is>
          <t>Saint-Loubès</t>
        </is>
      </c>
      <c r="L444" t="inlineStr">
        <is>
          <t>05 56 78 91 11</t>
        </is>
      </c>
      <c r="M444" s="4" t="inlineStr">
        <is>
          <t>cdc.saintloubes@free.fr</t>
        </is>
      </c>
      <c r="N444" s="4" t="inlineStr">
        <is>
          <t>https://www.rivesdelalaurence.fr/</t>
        </is>
      </c>
      <c r="O444" s="4" t="inlineStr">
        <is>
          <t>https://www.rivesdelalaurence.fr/nous-contacter/</t>
        </is>
      </c>
      <c r="P444" s="4" t="inlineStr">
        <is>
          <t>https://lannuaire.service-public.gouv.fr/nouvelle-aquitaine/gironde/4bfe7ae6-b0f2-4fbc-84fb-bdd340525708</t>
        </is>
      </c>
      <c r="Q444" t="inlineStr">
        <is>
          <t>Annuaire Service-public.fr</t>
        </is>
      </c>
      <c r="R444" t="inlineStr"/>
      <c r="S444" t="inlineStr"/>
      <c r="T444" t="inlineStr"/>
    </row>
    <row r="445">
      <c r="A445" t="inlineStr">
        <is>
          <t>CC Médoc Atlantique</t>
        </is>
      </c>
      <c r="B445" t="inlineStr">
        <is>
          <t>Communauté de communes</t>
        </is>
      </c>
      <c r="C445" t="inlineStr">
        <is>
          <t>200070720</t>
        </is>
      </c>
      <c r="D445" t="inlineStr">
        <is>
          <t>33</t>
        </is>
      </c>
      <c r="E445" t="inlineStr">
        <is>
          <t>Gironde</t>
        </is>
      </c>
      <c r="F445" t="inlineStr">
        <is>
          <t>Nouvelle-Aquitaine</t>
        </is>
      </c>
      <c r="G445" s="3" t="n">
        <v>28306</v>
      </c>
      <c r="H445" t="n">
        <v>14</v>
      </c>
      <c r="I445" t="inlineStr">
        <is>
          <t>9 rue du Maréchal-d'Ornano</t>
        </is>
      </c>
      <c r="J445" t="inlineStr">
        <is>
          <t>33780</t>
        </is>
      </c>
      <c r="K445" t="inlineStr">
        <is>
          <t>Soulac-sur-Mer</t>
        </is>
      </c>
      <c r="L445" t="inlineStr">
        <is>
          <t>05 56 73 29 26</t>
        </is>
      </c>
      <c r="M445" s="4" t="inlineStr">
        <is>
          <t>sg@ccmedocatlantique.fr</t>
        </is>
      </c>
      <c r="N445" s="4" t="inlineStr">
        <is>
          <t>https://www.ccmedocatlantique.fr/</t>
        </is>
      </c>
      <c r="O445" s="4" t="inlineStr">
        <is>
          <t>https://www.ccmedocatlantique.fr/nouscontacter/</t>
        </is>
      </c>
      <c r="P445" s="4" t="inlineStr">
        <is>
          <t>https://lannuaire.service-public.gouv.fr/nouvelle-aquitaine/gironde/2a175a13-ef96-4c84-a1a3-386c0a12cad3</t>
        </is>
      </c>
      <c r="Q445" t="inlineStr">
        <is>
          <t>Annuaire Service-public.fr</t>
        </is>
      </c>
      <c r="R445" t="inlineStr"/>
      <c r="S445" t="inlineStr"/>
      <c r="T445" t="inlineStr"/>
    </row>
    <row r="446">
      <c r="A446" t="inlineStr">
        <is>
          <t>CC Médoc Coeur de Presqu'île</t>
        </is>
      </c>
      <c r="B446" t="inlineStr">
        <is>
          <t>Communauté de communes</t>
        </is>
      </c>
      <c r="C446" t="inlineStr">
        <is>
          <t>200069995</t>
        </is>
      </c>
      <c r="D446" t="inlineStr">
        <is>
          <t>33</t>
        </is>
      </c>
      <c r="E446" t="inlineStr">
        <is>
          <t>Gironde</t>
        </is>
      </c>
      <c r="F446" t="inlineStr">
        <is>
          <t>Nouvelle-Aquitaine</t>
        </is>
      </c>
      <c r="G446" s="3" t="n">
        <v>30896</v>
      </c>
      <c r="H446" t="n">
        <v>18</v>
      </c>
      <c r="I446" t="inlineStr">
        <is>
          <t>10 place du Maréchal-Foch</t>
        </is>
      </c>
      <c r="J446" t="inlineStr">
        <is>
          <t>33340</t>
        </is>
      </c>
      <c r="K446" t="inlineStr">
        <is>
          <t>Lesparre-Médoc</t>
        </is>
      </c>
      <c r="L446" t="inlineStr">
        <is>
          <t>05 56 41 66 60</t>
        </is>
      </c>
      <c r="M446" s="4" t="inlineStr">
        <is>
          <t>cdc@medoc-cpi.fr</t>
        </is>
      </c>
      <c r="N446" s="4" t="inlineStr">
        <is>
          <t>http://www.medoc-cpi.fr</t>
        </is>
      </c>
      <c r="O446" s="4" t="inlineStr">
        <is>
          <t>http://www.medoc-cpi.fr/Contact</t>
        </is>
      </c>
      <c r="P446" s="4" t="inlineStr">
        <is>
          <t>https://lannuaire.service-public.gouv.fr/nouvelle-aquitaine/gironde/d5ac44e0-5046-4625-8e68-84ea784e9196</t>
        </is>
      </c>
      <c r="Q446" t="inlineStr">
        <is>
          <t>Annuaire Service-public.fr</t>
        </is>
      </c>
      <c r="R446" t="inlineStr"/>
      <c r="S446" t="inlineStr"/>
      <c r="T446" t="inlineStr"/>
    </row>
    <row r="447">
      <c r="A447" t="inlineStr">
        <is>
          <t>CC Médoc Estuaire</t>
        </is>
      </c>
      <c r="B447" t="inlineStr">
        <is>
          <t>Communauté de communes</t>
        </is>
      </c>
      <c r="C447" t="inlineStr">
        <is>
          <t>243301447</t>
        </is>
      </c>
      <c r="D447" t="inlineStr">
        <is>
          <t>33</t>
        </is>
      </c>
      <c r="E447" t="inlineStr">
        <is>
          <t>Gironde</t>
        </is>
      </c>
      <c r="F447" t="inlineStr">
        <is>
          <t>Nouvelle-Aquitaine</t>
        </is>
      </c>
      <c r="G447" s="3" t="n">
        <v>30654</v>
      </c>
      <c r="H447" t="n">
        <v>10</v>
      </c>
      <c r="I447" t="inlineStr">
        <is>
          <t>26 rue de l'Abbé-Frémont</t>
        </is>
      </c>
      <c r="J447" t="inlineStr">
        <is>
          <t>33460</t>
        </is>
      </c>
      <c r="K447" t="inlineStr">
        <is>
          <t>Arsac</t>
        </is>
      </c>
      <c r="L447" t="inlineStr">
        <is>
          <t>05 57 88 08 08</t>
        </is>
      </c>
      <c r="M447" s="4" t="inlineStr">
        <is>
          <t>contact@medoc-estuaire.fr</t>
        </is>
      </c>
      <c r="N447" s="4" t="inlineStr">
        <is>
          <t>http://www.cc-medoc-estuaire.fr</t>
        </is>
      </c>
      <c r="O447" t="inlineStr"/>
      <c r="P447" s="4" t="inlineStr">
        <is>
          <t>https://lannuaire.service-public.gouv.fr/nouvelle-aquitaine/gironde/a609c4b7-87dd-47ac-bca8-35acbfaaae28</t>
        </is>
      </c>
      <c r="Q447" t="inlineStr">
        <is>
          <t>Annuaire Service-public.fr</t>
        </is>
      </c>
      <c r="R447" t="inlineStr"/>
      <c r="S447" t="inlineStr"/>
      <c r="T447" t="inlineStr"/>
    </row>
    <row r="448">
      <c r="A448" t="inlineStr">
        <is>
          <t>CC Médullienne</t>
        </is>
      </c>
      <c r="B448" t="inlineStr">
        <is>
          <t>Communauté de communes</t>
        </is>
      </c>
      <c r="C448" t="inlineStr">
        <is>
          <t>243301389</t>
        </is>
      </c>
      <c r="D448" t="inlineStr">
        <is>
          <t>33</t>
        </is>
      </c>
      <c r="E448" t="inlineStr">
        <is>
          <t>Gironde</t>
        </is>
      </c>
      <c r="F448" t="inlineStr">
        <is>
          <t>Nouvelle-Aquitaine</t>
        </is>
      </c>
      <c r="G448" s="3" t="n">
        <v>22484</v>
      </c>
      <c r="H448" t="n">
        <v>10</v>
      </c>
      <c r="I448" t="inlineStr">
        <is>
          <t>4 place Carnot</t>
        </is>
      </c>
      <c r="J448" t="inlineStr">
        <is>
          <t>33480</t>
        </is>
      </c>
      <c r="K448" t="inlineStr">
        <is>
          <t>Castelnau-de-Médoc</t>
        </is>
      </c>
      <c r="L448" t="inlineStr">
        <is>
          <t>05 56 58 65 20</t>
        </is>
      </c>
      <c r="M448" s="4" t="inlineStr">
        <is>
          <t>medullienne@cdcmedullienne.fr</t>
        </is>
      </c>
      <c r="N448" s="4" t="inlineStr">
        <is>
          <t>https://www.cdcmedullienne.com/</t>
        </is>
      </c>
      <c r="O448" s="4" t="inlineStr">
        <is>
          <t>https://www.cdcmedullienne.com/contact/contacter-la-cdc.html</t>
        </is>
      </c>
      <c r="P448" s="4" t="inlineStr">
        <is>
          <t>https://lannuaire.service-public.gouv.fr/nouvelle-aquitaine/gironde/ffc81e6a-117b-4eb2-b952-e6e79723381e</t>
        </is>
      </c>
      <c r="Q448" t="inlineStr">
        <is>
          <t>Annuaire Service-public.fr</t>
        </is>
      </c>
      <c r="R448" t="inlineStr"/>
      <c r="S448" t="inlineStr"/>
      <c r="T448" t="inlineStr"/>
    </row>
    <row r="449">
      <c r="A449" t="inlineStr">
        <is>
          <t>CC Rurales de l'Entre-Deux-Mers</t>
        </is>
      </c>
      <c r="B449" t="inlineStr">
        <is>
          <t>Communauté de communes</t>
        </is>
      </c>
      <c r="C449" t="inlineStr">
        <is>
          <t>200069599</t>
        </is>
      </c>
      <c r="D449" t="inlineStr">
        <is>
          <t>33</t>
        </is>
      </c>
      <c r="E449" t="inlineStr">
        <is>
          <t>Gironde</t>
        </is>
      </c>
      <c r="F449" t="inlineStr">
        <is>
          <t>Nouvelle-Aquitaine</t>
        </is>
      </c>
      <c r="G449" s="3" t="n">
        <v>16615</v>
      </c>
      <c r="H449" t="n">
        <v>49</v>
      </c>
      <c r="I449" t="inlineStr">
        <is>
          <t>Esplanade Bonard, 82 rue des Martyrs-de-la-Résistance-et-de-la-Déportation</t>
        </is>
      </c>
      <c r="J449" t="inlineStr">
        <is>
          <t>33540</t>
        </is>
      </c>
      <c r="K449" t="inlineStr">
        <is>
          <t>Sauveterre-de-Guyenne</t>
        </is>
      </c>
      <c r="L449" t="inlineStr">
        <is>
          <t>05 56 71 81 76</t>
        </is>
      </c>
      <c r="M449" s="4" t="inlineStr">
        <is>
          <t>accueil@ruralesentredeuxmers.fr</t>
        </is>
      </c>
      <c r="N449" s="4" t="inlineStr">
        <is>
          <t>https://www.ruralesentredeuxmers.fr/</t>
        </is>
      </c>
      <c r="O449" s="4" t="inlineStr">
        <is>
          <t>https://www.ruralesentredeuxmers.fr/contact/</t>
        </is>
      </c>
      <c r="P449" s="4" t="inlineStr">
        <is>
          <t>https://lannuaire.service-public.gouv.fr/nouvelle-aquitaine/gironde/9fe9623c-b24a-45de-878b-254abf045a1a</t>
        </is>
      </c>
      <c r="Q449" t="inlineStr">
        <is>
          <t>Annuaire Service-public.fr</t>
        </is>
      </c>
      <c r="R449" t="inlineStr"/>
      <c r="S449" t="inlineStr"/>
      <c r="T449" t="inlineStr"/>
    </row>
    <row r="450">
      <c r="A450" t="inlineStr">
        <is>
          <t>CC de Blaye</t>
        </is>
      </c>
      <c r="B450" t="inlineStr">
        <is>
          <t>Communauté de communes</t>
        </is>
      </c>
      <c r="C450" t="inlineStr">
        <is>
          <t>200023794</t>
        </is>
      </c>
      <c r="D450" t="inlineStr">
        <is>
          <t>33</t>
        </is>
      </c>
      <c r="E450" t="inlineStr">
        <is>
          <t>Gironde</t>
        </is>
      </c>
      <c r="F450" t="inlineStr">
        <is>
          <t>Nouvelle-Aquitaine</t>
        </is>
      </c>
      <c r="G450" s="3" t="n">
        <v>20458</v>
      </c>
      <c r="H450" t="n">
        <v>20</v>
      </c>
      <c r="I450" t="inlineStr">
        <is>
          <t>32 rue des Maçons</t>
        </is>
      </c>
      <c r="J450" t="inlineStr">
        <is>
          <t>33393</t>
        </is>
      </c>
      <c r="K450" t="inlineStr">
        <is>
          <t>Blaye</t>
        </is>
      </c>
      <c r="L450" t="inlineStr">
        <is>
          <t>05 57 42 33 33</t>
        </is>
      </c>
      <c r="M450" s="4" t="inlineStr">
        <is>
          <t>ccb@ccb-blaye.com</t>
        </is>
      </c>
      <c r="N450" s="4" t="inlineStr">
        <is>
          <t>https://ccb-blaye.com/</t>
        </is>
      </c>
      <c r="O450" s="4" t="inlineStr">
        <is>
          <t>https://ccb-blaye.com/pages-pratiques/contact/</t>
        </is>
      </c>
      <c r="P450" s="4" t="inlineStr">
        <is>
          <t>https://lannuaire.service-public.gouv.fr/nouvelle-aquitaine/gironde/beb43613-3747-4f37-a927-ab02b2c9957c</t>
        </is>
      </c>
      <c r="Q450" t="inlineStr">
        <is>
          <t>Annuaire Service-public.fr</t>
        </is>
      </c>
      <c r="R450" t="inlineStr"/>
      <c r="S450" t="inlineStr"/>
      <c r="T450" t="inlineStr"/>
    </row>
    <row r="451">
      <c r="A451" t="inlineStr">
        <is>
          <t>CC de Montesquieu</t>
        </is>
      </c>
      <c r="B451" t="inlineStr">
        <is>
          <t>Communauté de communes</t>
        </is>
      </c>
      <c r="C451" t="inlineStr">
        <is>
          <t>243301264</t>
        </is>
      </c>
      <c r="D451" t="inlineStr">
        <is>
          <t>33</t>
        </is>
      </c>
      <c r="E451" t="inlineStr">
        <is>
          <t>Gironde</t>
        </is>
      </c>
      <c r="F451" t="inlineStr">
        <is>
          <t>Nouvelle-Aquitaine</t>
        </is>
      </c>
      <c r="G451" s="3" t="n">
        <v>47276</v>
      </c>
      <c r="H451" t="n">
        <v>13</v>
      </c>
      <c r="I451" t="inlineStr">
        <is>
          <t>1 allée Jean-Rostand</t>
        </is>
      </c>
      <c r="J451" t="inlineStr">
        <is>
          <t>33650</t>
        </is>
      </c>
      <c r="K451" t="inlineStr">
        <is>
          <t>Martillac</t>
        </is>
      </c>
      <c r="L451" t="inlineStr">
        <is>
          <t>05 57 96 01 20</t>
        </is>
      </c>
      <c r="M451" s="4" t="inlineStr">
        <is>
          <t>contact@cc-montesquieu.fr</t>
        </is>
      </c>
      <c r="N451" s="4" t="inlineStr">
        <is>
          <t>https://www.cc-montesquieu.fr/accueil</t>
        </is>
      </c>
      <c r="O451" s="4" t="inlineStr">
        <is>
          <t>https://www.cc-montesquieu.fr/contactez-nous</t>
        </is>
      </c>
      <c r="P451" s="4" t="inlineStr">
        <is>
          <t>https://lannuaire.service-public.gouv.fr/nouvelle-aquitaine/gironde/959b3e5e-05b6-49a1-893c-40e84b87fdbd</t>
        </is>
      </c>
      <c r="Q451" t="inlineStr">
        <is>
          <t>Annuaire Service-public.fr</t>
        </is>
      </c>
      <c r="R451" t="inlineStr"/>
      <c r="S451" t="inlineStr"/>
      <c r="T451" t="inlineStr"/>
    </row>
    <row r="452">
      <c r="A452" t="inlineStr">
        <is>
          <t>CC de l'Estuaire</t>
        </is>
      </c>
      <c r="B452" t="inlineStr">
        <is>
          <t>Communauté de communes</t>
        </is>
      </c>
      <c r="C452" t="inlineStr">
        <is>
          <t>243300811</t>
        </is>
      </c>
      <c r="D452" t="inlineStr">
        <is>
          <t>33</t>
        </is>
      </c>
      <c r="E452" t="inlineStr">
        <is>
          <t>Gironde</t>
        </is>
      </c>
      <c r="F452" t="inlineStr">
        <is>
          <t>Nouvelle-Aquitaine</t>
        </is>
      </c>
      <c r="G452" s="3" t="n">
        <v>16099</v>
      </c>
      <c r="H452" t="n">
        <v>14</v>
      </c>
      <c r="I452" t="inlineStr">
        <is>
          <t>38 avenue de la République</t>
        </is>
      </c>
      <c r="J452" t="inlineStr">
        <is>
          <t>33820</t>
        </is>
      </c>
      <c r="K452" t="inlineStr">
        <is>
          <t>Braud-et-Saint-Louis</t>
        </is>
      </c>
      <c r="L452" t="inlineStr">
        <is>
          <t>05 57 42 61 99</t>
        </is>
      </c>
      <c r="M452" s="4" t="inlineStr">
        <is>
          <t>contact@cc-estuaire.fr</t>
        </is>
      </c>
      <c r="N452" s="4" t="inlineStr">
        <is>
          <t>https://www.cc-estuaire.fr/</t>
        </is>
      </c>
      <c r="O452" s="4" t="inlineStr">
        <is>
          <t>https://www.cc-estuaire.fr/nous-ecrire/</t>
        </is>
      </c>
      <c r="P452" s="4" t="inlineStr">
        <is>
          <t>https://lannuaire.service-public.gouv.fr/nouvelle-aquitaine/gironde/b6910302-2502-4a63-a686-a57d6580f7ad</t>
        </is>
      </c>
      <c r="Q452" t="inlineStr">
        <is>
          <t>Annuaire Service-public.fr</t>
        </is>
      </c>
      <c r="R452" t="inlineStr"/>
      <c r="S452" t="inlineStr"/>
      <c r="T452" t="inlineStr"/>
    </row>
    <row r="453">
      <c r="A453" t="inlineStr">
        <is>
          <t>CC des Portes de l'Entre-Deux-Mers</t>
        </is>
      </c>
      <c r="B453" t="inlineStr">
        <is>
          <t>Communauté de communes</t>
        </is>
      </c>
      <c r="C453" t="inlineStr">
        <is>
          <t>243301439</t>
        </is>
      </c>
      <c r="D453" t="inlineStr">
        <is>
          <t>33</t>
        </is>
      </c>
      <c r="E453" t="inlineStr">
        <is>
          <t>Gironde</t>
        </is>
      </c>
      <c r="F453" t="inlineStr">
        <is>
          <t>Nouvelle-Aquitaine</t>
        </is>
      </c>
      <c r="G453" s="3" t="n">
        <v>22414</v>
      </c>
      <c r="H453" t="n">
        <v>11</v>
      </c>
      <c r="I453" t="inlineStr">
        <is>
          <t>51 chemin du Port-de-l'Homme</t>
        </is>
      </c>
      <c r="J453" t="inlineStr">
        <is>
          <t>33360</t>
        </is>
      </c>
      <c r="K453" t="inlineStr">
        <is>
          <t>Latresne</t>
        </is>
      </c>
      <c r="L453" t="inlineStr">
        <is>
          <t>05 56 20 83 60</t>
        </is>
      </c>
      <c r="M453" s="4" t="inlineStr">
        <is>
          <t>accueil@cdc-portesentredeuxmers.fr</t>
        </is>
      </c>
      <c r="N453" s="4" t="inlineStr">
        <is>
          <t>http://www.cdc-portesentredeuxmers.fr</t>
        </is>
      </c>
      <c r="O453" t="inlineStr"/>
      <c r="P453" s="4" t="inlineStr">
        <is>
          <t>https://lannuaire.service-public.gouv.fr/nouvelle-aquitaine/gironde/a923a07a-5be4-4211-9deb-5f0904fddd51</t>
        </is>
      </c>
      <c r="Q453" t="inlineStr">
        <is>
          <t>Annuaire Service-public.fr</t>
        </is>
      </c>
      <c r="R453" t="inlineStr"/>
      <c r="S453" t="inlineStr"/>
      <c r="T453" t="inlineStr"/>
    </row>
    <row r="454">
      <c r="A454" t="inlineStr">
        <is>
          <t>CC du Bazadais</t>
        </is>
      </c>
      <c r="B454" t="inlineStr">
        <is>
          <t>Communauté de communes</t>
        </is>
      </c>
      <c r="C454" t="inlineStr">
        <is>
          <t>200043982</t>
        </is>
      </c>
      <c r="D454" t="inlineStr">
        <is>
          <t>33</t>
        </is>
      </c>
      <c r="E454" t="inlineStr">
        <is>
          <t>Gironde</t>
        </is>
      </c>
      <c r="F454" t="inlineStr">
        <is>
          <t>Nouvelle-Aquitaine</t>
        </is>
      </c>
      <c r="G454" s="3" t="n">
        <v>15905</v>
      </c>
      <c r="H454" t="n">
        <v>31</v>
      </c>
      <c r="I454" t="inlineStr">
        <is>
          <t>Route de Lerm, Lieu-dit Coucut</t>
        </is>
      </c>
      <c r="J454" t="inlineStr">
        <is>
          <t>33430</t>
        </is>
      </c>
      <c r="K454" t="inlineStr">
        <is>
          <t>Bazas</t>
        </is>
      </c>
      <c r="L454" t="inlineStr">
        <is>
          <t>05 56 25 28 81</t>
        </is>
      </c>
      <c r="M454" s="4" t="inlineStr">
        <is>
          <t>contactbazas@cdcdubazadais.fr</t>
        </is>
      </c>
      <c r="N454" s="4" t="inlineStr">
        <is>
          <t>https://cdcdubazadais.fr/</t>
        </is>
      </c>
      <c r="O454" s="4" t="inlineStr">
        <is>
          <t>https://cdcdubazadais.fr/contacts/</t>
        </is>
      </c>
      <c r="P454" s="4" t="inlineStr">
        <is>
          <t>https://lannuaire.service-public.gouv.fr/nouvelle-aquitaine/gironde/45b5b3f2-bd09-405e-a575-29ad94fc1403</t>
        </is>
      </c>
      <c r="Q454" t="inlineStr">
        <is>
          <t>Annuaire Service-public.fr</t>
        </is>
      </c>
      <c r="R454" t="inlineStr"/>
      <c r="S454" t="inlineStr"/>
      <c r="T454" t="inlineStr"/>
    </row>
    <row r="455">
      <c r="A455" t="inlineStr">
        <is>
          <t>CC du Créonnais</t>
        </is>
      </c>
      <c r="B455" t="inlineStr">
        <is>
          <t>Communauté de communes</t>
        </is>
      </c>
      <c r="C455" t="inlineStr">
        <is>
          <t>243301215</t>
        </is>
      </c>
      <c r="D455" t="inlineStr">
        <is>
          <t>33</t>
        </is>
      </c>
      <c r="E455" t="inlineStr">
        <is>
          <t>Gironde</t>
        </is>
      </c>
      <c r="F455" t="inlineStr">
        <is>
          <t>Nouvelle-Aquitaine</t>
        </is>
      </c>
      <c r="G455" s="3" t="n">
        <v>18263</v>
      </c>
      <c r="H455" t="n">
        <v>15</v>
      </c>
      <c r="I455" t="inlineStr">
        <is>
          <t>39 boulevard Victor-Hugo</t>
        </is>
      </c>
      <c r="J455" t="inlineStr">
        <is>
          <t>33670</t>
        </is>
      </c>
      <c r="K455" t="inlineStr">
        <is>
          <t>Créon</t>
        </is>
      </c>
      <c r="L455" t="inlineStr">
        <is>
          <t>05 57 34 57 00</t>
        </is>
      </c>
      <c r="M455" s="4" t="inlineStr">
        <is>
          <t>contact.cdc@cc-creonnais.fr</t>
        </is>
      </c>
      <c r="N455" s="4" t="inlineStr">
        <is>
          <t>http://www.cc-creonnais.fr</t>
        </is>
      </c>
      <c r="O455" t="inlineStr"/>
      <c r="P455" s="4" t="inlineStr">
        <is>
          <t>https://lannuaire.service-public.gouv.fr/nouvelle-aquitaine/gironde/d4e3da63-be44-4c59-94bd-8d7afdbab54b</t>
        </is>
      </c>
      <c r="Q455" t="inlineStr">
        <is>
          <t>Annuaire Service-public.fr</t>
        </is>
      </c>
      <c r="R455" t="inlineStr"/>
      <c r="S455" t="inlineStr"/>
      <c r="T455" t="inlineStr"/>
    </row>
    <row r="456">
      <c r="A456" t="inlineStr">
        <is>
          <t>CC du Fronsadais</t>
        </is>
      </c>
      <c r="B456" t="inlineStr">
        <is>
          <t>Communauté de communes</t>
        </is>
      </c>
      <c r="C456" t="inlineStr">
        <is>
          <t>243301397</t>
        </is>
      </c>
      <c r="D456" t="inlineStr">
        <is>
          <t>33</t>
        </is>
      </c>
      <c r="E456" t="inlineStr">
        <is>
          <t>Gironde</t>
        </is>
      </c>
      <c r="F456" t="inlineStr">
        <is>
          <t>Nouvelle-Aquitaine</t>
        </is>
      </c>
      <c r="G456" s="3" t="n">
        <v>17712</v>
      </c>
      <c r="H456" t="n">
        <v>18</v>
      </c>
      <c r="I456" t="inlineStr">
        <is>
          <t>1 avenue Charles-de-Gaulle</t>
        </is>
      </c>
      <c r="J456" t="inlineStr">
        <is>
          <t>33240</t>
        </is>
      </c>
      <c r="K456" t="inlineStr">
        <is>
          <t>Saint-Germain-de-la-Rivière</t>
        </is>
      </c>
      <c r="L456" t="inlineStr">
        <is>
          <t>05 57 84 40 18</t>
        </is>
      </c>
      <c r="M456" s="4" t="inlineStr">
        <is>
          <t>dgs@cdc-fronsadais.com</t>
        </is>
      </c>
      <c r="N456" s="4" t="inlineStr">
        <is>
          <t>https://www.cdc-fronsadais.com/</t>
        </is>
      </c>
      <c r="O456" t="inlineStr"/>
      <c r="P456" s="4" t="inlineStr">
        <is>
          <t>https://lannuaire.service-public.gouv.fr/nouvelle-aquitaine/gironde/a076c504-64f4-4605-b0a4-82c0eaa8abd9</t>
        </is>
      </c>
      <c r="Q456" t="inlineStr">
        <is>
          <t>Annuaire Service-public.fr</t>
        </is>
      </c>
      <c r="R456" t="inlineStr"/>
      <c r="S456" t="inlineStr"/>
      <c r="T456" t="inlineStr"/>
    </row>
    <row r="457">
      <c r="A457" t="inlineStr">
        <is>
          <t>CC du Grand Cubzaguais</t>
        </is>
      </c>
      <c r="B457" t="inlineStr">
        <is>
          <t>Communauté de communes</t>
        </is>
      </c>
      <c r="C457" t="inlineStr">
        <is>
          <t>243301223</t>
        </is>
      </c>
      <c r="D457" t="inlineStr">
        <is>
          <t>33</t>
        </is>
      </c>
      <c r="E457" t="inlineStr">
        <is>
          <t>Gironde</t>
        </is>
      </c>
      <c r="F457" t="inlineStr">
        <is>
          <t>Nouvelle-Aquitaine</t>
        </is>
      </c>
      <c r="G457" s="3" t="n">
        <v>37566</v>
      </c>
      <c r="H457" t="n">
        <v>16</v>
      </c>
      <c r="I457" t="inlineStr">
        <is>
          <t>365 avenue Boucicaut</t>
        </is>
      </c>
      <c r="J457" t="inlineStr">
        <is>
          <t>33240</t>
        </is>
      </c>
      <c r="K457" t="inlineStr">
        <is>
          <t>Saint-André-de-Cubzac</t>
        </is>
      </c>
      <c r="L457" t="inlineStr">
        <is>
          <t>05 57 43 96 37</t>
        </is>
      </c>
      <c r="M457" s="4" t="inlineStr">
        <is>
          <t>accueil@grand-cubzaguais.fr</t>
        </is>
      </c>
      <c r="N457" s="4" t="inlineStr">
        <is>
          <t>https://www.grand-cubzaguais.fr/</t>
        </is>
      </c>
      <c r="O457" s="4" t="inlineStr">
        <is>
          <t>https://www.grand-cubzaguais.fr/contact/</t>
        </is>
      </c>
      <c r="P457" s="4" t="inlineStr">
        <is>
          <t>https://lannuaire.service-public.gouv.fr/nouvelle-aquitaine/gironde/f8e36faa-7c90-4caf-b963-96df882cb1ac</t>
        </is>
      </c>
      <c r="Q457" t="inlineStr">
        <is>
          <t>Annuaire Service-public.fr</t>
        </is>
      </c>
      <c r="R457" t="inlineStr"/>
      <c r="S457" t="inlineStr"/>
      <c r="T457" t="inlineStr"/>
    </row>
    <row r="458">
      <c r="A458" t="inlineStr">
        <is>
          <t>CC du Grand Saint Emilionnais</t>
        </is>
      </c>
      <c r="B458" t="inlineStr">
        <is>
          <t>Communauté de communes</t>
        </is>
      </c>
      <c r="C458" t="inlineStr">
        <is>
          <t>200035533</t>
        </is>
      </c>
      <c r="D458" t="inlineStr">
        <is>
          <t>33</t>
        </is>
      </c>
      <c r="E458" t="inlineStr">
        <is>
          <t>Gironde</t>
        </is>
      </c>
      <c r="F458" t="inlineStr">
        <is>
          <t>Nouvelle-Aquitaine</t>
        </is>
      </c>
      <c r="G458" s="3" t="n">
        <v>14033</v>
      </c>
      <c r="H458" t="n">
        <v>22</v>
      </c>
      <c r="I458" t="inlineStr">
        <is>
          <t>1109 route de la Gare</t>
        </is>
      </c>
      <c r="J458" t="inlineStr">
        <is>
          <t>33330</t>
        </is>
      </c>
      <c r="K458" t="inlineStr">
        <is>
          <t>Saint-Emilion</t>
        </is>
      </c>
      <c r="L458" t="inlineStr">
        <is>
          <t>05 57 55 21 60</t>
        </is>
      </c>
      <c r="M458" s="4" t="inlineStr">
        <is>
          <t>contact@grand-st-emilionnais.org</t>
        </is>
      </c>
      <c r="N458" s="4" t="inlineStr">
        <is>
          <t>https://www.grand-saint-emilionnais.fr</t>
        </is>
      </c>
      <c r="O458" t="inlineStr"/>
      <c r="P458" s="4" t="inlineStr">
        <is>
          <t>https://lannuaire.service-public.gouv.fr/nouvelle-aquitaine/gironde/0a9a9400-439f-4e5b-a615-c2d0ce13116f</t>
        </is>
      </c>
      <c r="Q458" t="inlineStr">
        <is>
          <t>Annuaire Service-public.fr</t>
        </is>
      </c>
      <c r="R458" t="inlineStr"/>
      <c r="S458" t="inlineStr"/>
      <c r="T458" t="inlineStr"/>
    </row>
    <row r="459">
      <c r="A459" t="inlineStr">
        <is>
          <t>CC du Réolais en Sud Gironde</t>
        </is>
      </c>
      <c r="B459" t="inlineStr">
        <is>
          <t>Communauté de communes</t>
        </is>
      </c>
      <c r="C459" t="inlineStr">
        <is>
          <t>200044394</t>
        </is>
      </c>
      <c r="D459" t="inlineStr">
        <is>
          <t>33</t>
        </is>
      </c>
      <c r="E459" t="inlineStr">
        <is>
          <t>Gironde</t>
        </is>
      </c>
      <c r="F459" t="inlineStr">
        <is>
          <t>Nouvelle-Aquitaine</t>
        </is>
      </c>
      <c r="G459" s="3" t="n">
        <v>24011</v>
      </c>
      <c r="H459" t="n">
        <v>41</v>
      </c>
      <c r="I459" t="inlineStr">
        <is>
          <t>1 Rue Rosa-Bonheur</t>
        </is>
      </c>
      <c r="J459" t="inlineStr">
        <is>
          <t>33190</t>
        </is>
      </c>
      <c r="K459" t="inlineStr">
        <is>
          <t>La Réole</t>
        </is>
      </c>
      <c r="L459" t="inlineStr">
        <is>
          <t>05 56 71 71 55</t>
        </is>
      </c>
      <c r="M459" s="4" t="inlineStr">
        <is>
          <t>contact@reolaisensudgironde.fr</t>
        </is>
      </c>
      <c r="N459" s="4" t="inlineStr">
        <is>
          <t>https://www.reolaisensudgironde.fr/</t>
        </is>
      </c>
      <c r="O459" s="4" t="inlineStr">
        <is>
          <t>https://www.reolaisensudgironde.fr/nous-contacter/</t>
        </is>
      </c>
      <c r="P459" s="4" t="inlineStr">
        <is>
          <t>https://lannuaire.service-public.gouv.fr/nouvelle-aquitaine/gironde/8869c034-4b2c-458b-a6db-92a786d9a60b</t>
        </is>
      </c>
      <c r="Q459" t="inlineStr">
        <is>
          <t>Annuaire Service-public.fr</t>
        </is>
      </c>
      <c r="R459" t="inlineStr"/>
      <c r="S459" t="inlineStr"/>
      <c r="T459" t="inlineStr"/>
    </row>
    <row r="460">
      <c r="A460" t="inlineStr">
        <is>
          <t>CC du Sud Gironde</t>
        </is>
      </c>
      <c r="B460" t="inlineStr">
        <is>
          <t>Communauté de communes</t>
        </is>
      </c>
      <c r="C460" t="inlineStr">
        <is>
          <t>200043974</t>
        </is>
      </c>
      <c r="D460" t="inlineStr">
        <is>
          <t>33</t>
        </is>
      </c>
      <c r="E460" t="inlineStr">
        <is>
          <t>Gironde</t>
        </is>
      </c>
      <c r="F460" t="inlineStr">
        <is>
          <t>Nouvelle-Aquitaine</t>
        </is>
      </c>
      <c r="G460" s="3" t="n">
        <v>39775</v>
      </c>
      <c r="H460" t="n">
        <v>37</v>
      </c>
      <c r="I460" t="inlineStr">
        <is>
          <t>Parc d'activités du Pays de Langon, 21 rue des Acacias</t>
        </is>
      </c>
      <c r="J460" t="inlineStr">
        <is>
          <t>33210</t>
        </is>
      </c>
      <c r="K460" t="inlineStr">
        <is>
          <t>Mazères</t>
        </is>
      </c>
      <c r="L460" t="inlineStr">
        <is>
          <t>05 56 63 81 10</t>
        </is>
      </c>
      <c r="M460" s="4" t="inlineStr">
        <is>
          <t>contact@cdcsudgironde.fr</t>
        </is>
      </c>
      <c r="N460" s="4" t="inlineStr">
        <is>
          <t>http://www.cdcsudgironde.fr</t>
        </is>
      </c>
      <c r="O460" t="inlineStr"/>
      <c r="P460" s="4" t="inlineStr">
        <is>
          <t>https://lannuaire.service-public.gouv.fr/nouvelle-aquitaine/gironde/138fbb08-3aa5-4bc3-b0bf-27b49b4c6e90</t>
        </is>
      </c>
      <c r="Q460" t="inlineStr">
        <is>
          <t>Annuaire Service-public.fr</t>
        </is>
      </c>
      <c r="R460" t="inlineStr"/>
      <c r="S460" t="inlineStr"/>
      <c r="T460" t="inlineStr"/>
    </row>
    <row r="461">
      <c r="A461" t="inlineStr">
        <is>
          <t>CC du Val de l'Eyre</t>
        </is>
      </c>
      <c r="B461" t="inlineStr">
        <is>
          <t>Communauté de communes</t>
        </is>
      </c>
      <c r="C461" t="inlineStr">
        <is>
          <t>243301405</t>
        </is>
      </c>
      <c r="D461" t="inlineStr">
        <is>
          <t>33</t>
        </is>
      </c>
      <c r="E461" t="inlineStr">
        <is>
          <t>Gironde</t>
        </is>
      </c>
      <c r="F461" t="inlineStr">
        <is>
          <t>Nouvelle-Aquitaine</t>
        </is>
      </c>
      <c r="G461" s="3" t="n">
        <v>22418</v>
      </c>
      <c r="H461" t="n">
        <v>5</v>
      </c>
      <c r="I461" t="inlineStr">
        <is>
          <t>20 route de Suzon</t>
        </is>
      </c>
      <c r="J461" t="inlineStr">
        <is>
          <t>33830</t>
        </is>
      </c>
      <c r="K461" t="inlineStr">
        <is>
          <t>Belin-Béliet</t>
        </is>
      </c>
      <c r="L461" t="inlineStr">
        <is>
          <t>05 56 88 85 88</t>
        </is>
      </c>
      <c r="M461" s="4" t="inlineStr">
        <is>
          <t>cdc@valdeleyre.fr</t>
        </is>
      </c>
      <c r="N461" s="4" t="inlineStr">
        <is>
          <t>https://www.valdeleyre.fr/</t>
        </is>
      </c>
      <c r="O461" s="4" t="inlineStr">
        <is>
          <t>https://www.valdeleyre.fr/contactez-nous/</t>
        </is>
      </c>
      <c r="P461" s="4" t="inlineStr">
        <is>
          <t>https://lannuaire.service-public.gouv.fr/nouvelle-aquitaine/gironde/c684d1be-87fd-4fb0-96a2-6526dba38c23</t>
        </is>
      </c>
      <c r="Q461" t="inlineStr">
        <is>
          <t>Annuaire Service-public.fr</t>
        </is>
      </c>
      <c r="R461" t="inlineStr"/>
      <c r="S461" t="inlineStr"/>
      <c r="T461" t="inlineStr"/>
    </row>
    <row r="462">
      <c r="A462" t="inlineStr">
        <is>
          <t>CC les Coteaux Bordelais</t>
        </is>
      </c>
      <c r="B462" t="inlineStr">
        <is>
          <t>Communauté de communes</t>
        </is>
      </c>
      <c r="C462" t="inlineStr">
        <is>
          <t>243301355</t>
        </is>
      </c>
      <c r="D462" t="inlineStr">
        <is>
          <t>33</t>
        </is>
      </c>
      <c r="E462" t="inlineStr">
        <is>
          <t>Gironde</t>
        </is>
      </c>
      <c r="F462" t="inlineStr">
        <is>
          <t>Nouvelle-Aquitaine</t>
        </is>
      </c>
      <c r="G462" s="3" t="n">
        <v>22075</v>
      </c>
      <c r="H462" t="n">
        <v>8</v>
      </c>
      <c r="I462" t="inlineStr">
        <is>
          <t>Parc d'activités, 8 rue Newton</t>
        </is>
      </c>
      <c r="J462" t="inlineStr">
        <is>
          <t>33370</t>
        </is>
      </c>
      <c r="K462" t="inlineStr">
        <is>
          <t>Tresses</t>
        </is>
      </c>
      <c r="L462" t="inlineStr">
        <is>
          <t>05 57 34 26 37</t>
        </is>
      </c>
      <c r="M462" s="4" t="inlineStr">
        <is>
          <t>contact@cdc-coteaux-bordelais.fr</t>
        </is>
      </c>
      <c r="N462" s="4" t="inlineStr">
        <is>
          <t>https://www.coteaux-bordelais.fr/</t>
        </is>
      </c>
      <c r="O462" s="4" t="inlineStr">
        <is>
          <t>https://www.coteaux-bordelais.fr/nous-contacter/</t>
        </is>
      </c>
      <c r="P462" s="4" t="inlineStr">
        <is>
          <t>https://lannuaire.service-public.gouv.fr/nouvelle-aquitaine/gironde/1c36e910-c27a-4bf4-a462-3923dc86e22a</t>
        </is>
      </c>
      <c r="Q462" t="inlineStr">
        <is>
          <t>Annuaire Service-public.fr</t>
        </is>
      </c>
      <c r="R462" t="inlineStr"/>
      <c r="S462" t="inlineStr"/>
      <c r="T462" t="inlineStr"/>
    </row>
    <row r="463">
      <c r="A463" t="inlineStr">
        <is>
          <t>CA Hérault-Méditerranée</t>
        </is>
      </c>
      <c r="B463" t="inlineStr">
        <is>
          <t>Communauté d’agglomération</t>
        </is>
      </c>
      <c r="C463" t="inlineStr">
        <is>
          <t>243400819</t>
        </is>
      </c>
      <c r="D463" t="inlineStr">
        <is>
          <t>34</t>
        </is>
      </c>
      <c r="E463" t="inlineStr">
        <is>
          <t>Hérault</t>
        </is>
      </c>
      <c r="F463" t="inlineStr">
        <is>
          <t>Occitanie</t>
        </is>
      </c>
      <c r="G463" s="3" t="n">
        <v>82000</v>
      </c>
      <c r="H463" t="n">
        <v>20</v>
      </c>
      <c r="I463" t="inlineStr">
        <is>
          <t>22 avenue du 3e-Millénaire, ZI Le Causse</t>
        </is>
      </c>
      <c r="J463" t="inlineStr">
        <is>
          <t>34630</t>
        </is>
      </c>
      <c r="K463" t="inlineStr">
        <is>
          <t>Saint-Thibéry</t>
        </is>
      </c>
      <c r="L463" t="inlineStr">
        <is>
          <t>04 99 47 48 49</t>
        </is>
      </c>
      <c r="M463" s="4" t="inlineStr">
        <is>
          <t>accueil@agglohm.net</t>
        </is>
      </c>
      <c r="N463" s="4" t="inlineStr">
        <is>
          <t>https://www.agglo-heraultmediterranee.net/</t>
        </is>
      </c>
      <c r="O463" s="4" t="inlineStr">
        <is>
          <t>https://www.agglo-heraultmediterranee.net/contact/</t>
        </is>
      </c>
      <c r="P463" s="4" t="inlineStr">
        <is>
          <t>https://lannuaire.service-public.gouv.fr/occitanie/herault/ac55b92e-0eae-4955-be97-38a6a4de65fd</t>
        </is>
      </c>
      <c r="Q463" t="inlineStr">
        <is>
          <t>Annuaire Service-public.fr</t>
        </is>
      </c>
      <c r="R463" t="inlineStr"/>
      <c r="S463" t="inlineStr"/>
      <c r="T463" t="inlineStr"/>
    </row>
    <row r="464">
      <c r="A464" t="inlineStr">
        <is>
          <t>CA Lunel Agglo</t>
        </is>
      </c>
      <c r="B464" t="inlineStr">
        <is>
          <t>Communauté d’agglomération</t>
        </is>
      </c>
      <c r="C464" t="inlineStr">
        <is>
          <t>243400520</t>
        </is>
      </c>
      <c r="D464" t="inlineStr">
        <is>
          <t>34</t>
        </is>
      </c>
      <c r="E464" t="inlineStr">
        <is>
          <t>Hérault</t>
        </is>
      </c>
      <c r="F464" t="inlineStr">
        <is>
          <t>Occitanie</t>
        </is>
      </c>
      <c r="G464" s="3" t="n">
        <v>51919</v>
      </c>
      <c r="H464" t="n">
        <v>14</v>
      </c>
      <c r="I464" t="inlineStr">
        <is>
          <t>152 chemin des Merles</t>
        </is>
      </c>
      <c r="J464" t="inlineStr">
        <is>
          <t>34400</t>
        </is>
      </c>
      <c r="K464" t="inlineStr">
        <is>
          <t>Lunel</t>
        </is>
      </c>
      <c r="L464" t="inlineStr">
        <is>
          <t>04 67 83 87 00</t>
        </is>
      </c>
      <c r="M464" s="4" t="inlineStr">
        <is>
          <t>secretariat.general@lunelagglo.fr</t>
        </is>
      </c>
      <c r="N464" s="4" t="inlineStr">
        <is>
          <t>https://www.lunelagglo.fr/</t>
        </is>
      </c>
      <c r="O464" s="4" t="inlineStr">
        <is>
          <t>https://www.lunelagglo.fr/nous-contacter/</t>
        </is>
      </c>
      <c r="P464" s="4" t="inlineStr">
        <is>
          <t>https://lannuaire.service-public.gouv.fr/occitanie/herault/4372dbbf-1f75-40ec-bc99-12f76045e9cf</t>
        </is>
      </c>
      <c r="Q464" t="inlineStr">
        <is>
          <t>Annuaire Service-public.fr</t>
        </is>
      </c>
      <c r="R464" t="inlineStr"/>
      <c r="S464" t="inlineStr"/>
      <c r="T464" t="inlineStr"/>
    </row>
    <row r="465">
      <c r="A465" t="inlineStr">
        <is>
          <t>CA Sète Agglopôle Méditerranée</t>
        </is>
      </c>
      <c r="B465" t="inlineStr">
        <is>
          <t>Communauté d’agglomération</t>
        </is>
      </c>
      <c r="C465" t="inlineStr">
        <is>
          <t>200066355</t>
        </is>
      </c>
      <c r="D465" t="inlineStr">
        <is>
          <t>34</t>
        </is>
      </c>
      <c r="E465" t="inlineStr">
        <is>
          <t>Hérault</t>
        </is>
      </c>
      <c r="F465" t="inlineStr">
        <is>
          <t>Occitanie</t>
        </is>
      </c>
      <c r="G465" s="3" t="n">
        <v>129982</v>
      </c>
      <c r="H465" t="n">
        <v>14</v>
      </c>
      <c r="I465" t="inlineStr">
        <is>
          <t>4 avenue d'Aigues</t>
        </is>
      </c>
      <c r="J465" t="inlineStr">
        <is>
          <t>34110</t>
        </is>
      </c>
      <c r="K465" t="inlineStr">
        <is>
          <t>Frontignan</t>
        </is>
      </c>
      <c r="L465" t="inlineStr">
        <is>
          <t>04 67 46 47 48</t>
        </is>
      </c>
      <c r="M465" s="4" t="inlineStr">
        <is>
          <t>mg@agglopole.fr</t>
        </is>
      </c>
      <c r="N465" s="4" t="inlineStr">
        <is>
          <t>https://www.agglopole.fr/</t>
        </is>
      </c>
      <c r="O465" t="inlineStr"/>
      <c r="P465" s="4" t="inlineStr">
        <is>
          <t>https://lannuaire.service-public.gouv.fr/occitanie/herault/88f7eab4-ff50-44c7-9ef2-fdcad42a82a5</t>
        </is>
      </c>
      <c r="Q465" t="inlineStr">
        <is>
          <t>Annuaire Service-public.fr</t>
        </is>
      </c>
      <c r="R465" t="inlineStr"/>
      <c r="S465" t="inlineStr"/>
      <c r="T465" t="inlineStr"/>
    </row>
    <row r="466">
      <c r="A466" t="inlineStr">
        <is>
          <t>CA de Béziers-Méditerranée</t>
        </is>
      </c>
      <c r="B466" t="inlineStr">
        <is>
          <t>Communauté d’agglomération</t>
        </is>
      </c>
      <c r="C466" t="inlineStr">
        <is>
          <t>243400769</t>
        </is>
      </c>
      <c r="D466" t="inlineStr">
        <is>
          <t>34</t>
        </is>
      </c>
      <c r="E466" t="inlineStr">
        <is>
          <t>Hérault</t>
        </is>
      </c>
      <c r="F466" t="inlineStr">
        <is>
          <t>Occitanie</t>
        </is>
      </c>
      <c r="G466" s="3" t="n">
        <v>131383</v>
      </c>
      <c r="H466" t="n">
        <v>17</v>
      </c>
      <c r="I466" t="inlineStr">
        <is>
          <t>39 boulevard de Verdun, CS 30567</t>
        </is>
      </c>
      <c r="J466" t="inlineStr">
        <is>
          <t>34536</t>
        </is>
      </c>
      <c r="K466" t="inlineStr">
        <is>
          <t>Béziers Cedex</t>
        </is>
      </c>
      <c r="L466" t="inlineStr">
        <is>
          <t>04 67 01 68 68</t>
        </is>
      </c>
      <c r="M466" s="4" t="inlineStr">
        <is>
          <t>lagglo@beziers-mediterranee.fr</t>
        </is>
      </c>
      <c r="N466" s="4" t="inlineStr">
        <is>
          <t>https://agglobeziers.fr/</t>
        </is>
      </c>
      <c r="O466" t="inlineStr"/>
      <c r="P466" s="4" t="inlineStr">
        <is>
          <t>https://lannuaire.service-public.gouv.fr/occitanie/herault/e770f5f7-3609-465f-b0d8-e61d913cffe8</t>
        </is>
      </c>
      <c r="Q466" t="inlineStr">
        <is>
          <t>Annuaire Service-public.fr</t>
        </is>
      </c>
      <c r="R466" t="inlineStr"/>
      <c r="S466" t="inlineStr"/>
      <c r="T466" t="inlineStr"/>
    </row>
    <row r="467">
      <c r="A467" t="inlineStr">
        <is>
          <t>CA du Pays de l'Or</t>
        </is>
      </c>
      <c r="B467" t="inlineStr">
        <is>
          <t>Communauté d’agglomération</t>
        </is>
      </c>
      <c r="C467" t="inlineStr">
        <is>
          <t>243400470</t>
        </is>
      </c>
      <c r="D467" t="inlineStr">
        <is>
          <t>34</t>
        </is>
      </c>
      <c r="E467" t="inlineStr">
        <is>
          <t>Hérault</t>
        </is>
      </c>
      <c r="F467" t="inlineStr">
        <is>
          <t>Occitanie</t>
        </is>
      </c>
      <c r="G467" s="3" t="n">
        <v>45624</v>
      </c>
      <c r="H467" t="n">
        <v>8</v>
      </c>
      <c r="I467" t="inlineStr">
        <is>
          <t>300 Avenue Jacqueline-Auriol, Aéroport Montpellier-Méditerranée</t>
        </is>
      </c>
      <c r="J467" t="inlineStr">
        <is>
          <t>34137</t>
        </is>
      </c>
      <c r="K467" t="inlineStr">
        <is>
          <t>Mauguio</t>
        </is>
      </c>
      <c r="L467" t="inlineStr">
        <is>
          <t>04 67 12 35 00</t>
        </is>
      </c>
      <c r="M467" s="4" t="inlineStr">
        <is>
          <t>secretariat@paysdelor.fr</t>
        </is>
      </c>
      <c r="N467" s="4" t="inlineStr">
        <is>
          <t>https://paysdelor.fr/</t>
        </is>
      </c>
      <c r="O467" s="4" t="inlineStr">
        <is>
          <t>https://paysdelor.fr/le-pays-de-lor/nous-contacter/</t>
        </is>
      </c>
      <c r="P467" s="4" t="inlineStr">
        <is>
          <t>https://lannuaire.service-public.gouv.fr/occitanie/herault/2af2db79-858d-4be5-b0a5-5595c1ec5d83</t>
        </is>
      </c>
      <c r="Q467" t="inlineStr">
        <is>
          <t>Annuaire Service-public.fr</t>
        </is>
      </c>
      <c r="R467" t="inlineStr"/>
      <c r="S467" t="inlineStr"/>
      <c r="T467" t="inlineStr"/>
    </row>
    <row r="468">
      <c r="A468" t="inlineStr">
        <is>
          <t>CC Grand Orb Communauté de Communes en Languedoc</t>
        </is>
      </c>
      <c r="B468" t="inlineStr">
        <is>
          <t>Communauté de communes</t>
        </is>
      </c>
      <c r="C468" t="inlineStr">
        <is>
          <t>200042646</t>
        </is>
      </c>
      <c r="D468" t="inlineStr">
        <is>
          <t>34</t>
        </is>
      </c>
      <c r="E468" t="inlineStr">
        <is>
          <t>Hérault</t>
        </is>
      </c>
      <c r="F468" t="inlineStr">
        <is>
          <t>Occitanie</t>
        </is>
      </c>
      <c r="G468" s="3" t="n">
        <v>19955</v>
      </c>
      <c r="H468" t="n">
        <v>23</v>
      </c>
      <c r="I468" t="inlineStr">
        <is>
          <t>6 ter rue René-Cassin</t>
        </is>
      </c>
      <c r="J468" t="inlineStr">
        <is>
          <t>34600</t>
        </is>
      </c>
      <c r="K468" t="inlineStr">
        <is>
          <t>Bédarieux</t>
        </is>
      </c>
      <c r="L468" t="inlineStr">
        <is>
          <t>04 67 23 78 03</t>
        </is>
      </c>
      <c r="M468" s="4" t="inlineStr">
        <is>
          <t>contact@grandorb.fr</t>
        </is>
      </c>
      <c r="N468" s="4" t="inlineStr">
        <is>
          <t>https://www.grandorb.fr/</t>
        </is>
      </c>
      <c r="O468" s="4" t="inlineStr">
        <is>
          <t>https://www.grandorb.fr/contact.php</t>
        </is>
      </c>
      <c r="P468" s="4" t="inlineStr">
        <is>
          <t>https://lannuaire.service-public.gouv.fr/occitanie/herault/7a19f1c5-cdc3-4573-a285-5dbdd6d190fe</t>
        </is>
      </c>
      <c r="Q468" t="inlineStr">
        <is>
          <t>Annuaire Service-public.fr</t>
        </is>
      </c>
      <c r="R468" t="inlineStr"/>
      <c r="S468" t="inlineStr"/>
      <c r="T468" t="inlineStr"/>
    </row>
    <row r="469">
      <c r="A469" t="inlineStr">
        <is>
          <t>CC Les Avant-Monts</t>
        </is>
      </c>
      <c r="B469" t="inlineStr">
        <is>
          <t>Communauté de communes</t>
        </is>
      </c>
      <c r="C469" t="inlineStr">
        <is>
          <t>200071058</t>
        </is>
      </c>
      <c r="D469" t="inlineStr">
        <is>
          <t>34</t>
        </is>
      </c>
      <c r="E469" t="inlineStr">
        <is>
          <t>Hérault</t>
        </is>
      </c>
      <c r="F469" t="inlineStr">
        <is>
          <t>Occitanie</t>
        </is>
      </c>
      <c r="G469" s="3" t="n">
        <v>27969</v>
      </c>
      <c r="H469" t="n">
        <v>25</v>
      </c>
      <c r="I469" t="inlineStr">
        <is>
          <t>ZAE l'Audacieuse</t>
        </is>
      </c>
      <c r="J469" t="inlineStr">
        <is>
          <t>34480</t>
        </is>
      </c>
      <c r="K469" t="inlineStr">
        <is>
          <t>Magalas</t>
        </is>
      </c>
      <c r="L469" t="inlineStr">
        <is>
          <t>04 67 36 07 51</t>
        </is>
      </c>
      <c r="M469" s="4" t="inlineStr">
        <is>
          <t>contact@avant-monts.fr</t>
        </is>
      </c>
      <c r="N469" s="4" t="inlineStr">
        <is>
          <t>https://www.avant-monts.fr/</t>
        </is>
      </c>
      <c r="O469" s="4" t="inlineStr">
        <is>
          <t>https://www.avant-monts.fr/contact/</t>
        </is>
      </c>
      <c r="P469" s="4" t="inlineStr">
        <is>
          <t>https://lannuaire.service-public.gouv.fr/occitanie/herault/cb842c86-0841-46aa-b214-825326010b35</t>
        </is>
      </c>
      <c r="Q469" t="inlineStr">
        <is>
          <t>Annuaire Service-public.fr</t>
        </is>
      </c>
      <c r="R469" t="inlineStr"/>
      <c r="S469" t="inlineStr"/>
      <c r="T469" t="inlineStr"/>
    </row>
    <row r="470">
      <c r="A470" t="inlineStr">
        <is>
          <t>CC Lodévois et Larzac</t>
        </is>
      </c>
      <c r="B470" t="inlineStr">
        <is>
          <t>Communauté de communes</t>
        </is>
      </c>
      <c r="C470" t="inlineStr">
        <is>
          <t>200017341</t>
        </is>
      </c>
      <c r="D470" t="inlineStr">
        <is>
          <t>34</t>
        </is>
      </c>
      <c r="E470" t="inlineStr">
        <is>
          <t>Hérault</t>
        </is>
      </c>
      <c r="F470" t="inlineStr">
        <is>
          <t>Occitanie</t>
        </is>
      </c>
      <c r="G470" s="3" t="n">
        <v>14824</v>
      </c>
      <c r="H470" t="n">
        <v>28</v>
      </c>
      <c r="I470" t="inlineStr">
        <is>
          <t>1 place Francis-Morand</t>
        </is>
      </c>
      <c r="J470" t="inlineStr">
        <is>
          <t>34700</t>
        </is>
      </c>
      <c r="K470" t="inlineStr">
        <is>
          <t>Lodève</t>
        </is>
      </c>
      <c r="L470" t="inlineStr">
        <is>
          <t>04 67 88 90 90</t>
        </is>
      </c>
      <c r="M470" s="4" t="inlineStr">
        <is>
          <t>contact@lodevoisetlarzac.fr</t>
        </is>
      </c>
      <c r="N470" s="4" t="inlineStr">
        <is>
          <t>https://lodevoisetlarzac.fr/</t>
        </is>
      </c>
      <c r="O470" s="4" t="inlineStr">
        <is>
          <t>https://lodevoisetlarzac.fr/contact/</t>
        </is>
      </c>
      <c r="P470" s="4" t="inlineStr">
        <is>
          <t>https://lannuaire.service-public.gouv.fr/occitanie/herault/4abc9373-a7d0-4d29-92a7-5447c3a1489a</t>
        </is>
      </c>
      <c r="Q470" t="inlineStr">
        <is>
          <t>Annuaire Service-public.fr</t>
        </is>
      </c>
      <c r="R470" t="inlineStr"/>
      <c r="S470" t="inlineStr"/>
      <c r="T470" t="inlineStr"/>
    </row>
    <row r="471">
      <c r="A471" t="inlineStr">
        <is>
          <t>CC Sud-Hérault</t>
        </is>
      </c>
      <c r="B471" t="inlineStr">
        <is>
          <t>Communauté de communes</t>
        </is>
      </c>
      <c r="C471" t="inlineStr">
        <is>
          <t>200042653</t>
        </is>
      </c>
      <c r="D471" t="inlineStr">
        <is>
          <t>34</t>
        </is>
      </c>
      <c r="E471" t="inlineStr">
        <is>
          <t>Hérault</t>
        </is>
      </c>
      <c r="F471" t="inlineStr">
        <is>
          <t>Occitanie</t>
        </is>
      </c>
      <c r="G471" s="3" t="n">
        <v>18369</v>
      </c>
      <c r="H471" t="n">
        <v>17</v>
      </c>
      <c r="I471" t="inlineStr">
        <is>
          <t>1 allée du Languedoc</t>
        </is>
      </c>
      <c r="J471" t="inlineStr">
        <is>
          <t>34620</t>
        </is>
      </c>
      <c r="K471" t="inlineStr">
        <is>
          <t>Puisserguier</t>
        </is>
      </c>
      <c r="L471" t="inlineStr">
        <is>
          <t>04 67 93 89 54</t>
        </is>
      </c>
      <c r="M471" s="4" t="inlineStr">
        <is>
          <t>accueil@cc-sud-herault.fr</t>
        </is>
      </c>
      <c r="N471" s="4" t="inlineStr">
        <is>
          <t>https://www.cc-sud-herault.fr/</t>
        </is>
      </c>
      <c r="O471" s="4" t="inlineStr">
        <is>
          <t>https://www.cc-sud-herault.fr/nous-contacter/</t>
        </is>
      </c>
      <c r="P471" s="4" t="inlineStr">
        <is>
          <t>https://lannuaire.service-public.gouv.fr/occitanie/herault/ea8c3529-629e-460c-b31a-5266830cdcc6</t>
        </is>
      </c>
      <c r="Q471" t="inlineStr">
        <is>
          <t>Annuaire Service-public.fr</t>
        </is>
      </c>
      <c r="R471" t="inlineStr"/>
      <c r="S471" t="inlineStr"/>
      <c r="T471" t="inlineStr"/>
    </row>
    <row r="472">
      <c r="A472" t="inlineStr">
        <is>
          <t>CC Vallée de l'Hérault</t>
        </is>
      </c>
      <c r="B472" t="inlineStr">
        <is>
          <t>Communauté de communes</t>
        </is>
      </c>
      <c r="C472" t="inlineStr">
        <is>
          <t>243400694</t>
        </is>
      </c>
      <c r="D472" t="inlineStr">
        <is>
          <t>34</t>
        </is>
      </c>
      <c r="E472" t="inlineStr">
        <is>
          <t>Hérault</t>
        </is>
      </c>
      <c r="F472" t="inlineStr">
        <is>
          <t>Occitanie</t>
        </is>
      </c>
      <c r="G472" s="3" t="n">
        <v>41749</v>
      </c>
      <c r="H472" t="n">
        <v>28</v>
      </c>
      <c r="I472" t="inlineStr">
        <is>
          <t>2 parc d'activités de Camalcé</t>
        </is>
      </c>
      <c r="J472" t="inlineStr">
        <is>
          <t>34150</t>
        </is>
      </c>
      <c r="K472" t="inlineStr">
        <is>
          <t>Gignac</t>
        </is>
      </c>
      <c r="L472" t="inlineStr">
        <is>
          <t>04 67 57 04 50</t>
        </is>
      </c>
      <c r="M472" s="4" t="inlineStr">
        <is>
          <t>contact@cc-vallee-herault.fr</t>
        </is>
      </c>
      <c r="N472" s="4" t="inlineStr">
        <is>
          <t>https://www.cc-vallee-herault.fr/accueil-3.html</t>
        </is>
      </c>
      <c r="O472" t="inlineStr"/>
      <c r="P472" s="4" t="inlineStr">
        <is>
          <t>https://lannuaire.service-public.gouv.fr/occitanie/herault/129280fd-f6f3-403b-8375-348d751d4c01</t>
        </is>
      </c>
      <c r="Q472" t="inlineStr">
        <is>
          <t>Annuaire Service-public.fr</t>
        </is>
      </c>
      <c r="R472" t="inlineStr"/>
      <c r="S472" t="inlineStr"/>
      <c r="T472" t="inlineStr"/>
    </row>
    <row r="473">
      <c r="A473" t="inlineStr">
        <is>
          <t>CC du Clermontais</t>
        </is>
      </c>
      <c r="B473" t="inlineStr">
        <is>
          <t>Communauté de communes</t>
        </is>
      </c>
      <c r="C473" t="inlineStr">
        <is>
          <t>243400355</t>
        </is>
      </c>
      <c r="D473" t="inlineStr">
        <is>
          <t>34</t>
        </is>
      </c>
      <c r="E473" t="inlineStr">
        <is>
          <t>Hérault</t>
        </is>
      </c>
      <c r="F473" t="inlineStr">
        <is>
          <t>Occitanie</t>
        </is>
      </c>
      <c r="G473" s="3" t="n">
        <v>28964</v>
      </c>
      <c r="H473" t="n">
        <v>21</v>
      </c>
      <c r="I473" t="inlineStr">
        <is>
          <t>20 avenue Raymond-Lacombe</t>
        </is>
      </c>
      <c r="J473" t="inlineStr">
        <is>
          <t>34800</t>
        </is>
      </c>
      <c r="K473" t="inlineStr">
        <is>
          <t>Clermont-l'Hérault</t>
        </is>
      </c>
      <c r="L473" t="inlineStr">
        <is>
          <t>04 67 88 95 50</t>
        </is>
      </c>
      <c r="M473" s="4" t="inlineStr">
        <is>
          <t>accueil@cc-clermontais.fr</t>
        </is>
      </c>
      <c r="N473" s="4" t="inlineStr">
        <is>
          <t>https://www.cc-clermontais.fr/</t>
        </is>
      </c>
      <c r="O473" t="inlineStr"/>
      <c r="P473" s="4" t="inlineStr">
        <is>
          <t>https://lannuaire.service-public.gouv.fr/occitanie/herault/29a0c231-04eb-408a-bdf0-20ffe858b1b8</t>
        </is>
      </c>
      <c r="Q473" t="inlineStr">
        <is>
          <t>Annuaire Service-public.fr</t>
        </is>
      </c>
      <c r="R473" t="inlineStr"/>
      <c r="S473" t="inlineStr"/>
      <c r="T473" t="inlineStr"/>
    </row>
    <row r="474">
      <c r="A474" t="inlineStr">
        <is>
          <t>CC du Grand Pic Saint-Loup</t>
        </is>
      </c>
      <c r="B474" t="inlineStr">
        <is>
          <t>Communauté de communes</t>
        </is>
      </c>
      <c r="C474" t="inlineStr">
        <is>
          <t>200022986</t>
        </is>
      </c>
      <c r="D474" t="inlineStr">
        <is>
          <t>34</t>
        </is>
      </c>
      <c r="E474" t="inlineStr">
        <is>
          <t>Hérault</t>
        </is>
      </c>
      <c r="F474" t="inlineStr">
        <is>
          <t>Occitanie</t>
        </is>
      </c>
      <c r="G474" s="3" t="n">
        <v>51217</v>
      </c>
      <c r="H474" t="n">
        <v>36</v>
      </c>
      <c r="I474" t="inlineStr">
        <is>
          <t>25 allée de l'Espérance, Hôtel de la communauté</t>
        </is>
      </c>
      <c r="J474" t="inlineStr">
        <is>
          <t>34270</t>
        </is>
      </c>
      <c r="K474" t="inlineStr">
        <is>
          <t>Saint-Mathieu-de-Tréviers</t>
        </is>
      </c>
      <c r="L474" t="inlineStr">
        <is>
          <t>04 67 55 17 00</t>
        </is>
      </c>
      <c r="M474" s="4" t="inlineStr">
        <is>
          <t>grandpicsaintloup@ccgpsl.fr</t>
        </is>
      </c>
      <c r="N474" s="4" t="inlineStr">
        <is>
          <t>https://grandpicsaintloup.fr/</t>
        </is>
      </c>
      <c r="O474" s="4" t="inlineStr">
        <is>
          <t>https://grandpicsaintloup.fr/contactez-nous/</t>
        </is>
      </c>
      <c r="P474" s="4" t="inlineStr">
        <is>
          <t>https://lannuaire.service-public.gouv.fr/occitanie/herault/ee2fa83d-9b36-44c0-9da9-9bd0f1a571d9</t>
        </is>
      </c>
      <c r="Q474" t="inlineStr">
        <is>
          <t>Annuaire Service-public.fr</t>
        </is>
      </c>
      <c r="R474" t="inlineStr"/>
      <c r="S474" t="inlineStr"/>
      <c r="T474" t="inlineStr"/>
    </row>
    <row r="475">
      <c r="A475" t="inlineStr">
        <is>
          <t>CC du Minervois au Caroux</t>
        </is>
      </c>
      <c r="B475" t="inlineStr">
        <is>
          <t>Communauté de communes</t>
        </is>
      </c>
      <c r="C475" t="inlineStr">
        <is>
          <t>200066348</t>
        </is>
      </c>
      <c r="D475" t="inlineStr">
        <is>
          <t>34</t>
        </is>
      </c>
      <c r="E475" t="inlineStr">
        <is>
          <t>Hérault</t>
        </is>
      </c>
      <c r="F475" t="inlineStr">
        <is>
          <t>Occitanie</t>
        </is>
      </c>
      <c r="G475" s="3" t="n">
        <v>14372</v>
      </c>
      <c r="H475" t="n">
        <v>36</v>
      </c>
      <c r="I475" t="inlineStr">
        <is>
          <t>16 place du Foirail</t>
        </is>
      </c>
      <c r="J475" t="inlineStr">
        <is>
          <t>34220</t>
        </is>
      </c>
      <c r="K475" t="inlineStr">
        <is>
          <t>Saint-Pons-de-Thomières</t>
        </is>
      </c>
      <c r="L475" t="inlineStr">
        <is>
          <t>04 67 97 39 34</t>
        </is>
      </c>
      <c r="M475" s="4" t="inlineStr">
        <is>
          <t>cdcmc@cdcmc.fr</t>
        </is>
      </c>
      <c r="N475" s="4" t="inlineStr">
        <is>
          <t>https://www.cc-minervois-caroux.fr/</t>
        </is>
      </c>
      <c r="O475" t="inlineStr"/>
      <c r="P475" s="4" t="inlineStr">
        <is>
          <t>https://lannuaire.service-public.gouv.fr/occitanie/herault/7dfc40b1-901f-4c20-8a4c-317ad972a5b2</t>
        </is>
      </c>
      <c r="Q475" t="inlineStr">
        <is>
          <t>Annuaire Service-public.fr</t>
        </is>
      </c>
      <c r="R475" t="inlineStr"/>
      <c r="S475" t="inlineStr"/>
      <c r="T475" t="inlineStr"/>
    </row>
    <row r="476">
      <c r="A476" t="inlineStr">
        <is>
          <t>CC la Domitienne</t>
        </is>
      </c>
      <c r="B476" t="inlineStr">
        <is>
          <t>Communauté de communes</t>
        </is>
      </c>
      <c r="C476" t="inlineStr">
        <is>
          <t>243400488</t>
        </is>
      </c>
      <c r="D476" t="inlineStr">
        <is>
          <t>34</t>
        </is>
      </c>
      <c r="E476" t="inlineStr">
        <is>
          <t>Hérault</t>
        </is>
      </c>
      <c r="F476" t="inlineStr">
        <is>
          <t>Occitanie</t>
        </is>
      </c>
      <c r="G476" s="3" t="n">
        <v>29221</v>
      </c>
      <c r="H476" t="n">
        <v>8</v>
      </c>
      <c r="I476" t="inlineStr">
        <is>
          <t>1 avenue de l'Europe</t>
        </is>
      </c>
      <c r="J476" t="inlineStr">
        <is>
          <t>34370</t>
        </is>
      </c>
      <c r="K476" t="inlineStr">
        <is>
          <t>Maureilhan</t>
        </is>
      </c>
      <c r="L476" t="inlineStr">
        <is>
          <t>04 67 90 40 90</t>
        </is>
      </c>
      <c r="M476" s="4" t="inlineStr">
        <is>
          <t>courrier@ladomitienne.com</t>
        </is>
      </c>
      <c r="N476" s="4" t="inlineStr">
        <is>
          <t>https://www.ladomitienne.com/</t>
        </is>
      </c>
      <c r="O476" s="4" t="inlineStr">
        <is>
          <t>https://www.ladomitienne.com/nous-contacter/</t>
        </is>
      </c>
      <c r="P476" s="4" t="inlineStr">
        <is>
          <t>https://lannuaire.service-public.gouv.fr/occitanie/herault/cf89ffe0-6d73-484c-b138-a25d11140991</t>
        </is>
      </c>
      <c r="Q476" t="inlineStr">
        <is>
          <t>Annuaire Service-public.fr</t>
        </is>
      </c>
      <c r="R476" t="inlineStr"/>
      <c r="S476" t="inlineStr"/>
      <c r="T476" t="inlineStr"/>
    </row>
    <row r="477">
      <c r="A477" t="inlineStr">
        <is>
          <t>Montpellier Méditerranée Métropole</t>
        </is>
      </c>
      <c r="B477" t="inlineStr">
        <is>
          <t>Métropole</t>
        </is>
      </c>
      <c r="C477" t="inlineStr">
        <is>
          <t>243400017</t>
        </is>
      </c>
      <c r="D477" t="inlineStr">
        <is>
          <t>34</t>
        </is>
      </c>
      <c r="E477" t="inlineStr">
        <is>
          <t>Hérault</t>
        </is>
      </c>
      <c r="F477" t="inlineStr">
        <is>
          <t>Occitanie</t>
        </is>
      </c>
      <c r="G477" s="3" t="n">
        <v>516657</v>
      </c>
      <c r="H477" t="n">
        <v>31</v>
      </c>
      <c r="I477" t="inlineStr">
        <is>
          <t>50 place Zeus</t>
        </is>
      </c>
      <c r="J477" t="inlineStr">
        <is>
          <t>34961</t>
        </is>
      </c>
      <c r="K477" t="inlineStr">
        <is>
          <t>Montpellier</t>
        </is>
      </c>
      <c r="L477" t="inlineStr">
        <is>
          <t>04 67 13 60 00</t>
        </is>
      </c>
      <c r="M477" s="4" t="inlineStr">
        <is>
          <t>contact@montpellier3m.fr</t>
        </is>
      </c>
      <c r="N477" s="4" t="inlineStr">
        <is>
          <t>https://www.montpellier3m.fr/</t>
        </is>
      </c>
      <c r="O477" t="inlineStr"/>
      <c r="P477" s="4" t="inlineStr">
        <is>
          <t>https://lannuaire.service-public.gouv.fr/occitanie/herault/372c0430-860c-4faf-8d7b-9c4fc51471de</t>
        </is>
      </c>
      <c r="Q477" t="inlineStr">
        <is>
          <t>Annuaire Service-public.fr</t>
        </is>
      </c>
      <c r="R477" t="inlineStr"/>
      <c r="S477" t="inlineStr"/>
      <c r="T477" t="inlineStr"/>
    </row>
    <row r="478">
      <c r="A478" t="inlineStr">
        <is>
          <t>CC du Haut-Languedoc</t>
        </is>
      </c>
      <c r="B478" t="inlineStr">
        <is>
          <t>Communauté de communes</t>
        </is>
      </c>
      <c r="C478" t="inlineStr">
        <is>
          <t>200066553</t>
        </is>
      </c>
      <c r="D478" t="inlineStr">
        <is>
          <t>34, 81</t>
        </is>
      </c>
      <c r="E478" t="inlineStr">
        <is>
          <t>Hérault, Tarn</t>
        </is>
      </c>
      <c r="F478" t="inlineStr">
        <is>
          <t>Occitanie</t>
        </is>
      </c>
      <c r="G478" s="3" t="n">
        <v>7954</v>
      </c>
      <c r="H478" t="n">
        <v>20</v>
      </c>
      <c r="I478" t="inlineStr">
        <is>
          <t>5 rue de l'Artisanat</t>
        </is>
      </c>
      <c r="J478" t="inlineStr">
        <is>
          <t>81230</t>
        </is>
      </c>
      <c r="K478" t="inlineStr">
        <is>
          <t>Lacaune</t>
        </is>
      </c>
      <c r="L478" t="inlineStr">
        <is>
          <t>05 32 11 09 25</t>
        </is>
      </c>
      <c r="M478" s="4" t="inlineStr">
        <is>
          <t>contact@ccmlhl.fr</t>
        </is>
      </c>
      <c r="N478" s="4" t="inlineStr">
        <is>
          <t>https://www.montsdelacauneetmontagneduhautlanguedoc.fr/</t>
        </is>
      </c>
      <c r="O478" s="4" t="inlineStr">
        <is>
          <t>https://www.montsdelacauneetmontagneduhautlanguedoc.fr/contact/</t>
        </is>
      </c>
      <c r="P478" s="4" t="inlineStr">
        <is>
          <t>https://lannuaire.service-public.gouv.fr/occitanie/tarn/bfafffb1-3fee-4917-b243-8260e20faeb4</t>
        </is>
      </c>
      <c r="Q478" t="inlineStr">
        <is>
          <t>Annuaire Service-public.fr</t>
        </is>
      </c>
      <c r="R478" t="inlineStr"/>
      <c r="S478" t="inlineStr"/>
      <c r="T478" t="inlineStr"/>
    </row>
    <row r="479">
      <c r="A479" t="inlineStr">
        <is>
          <t>CA Fougères Agglomération</t>
        </is>
      </c>
      <c r="B479" t="inlineStr">
        <is>
          <t>Communauté d’agglomération</t>
        </is>
      </c>
      <c r="C479" t="inlineStr">
        <is>
          <t>200072452</t>
        </is>
      </c>
      <c r="D479" t="inlineStr">
        <is>
          <t>35</t>
        </is>
      </c>
      <c r="E479" t="inlineStr">
        <is>
          <t>Ille-et-Vilaine</t>
        </is>
      </c>
      <c r="F479" t="inlineStr">
        <is>
          <t>Bretagne</t>
        </is>
      </c>
      <c r="G479" s="3" t="n">
        <v>56226</v>
      </c>
      <c r="H479" t="n">
        <v>28</v>
      </c>
      <c r="I479" t="inlineStr">
        <is>
          <t>1 rue Louis-Lumière, Parc d'activités de l'Aumaillerie</t>
        </is>
      </c>
      <c r="J479" t="inlineStr">
        <is>
          <t>35133</t>
        </is>
      </c>
      <c r="K479" t="inlineStr">
        <is>
          <t>La Selle-en-Luitré</t>
        </is>
      </c>
      <c r="L479" t="inlineStr">
        <is>
          <t>02 99 94 50 34</t>
        </is>
      </c>
      <c r="M479" s="4" t="inlineStr">
        <is>
          <t>accueil@fougeres-agglo.bzh</t>
        </is>
      </c>
      <c r="N479" s="4" t="inlineStr">
        <is>
          <t>https://fougeres-agglo.bzh/</t>
        </is>
      </c>
      <c r="O479" s="4" t="inlineStr">
        <is>
          <t>https://fougeres-agglo.bzh/contact/</t>
        </is>
      </c>
      <c r="P479" s="4" t="inlineStr">
        <is>
          <t>https://lannuaire.service-public.gouv.fr/bretagne/ille-et-vilaine/f1b939e4-2fcf-435f-af19-d2768fd98ddd</t>
        </is>
      </c>
      <c r="Q479" t="inlineStr">
        <is>
          <t>Annuaire Service-public.fr</t>
        </is>
      </c>
      <c r="R479" t="inlineStr"/>
      <c r="S479" t="inlineStr"/>
      <c r="T479" t="inlineStr"/>
    </row>
    <row r="480">
      <c r="A480" t="inlineStr">
        <is>
          <t>CA Vitré Communauté</t>
        </is>
      </c>
      <c r="B480" t="inlineStr">
        <is>
          <t>Communauté d’agglomération</t>
        </is>
      </c>
      <c r="C480" t="inlineStr">
        <is>
          <t>200039022</t>
        </is>
      </c>
      <c r="D480" t="inlineStr">
        <is>
          <t>35</t>
        </is>
      </c>
      <c r="E480" t="inlineStr">
        <is>
          <t>Ille-et-Vilaine</t>
        </is>
      </c>
      <c r="F480" t="inlineStr">
        <is>
          <t>Bretagne</t>
        </is>
      </c>
      <c r="G480" s="3" t="n">
        <v>82956</v>
      </c>
      <c r="H480" t="n">
        <v>46</v>
      </c>
      <c r="I480" t="inlineStr">
        <is>
          <t>16 bis boulevard des Rochers</t>
        </is>
      </c>
      <c r="J480" t="inlineStr">
        <is>
          <t>35500</t>
        </is>
      </c>
      <c r="K480" t="inlineStr">
        <is>
          <t>Vitré</t>
        </is>
      </c>
      <c r="L480" t="inlineStr">
        <is>
          <t>02 99 74 52 61</t>
        </is>
      </c>
      <c r="M480" s="4" t="inlineStr">
        <is>
          <t>c.agglo@vitrecommunaute.org</t>
        </is>
      </c>
      <c r="N480" s="4" t="inlineStr">
        <is>
          <t>https://www.vitrecommunaute.org/</t>
        </is>
      </c>
      <c r="O480" s="4" t="inlineStr">
        <is>
          <t>https://www.vitrecommunaute.org/systeme/nous-contacter/</t>
        </is>
      </c>
      <c r="P480" s="4" t="inlineStr">
        <is>
          <t>https://lannuaire.service-public.gouv.fr/bretagne/ille-et-vilaine/4c96717a-3ec6-4364-8620-4c3f81846517</t>
        </is>
      </c>
      <c r="Q480" t="inlineStr">
        <is>
          <t>Annuaire Service-public.fr</t>
        </is>
      </c>
      <c r="R480" t="inlineStr"/>
      <c r="S480" t="inlineStr"/>
      <c r="T480" t="inlineStr"/>
    </row>
    <row r="481">
      <c r="A481" t="inlineStr">
        <is>
          <t>CA du Pays de Saint Malo Agglomération</t>
        </is>
      </c>
      <c r="B481" t="inlineStr">
        <is>
          <t>Communauté d’agglomération</t>
        </is>
      </c>
      <c r="C481" t="inlineStr">
        <is>
          <t>243500782</t>
        </is>
      </c>
      <c r="D481" t="inlineStr">
        <is>
          <t>35</t>
        </is>
      </c>
      <c r="E481" t="inlineStr">
        <is>
          <t>Ille-et-Vilaine</t>
        </is>
      </c>
      <c r="F481" t="inlineStr">
        <is>
          <t>Bretagne</t>
        </is>
      </c>
      <c r="G481" s="3" t="n">
        <v>86484</v>
      </c>
      <c r="H481" t="n">
        <v>18</v>
      </c>
      <c r="I481" t="inlineStr">
        <is>
          <t>6 rue de la Ville-Jégu</t>
        </is>
      </c>
      <c r="J481" t="inlineStr">
        <is>
          <t>35260</t>
        </is>
      </c>
      <c r="K481" t="inlineStr">
        <is>
          <t>Cancale</t>
        </is>
      </c>
      <c r="L481" t="inlineStr">
        <is>
          <t>02 23 15 10 85</t>
        </is>
      </c>
      <c r="M481" s="4" t="inlineStr">
        <is>
          <t>accueil@stmalo-agglomeration.fr</t>
        </is>
      </c>
      <c r="N481" s="4" t="inlineStr">
        <is>
          <t>https://www.stmalo-agglomeration.fr/</t>
        </is>
      </c>
      <c r="O481" s="4" t="inlineStr">
        <is>
          <t>https://www.stmalo-agglomeration.fr/contactez-nous/</t>
        </is>
      </c>
      <c r="P481" s="4" t="inlineStr">
        <is>
          <t>https://lannuaire.service-public.gouv.fr/bretagne/ille-et-vilaine/fb885b51-bcb0-4064-97fb-c621fe80dbfa</t>
        </is>
      </c>
      <c r="Q481" t="inlineStr">
        <is>
          <t>Annuaire Service-public.fr</t>
        </is>
      </c>
      <c r="R481" t="inlineStr"/>
      <c r="S481" t="inlineStr"/>
      <c r="T481" t="inlineStr"/>
    </row>
    <row r="482">
      <c r="A482" t="inlineStr">
        <is>
          <t>CC Bretagne Porte de Loire Communauté</t>
        </is>
      </c>
      <c r="B482" t="inlineStr">
        <is>
          <t>Communauté de communes</t>
        </is>
      </c>
      <c r="C482" t="inlineStr">
        <is>
          <t>200070662</t>
        </is>
      </c>
      <c r="D482" t="inlineStr">
        <is>
          <t>35</t>
        </is>
      </c>
      <c r="E482" t="inlineStr">
        <is>
          <t>Ille-et-Vilaine</t>
        </is>
      </c>
      <c r="F482" t="inlineStr">
        <is>
          <t>Bretagne</t>
        </is>
      </c>
      <c r="G482" s="3" t="n">
        <v>32801</v>
      </c>
      <c r="H482" t="n">
        <v>20</v>
      </c>
      <c r="I482" t="inlineStr">
        <is>
          <t>Immeuble le Steriad, 2 allée de l'Ille</t>
        </is>
      </c>
      <c r="J482" t="inlineStr">
        <is>
          <t>35470</t>
        </is>
      </c>
      <c r="K482" t="inlineStr">
        <is>
          <t>Bain-de-Bretagne</t>
        </is>
      </c>
      <c r="L482" t="inlineStr">
        <is>
          <t>02 99 43 70 80</t>
        </is>
      </c>
      <c r="M482" s="4" t="inlineStr">
        <is>
          <t>accueil@bretagneportedeloire.fr</t>
        </is>
      </c>
      <c r="N482" s="4" t="inlineStr">
        <is>
          <t>https://www.bretagneportedeloire.fr/</t>
        </is>
      </c>
      <c r="O482" s="4" t="inlineStr">
        <is>
          <t>https://www.bretagneportedeloire.fr/systeme/contact/</t>
        </is>
      </c>
      <c r="P482" s="4" t="inlineStr">
        <is>
          <t>https://lannuaire.service-public.gouv.fr/bretagne/ille-et-vilaine/5fecb856-9da6-4488-b1df-8a3a0dca977b</t>
        </is>
      </c>
      <c r="Q482" t="inlineStr">
        <is>
          <t>Annuaire Service-public.fr</t>
        </is>
      </c>
      <c r="R482" t="inlineStr"/>
      <c r="S482" t="inlineStr"/>
      <c r="T482" t="inlineStr"/>
    </row>
    <row r="483">
      <c r="A483" t="inlineStr">
        <is>
          <t>CC Bretagne Romantique</t>
        </is>
      </c>
      <c r="B483" t="inlineStr">
        <is>
          <t>Communauté de communes</t>
        </is>
      </c>
      <c r="C483" t="inlineStr">
        <is>
          <t>243500733</t>
        </is>
      </c>
      <c r="D483" t="inlineStr">
        <is>
          <t>35</t>
        </is>
      </c>
      <c r="E483" t="inlineStr">
        <is>
          <t>Ille-et-Vilaine</t>
        </is>
      </c>
      <c r="F483" t="inlineStr">
        <is>
          <t>Bretagne</t>
        </is>
      </c>
      <c r="G483" s="3" t="n">
        <v>36515</v>
      </c>
      <c r="H483" t="n">
        <v>25</v>
      </c>
      <c r="I483" t="inlineStr">
        <is>
          <t>22 rue des Coteaux</t>
        </is>
      </c>
      <c r="J483" t="inlineStr">
        <is>
          <t>35190</t>
        </is>
      </c>
      <c r="K483" t="inlineStr">
        <is>
          <t>La Chapelle-aux-Filtzméens</t>
        </is>
      </c>
      <c r="L483" t="inlineStr">
        <is>
          <t>02 99 45 23 45</t>
        </is>
      </c>
      <c r="M483" s="4" t="inlineStr">
        <is>
          <t>accueil@bretagneromantique.fr</t>
        </is>
      </c>
      <c r="N483" s="4" t="inlineStr">
        <is>
          <t>https://bretagneromantique.fr/</t>
        </is>
      </c>
      <c r="O483" s="4" t="inlineStr">
        <is>
          <t>https://bretagneromantique.fr/formulaire-de-contact/</t>
        </is>
      </c>
      <c r="P483" s="4" t="inlineStr">
        <is>
          <t>https://lannuaire.service-public.gouv.fr/bretagne/ille-et-vilaine/ba1debb3-158a-4a1f-b4d5-8c76a9fbdfc6</t>
        </is>
      </c>
      <c r="Q483" t="inlineStr">
        <is>
          <t>Annuaire Service-public.fr</t>
        </is>
      </c>
      <c r="R483" t="inlineStr"/>
      <c r="S483" t="inlineStr"/>
      <c r="T483" t="inlineStr"/>
    </row>
    <row r="484">
      <c r="A484" t="inlineStr">
        <is>
          <t>CC Brocéliande Communauté</t>
        </is>
      </c>
      <c r="B484" t="inlineStr">
        <is>
          <t>Communauté de communes</t>
        </is>
      </c>
      <c r="C484" t="inlineStr">
        <is>
          <t>243500618</t>
        </is>
      </c>
      <c r="D484" t="inlineStr">
        <is>
          <t>35</t>
        </is>
      </c>
      <c r="E484" t="inlineStr">
        <is>
          <t>Ille-et-Vilaine</t>
        </is>
      </c>
      <c r="F484" t="inlineStr">
        <is>
          <t>Bretagne</t>
        </is>
      </c>
      <c r="G484" s="3" t="n">
        <v>18987</v>
      </c>
      <c r="H484" t="n">
        <v>8</v>
      </c>
      <c r="I484" t="inlineStr">
        <is>
          <t>1 rue des Korrigans</t>
        </is>
      </c>
      <c r="J484" t="inlineStr">
        <is>
          <t>35380</t>
        </is>
      </c>
      <c r="K484" t="inlineStr">
        <is>
          <t>Plélan-le-Grand</t>
        </is>
      </c>
      <c r="L484" t="inlineStr">
        <is>
          <t>02 99 06 84 45</t>
        </is>
      </c>
      <c r="M484" s="4" t="inlineStr">
        <is>
          <t>accueil@cc-broceliande.bzh</t>
        </is>
      </c>
      <c r="N484" s="4" t="inlineStr">
        <is>
          <t>https://www.cc-broceliande.bzh/</t>
        </is>
      </c>
      <c r="O484" s="4" t="inlineStr">
        <is>
          <t>https://www.cc-broceliande.bzh/nous-contacter/</t>
        </is>
      </c>
      <c r="P484" s="4" t="inlineStr">
        <is>
          <t>https://lannuaire.service-public.gouv.fr/bretagne/ille-et-vilaine/5db04e0b-1d49-47e1-b243-1825a834572d</t>
        </is>
      </c>
      <c r="Q484" t="inlineStr">
        <is>
          <t>Annuaire Service-public.fr</t>
        </is>
      </c>
      <c r="R484" t="inlineStr"/>
      <c r="S484" t="inlineStr"/>
      <c r="T484" t="inlineStr"/>
    </row>
    <row r="485">
      <c r="A485" t="inlineStr">
        <is>
          <t>CC Couesnon Marches de Bretagne</t>
        </is>
      </c>
      <c r="B485" t="inlineStr">
        <is>
          <t>Communauté de communes</t>
        </is>
      </c>
      <c r="C485" t="inlineStr">
        <is>
          <t>200070688</t>
        </is>
      </c>
      <c r="D485" t="inlineStr">
        <is>
          <t>35</t>
        </is>
      </c>
      <c r="E485" t="inlineStr">
        <is>
          <t>Ille-et-Vilaine</t>
        </is>
      </c>
      <c r="F485" t="inlineStr">
        <is>
          <t>Bretagne</t>
        </is>
      </c>
      <c r="G485" s="3" t="n">
        <v>21947</v>
      </c>
      <c r="H485" t="n">
        <v>15</v>
      </c>
      <c r="I485" t="inlineStr">
        <is>
          <t>Parc d'activités Coglais-Saint-Eustache</t>
        </is>
      </c>
      <c r="J485" t="inlineStr">
        <is>
          <t>35460</t>
        </is>
      </c>
      <c r="K485" t="inlineStr">
        <is>
          <t>Saint-Étienne-en-Coglés</t>
        </is>
      </c>
      <c r="L485" t="inlineStr">
        <is>
          <t>02 99 97 71 80</t>
        </is>
      </c>
      <c r="M485" s="4" t="inlineStr">
        <is>
          <t>contact@couesnon-marchesdebretagne.fr</t>
        </is>
      </c>
      <c r="N485" s="4" t="inlineStr">
        <is>
          <t>https://www.couesnon-marchesdebretagne.fr/</t>
        </is>
      </c>
      <c r="O485" s="4" t="inlineStr">
        <is>
          <t>https://www.couesnon-marchesdebretagne.fr/nous-contacter/</t>
        </is>
      </c>
      <c r="P485" s="4" t="inlineStr">
        <is>
          <t>https://lannuaire.service-public.gouv.fr/bretagne/ille-et-vilaine/836dca8e-4bb9-4207-8f7d-6ce3bf4e5926</t>
        </is>
      </c>
      <c r="Q485" t="inlineStr">
        <is>
          <t>Annuaire Service-public.fr</t>
        </is>
      </c>
      <c r="R485" t="inlineStr"/>
      <c r="S485" t="inlineStr"/>
      <c r="T485" t="inlineStr"/>
    </row>
    <row r="486">
      <c r="A486" t="inlineStr">
        <is>
          <t>CC Liffré-Cormier Communauté</t>
        </is>
      </c>
      <c r="B486" t="inlineStr">
        <is>
          <t>Communauté de communes</t>
        </is>
      </c>
      <c r="C486" t="inlineStr">
        <is>
          <t>243500774</t>
        </is>
      </c>
      <c r="D486" t="inlineStr">
        <is>
          <t>35</t>
        </is>
      </c>
      <c r="E486" t="inlineStr">
        <is>
          <t>Ille-et-Vilaine</t>
        </is>
      </c>
      <c r="F486" t="inlineStr">
        <is>
          <t>Bretagne</t>
        </is>
      </c>
      <c r="G486" s="3" t="n">
        <v>28241</v>
      </c>
      <c r="H486" t="n">
        <v>9</v>
      </c>
      <c r="I486" t="inlineStr">
        <is>
          <t>8 le carfour</t>
        </is>
      </c>
      <c r="J486" t="inlineStr">
        <is>
          <t>35340</t>
        </is>
      </c>
      <c r="K486" t="inlineStr">
        <is>
          <t>la bouëxière</t>
        </is>
      </c>
      <c r="L486" t="inlineStr">
        <is>
          <t>02 99 68 31 31</t>
        </is>
      </c>
      <c r="M486" s="4" t="inlineStr">
        <is>
          <t>contact@liffre-cormier.fr</t>
        </is>
      </c>
      <c r="N486" s="4" t="inlineStr">
        <is>
          <t>https://www.liffre-cormier.fr/</t>
        </is>
      </c>
      <c r="O486" s="4" t="inlineStr">
        <is>
          <t>https://www.liffre-cormier.fr/nous-contacter</t>
        </is>
      </c>
      <c r="P486" s="4" t="inlineStr">
        <is>
          <t>https://lannuaire.service-public.gouv.fr/bretagne/ille-et-vilaine/2749543a-a46a-4da1-a981-dabf1d7c31ff</t>
        </is>
      </c>
      <c r="Q486" t="inlineStr">
        <is>
          <t>Annuaire Service-public.fr</t>
        </is>
      </c>
      <c r="R486" t="inlineStr"/>
      <c r="S486" t="inlineStr"/>
      <c r="T486" t="inlineStr"/>
    </row>
    <row r="487">
      <c r="A487" t="inlineStr">
        <is>
          <t>CC Montfort Communauté</t>
        </is>
      </c>
      <c r="B487" t="inlineStr">
        <is>
          <t>Communauté de communes</t>
        </is>
      </c>
      <c r="C487" t="inlineStr">
        <is>
          <t>243500550</t>
        </is>
      </c>
      <c r="D487" t="inlineStr">
        <is>
          <t>35</t>
        </is>
      </c>
      <c r="E487" t="inlineStr">
        <is>
          <t>Ille-et-Vilaine</t>
        </is>
      </c>
      <c r="F487" t="inlineStr">
        <is>
          <t>Bretagne</t>
        </is>
      </c>
      <c r="G487" s="3" t="n">
        <v>26422</v>
      </c>
      <c r="H487" t="n">
        <v>8</v>
      </c>
      <c r="I487" t="inlineStr">
        <is>
          <t>4 place du Tribunal</t>
        </is>
      </c>
      <c r="J487" t="inlineStr">
        <is>
          <t>35160</t>
        </is>
      </c>
      <c r="K487" t="inlineStr">
        <is>
          <t>Montfort-sur-Meu</t>
        </is>
      </c>
      <c r="L487" t="inlineStr">
        <is>
          <t>02 99 09 88 10</t>
        </is>
      </c>
      <c r="M487" s="4" t="inlineStr">
        <is>
          <t>contact@montfortcommunaute.bzh</t>
        </is>
      </c>
      <c r="N487" s="4" t="inlineStr">
        <is>
          <t>https://www.montfortcommunaute.bzh/</t>
        </is>
      </c>
      <c r="O487" s="4" t="inlineStr">
        <is>
          <t>https://www.montfortcommunaute.bzh/mes-demarches/contacter-un-service/contacter-un-service/</t>
        </is>
      </c>
      <c r="P487" s="4" t="inlineStr">
        <is>
          <t>https://lannuaire.service-public.gouv.fr/bretagne/ille-et-vilaine/a247a9c1-b89e-4e57-81a1-27255ca8b0e6</t>
        </is>
      </c>
      <c r="Q487" t="inlineStr">
        <is>
          <t>Annuaire Service-public.fr</t>
        </is>
      </c>
      <c r="R487" t="inlineStr"/>
      <c r="S487" t="inlineStr"/>
      <c r="T487" t="inlineStr"/>
    </row>
    <row r="488">
      <c r="A488" t="inlineStr">
        <is>
          <t>CC Pays de Châteaugiron Communauté</t>
        </is>
      </c>
      <c r="B488" t="inlineStr">
        <is>
          <t>Communauté de communes</t>
        </is>
      </c>
      <c r="C488" t="inlineStr">
        <is>
          <t>243500659</t>
        </is>
      </c>
      <c r="D488" t="inlineStr">
        <is>
          <t>35</t>
        </is>
      </c>
      <c r="E488" t="inlineStr">
        <is>
          <t>Ille-et-Vilaine</t>
        </is>
      </c>
      <c r="F488" t="inlineStr">
        <is>
          <t>Bretagne</t>
        </is>
      </c>
      <c r="G488" s="3" t="n">
        <v>27986</v>
      </c>
      <c r="H488" t="n">
        <v>5</v>
      </c>
      <c r="I488" t="inlineStr">
        <is>
          <t>16 rue de Rennes</t>
        </is>
      </c>
      <c r="J488" t="inlineStr">
        <is>
          <t>35410</t>
        </is>
      </c>
      <c r="K488" t="inlineStr">
        <is>
          <t>Châteaugiron</t>
        </is>
      </c>
      <c r="L488" t="inlineStr">
        <is>
          <t>02 99 37 67 68</t>
        </is>
      </c>
      <c r="M488" s="4" t="inlineStr">
        <is>
          <t>contact@pcc.bzh</t>
        </is>
      </c>
      <c r="N488" s="4" t="inlineStr">
        <is>
          <t>https://www.communaute.paysdechateaugiron.bzh/</t>
        </is>
      </c>
      <c r="O488" s="4" t="inlineStr">
        <is>
          <t>https://www.communaute.paysdechateaugiron.bzh/systeme/nous-contacter/</t>
        </is>
      </c>
      <c r="P488" s="4" t="inlineStr">
        <is>
          <t>https://lannuaire.service-public.gouv.fr/bretagne/ille-et-vilaine/dee69927-f78d-482b-a80e-0860a72c2b2c</t>
        </is>
      </c>
      <c r="Q488" t="inlineStr">
        <is>
          <t>Annuaire Service-public.fr</t>
        </is>
      </c>
      <c r="R488" t="inlineStr"/>
      <c r="S488" t="inlineStr"/>
      <c r="T488" t="inlineStr"/>
    </row>
    <row r="489">
      <c r="A489" t="inlineStr">
        <is>
          <t>CC Roche aux Fées Communauté</t>
        </is>
      </c>
      <c r="B489" t="inlineStr">
        <is>
          <t>Communauté de communes</t>
        </is>
      </c>
      <c r="C489" t="inlineStr">
        <is>
          <t>243500634</t>
        </is>
      </c>
      <c r="D489" t="inlineStr">
        <is>
          <t>35</t>
        </is>
      </c>
      <c r="E489" t="inlineStr">
        <is>
          <t>Ille-et-Vilaine</t>
        </is>
      </c>
      <c r="F489" t="inlineStr">
        <is>
          <t>Bretagne</t>
        </is>
      </c>
      <c r="G489" s="3" t="n">
        <v>27025</v>
      </c>
      <c r="H489" t="n">
        <v>16</v>
      </c>
      <c r="I489" t="inlineStr">
        <is>
          <t>16 rue Louis-Pasteur</t>
        </is>
      </c>
      <c r="J489" t="inlineStr">
        <is>
          <t>35240</t>
        </is>
      </c>
      <c r="K489" t="inlineStr">
        <is>
          <t>Retiers</t>
        </is>
      </c>
      <c r="L489" t="inlineStr">
        <is>
          <t>02 99 43 64 87</t>
        </is>
      </c>
      <c r="M489" s="4" t="inlineStr">
        <is>
          <t>accueil@rafcom.bzh</t>
        </is>
      </c>
      <c r="N489" s="4" t="inlineStr">
        <is>
          <t>https://www.rafcom.bzh/</t>
        </is>
      </c>
      <c r="O489" s="4" t="inlineStr">
        <is>
          <t>https://www.rafcom.bzh/contact</t>
        </is>
      </c>
      <c r="P489" s="4" t="inlineStr">
        <is>
          <t>https://lannuaire.service-public.gouv.fr/bretagne/ille-et-vilaine/4fb521dd-3cb0-48b1-9b7e-d45ecfa80c21</t>
        </is>
      </c>
      <c r="Q489" t="inlineStr">
        <is>
          <t>Annuaire Service-public.fr</t>
        </is>
      </c>
      <c r="R489" t="inlineStr"/>
      <c r="S489" t="inlineStr"/>
      <c r="T489" t="inlineStr"/>
    </row>
    <row r="490">
      <c r="A490" t="inlineStr">
        <is>
          <t>CC Val d'Ille-Aubigné</t>
        </is>
      </c>
      <c r="B490" t="inlineStr">
        <is>
          <t>Communauté de communes</t>
        </is>
      </c>
      <c r="C490" t="inlineStr">
        <is>
          <t>243500667</t>
        </is>
      </c>
      <c r="D490" t="inlineStr">
        <is>
          <t>35</t>
        </is>
      </c>
      <c r="E490" t="inlineStr">
        <is>
          <t>Ille-et-Vilaine</t>
        </is>
      </c>
      <c r="F490" t="inlineStr">
        <is>
          <t>Bretagne</t>
        </is>
      </c>
      <c r="G490" s="3" t="n">
        <v>38971</v>
      </c>
      <c r="H490" t="n">
        <v>19</v>
      </c>
      <c r="I490" t="inlineStr">
        <is>
          <t>1 La Métairie</t>
        </is>
      </c>
      <c r="J490" t="inlineStr">
        <is>
          <t>35520</t>
        </is>
      </c>
      <c r="K490" t="inlineStr">
        <is>
          <t>Montreuil-le-Gast</t>
        </is>
      </c>
      <c r="L490" t="inlineStr">
        <is>
          <t>02 99 69 86 86</t>
        </is>
      </c>
      <c r="M490" s="4" t="inlineStr">
        <is>
          <t>contact@valdille-aubigne.fr</t>
        </is>
      </c>
      <c r="N490" s="4" t="inlineStr">
        <is>
          <t>https://www.valdille-aubigne.fr</t>
        </is>
      </c>
      <c r="O490" t="inlineStr"/>
      <c r="P490" s="4" t="inlineStr">
        <is>
          <t>https://lannuaire.service-public.gouv.fr/bretagne/ille-et-vilaine/da8f346b-34a1-45e8-8172-34596ba16f5c</t>
        </is>
      </c>
      <c r="Q490" t="inlineStr">
        <is>
          <t>Annuaire Service-public.fr</t>
        </is>
      </c>
      <c r="R490" t="inlineStr"/>
      <c r="S490" t="inlineStr"/>
      <c r="T490" t="inlineStr"/>
    </row>
    <row r="491">
      <c r="A491" t="inlineStr">
        <is>
          <t>CC Vallons de Haute-Bretagne Communauté</t>
        </is>
      </c>
      <c r="B491" t="inlineStr">
        <is>
          <t>Communauté de communes</t>
        </is>
      </c>
      <c r="C491" t="inlineStr">
        <is>
          <t>200043990</t>
        </is>
      </c>
      <c r="D491" t="inlineStr">
        <is>
          <t>35</t>
        </is>
      </c>
      <c r="E491" t="inlineStr">
        <is>
          <t>Ille-et-Vilaine</t>
        </is>
      </c>
      <c r="F491" t="inlineStr">
        <is>
          <t>Bretagne</t>
        </is>
      </c>
      <c r="G491" s="3" t="n">
        <v>45066</v>
      </c>
      <c r="H491" t="n">
        <v>18</v>
      </c>
      <c r="I491" t="inlineStr">
        <is>
          <t>12 rue Blaise-Pascal, ZA La Lande-Rose</t>
        </is>
      </c>
      <c r="J491" t="inlineStr">
        <is>
          <t>35580</t>
        </is>
      </c>
      <c r="K491" t="inlineStr">
        <is>
          <t>Guichen</t>
        </is>
      </c>
      <c r="L491" t="inlineStr">
        <is>
          <t>02 99 57 03 80</t>
        </is>
      </c>
      <c r="M491" s="4" t="inlineStr">
        <is>
          <t>accueil@vallonsdehautebretagne.fr</t>
        </is>
      </c>
      <c r="N491" s="4" t="inlineStr">
        <is>
          <t>https://www.vallons-de-haute-bretagne-communaute.fr/</t>
        </is>
      </c>
      <c r="O491" s="4" t="inlineStr">
        <is>
          <t>https://www.vallons-de-haute-bretagne-communaute.fr/systeme/contact/</t>
        </is>
      </c>
      <c r="P491" s="4" t="inlineStr">
        <is>
          <t>https://lannuaire.service-public.gouv.fr/bretagne/ille-et-vilaine/f7614f4b-abf8-4bd6-9520-4effc9da6e68</t>
        </is>
      </c>
      <c r="Q491" t="inlineStr">
        <is>
          <t>Annuaire Service-public.fr</t>
        </is>
      </c>
      <c r="R491" t="inlineStr"/>
      <c r="S491" t="inlineStr"/>
      <c r="T491" t="inlineStr"/>
    </row>
    <row r="492">
      <c r="A492" t="inlineStr">
        <is>
          <t>CC de Saint-Méen Montauban</t>
        </is>
      </c>
      <c r="B492" t="inlineStr">
        <is>
          <t>Communauté de communes</t>
        </is>
      </c>
      <c r="C492" t="inlineStr">
        <is>
          <t>200038990</t>
        </is>
      </c>
      <c r="D492" t="inlineStr">
        <is>
          <t>35</t>
        </is>
      </c>
      <c r="E492" t="inlineStr">
        <is>
          <t>Ille-et-Vilaine</t>
        </is>
      </c>
      <c r="F492" t="inlineStr">
        <is>
          <t>Bretagne</t>
        </is>
      </c>
      <c r="G492" s="3" t="n">
        <v>27350</v>
      </c>
      <c r="H492" t="n">
        <v>17</v>
      </c>
      <c r="I492" t="inlineStr">
        <is>
          <t>Manoir de la Ville Cotterel, 46 rue de Saint-Malo, BP 26042</t>
        </is>
      </c>
      <c r="J492" t="inlineStr">
        <is>
          <t>35360</t>
        </is>
      </c>
      <c r="K492" t="inlineStr">
        <is>
          <t>Montauban-de-Bretagne</t>
        </is>
      </c>
      <c r="L492" t="inlineStr">
        <is>
          <t>02 99 06 54 92</t>
        </is>
      </c>
      <c r="M492" s="4" t="inlineStr">
        <is>
          <t>accueil@stmeen-montauban.fr</t>
        </is>
      </c>
      <c r="N492" s="4" t="inlineStr">
        <is>
          <t>https://www.stmeen-montauban.fr/</t>
        </is>
      </c>
      <c r="O492" s="4" t="inlineStr">
        <is>
          <t>https://stmeen-montauban.fr/contact/</t>
        </is>
      </c>
      <c r="P492" s="4" t="inlineStr">
        <is>
          <t>https://lannuaire.service-public.gouv.fr/bretagne/ille-et-vilaine/f412ba09-36fc-4f9d-8566-f1271abde6e0</t>
        </is>
      </c>
      <c r="Q492" t="inlineStr">
        <is>
          <t>Annuaire Service-public.fr</t>
        </is>
      </c>
      <c r="R492" t="inlineStr"/>
      <c r="S492" t="inlineStr"/>
      <c r="T492" t="inlineStr"/>
    </row>
    <row r="493">
      <c r="A493" t="inlineStr">
        <is>
          <t>CC du Pays de Dol et de la Baie du Mont Saint-Michel</t>
        </is>
      </c>
      <c r="B493" t="inlineStr">
        <is>
          <t>Communauté de communes</t>
        </is>
      </c>
      <c r="C493" t="inlineStr">
        <is>
          <t>200070670</t>
        </is>
      </c>
      <c r="D493" t="inlineStr">
        <is>
          <t>35</t>
        </is>
      </c>
      <c r="E493" t="inlineStr">
        <is>
          <t>Ille-et-Vilaine</t>
        </is>
      </c>
      <c r="F493" t="inlineStr">
        <is>
          <t>Bretagne</t>
        </is>
      </c>
      <c r="G493" s="3" t="n">
        <v>23907</v>
      </c>
      <c r="H493" t="n">
        <v>19</v>
      </c>
      <c r="I493" t="inlineStr">
        <is>
          <t>17 rue de la Rouelle, Synergy</t>
        </is>
      </c>
      <c r="J493" t="inlineStr">
        <is>
          <t>35120</t>
        </is>
      </c>
      <c r="K493" t="inlineStr">
        <is>
          <t>Dol-de-Bretagne</t>
        </is>
      </c>
      <c r="L493" t="inlineStr">
        <is>
          <t>02 99 80 90 57</t>
        </is>
      </c>
      <c r="M493" s="4" t="inlineStr">
        <is>
          <t>info@ccdol-baiemsm.bzh</t>
        </is>
      </c>
      <c r="N493" s="4" t="inlineStr">
        <is>
          <t>https://www.ccdol-baiemsm.bzh/</t>
        </is>
      </c>
      <c r="O493" t="inlineStr"/>
      <c r="P493" s="4" t="inlineStr">
        <is>
          <t>https://lannuaire.service-public.gouv.fr/bretagne/ille-et-vilaine/7c5ba5ba-9873-4991-bd0b-1e78e24a8e08</t>
        </is>
      </c>
      <c r="Q493" t="inlineStr">
        <is>
          <t>Annuaire Service-public.fr</t>
        </is>
      </c>
      <c r="R493" t="inlineStr"/>
      <c r="S493" t="inlineStr"/>
      <c r="T493" t="inlineStr"/>
    </row>
    <row r="494">
      <c r="A494" t="inlineStr">
        <is>
          <t>Rennes Métropole</t>
        </is>
      </c>
      <c r="B494" t="inlineStr">
        <is>
          <t>Métropole</t>
        </is>
      </c>
      <c r="C494" t="inlineStr">
        <is>
          <t>243500139</t>
        </is>
      </c>
      <c r="D494" t="inlineStr">
        <is>
          <t>35</t>
        </is>
      </c>
      <c r="E494" t="inlineStr">
        <is>
          <t>Ille-et-Vilaine</t>
        </is>
      </c>
      <c r="F494" t="inlineStr">
        <is>
          <t>Bretagne</t>
        </is>
      </c>
      <c r="G494" s="3" t="n">
        <v>473973</v>
      </c>
      <c r="H494" t="n">
        <v>43</v>
      </c>
      <c r="I494" t="inlineStr">
        <is>
          <t>4 avenue Henri-Fréville, CS 93111</t>
        </is>
      </c>
      <c r="J494" t="inlineStr">
        <is>
          <t>35031</t>
        </is>
      </c>
      <c r="K494" t="inlineStr">
        <is>
          <t>Rennes Cedex</t>
        </is>
      </c>
      <c r="L494" t="inlineStr">
        <is>
          <t>02 99 86 60 60</t>
        </is>
      </c>
      <c r="M494" s="4" t="inlineStr">
        <is>
          <t>accueil@rennesmetropole.fr</t>
        </is>
      </c>
      <c r="N494" s="4" t="inlineStr">
        <is>
          <t>https://metropole.rennes.fr</t>
        </is>
      </c>
      <c r="O494" t="inlineStr"/>
      <c r="P494" s="4" t="inlineStr">
        <is>
          <t>https://lannuaire.service-public.gouv.fr/bretagne/ille-et-vilaine/9c843b17-826c-4b99-be0c-ffa090632c21</t>
        </is>
      </c>
      <c r="Q494" t="inlineStr">
        <is>
          <t>Annuaire Service-public.fr</t>
        </is>
      </c>
      <c r="R494" t="inlineStr"/>
      <c r="S494" t="inlineStr"/>
      <c r="T494" t="inlineStr"/>
    </row>
    <row r="495">
      <c r="A495" t="inlineStr">
        <is>
          <t>CA Redon Agglomération</t>
        </is>
      </c>
      <c r="B495" t="inlineStr">
        <is>
          <t>Communauté d’agglomération</t>
        </is>
      </c>
      <c r="C495" t="inlineStr">
        <is>
          <t>243500741</t>
        </is>
      </c>
      <c r="D495" t="inlineStr">
        <is>
          <t>35, 44, 56</t>
        </is>
      </c>
      <c r="E495" t="inlineStr">
        <is>
          <t>Ille-et-Vilaine, Loire-Atlantique, Morbihan</t>
        </is>
      </c>
      <c r="F495" t="inlineStr">
        <is>
          <t>Pays de la Loire, Bretagne</t>
        </is>
      </c>
      <c r="G495" s="3" t="n">
        <v>67121</v>
      </c>
      <c r="H495" t="n">
        <v>31</v>
      </c>
      <c r="I495" t="inlineStr">
        <is>
          <t>3 rue Charles-Sillard, CS 40264</t>
        </is>
      </c>
      <c r="J495" t="inlineStr">
        <is>
          <t>35605</t>
        </is>
      </c>
      <c r="K495" t="inlineStr">
        <is>
          <t>Redon Cedex</t>
        </is>
      </c>
      <c r="L495" t="inlineStr">
        <is>
          <t>02 99 70 34 34</t>
        </is>
      </c>
      <c r="M495" s="4" t="inlineStr">
        <is>
          <t>contact@redon-agglomeration.bzh</t>
        </is>
      </c>
      <c r="N495" s="4" t="inlineStr">
        <is>
          <t>https://www.redon-agglomeration.bzh/</t>
        </is>
      </c>
      <c r="O495" s="4" t="inlineStr">
        <is>
          <t>https://www.redon-agglomeration.bzh/contact</t>
        </is>
      </c>
      <c r="P495" s="4" t="inlineStr">
        <is>
          <t>https://lannuaire.service-public.gouv.fr/bretagne/ille-et-vilaine/c4aafb49-0f9f-4eed-b5be-c74f41bbe9d8</t>
        </is>
      </c>
      <c r="Q495" t="inlineStr">
        <is>
          <t>Annuaire Service-public.fr</t>
        </is>
      </c>
      <c r="R495" t="inlineStr"/>
      <c r="S495" t="inlineStr"/>
      <c r="T495" t="inlineStr"/>
    </row>
    <row r="496">
      <c r="A496" t="inlineStr">
        <is>
          <t>CA Châteauroux Métropole</t>
        </is>
      </c>
      <c r="B496" t="inlineStr">
        <is>
          <t>Communauté d’agglomération</t>
        </is>
      </c>
      <c r="C496" t="inlineStr">
        <is>
          <t>243600327</t>
        </is>
      </c>
      <c r="D496" t="inlineStr">
        <is>
          <t>36</t>
        </is>
      </c>
      <c r="E496" t="inlineStr">
        <is>
          <t>Indre</t>
        </is>
      </c>
      <c r="F496" t="inlineStr">
        <is>
          <t>Centre-Val de Loire</t>
        </is>
      </c>
      <c r="G496" s="3" t="n">
        <v>72566</v>
      </c>
      <c r="H496" t="n">
        <v>14</v>
      </c>
      <c r="I496" t="inlineStr">
        <is>
          <t>Place de la République, CS 80509</t>
        </is>
      </c>
      <c r="J496" t="inlineStr">
        <is>
          <t>36012</t>
        </is>
      </c>
      <c r="K496" t="inlineStr">
        <is>
          <t>Châteauroux Cedex</t>
        </is>
      </c>
      <c r="L496" t="inlineStr">
        <is>
          <t>02 54 08 33 00</t>
        </is>
      </c>
      <c r="M496" s="4" t="inlineStr">
        <is>
          <t>communication@chateauroux-metropole.fr</t>
        </is>
      </c>
      <c r="N496" s="4" t="inlineStr">
        <is>
          <t>https://www.chateauroux-metropole.fr/</t>
        </is>
      </c>
      <c r="O496" s="4" t="inlineStr">
        <is>
          <t>https://www.chateauroux-metropole.fr/pages-pratiques/contact</t>
        </is>
      </c>
      <c r="P496" s="4" t="inlineStr">
        <is>
          <t>https://lannuaire.service-public.gouv.fr/centre-val-de-loire/indre/faa707af-c1e9-473b-ab40-d1f521b8b10e</t>
        </is>
      </c>
      <c r="Q496" t="inlineStr">
        <is>
          <t>Annuaire Service-public.fr</t>
        </is>
      </c>
      <c r="R496" t="inlineStr"/>
      <c r="S496" t="inlineStr"/>
      <c r="T496" t="inlineStr"/>
    </row>
    <row r="497">
      <c r="A497" t="inlineStr">
        <is>
          <t>CC Brenne - Val de Creuse</t>
        </is>
      </c>
      <c r="B497" t="inlineStr">
        <is>
          <t>Communauté de communes</t>
        </is>
      </c>
      <c r="C497" t="inlineStr">
        <is>
          <t>243600319</t>
        </is>
      </c>
      <c r="D497" t="inlineStr">
        <is>
          <t>36</t>
        </is>
      </c>
      <c r="E497" t="inlineStr">
        <is>
          <t>Indre</t>
        </is>
      </c>
      <c r="F497" t="inlineStr">
        <is>
          <t>Centre-Val de Loire</t>
        </is>
      </c>
      <c r="G497" s="3" t="n">
        <v>17565</v>
      </c>
      <c r="H497" t="n">
        <v>28</v>
      </c>
      <c r="I497" t="inlineStr">
        <is>
          <t>5 rue de l'Église</t>
        </is>
      </c>
      <c r="J497" t="inlineStr">
        <is>
          <t>36300</t>
        </is>
      </c>
      <c r="K497" t="inlineStr">
        <is>
          <t>Ruffec</t>
        </is>
      </c>
      <c r="L497" t="inlineStr">
        <is>
          <t>02 54 28 33 60</t>
        </is>
      </c>
      <c r="M497" s="4" t="inlineStr">
        <is>
          <t>contact@cc-brennevaldecreuse.fr</t>
        </is>
      </c>
      <c r="N497" s="4" t="inlineStr">
        <is>
          <t>https://www.cc-brennevaldecreuse.fr/</t>
        </is>
      </c>
      <c r="O497" s="4" t="inlineStr">
        <is>
          <t>https://www.cc-brennevaldecreuse.fr/la-communaute-de-communes/territoire/contacts-comcom</t>
        </is>
      </c>
      <c r="P497" s="4" t="inlineStr">
        <is>
          <t>https://lannuaire.service-public.gouv.fr/centre-val-de-loire/indre/1857b010-b436-4d1d-8d1f-1d4098d47aa6</t>
        </is>
      </c>
      <c r="Q497" t="inlineStr">
        <is>
          <t>Annuaire Service-public.fr</t>
        </is>
      </c>
      <c r="R497" t="inlineStr"/>
      <c r="S497" t="inlineStr"/>
      <c r="T497" t="inlineStr"/>
    </row>
    <row r="498">
      <c r="A498" t="inlineStr">
        <is>
          <t>CC Chabris - Pays de Bazelle</t>
        </is>
      </c>
      <c r="B498" t="inlineStr">
        <is>
          <t>Communauté de communes</t>
        </is>
      </c>
      <c r="C498" t="inlineStr">
        <is>
          <t>243600202</t>
        </is>
      </c>
      <c r="D498" t="inlineStr">
        <is>
          <t>36</t>
        </is>
      </c>
      <c r="E498" t="inlineStr">
        <is>
          <t>Indre</t>
        </is>
      </c>
      <c r="F498" t="inlineStr">
        <is>
          <t>Centre-Val de Loire</t>
        </is>
      </c>
      <c r="G498" s="3" t="n">
        <v>6185</v>
      </c>
      <c r="H498" t="n">
        <v>10</v>
      </c>
      <c r="I498" t="inlineStr">
        <is>
          <t>8 place Albert-Boivin</t>
        </is>
      </c>
      <c r="J498" t="inlineStr">
        <is>
          <t>36210</t>
        </is>
      </c>
      <c r="K498" t="inlineStr">
        <is>
          <t>Chabris</t>
        </is>
      </c>
      <c r="L498" t="inlineStr">
        <is>
          <t>02 54 40 15 88</t>
        </is>
      </c>
      <c r="M498" s="4" t="inlineStr">
        <is>
          <t>contact@chabris-bazelle.fr</t>
        </is>
      </c>
      <c r="N498" s="4" t="inlineStr">
        <is>
          <t>https://www.chabris-bazelle.fr/</t>
        </is>
      </c>
      <c r="O498" t="inlineStr"/>
      <c r="P498" s="4" t="inlineStr">
        <is>
          <t>https://lannuaire.service-public.gouv.fr/centre-val-de-loire/indre/86fded55-d7c1-4c37-9afa-ecf5a2a3ac78</t>
        </is>
      </c>
      <c r="Q498" t="inlineStr">
        <is>
          <t>Annuaire Service-public.fr</t>
        </is>
      </c>
      <c r="R498" t="inlineStr"/>
      <c r="S498" t="inlineStr"/>
      <c r="T498" t="inlineStr"/>
    </row>
    <row r="499">
      <c r="A499" t="inlineStr">
        <is>
          <t>CC Champagne Boischauts</t>
        </is>
      </c>
      <c r="B499" t="inlineStr">
        <is>
          <t>Communauté de communes</t>
        </is>
      </c>
      <c r="C499" t="inlineStr">
        <is>
          <t>200068880</t>
        </is>
      </c>
      <c r="D499" t="inlineStr">
        <is>
          <t>36</t>
        </is>
      </c>
      <c r="E499" t="inlineStr">
        <is>
          <t>Indre</t>
        </is>
      </c>
      <c r="F499" t="inlineStr">
        <is>
          <t>Centre-Val de Loire</t>
        </is>
      </c>
      <c r="G499" s="3" t="n">
        <v>9691</v>
      </c>
      <c r="H499" t="n">
        <v>30</v>
      </c>
      <c r="I499" t="inlineStr">
        <is>
          <t>24 rue de la République</t>
        </is>
      </c>
      <c r="J499" t="inlineStr">
        <is>
          <t>36150</t>
        </is>
      </c>
      <c r="K499" t="inlineStr">
        <is>
          <t>Vatan</t>
        </is>
      </c>
      <c r="L499" t="inlineStr">
        <is>
          <t>02 54 49 77 07</t>
        </is>
      </c>
      <c r="M499" s="4" t="inlineStr">
        <is>
          <t>accueil@cc-champagne-boischauts.fr</t>
        </is>
      </c>
      <c r="N499" s="4" t="inlineStr">
        <is>
          <t>https://www.cc-champagne-boischauts.fr/</t>
        </is>
      </c>
      <c r="O499" s="4" t="inlineStr">
        <is>
          <t>https://www.cc-champagne-boischauts.fr/contact</t>
        </is>
      </c>
      <c r="P499" s="4" t="inlineStr">
        <is>
          <t>https://lannuaire.service-public.gouv.fr/centre-val-de-loire/indre/9c535081-7522-4c6d-997a-b1add2809bab</t>
        </is>
      </c>
      <c r="Q499" t="inlineStr">
        <is>
          <t>Annuaire Service-public.fr</t>
        </is>
      </c>
      <c r="R499" t="inlineStr"/>
      <c r="S499" t="inlineStr"/>
      <c r="T499" t="inlineStr"/>
    </row>
    <row r="500">
      <c r="A500" t="inlineStr">
        <is>
          <t>CC Coeur de Brenne</t>
        </is>
      </c>
      <c r="B500" t="inlineStr">
        <is>
          <t>Communauté de communes</t>
        </is>
      </c>
      <c r="C500" t="inlineStr">
        <is>
          <t>243600343</t>
        </is>
      </c>
      <c r="D500" t="inlineStr">
        <is>
          <t>36</t>
        </is>
      </c>
      <c r="E500" t="inlineStr">
        <is>
          <t>Indre</t>
        </is>
      </c>
      <c r="F500" t="inlineStr">
        <is>
          <t>Centre-Val de Loire</t>
        </is>
      </c>
      <c r="G500" s="3" t="n">
        <v>4659</v>
      </c>
      <c r="H500" t="n">
        <v>11</v>
      </c>
      <c r="I500" t="inlineStr">
        <is>
          <t>1 rue du Prieuré</t>
        </is>
      </c>
      <c r="J500" t="inlineStr">
        <is>
          <t>36290</t>
        </is>
      </c>
      <c r="K500" t="inlineStr">
        <is>
          <t>Saint-Michel-en-Brenne</t>
        </is>
      </c>
      <c r="L500" t="inlineStr">
        <is>
          <t>02 54 38 18 60</t>
        </is>
      </c>
      <c r="M500" s="4" t="inlineStr">
        <is>
          <t>cdc@coeurdebrenne.fr</t>
        </is>
      </c>
      <c r="N500" s="4" t="inlineStr">
        <is>
          <t>https://www.coeurdebrenne.fr/</t>
        </is>
      </c>
      <c r="O500" s="4" t="inlineStr">
        <is>
          <t>https://www.coeurdebrenne.fr/fr/contacter</t>
        </is>
      </c>
      <c r="P500" s="4" t="inlineStr">
        <is>
          <t>https://lannuaire.service-public.gouv.fr/centre-val-de-loire/indre/dbe4cfad-ec31-4026-9a50-5019c889c426</t>
        </is>
      </c>
      <c r="Q500" t="inlineStr">
        <is>
          <t>Annuaire Service-public.fr</t>
        </is>
      </c>
      <c r="R500" t="inlineStr"/>
      <c r="S500" t="inlineStr"/>
      <c r="T500" t="inlineStr"/>
    </row>
    <row r="501">
      <c r="A501" t="inlineStr">
        <is>
          <t>CC Levroux Boischaut Champagne</t>
        </is>
      </c>
      <c r="B501" t="inlineStr">
        <is>
          <t>Communauté de communes</t>
        </is>
      </c>
      <c r="C501" t="inlineStr">
        <is>
          <t>243600293</t>
        </is>
      </c>
      <c r="D501" t="inlineStr">
        <is>
          <t>36</t>
        </is>
      </c>
      <c r="E501" t="inlineStr">
        <is>
          <t>Indre</t>
        </is>
      </c>
      <c r="F501" t="inlineStr">
        <is>
          <t>Centre-Val de Loire</t>
        </is>
      </c>
      <c r="G501" s="3" t="n">
        <v>6162</v>
      </c>
      <c r="H501" t="n">
        <v>10</v>
      </c>
      <c r="I501" t="inlineStr">
        <is>
          <t>10 place de l'Hôtel-de-Ville</t>
        </is>
      </c>
      <c r="J501" t="inlineStr">
        <is>
          <t>36110</t>
        </is>
      </c>
      <c r="K501" t="inlineStr">
        <is>
          <t>Levroux</t>
        </is>
      </c>
      <c r="L501" t="inlineStr">
        <is>
          <t>02 54 35 70 54</t>
        </is>
      </c>
      <c r="M501" s="4" t="inlineStr">
        <is>
          <t>accueil@levroux.fr</t>
        </is>
      </c>
      <c r="N501" s="4" t="inlineStr">
        <is>
          <t>https://www.ville-levroux.fr/interco.html</t>
        </is>
      </c>
      <c r="O501" t="inlineStr"/>
      <c r="P501" s="4" t="inlineStr">
        <is>
          <t>https://lannuaire.service-public.gouv.fr/centre-val-de-loire/indre/81a1a97c-ca46-4ce4-a380-48bc29327eb6</t>
        </is>
      </c>
      <c r="Q501" t="inlineStr">
        <is>
          <t>Annuaire Service-public.fr</t>
        </is>
      </c>
      <c r="R501" t="inlineStr"/>
      <c r="S501" t="inlineStr"/>
      <c r="T501" t="inlineStr"/>
    </row>
    <row r="502">
      <c r="A502" t="inlineStr">
        <is>
          <t>CC Marche Occitane - Val d'Anglin</t>
        </is>
      </c>
      <c r="B502" t="inlineStr">
        <is>
          <t>Communauté de communes</t>
        </is>
      </c>
      <c r="C502" t="inlineStr">
        <is>
          <t>200035137</t>
        </is>
      </c>
      <c r="D502" t="inlineStr">
        <is>
          <t>36</t>
        </is>
      </c>
      <c r="E502" t="inlineStr">
        <is>
          <t>Indre</t>
        </is>
      </c>
      <c r="F502" t="inlineStr">
        <is>
          <t>Centre-Val de Loire</t>
        </is>
      </c>
      <c r="G502" s="3" t="n">
        <v>6517</v>
      </c>
      <c r="H502" t="n">
        <v>17</v>
      </c>
      <c r="I502" t="inlineStr">
        <is>
          <t>2 place Saint-Christophe</t>
        </is>
      </c>
      <c r="J502" t="inlineStr">
        <is>
          <t>36370</t>
        </is>
      </c>
      <c r="K502" t="inlineStr">
        <is>
          <t>Lignac</t>
        </is>
      </c>
      <c r="L502" t="inlineStr">
        <is>
          <t>02 54 24 31 40</t>
        </is>
      </c>
      <c r="M502" s="4" t="inlineStr">
        <is>
          <t>contact@cdcmova.fr</t>
        </is>
      </c>
      <c r="N502" s="4" t="inlineStr">
        <is>
          <t>https://cdc-mova.fr/</t>
        </is>
      </c>
      <c r="O502" s="4" t="inlineStr">
        <is>
          <t>https://cdc-mova.fr/accueil/autres/contactez-nous</t>
        </is>
      </c>
      <c r="P502" s="4" t="inlineStr">
        <is>
          <t>https://lannuaire.service-public.gouv.fr/centre-val-de-loire/indre/3ec0cc7e-0cb4-4013-98fd-f4023b16cf93</t>
        </is>
      </c>
      <c r="Q502" t="inlineStr">
        <is>
          <t>Annuaire Service-public.fr</t>
        </is>
      </c>
      <c r="R502" t="inlineStr"/>
      <c r="S502" t="inlineStr"/>
      <c r="T502" t="inlineStr"/>
    </row>
    <row r="503">
      <c r="A503" t="inlineStr">
        <is>
          <t>CC Val de l'Indre - Brenne</t>
        </is>
      </c>
      <c r="B503" t="inlineStr">
        <is>
          <t>Communauté de communes</t>
        </is>
      </c>
      <c r="C503" t="inlineStr">
        <is>
          <t>243600301</t>
        </is>
      </c>
      <c r="D503" t="inlineStr">
        <is>
          <t>36</t>
        </is>
      </c>
      <c r="E503" t="inlineStr">
        <is>
          <t>Indre</t>
        </is>
      </c>
      <c r="F503" t="inlineStr">
        <is>
          <t>Centre-Val de Loire</t>
        </is>
      </c>
      <c r="G503" s="3" t="n">
        <v>13242</v>
      </c>
      <c r="H503" t="n">
        <v>12</v>
      </c>
      <c r="I503" t="inlineStr">
        <is>
          <t>1 rue Jean-Jaurès</t>
        </is>
      </c>
      <c r="J503" t="inlineStr">
        <is>
          <t>36320</t>
        </is>
      </c>
      <c r="K503" t="inlineStr">
        <is>
          <t>Villedieu-sur-Indre</t>
        </is>
      </c>
      <c r="L503" t="inlineStr">
        <is>
          <t>02 54 26 91 11</t>
        </is>
      </c>
      <c r="M503" s="4" t="inlineStr">
        <is>
          <t>cdc.valdelindre-brenne@wanadoo.fr</t>
        </is>
      </c>
      <c r="N503" s="4" t="inlineStr">
        <is>
          <t>https://www.valdelindrebrenne.com</t>
        </is>
      </c>
      <c r="O503" t="inlineStr"/>
      <c r="P503" s="4" t="inlineStr">
        <is>
          <t>https://lannuaire.service-public.gouv.fr/centre-val-de-loire/indre/44a81c2d-0a39-4922-919b-eb96985cc907</t>
        </is>
      </c>
      <c r="Q503" t="inlineStr">
        <is>
          <t>Annuaire Service-public.fr</t>
        </is>
      </c>
      <c r="R503" t="inlineStr"/>
      <c r="S503" t="inlineStr"/>
      <c r="T503" t="inlineStr"/>
    </row>
    <row r="504">
      <c r="A504" t="inlineStr">
        <is>
          <t>CC de la Châtre et Sainte-Sévère</t>
        </is>
      </c>
      <c r="B504" t="inlineStr">
        <is>
          <t>Communauté de communes</t>
        </is>
      </c>
      <c r="C504" t="inlineStr">
        <is>
          <t>243600350</t>
        </is>
      </c>
      <c r="D504" t="inlineStr">
        <is>
          <t>36</t>
        </is>
      </c>
      <c r="E504" t="inlineStr">
        <is>
          <t>Indre</t>
        </is>
      </c>
      <c r="F504" t="inlineStr">
        <is>
          <t>Centre-Val de Loire</t>
        </is>
      </c>
      <c r="G504" s="3" t="n">
        <v>16134</v>
      </c>
      <c r="H504" t="n">
        <v>30</v>
      </c>
      <c r="I504" t="inlineStr">
        <is>
          <t>22 place du Général-de-Gaulle</t>
        </is>
      </c>
      <c r="J504" t="inlineStr">
        <is>
          <t>36400</t>
        </is>
      </c>
      <c r="K504" t="inlineStr">
        <is>
          <t>La Châtre</t>
        </is>
      </c>
      <c r="L504" t="inlineStr">
        <is>
          <t>02 54 62 10 10</t>
        </is>
      </c>
      <c r="M504" s="4" t="inlineStr">
        <is>
          <t>s.administratif@cdc-lcss.fr</t>
        </is>
      </c>
      <c r="N504" s="4" t="inlineStr">
        <is>
          <t>https://cdc-lcss.fr/</t>
        </is>
      </c>
      <c r="O504" t="inlineStr"/>
      <c r="P504" s="4" t="inlineStr">
        <is>
          <t>https://lannuaire.service-public.gouv.fr/centre-val-de-loire/indre/4b465cad-5642-4673-9e43-fb91cb0344ff</t>
        </is>
      </c>
      <c r="Q504" t="inlineStr">
        <is>
          <t>Annuaire Service-public.fr</t>
        </is>
      </c>
      <c r="R504" t="inlineStr"/>
      <c r="S504" t="inlineStr"/>
      <c r="T504" t="inlineStr"/>
    </row>
    <row r="505">
      <c r="A505" t="inlineStr">
        <is>
          <t>CC de la Marche Berrichonne</t>
        </is>
      </c>
      <c r="B505" t="inlineStr">
        <is>
          <t>Communauté de communes</t>
        </is>
      </c>
      <c r="C505" t="inlineStr">
        <is>
          <t>200007052</t>
        </is>
      </c>
      <c r="D505" t="inlineStr">
        <is>
          <t>36</t>
        </is>
      </c>
      <c r="E505" t="inlineStr">
        <is>
          <t>Indre</t>
        </is>
      </c>
      <c r="F505" t="inlineStr">
        <is>
          <t>Centre-Val de Loire</t>
        </is>
      </c>
      <c r="G505" s="3" t="n">
        <v>5504</v>
      </c>
      <c r="H505" t="n">
        <v>9</v>
      </c>
      <c r="I505" t="inlineStr">
        <is>
          <t>8 rue Jean-Marien-Messant</t>
        </is>
      </c>
      <c r="J505" t="inlineStr">
        <is>
          <t>36140</t>
        </is>
      </c>
      <c r="K505" t="inlineStr">
        <is>
          <t>Aigurande</t>
        </is>
      </c>
      <c r="L505" t="inlineStr">
        <is>
          <t>02 54 06 37 33</t>
        </is>
      </c>
      <c r="M505" s="4" t="inlineStr">
        <is>
          <t>contact@ccmarcheberrichonne.fr</t>
        </is>
      </c>
      <c r="N505" s="4" t="inlineStr">
        <is>
          <t>https://www.ccmarcheberrichonne.fr/site/</t>
        </is>
      </c>
      <c r="O505" s="4" t="inlineStr">
        <is>
          <t>https://www.ccmarcheberrichonne.fr/site/contact/</t>
        </is>
      </c>
      <c r="P505" s="4" t="inlineStr">
        <is>
          <t>https://lannuaire.service-public.gouv.fr/centre-val-de-loire/indre/4ecbd536-488d-466a-901f-c751f51161ad</t>
        </is>
      </c>
      <c r="Q505" t="inlineStr">
        <is>
          <t>Annuaire Service-public.fr</t>
        </is>
      </c>
      <c r="R505" t="inlineStr"/>
      <c r="S505" t="inlineStr"/>
      <c r="T505" t="inlineStr"/>
    </row>
    <row r="506">
      <c r="A506" t="inlineStr">
        <is>
          <t>CC du Châtillonnais en Berry</t>
        </is>
      </c>
      <c r="B506" t="inlineStr">
        <is>
          <t>Communauté de communes</t>
        </is>
      </c>
      <c r="C506" t="inlineStr">
        <is>
          <t>200035848</t>
        </is>
      </c>
      <c r="D506" t="inlineStr">
        <is>
          <t>36</t>
        </is>
      </c>
      <c r="E506" t="inlineStr">
        <is>
          <t>Indre</t>
        </is>
      </c>
      <c r="F506" t="inlineStr">
        <is>
          <t>Centre-Val de Loire</t>
        </is>
      </c>
      <c r="G506" s="3" t="n">
        <v>5638</v>
      </c>
      <c r="H506" t="n">
        <v>10</v>
      </c>
      <c r="I506" t="inlineStr">
        <is>
          <t>1 rue Maurice-Davaillon</t>
        </is>
      </c>
      <c r="J506" t="inlineStr">
        <is>
          <t>36700</t>
        </is>
      </c>
      <c r="K506" t="inlineStr">
        <is>
          <t>Chatillon-sur-Indre</t>
        </is>
      </c>
      <c r="L506" t="inlineStr">
        <is>
          <t>02 54 39 01 16</t>
        </is>
      </c>
      <c r="M506" s="4" t="inlineStr">
        <is>
          <t>accueil@chatillonnais-en-berry.fr</t>
        </is>
      </c>
      <c r="N506" s="4" t="inlineStr">
        <is>
          <t>https://chatillonnais-en-berry.fr/</t>
        </is>
      </c>
      <c r="O506" t="inlineStr"/>
      <c r="P506" s="4" t="inlineStr">
        <is>
          <t>https://lannuaire.service-public.gouv.fr/centre-val-de-loire/indre/48a68787-1b62-46a2-a3cd-2590a6ede86a</t>
        </is>
      </c>
      <c r="Q506" t="inlineStr">
        <is>
          <t>Annuaire Service-public.fr</t>
        </is>
      </c>
      <c r="R506" t="inlineStr"/>
      <c r="S506" t="inlineStr"/>
      <c r="T506" t="inlineStr"/>
    </row>
    <row r="507">
      <c r="A507" t="inlineStr">
        <is>
          <t>CC du Val de Bouzanne</t>
        </is>
      </c>
      <c r="B507" t="inlineStr">
        <is>
          <t>Communauté de communes</t>
        </is>
      </c>
      <c r="C507" t="inlineStr">
        <is>
          <t>200018521</t>
        </is>
      </c>
      <c r="D507" t="inlineStr">
        <is>
          <t>36</t>
        </is>
      </c>
      <c r="E507" t="inlineStr">
        <is>
          <t>Indre</t>
        </is>
      </c>
      <c r="F507" t="inlineStr">
        <is>
          <t>Centre-Val de Loire</t>
        </is>
      </c>
      <c r="G507" s="3" t="n">
        <v>5969</v>
      </c>
      <c r="H507" t="n">
        <v>12</v>
      </c>
      <c r="I507" t="inlineStr">
        <is>
          <t>20 rue Émile-Forichon</t>
        </is>
      </c>
      <c r="J507" t="inlineStr">
        <is>
          <t>36230</t>
        </is>
      </c>
      <c r="K507" t="inlineStr">
        <is>
          <t>Neuvy-Saint-Sépulcre</t>
        </is>
      </c>
      <c r="L507" t="inlineStr">
        <is>
          <t>02 54 31 20 06</t>
        </is>
      </c>
      <c r="M507" s="4" t="inlineStr">
        <is>
          <t>cdsbouzanne@orange.fr</t>
        </is>
      </c>
      <c r="N507" s="4" t="inlineStr">
        <is>
          <t>https://www.valdebouzanne.fr/</t>
        </is>
      </c>
      <c r="O507" s="4" t="inlineStr">
        <is>
          <t>https://www.valdebouzanne.fr/contact</t>
        </is>
      </c>
      <c r="P507" s="4" t="inlineStr">
        <is>
          <t>https://lannuaire.service-public.gouv.fr/centre-val-de-loire/indre/dd15c5ab-032d-4c7f-8cae-75cdd2ab1639</t>
        </is>
      </c>
      <c r="Q507" t="inlineStr">
        <is>
          <t>Annuaire Service-public.fr</t>
        </is>
      </c>
      <c r="R507" t="inlineStr"/>
      <c r="S507" t="inlineStr"/>
      <c r="T507" t="inlineStr"/>
    </row>
    <row r="508">
      <c r="A508" t="inlineStr">
        <is>
          <t>CC Écueillé-Valençay</t>
        </is>
      </c>
      <c r="B508" t="inlineStr">
        <is>
          <t>Communauté de communes</t>
        </is>
      </c>
      <c r="C508" t="inlineStr">
        <is>
          <t>200040558</t>
        </is>
      </c>
      <c r="D508" t="inlineStr">
        <is>
          <t>36</t>
        </is>
      </c>
      <c r="E508" t="inlineStr">
        <is>
          <t>Indre</t>
        </is>
      </c>
      <c r="F508" t="inlineStr">
        <is>
          <t>Centre-Val de Loire</t>
        </is>
      </c>
      <c r="G508" s="3" t="n">
        <v>10933</v>
      </c>
      <c r="H508" t="n">
        <v>18</v>
      </c>
      <c r="I508" t="inlineStr">
        <is>
          <t>23 avenue de la Résistance</t>
        </is>
      </c>
      <c r="J508" t="inlineStr">
        <is>
          <t>36600</t>
        </is>
      </c>
      <c r="K508" t="inlineStr">
        <is>
          <t>Valençay</t>
        </is>
      </c>
      <c r="L508" t="inlineStr">
        <is>
          <t>02 54 00 32 38</t>
        </is>
      </c>
      <c r="M508" s="4" t="inlineStr">
        <is>
          <t>accueil@ccev.fr</t>
        </is>
      </c>
      <c r="N508" s="4" t="inlineStr">
        <is>
          <t>https://cc-ecueille-valencay.fr/</t>
        </is>
      </c>
      <c r="O508" t="inlineStr"/>
      <c r="P508" s="4" t="inlineStr">
        <is>
          <t>https://lannuaire.service-public.gouv.fr/centre-val-de-loire/indre/b8f37db2-16e3-460d-ab0e-7d438ff15784</t>
        </is>
      </c>
      <c r="Q508" t="inlineStr">
        <is>
          <t>Annuaire Service-public.fr</t>
        </is>
      </c>
      <c r="R508" t="inlineStr"/>
      <c r="S508" t="inlineStr"/>
      <c r="T508" t="inlineStr"/>
    </row>
    <row r="509">
      <c r="A509" t="inlineStr">
        <is>
          <t>CC Éguzon - Argenton - Vallée de la Creuse</t>
        </is>
      </c>
      <c r="B509" t="inlineStr">
        <is>
          <t>Communauté de communes</t>
        </is>
      </c>
      <c r="C509" t="inlineStr">
        <is>
          <t>200068872</t>
        </is>
      </c>
      <c r="D509" t="inlineStr">
        <is>
          <t>36</t>
        </is>
      </c>
      <c r="E509" t="inlineStr">
        <is>
          <t>Indre</t>
        </is>
      </c>
      <c r="F509" t="inlineStr">
        <is>
          <t>Centre-Val de Loire</t>
        </is>
      </c>
      <c r="G509" s="3" t="n">
        <v>19302</v>
      </c>
      <c r="H509" t="n">
        <v>21</v>
      </c>
      <c r="I509" t="inlineStr">
        <is>
          <t>8 rue Simone-de-Beauvoir</t>
        </is>
      </c>
      <c r="J509" t="inlineStr">
        <is>
          <t>36200</t>
        </is>
      </c>
      <c r="K509" t="inlineStr">
        <is>
          <t>Argenton-sur-Creuse</t>
        </is>
      </c>
      <c r="L509" t="inlineStr">
        <is>
          <t>02 54 01 09 00</t>
        </is>
      </c>
      <c r="M509" s="4" t="inlineStr">
        <is>
          <t>info@cc-valleedelacreuse.fr</t>
        </is>
      </c>
      <c r="N509" s="4" t="inlineStr">
        <is>
          <t>https://lavalleedelacreuse.fr/</t>
        </is>
      </c>
      <c r="O509" s="4" t="inlineStr">
        <is>
          <t>https://lavalleedelacreuse.fr/vivre/contact/</t>
        </is>
      </c>
      <c r="P509" s="4" t="inlineStr">
        <is>
          <t>https://lannuaire.service-public.gouv.fr/centre-val-de-loire/indre/1c6e3600-c126-41c5-b417-bdc62a0f3de5</t>
        </is>
      </c>
      <c r="Q509" t="inlineStr">
        <is>
          <t>Annuaire Service-public.fr</t>
        </is>
      </c>
      <c r="R509" t="inlineStr"/>
      <c r="S509" t="inlineStr"/>
      <c r="T509" t="inlineStr"/>
    </row>
    <row r="510">
      <c r="A510" t="inlineStr">
        <is>
          <t>CC Autour de Chenonceaux Bléré-Val de Cher</t>
        </is>
      </c>
      <c r="B510" t="inlineStr">
        <is>
          <t>Communauté de communes</t>
        </is>
      </c>
      <c r="C510" t="inlineStr">
        <is>
          <t>243700820</t>
        </is>
      </c>
      <c r="D510" t="inlineStr">
        <is>
          <t>37</t>
        </is>
      </c>
      <c r="E510" t="inlineStr">
        <is>
          <t>Indre-et-Loire</t>
        </is>
      </c>
      <c r="F510" t="inlineStr">
        <is>
          <t>Centre-Val de Loire</t>
        </is>
      </c>
      <c r="G510" s="3" t="n">
        <v>21948</v>
      </c>
      <c r="H510" t="n">
        <v>15</v>
      </c>
      <c r="I510" t="inlineStr">
        <is>
          <t>39 rue Gambetta</t>
        </is>
      </c>
      <c r="J510" t="inlineStr">
        <is>
          <t>37150</t>
        </is>
      </c>
      <c r="K510" t="inlineStr">
        <is>
          <t>Bléré</t>
        </is>
      </c>
      <c r="L510" t="inlineStr">
        <is>
          <t>02 47 23 58 63</t>
        </is>
      </c>
      <c r="M510" s="4" t="inlineStr">
        <is>
          <t>info@cc-autourdechenonceaux.fr</t>
        </is>
      </c>
      <c r="N510" s="4" t="inlineStr">
        <is>
          <t>https://www.cc-autourdechenonceaux.fr/</t>
        </is>
      </c>
      <c r="O510" s="4" t="inlineStr">
        <is>
          <t>https://www.cc-autourdechenonceaux.fr/non-classe/formulaire-de-contact/</t>
        </is>
      </c>
      <c r="P510" s="4" t="inlineStr">
        <is>
          <t>https://lannuaire.service-public.gouv.fr/centre-val-de-loire/indre-et-loire/eb1a1b5a-6a23-47d1-a8fe-de23b56ed687</t>
        </is>
      </c>
      <c r="Q510" t="inlineStr">
        <is>
          <t>Annuaire Service-public.fr</t>
        </is>
      </c>
      <c r="R510" t="inlineStr"/>
      <c r="S510" t="inlineStr"/>
      <c r="T510" t="inlineStr"/>
    </row>
    <row r="511">
      <c r="A511" t="inlineStr">
        <is>
          <t>CC Chinon, Vienne et Loire</t>
        </is>
      </c>
      <c r="B511" t="inlineStr">
        <is>
          <t>Communauté de communes</t>
        </is>
      </c>
      <c r="C511" t="inlineStr">
        <is>
          <t>200043081</t>
        </is>
      </c>
      <c r="D511" t="inlineStr">
        <is>
          <t>37</t>
        </is>
      </c>
      <c r="E511" t="inlineStr">
        <is>
          <t>Indre-et-Loire</t>
        </is>
      </c>
      <c r="F511" t="inlineStr">
        <is>
          <t>Centre-Val de Loire</t>
        </is>
      </c>
      <c r="G511" s="3" t="n">
        <v>23735</v>
      </c>
      <c r="H511" t="n">
        <v>19</v>
      </c>
      <c r="I511" t="inlineStr">
        <is>
          <t>32 rue Marcel-Vignaud</t>
        </is>
      </c>
      <c r="J511" t="inlineStr">
        <is>
          <t>37420</t>
        </is>
      </c>
      <c r="K511" t="inlineStr">
        <is>
          <t>Avoine</t>
        </is>
      </c>
      <c r="L511" t="inlineStr">
        <is>
          <t>02 47 93 78 78</t>
        </is>
      </c>
      <c r="M511" s="4" t="inlineStr">
        <is>
          <t>communication@cc-cvl.fr</t>
        </is>
      </c>
      <c r="N511" s="4" t="inlineStr">
        <is>
          <t>https://www.chinon-vienne-loire.fr/</t>
        </is>
      </c>
      <c r="O511" t="inlineStr"/>
      <c r="P511" s="4" t="inlineStr">
        <is>
          <t>https://lannuaire.service-public.gouv.fr/centre-val-de-loire/indre-et-loire/a36af3ad-32b3-4010-80a7-0ce69675aef9</t>
        </is>
      </c>
      <c r="Q511" t="inlineStr">
        <is>
          <t>Annuaire Service-public.fr</t>
        </is>
      </c>
      <c r="R511" t="inlineStr"/>
      <c r="S511" t="inlineStr"/>
      <c r="T511" t="inlineStr"/>
    </row>
    <row r="512">
      <c r="A512" t="inlineStr">
        <is>
          <t>CC Loches Sud Touraine</t>
        </is>
      </c>
      <c r="B512" t="inlineStr">
        <is>
          <t>Communauté de communes</t>
        </is>
      </c>
      <c r="C512" t="inlineStr">
        <is>
          <t>200071587</t>
        </is>
      </c>
      <c r="D512" t="inlineStr">
        <is>
          <t>37</t>
        </is>
      </c>
      <c r="E512" t="inlineStr">
        <is>
          <t>Indre-et-Loire</t>
        </is>
      </c>
      <c r="F512" t="inlineStr">
        <is>
          <t>Centre-Val de Loire</t>
        </is>
      </c>
      <c r="G512" s="3" t="n">
        <v>50822</v>
      </c>
      <c r="H512" t="n">
        <v>67</v>
      </c>
      <c r="I512" t="inlineStr">
        <is>
          <t>12 avenue de la Liberté</t>
        </is>
      </c>
      <c r="J512" t="inlineStr">
        <is>
          <t>37600</t>
        </is>
      </c>
      <c r="K512" t="inlineStr">
        <is>
          <t>Loches</t>
        </is>
      </c>
      <c r="L512" t="inlineStr">
        <is>
          <t>02 47 91 19 20</t>
        </is>
      </c>
      <c r="M512" s="4" t="inlineStr">
        <is>
          <t>accueil@lochessudtouraine.com</t>
        </is>
      </c>
      <c r="N512" s="4" t="inlineStr">
        <is>
          <t>https://www.lochessudtouraine.com/</t>
        </is>
      </c>
      <c r="O512" t="inlineStr"/>
      <c r="P512" s="4" t="inlineStr">
        <is>
          <t>https://lannuaire.service-public.gouv.fr/centre-val-de-loire/indre-et-loire/1a0a6d88-b4f2-4f16-b2b5-2c69934e06d5</t>
        </is>
      </c>
      <c r="Q512" t="inlineStr">
        <is>
          <t>Annuaire Service-public.fr</t>
        </is>
      </c>
      <c r="R512" t="inlineStr"/>
      <c r="S512" t="inlineStr"/>
      <c r="T512" t="inlineStr"/>
    </row>
    <row r="513">
      <c r="A513" t="inlineStr">
        <is>
          <t>CC Touraine Ouest Val de Loire</t>
        </is>
      </c>
      <c r="B513" t="inlineStr">
        <is>
          <t>Communauté de communes</t>
        </is>
      </c>
      <c r="C513" t="inlineStr">
        <is>
          <t>200072981</t>
        </is>
      </c>
      <c r="D513" t="inlineStr">
        <is>
          <t>37</t>
        </is>
      </c>
      <c r="E513" t="inlineStr">
        <is>
          <t>Indre-et-Loire</t>
        </is>
      </c>
      <c r="F513" t="inlineStr">
        <is>
          <t>Centre-Val de Loire</t>
        </is>
      </c>
      <c r="G513" s="3" t="n">
        <v>33284</v>
      </c>
      <c r="H513" t="n">
        <v>28</v>
      </c>
      <c r="I513" t="inlineStr">
        <is>
          <t>2 rue des Sablons</t>
        </is>
      </c>
      <c r="J513" t="inlineStr">
        <is>
          <t>37340</t>
        </is>
      </c>
      <c r="K513" t="inlineStr">
        <is>
          <t>Cléré-les-Pins</t>
        </is>
      </c>
      <c r="L513" t="inlineStr">
        <is>
          <t>02 47 24 06 32</t>
        </is>
      </c>
      <c r="M513" s="4" t="inlineStr">
        <is>
          <t>contact@cctoval.fr</t>
        </is>
      </c>
      <c r="N513" s="4" t="inlineStr">
        <is>
          <t>https://cctoval.fr/</t>
        </is>
      </c>
      <c r="O513" s="4" t="inlineStr">
        <is>
          <t>https://cctoval.fr/nous-ecrire/</t>
        </is>
      </c>
      <c r="P513" s="4" t="inlineStr">
        <is>
          <t>https://lannuaire.service-public.gouv.fr/centre-val-de-loire/indre-et-loire/8ee26224-c2bd-4c0a-ad3d-2586841e2fa1</t>
        </is>
      </c>
      <c r="Q513" t="inlineStr">
        <is>
          <t>Annuaire Service-public.fr</t>
        </is>
      </c>
      <c r="R513" t="inlineStr"/>
      <c r="S513" t="inlineStr"/>
      <c r="T513" t="inlineStr"/>
    </row>
    <row r="514">
      <c r="A514" t="inlineStr">
        <is>
          <t>CC Touraine Val de Vienne</t>
        </is>
      </c>
      <c r="B514" t="inlineStr">
        <is>
          <t>Communauté de communes</t>
        </is>
      </c>
      <c r="C514" t="inlineStr">
        <is>
          <t>200072668</t>
        </is>
      </c>
      <c r="D514" t="inlineStr">
        <is>
          <t>37</t>
        </is>
      </c>
      <c r="E514" t="inlineStr">
        <is>
          <t>Indre-et-Loire</t>
        </is>
      </c>
      <c r="F514" t="inlineStr">
        <is>
          <t>Centre-Val de Loire</t>
        </is>
      </c>
      <c r="G514" s="3" t="n">
        <v>24681</v>
      </c>
      <c r="H514" t="n">
        <v>40</v>
      </c>
      <c r="I514" t="inlineStr">
        <is>
          <t>14 route de Chinon</t>
        </is>
      </c>
      <c r="J514" t="inlineStr">
        <is>
          <t>37220</t>
        </is>
      </c>
      <c r="K514" t="inlineStr">
        <is>
          <t>Panzoult</t>
        </is>
      </c>
      <c r="L514" t="inlineStr">
        <is>
          <t>02 47 97 03 26</t>
        </is>
      </c>
      <c r="M514" s="4" t="inlineStr">
        <is>
          <t>contact@cc-tvv.fr</t>
        </is>
      </c>
      <c r="N514" s="4" t="inlineStr">
        <is>
          <t>https://www.cc-tvv.fr/</t>
        </is>
      </c>
      <c r="O514" t="inlineStr"/>
      <c r="P514" s="4" t="inlineStr">
        <is>
          <t>https://lannuaire.service-public.gouv.fr/centre-val-de-loire/indre-et-loire/788ff095-f031-4dde-84bb-aec870f45f34</t>
        </is>
      </c>
      <c r="Q514" t="inlineStr">
        <is>
          <t>Annuaire Service-public.fr</t>
        </is>
      </c>
      <c r="R514" t="inlineStr"/>
      <c r="S514" t="inlineStr"/>
      <c r="T514" t="inlineStr"/>
    </row>
    <row r="515">
      <c r="A515" t="inlineStr">
        <is>
          <t>CC Touraine Vallée de l'Indre</t>
        </is>
      </c>
      <c r="B515" t="inlineStr">
        <is>
          <t>Communauté de communes</t>
        </is>
      </c>
      <c r="C515" t="inlineStr">
        <is>
          <t>200072650</t>
        </is>
      </c>
      <c r="D515" t="inlineStr">
        <is>
          <t>37</t>
        </is>
      </c>
      <c r="E515" t="inlineStr">
        <is>
          <t>Indre-et-Loire</t>
        </is>
      </c>
      <c r="F515" t="inlineStr">
        <is>
          <t>Centre-Val de Loire</t>
        </is>
      </c>
      <c r="G515" s="3" t="n">
        <v>54651</v>
      </c>
      <c r="H515" t="n">
        <v>22</v>
      </c>
      <c r="I515" t="inlineStr">
        <is>
          <t>6 place Antoine-de-Saint-Exupéry</t>
        </is>
      </c>
      <c r="J515" t="inlineStr">
        <is>
          <t>37250</t>
        </is>
      </c>
      <c r="K515" t="inlineStr">
        <is>
          <t>Sorigny</t>
        </is>
      </c>
      <c r="L515" t="inlineStr">
        <is>
          <t>02 47 34 29 00</t>
        </is>
      </c>
      <c r="M515" s="4" t="inlineStr">
        <is>
          <t>contact@tourainevalleedelindre.fr</t>
        </is>
      </c>
      <c r="N515" s="4" t="inlineStr">
        <is>
          <t>https://www.tourainevalleedelindre.fr</t>
        </is>
      </c>
      <c r="O515" s="4" t="inlineStr">
        <is>
          <t>https://tourainevalleedelindre.fr/entre-vous-et-nous/contact/</t>
        </is>
      </c>
      <c r="P515" s="4" t="inlineStr">
        <is>
          <t>https://lannuaire.service-public.gouv.fr/centre-val-de-loire/indre-et-loire/f5a5f10f-f4f1-47ee-8150-98f5460db5a3</t>
        </is>
      </c>
      <c r="Q515" t="inlineStr">
        <is>
          <t>Annuaire Service-public.fr</t>
        </is>
      </c>
      <c r="R515" t="inlineStr"/>
      <c r="S515" t="inlineStr"/>
      <c r="T515" t="inlineStr"/>
    </row>
    <row r="516">
      <c r="A516" t="inlineStr">
        <is>
          <t>CC Touraine-Est Vallées</t>
        </is>
      </c>
      <c r="B516" t="inlineStr">
        <is>
          <t>Communauté de communes</t>
        </is>
      </c>
      <c r="C516" t="inlineStr">
        <is>
          <t>200073161</t>
        </is>
      </c>
      <c r="D516" t="inlineStr">
        <is>
          <t>37</t>
        </is>
      </c>
      <c r="E516" t="inlineStr">
        <is>
          <t>Indre-et-Loire</t>
        </is>
      </c>
      <c r="F516" t="inlineStr">
        <is>
          <t>Centre-Val de Loire</t>
        </is>
      </c>
      <c r="G516" s="3" t="n">
        <v>41162</v>
      </c>
      <c r="H516" t="n">
        <v>10</v>
      </c>
      <c r="I516" t="inlineStr">
        <is>
          <t>48 rue de la Frelonnerie</t>
        </is>
      </c>
      <c r="J516" t="inlineStr">
        <is>
          <t>37270</t>
        </is>
      </c>
      <c r="K516" t="inlineStr">
        <is>
          <t>Montlouis-sur-Loire</t>
        </is>
      </c>
      <c r="L516" t="inlineStr">
        <is>
          <t>02 47 50 80 94</t>
        </is>
      </c>
      <c r="M516" s="4" t="inlineStr">
        <is>
          <t>contact@touraineestvallees.fr</t>
        </is>
      </c>
      <c r="N516" s="4" t="inlineStr">
        <is>
          <t>https://www.touraineestvallees.fr/</t>
        </is>
      </c>
      <c r="O516" t="inlineStr"/>
      <c r="P516" s="4" t="inlineStr">
        <is>
          <t>https://lannuaire.service-public.gouv.fr/centre-val-de-loire/indre-et-loire/130842cd-8f92-44ba-b451-f6fbcfe7037d</t>
        </is>
      </c>
      <c r="Q516" t="inlineStr">
        <is>
          <t>Annuaire Service-public.fr</t>
        </is>
      </c>
      <c r="R516" t="inlineStr"/>
      <c r="S516" t="inlineStr"/>
      <c r="T516" t="inlineStr"/>
    </row>
    <row r="517">
      <c r="A517" t="inlineStr">
        <is>
          <t>CC de Gâtine-Racan</t>
        </is>
      </c>
      <c r="B517" t="inlineStr">
        <is>
          <t>Communauté de communes</t>
        </is>
      </c>
      <c r="C517" t="inlineStr">
        <is>
          <t>200073237</t>
        </is>
      </c>
      <c r="D517" t="inlineStr">
        <is>
          <t>37</t>
        </is>
      </c>
      <c r="E517" t="inlineStr">
        <is>
          <t>Indre-et-Loire</t>
        </is>
      </c>
      <c r="F517" t="inlineStr">
        <is>
          <t>Centre-Val de Loire</t>
        </is>
      </c>
      <c r="G517" s="3" t="n">
        <v>22444</v>
      </c>
      <c r="H517" t="n">
        <v>19</v>
      </c>
      <c r="I517" t="inlineStr">
        <is>
          <t>6 rue du Chêne-Baudet</t>
        </is>
      </c>
      <c r="J517" t="inlineStr">
        <is>
          <t>37360</t>
        </is>
      </c>
      <c r="K517" t="inlineStr">
        <is>
          <t>Saint-Antoine-du-Rocher</t>
        </is>
      </c>
      <c r="L517" t="inlineStr">
        <is>
          <t>02 47 29 81 00</t>
        </is>
      </c>
      <c r="M517" s="4" t="inlineStr">
        <is>
          <t>accueil@gatine-racan.fr</t>
        </is>
      </c>
      <c r="N517" s="4" t="inlineStr">
        <is>
          <t>https://www.gatine-racan.fr/</t>
        </is>
      </c>
      <c r="O517" s="4" t="inlineStr">
        <is>
          <t>https://www.gatine-racan.fr/contact/</t>
        </is>
      </c>
      <c r="P517" s="4" t="inlineStr">
        <is>
          <t>https://lannuaire.service-public.gouv.fr/centre-val-de-loire/indre-et-loire/71f09065-1991-4510-ae71-2da9c9a4d665</t>
        </is>
      </c>
      <c r="Q517" t="inlineStr">
        <is>
          <t>Annuaire Service-public.fr</t>
        </is>
      </c>
      <c r="R517" t="inlineStr"/>
      <c r="S517" t="inlineStr"/>
      <c r="T517" t="inlineStr"/>
    </row>
    <row r="518">
      <c r="A518" t="inlineStr">
        <is>
          <t>CC du Castelrenaudais</t>
        </is>
      </c>
      <c r="B518" t="inlineStr">
        <is>
          <t>Communauté de communes</t>
        </is>
      </c>
      <c r="C518" t="inlineStr">
        <is>
          <t>243700499</t>
        </is>
      </c>
      <c r="D518" t="inlineStr">
        <is>
          <t>37</t>
        </is>
      </c>
      <c r="E518" t="inlineStr">
        <is>
          <t>Indre-et-Loire</t>
        </is>
      </c>
      <c r="F518" t="inlineStr">
        <is>
          <t>Centre-Val de Loire</t>
        </is>
      </c>
      <c r="G518" s="3" t="n">
        <v>16011</v>
      </c>
      <c r="H518" t="n">
        <v>16</v>
      </c>
      <c r="I518" t="inlineStr">
        <is>
          <t>5 rue du Four-Brûlé</t>
        </is>
      </c>
      <c r="J518" t="inlineStr">
        <is>
          <t>37110</t>
        </is>
      </c>
      <c r="K518" t="inlineStr">
        <is>
          <t>Château-Renault</t>
        </is>
      </c>
      <c r="L518" t="inlineStr">
        <is>
          <t>02 47 29 57 40</t>
        </is>
      </c>
      <c r="M518" s="4" t="inlineStr">
        <is>
          <t>contact@cc-castelrenaudais.fr</t>
        </is>
      </c>
      <c r="N518" s="4" t="inlineStr">
        <is>
          <t>https://www.cc-castelrenaudais.fr/</t>
        </is>
      </c>
      <c r="O518" s="4" t="inlineStr">
        <is>
          <t>https://www.cc-castelrenaudais.fr/nous-contacter/</t>
        </is>
      </c>
      <c r="P518" s="4" t="inlineStr">
        <is>
          <t>https://lannuaire.service-public.gouv.fr/centre-val-de-loire/indre-et-loire/b581007e-68f1-4caa-b3da-40d112762f85</t>
        </is>
      </c>
      <c r="Q518" t="inlineStr">
        <is>
          <t>Annuaire Service-public.fr</t>
        </is>
      </c>
      <c r="R518" t="inlineStr"/>
      <c r="S518" t="inlineStr"/>
      <c r="T518" t="inlineStr"/>
    </row>
    <row r="519">
      <c r="A519" t="inlineStr">
        <is>
          <t>CC du Val d'Amboise</t>
        </is>
      </c>
      <c r="B519" t="inlineStr">
        <is>
          <t>Communauté de communes</t>
        </is>
      </c>
      <c r="C519" t="inlineStr">
        <is>
          <t>200043065</t>
        </is>
      </c>
      <c r="D519" t="inlineStr">
        <is>
          <t>37</t>
        </is>
      </c>
      <c r="E519" t="inlineStr">
        <is>
          <t>Indre-et-Loire</t>
        </is>
      </c>
      <c r="F519" t="inlineStr">
        <is>
          <t>Centre-Val de Loire</t>
        </is>
      </c>
      <c r="G519" s="3" t="n">
        <v>28569</v>
      </c>
      <c r="H519" t="n">
        <v>14</v>
      </c>
      <c r="I519" t="inlineStr">
        <is>
          <t>9 bis rue d'Amboise</t>
        </is>
      </c>
      <c r="J519" t="inlineStr">
        <is>
          <t>37530</t>
        </is>
      </c>
      <c r="K519" t="inlineStr">
        <is>
          <t>Nazelles-Négron</t>
        </is>
      </c>
      <c r="L519" t="inlineStr">
        <is>
          <t>02 47 23 47 44</t>
        </is>
      </c>
      <c r="M519" s="4" t="inlineStr">
        <is>
          <t>accueil@cc-valdamboise.fr</t>
        </is>
      </c>
      <c r="N519" s="4" t="inlineStr">
        <is>
          <t>http://www.cc-valdamboise.fr</t>
        </is>
      </c>
      <c r="O519" t="inlineStr"/>
      <c r="P519" s="4" t="inlineStr">
        <is>
          <t>https://lannuaire.service-public.gouv.fr/centre-val-de-loire/indre-et-loire/06eced13-422f-4cd5-b815-3565870eefec</t>
        </is>
      </c>
      <c r="Q519" t="inlineStr">
        <is>
          <t>Annuaire Service-public.fr</t>
        </is>
      </c>
      <c r="R519" t="inlineStr"/>
      <c r="S519" t="inlineStr"/>
      <c r="T519" t="inlineStr"/>
    </row>
    <row r="520">
      <c r="A520" t="inlineStr">
        <is>
          <t>Tours Métropole Val de Loire</t>
        </is>
      </c>
      <c r="B520" t="inlineStr">
        <is>
          <t>Métropole</t>
        </is>
      </c>
      <c r="C520" t="inlineStr">
        <is>
          <t>243700754</t>
        </is>
      </c>
      <c r="D520" t="inlineStr">
        <is>
          <t>37</t>
        </is>
      </c>
      <c r="E520" t="inlineStr">
        <is>
          <t>Indre-et-Loire</t>
        </is>
      </c>
      <c r="F520" t="inlineStr">
        <is>
          <t>Centre-Val de Loire</t>
        </is>
      </c>
      <c r="G520" s="3" t="n">
        <v>299019</v>
      </c>
      <c r="H520" t="n">
        <v>22</v>
      </c>
      <c r="I520" t="inlineStr">
        <is>
          <t>60 avenue Marcel-Dassault</t>
        </is>
      </c>
      <c r="J520" t="inlineStr">
        <is>
          <t>37206</t>
        </is>
      </c>
      <c r="K520" t="inlineStr">
        <is>
          <t>Tours</t>
        </is>
      </c>
      <c r="L520" t="inlineStr">
        <is>
          <t>02 47 80 11 11</t>
        </is>
      </c>
      <c r="M520" s="4" t="inlineStr">
        <is>
          <t>communication@tours-metropole.fr</t>
        </is>
      </c>
      <c r="N520" s="4" t="inlineStr">
        <is>
          <t>https://www.tours-metropole.fr/</t>
        </is>
      </c>
      <c r="O520" s="4" t="inlineStr">
        <is>
          <t>https://www.tours-metropole.fr/formulaire-de-contact</t>
        </is>
      </c>
      <c r="P520" s="4" t="inlineStr">
        <is>
          <t>https://lannuaire.service-public.gouv.fr/centre-val-de-loire/indre-et-loire/b6a8d424-7c48-4e0e-aa0e-ce5e8e3c9c35</t>
        </is>
      </c>
      <c r="Q520" t="inlineStr">
        <is>
          <t>Annuaire Service-public.fr</t>
        </is>
      </c>
      <c r="R520" t="inlineStr"/>
      <c r="S520" t="inlineStr"/>
      <c r="T520" t="inlineStr"/>
    </row>
    <row r="521">
      <c r="A521" t="inlineStr">
        <is>
          <t>CA Porte de l'Isère (CAPI)</t>
        </is>
      </c>
      <c r="B521" t="inlineStr">
        <is>
          <t>Communauté d’agglomération</t>
        </is>
      </c>
      <c r="C521" t="inlineStr">
        <is>
          <t>243800604</t>
        </is>
      </c>
      <c r="D521" t="inlineStr">
        <is>
          <t>38</t>
        </is>
      </c>
      <c r="E521" t="inlineStr">
        <is>
          <t>Isère</t>
        </is>
      </c>
      <c r="F521" t="inlineStr">
        <is>
          <t>Auvergne-Rhône-Alpes</t>
        </is>
      </c>
      <c r="G521" s="3" t="n">
        <v>111450</v>
      </c>
      <c r="H521" t="n">
        <v>22</v>
      </c>
      <c r="I521" t="inlineStr">
        <is>
          <t>17 avenue du Bourg, BP 592</t>
        </is>
      </c>
      <c r="J521" t="inlineStr">
        <is>
          <t>38081</t>
        </is>
      </c>
      <c r="K521" t="inlineStr">
        <is>
          <t>L'Isle-d'Abeau Cedex</t>
        </is>
      </c>
      <c r="L521" t="inlineStr">
        <is>
          <t>04 74 27 28 00</t>
        </is>
      </c>
      <c r="M521" s="4" t="inlineStr">
        <is>
          <t>capi@capi38.fr</t>
        </is>
      </c>
      <c r="N521" s="4" t="inlineStr">
        <is>
          <t>https://capi-agglo.fr/</t>
        </is>
      </c>
      <c r="O521" s="4" t="inlineStr">
        <is>
          <t>https://capi-agglo.fr/nous-contacter/</t>
        </is>
      </c>
      <c r="P521" s="4" t="inlineStr">
        <is>
          <t>https://lannuaire.service-public.gouv.fr/auvergne-rhone-alpes/isere/bb1045cd-6eb2-4af1-ad91-d564e0ed2450</t>
        </is>
      </c>
      <c r="Q521" t="inlineStr">
        <is>
          <t>Annuaire Service-public.fr</t>
        </is>
      </c>
      <c r="R521" t="inlineStr"/>
      <c r="S521" t="inlineStr"/>
      <c r="T521" t="inlineStr"/>
    </row>
    <row r="522">
      <c r="A522" t="inlineStr">
        <is>
          <t>CA du Pays Voironnais</t>
        </is>
      </c>
      <c r="B522" t="inlineStr">
        <is>
          <t>Communauté d’agglomération</t>
        </is>
      </c>
      <c r="C522" t="inlineStr">
        <is>
          <t>243800984</t>
        </is>
      </c>
      <c r="D522" t="inlineStr">
        <is>
          <t>38</t>
        </is>
      </c>
      <c r="E522" t="inlineStr">
        <is>
          <t>Isère</t>
        </is>
      </c>
      <c r="F522" t="inlineStr">
        <is>
          <t>Auvergne-Rhône-Alpes</t>
        </is>
      </c>
      <c r="G522" s="3" t="n">
        <v>96688</v>
      </c>
      <c r="H522" t="n">
        <v>31</v>
      </c>
      <c r="I522" t="inlineStr">
        <is>
          <t>40 rue Mainssieux</t>
        </is>
      </c>
      <c r="J522" t="inlineStr">
        <is>
          <t>38500</t>
        </is>
      </c>
      <c r="K522" t="inlineStr">
        <is>
          <t>Voiron</t>
        </is>
      </c>
      <c r="L522" t="inlineStr">
        <is>
          <t>04 76 93 17 71</t>
        </is>
      </c>
      <c r="M522" s="4" t="inlineStr">
        <is>
          <t>info@paysvoironnais.com</t>
        </is>
      </c>
      <c r="N522" s="4" t="inlineStr">
        <is>
          <t>https://www.paysvoironnais.com/</t>
        </is>
      </c>
      <c r="O522" s="4" t="inlineStr">
        <is>
          <t>https://www.paysvoironnais.com/contact-9.html</t>
        </is>
      </c>
      <c r="P522" s="4" t="inlineStr">
        <is>
          <t>https://lannuaire.service-public.gouv.fr/auvergne-rhone-alpes/isere/226eb39d-4b47-48c8-83e2-5921c2e2f162</t>
        </is>
      </c>
      <c r="Q522" t="inlineStr">
        <is>
          <t>Annuaire Service-public.fr</t>
        </is>
      </c>
      <c r="R522" t="inlineStr"/>
      <c r="S522" t="inlineStr"/>
      <c r="T522" t="inlineStr"/>
    </row>
    <row r="523">
      <c r="A523" t="inlineStr">
        <is>
          <t>CC Bièvre Isère</t>
        </is>
      </c>
      <c r="B523" t="inlineStr">
        <is>
          <t>Communauté de communes</t>
        </is>
      </c>
      <c r="C523" t="inlineStr">
        <is>
          <t>200059392</t>
        </is>
      </c>
      <c r="D523" t="inlineStr">
        <is>
          <t>38</t>
        </is>
      </c>
      <c r="E523" t="inlineStr">
        <is>
          <t>Isère</t>
        </is>
      </c>
      <c r="F523" t="inlineStr">
        <is>
          <t>Auvergne-Rhône-Alpes</t>
        </is>
      </c>
      <c r="G523" s="3" t="n">
        <v>56117</v>
      </c>
      <c r="H523" t="n">
        <v>50</v>
      </c>
      <c r="I523" t="inlineStr">
        <is>
          <t>1 avenue Roland-Garros, ZAC Grenoble-Air-Parc</t>
        </is>
      </c>
      <c r="J523" t="inlineStr">
        <is>
          <t>38590</t>
        </is>
      </c>
      <c r="K523" t="inlineStr">
        <is>
          <t>Saint-Étienne-de-Saint-Geoirs</t>
        </is>
      </c>
      <c r="L523" t="inlineStr">
        <is>
          <t>04 76 93 51 46</t>
        </is>
      </c>
      <c r="M523" s="4" t="inlineStr">
        <is>
          <t>contact@bievre-isere.com</t>
        </is>
      </c>
      <c r="N523" s="4" t="inlineStr">
        <is>
          <t>https://bievre-isere.com/</t>
        </is>
      </c>
      <c r="O523" s="4" t="inlineStr">
        <is>
          <t>https://bievre-isere.com/institution/organisation/adresse-et-coordonnees/</t>
        </is>
      </c>
      <c r="P523" s="4" t="inlineStr">
        <is>
          <t>https://lannuaire.service-public.gouv.fr/auvergne-rhone-alpes/isere/8d191f1a-6a6c-460a-9f7b-c25daa2bd115</t>
        </is>
      </c>
      <c r="Q523" t="inlineStr">
        <is>
          <t>Annuaire Service-public.fr</t>
        </is>
      </c>
      <c r="R523" t="inlineStr"/>
      <c r="S523" t="inlineStr"/>
      <c r="T523" t="inlineStr"/>
    </row>
    <row r="524">
      <c r="A524" t="inlineStr">
        <is>
          <t>CC Collines Isère Nord Communauté</t>
        </is>
      </c>
      <c r="B524" t="inlineStr">
        <is>
          <t>Communauté de communes</t>
        </is>
      </c>
      <c r="C524" t="inlineStr">
        <is>
          <t>243801255</t>
        </is>
      </c>
      <c r="D524" t="inlineStr">
        <is>
          <t>38</t>
        </is>
      </c>
      <c r="E524" t="inlineStr">
        <is>
          <t>Isère</t>
        </is>
      </c>
      <c r="F524" t="inlineStr">
        <is>
          <t>Auvergne-Rhône-Alpes</t>
        </is>
      </c>
      <c r="G524" s="3" t="n">
        <v>25455</v>
      </c>
      <c r="H524" t="n">
        <v>10</v>
      </c>
      <c r="I524" t="inlineStr">
        <is>
          <t>316 rue du Colombier</t>
        </is>
      </c>
      <c r="J524" t="inlineStr">
        <is>
          <t>38540</t>
        </is>
      </c>
      <c r="K524" t="inlineStr">
        <is>
          <t>Heyrieux</t>
        </is>
      </c>
      <c r="L524" t="inlineStr">
        <is>
          <t>04 72 48 19 89</t>
        </is>
      </c>
      <c r="M524" s="4" t="inlineStr">
        <is>
          <t>communaute@collines.org</t>
        </is>
      </c>
      <c r="N524" s="4" t="inlineStr">
        <is>
          <t>https://www.collines.org/</t>
        </is>
      </c>
      <c r="O524" t="inlineStr"/>
      <c r="P524" s="4" t="inlineStr">
        <is>
          <t>https://lannuaire.service-public.gouv.fr/auvergne-rhone-alpes/isere/9178dd69-1a83-4232-9400-d3fe812bea02</t>
        </is>
      </c>
      <c r="Q524" t="inlineStr">
        <is>
          <t>Annuaire Service-public.fr</t>
        </is>
      </c>
      <c r="R524" t="inlineStr"/>
      <c r="S524" t="inlineStr"/>
      <c r="T524" t="inlineStr"/>
    </row>
    <row r="525">
      <c r="A525" t="inlineStr">
        <is>
          <t>CC Entre Bièvre et Rhône</t>
        </is>
      </c>
      <c r="B525" t="inlineStr">
        <is>
          <t>Communauté de communes</t>
        </is>
      </c>
      <c r="C525" t="inlineStr">
        <is>
          <t>200085751</t>
        </is>
      </c>
      <c r="D525" t="inlineStr">
        <is>
          <t>38</t>
        </is>
      </c>
      <c r="E525" t="inlineStr">
        <is>
          <t>Isère</t>
        </is>
      </c>
      <c r="F525" t="inlineStr">
        <is>
          <t>Auvergne-Rhône-Alpes</t>
        </is>
      </c>
      <c r="G525" s="3" t="n">
        <v>69968</v>
      </c>
      <c r="H525" t="n">
        <v>37</v>
      </c>
      <c r="I525" t="inlineStr">
        <is>
          <t>Rue du 19-Mars-1962</t>
        </is>
      </c>
      <c r="J525" t="inlineStr">
        <is>
          <t>38550</t>
        </is>
      </c>
      <c r="K525" t="inlineStr">
        <is>
          <t>Saint-Maurice-l'Exil</t>
        </is>
      </c>
      <c r="L525" t="inlineStr">
        <is>
          <t>04 74 29 31 00</t>
        </is>
      </c>
      <c r="M525" s="4" t="inlineStr">
        <is>
          <t>accueil@entre-bievreetrhone.fr</t>
        </is>
      </c>
      <c r="N525" s="4" t="inlineStr">
        <is>
          <t>https://www.entre-bievreetrhone.fr/</t>
        </is>
      </c>
      <c r="O525" s="4" t="inlineStr">
        <is>
          <t>https://www.entre-bievreetrhone.fr/contact</t>
        </is>
      </c>
      <c r="P525" s="4" t="inlineStr">
        <is>
          <t>https://lannuaire.service-public.gouv.fr/auvergne-rhone-alpes/isere/7d889506-69c8-4a9e-b8d8-1fab21b8fa01</t>
        </is>
      </c>
      <c r="Q525" t="inlineStr">
        <is>
          <t>Annuaire Service-public.fr</t>
        </is>
      </c>
      <c r="R525" t="inlineStr"/>
      <c r="S525" t="inlineStr"/>
      <c r="T525" t="inlineStr"/>
    </row>
    <row r="526">
      <c r="A526" t="inlineStr">
        <is>
          <t>CC Le Grésivaudan</t>
        </is>
      </c>
      <c r="B526" t="inlineStr">
        <is>
          <t>Communauté de communes</t>
        </is>
      </c>
      <c r="C526" t="inlineStr">
        <is>
          <t>200018166</t>
        </is>
      </c>
      <c r="D526" t="inlineStr">
        <is>
          <t>38</t>
        </is>
      </c>
      <c r="E526" t="inlineStr">
        <is>
          <t>Isère</t>
        </is>
      </c>
      <c r="F526" t="inlineStr">
        <is>
          <t>Auvergne-Rhône-Alpes</t>
        </is>
      </c>
      <c r="G526" s="3" t="n">
        <v>103196</v>
      </c>
      <c r="H526" t="n">
        <v>43</v>
      </c>
      <c r="I526" t="inlineStr">
        <is>
          <t>390 rue Henri-Fabre</t>
        </is>
      </c>
      <c r="J526" t="inlineStr">
        <is>
          <t>38920</t>
        </is>
      </c>
      <c r="K526" t="inlineStr">
        <is>
          <t>Crolles</t>
        </is>
      </c>
      <c r="L526" t="inlineStr">
        <is>
          <t>04 76 08 04 57</t>
        </is>
      </c>
      <c r="M526" s="4" t="inlineStr">
        <is>
          <t>accueil@le-gresivaudan.fr</t>
        </is>
      </c>
      <c r="N526" s="4" t="inlineStr">
        <is>
          <t>https://www.le-gresivaudan.fr/</t>
        </is>
      </c>
      <c r="O526" s="4" t="inlineStr">
        <is>
          <t>https://www.le-gresivaudan.fr/151-contact.htm</t>
        </is>
      </c>
      <c r="P526" s="4" t="inlineStr">
        <is>
          <t>https://lannuaire.service-public.gouv.fr/auvergne-rhone-alpes/isere/dbe09bdc-9ee1-49f6-a1d8-33e05b917ea7</t>
        </is>
      </c>
      <c r="Q526" t="inlineStr">
        <is>
          <t>Annuaire Service-public.fr</t>
        </is>
      </c>
      <c r="R526" t="inlineStr"/>
      <c r="S526" t="inlineStr"/>
      <c r="T526" t="inlineStr"/>
    </row>
    <row r="527">
      <c r="A527" t="inlineStr">
        <is>
          <t>CC Les Balcons du Dauphiné</t>
        </is>
      </c>
      <c r="B527" t="inlineStr">
        <is>
          <t>Communauté de communes</t>
        </is>
      </c>
      <c r="C527" t="inlineStr">
        <is>
          <t>200068542</t>
        </is>
      </c>
      <c r="D527" t="inlineStr">
        <is>
          <t>38</t>
        </is>
      </c>
      <c r="E527" t="inlineStr">
        <is>
          <t>Isère</t>
        </is>
      </c>
      <c r="F527" t="inlineStr">
        <is>
          <t>Auvergne-Rhône-Alpes</t>
        </is>
      </c>
      <c r="G527" s="3" t="n">
        <v>78705</v>
      </c>
      <c r="H527" t="n">
        <v>47</v>
      </c>
      <c r="I527" t="inlineStr">
        <is>
          <t>100 allée des Charmilles</t>
        </is>
      </c>
      <c r="J527" t="inlineStr">
        <is>
          <t>38510</t>
        </is>
      </c>
      <c r="K527" t="inlineStr">
        <is>
          <t>Arandon-Passins</t>
        </is>
      </c>
      <c r="L527" t="inlineStr">
        <is>
          <t>04 74 80 23 30</t>
        </is>
      </c>
      <c r="M527" s="4" t="inlineStr">
        <is>
          <t>contact@balconsdudauphine.fr</t>
        </is>
      </c>
      <c r="N527" s="4" t="inlineStr">
        <is>
          <t>https://www.balconsdudauphine.fr/</t>
        </is>
      </c>
      <c r="O527" t="inlineStr"/>
      <c r="P527" s="4" t="inlineStr">
        <is>
          <t>https://lannuaire.service-public.gouv.fr/auvergne-rhone-alpes/isere/6903bf3e-ad98-4448-a430-26ed6ee33f84</t>
        </is>
      </c>
      <c r="Q527" t="inlineStr">
        <is>
          <t>Annuaire Service-public.fr</t>
        </is>
      </c>
      <c r="R527" t="inlineStr"/>
      <c r="S527" t="inlineStr"/>
      <c r="T527" t="inlineStr"/>
    </row>
    <row r="528">
      <c r="A528" t="inlineStr">
        <is>
          <t>CC Les Vals du Dauphiné</t>
        </is>
      </c>
      <c r="B528" t="inlineStr">
        <is>
          <t>Communauté de communes</t>
        </is>
      </c>
      <c r="C528" t="inlineStr">
        <is>
          <t>200068567</t>
        </is>
      </c>
      <c r="D528" t="inlineStr">
        <is>
          <t>38</t>
        </is>
      </c>
      <c r="E528" t="inlineStr">
        <is>
          <t>Isère</t>
        </is>
      </c>
      <c r="F528" t="inlineStr">
        <is>
          <t>Auvergne-Rhône-Alpes</t>
        </is>
      </c>
      <c r="G528" s="3" t="n">
        <v>64457</v>
      </c>
      <c r="H528" t="n">
        <v>36</v>
      </c>
      <c r="I528" t="inlineStr">
        <is>
          <t>22 rue de l'Hôtel-de-Ville</t>
        </is>
      </c>
      <c r="J528" t="inlineStr">
        <is>
          <t>38110</t>
        </is>
      </c>
      <c r="K528" t="inlineStr">
        <is>
          <t>La Tour-du-Pin</t>
        </is>
      </c>
      <c r="L528" t="inlineStr">
        <is>
          <t>04 74 97 05 79</t>
        </is>
      </c>
      <c r="M528" s="4" t="inlineStr">
        <is>
          <t>contact@valsdudauphine.fr</t>
        </is>
      </c>
      <c r="N528" s="4" t="inlineStr">
        <is>
          <t>https://www.valsdudauphine.fr/</t>
        </is>
      </c>
      <c r="O528" s="4" t="inlineStr">
        <is>
          <t>https://www.valsdudauphine.fr/pratique/contactez-nous/vous-etes-un-particulier/</t>
        </is>
      </c>
      <c r="P528" s="4" t="inlineStr">
        <is>
          <t>https://lannuaire.service-public.gouv.fr/auvergne-rhone-alpes/isere/32d6414c-1667-41c7-882f-4ab257679a58</t>
        </is>
      </c>
      <c r="Q528" t="inlineStr">
        <is>
          <t>Annuaire Service-public.fr</t>
        </is>
      </c>
      <c r="R528" t="inlineStr"/>
      <c r="S528" t="inlineStr"/>
      <c r="T528" t="inlineStr"/>
    </row>
    <row r="529">
      <c r="A529" t="inlineStr">
        <is>
          <t>CC Lyon-Saint-Exupéry en Dauphiné</t>
        </is>
      </c>
      <c r="B529" t="inlineStr">
        <is>
          <t>Communauté de communes</t>
        </is>
      </c>
      <c r="C529" t="inlineStr">
        <is>
          <t>243800935</t>
        </is>
      </c>
      <c r="D529" t="inlineStr">
        <is>
          <t>38</t>
        </is>
      </c>
      <c r="E529" t="inlineStr">
        <is>
          <t>Isère</t>
        </is>
      </c>
      <c r="F529" t="inlineStr">
        <is>
          <t>Auvergne-Rhône-Alpes</t>
        </is>
      </c>
      <c r="G529" s="3" t="n">
        <v>29944</v>
      </c>
      <c r="H529" t="n">
        <v>6</v>
      </c>
      <c r="I529" t="inlineStr">
        <is>
          <t>4 avenue Alexandre-Grammont</t>
        </is>
      </c>
      <c r="J529" t="inlineStr">
        <is>
          <t>38230</t>
        </is>
      </c>
      <c r="K529" t="inlineStr">
        <is>
          <t>Charvieu-Chavagneux</t>
        </is>
      </c>
      <c r="L529" t="inlineStr">
        <is>
          <t>04 72 46 19 80</t>
        </is>
      </c>
      <c r="M529" s="4" t="inlineStr">
        <is>
          <t>accueil@lysed.fr</t>
        </is>
      </c>
      <c r="N529" s="4" t="inlineStr">
        <is>
          <t>https://www.lysed.fr/</t>
        </is>
      </c>
      <c r="O529" s="4" t="inlineStr">
        <is>
          <t>https://www.lysed.fr/contact/</t>
        </is>
      </c>
      <c r="P529" s="4" t="inlineStr">
        <is>
          <t>https://lannuaire.service-public.gouv.fr/auvergne-rhone-alpes/isere/8fc2a400-0e3c-447b-bb33-02a7ab4b15b2</t>
        </is>
      </c>
      <c r="Q529" t="inlineStr">
        <is>
          <t>Annuaire Service-public.fr</t>
        </is>
      </c>
      <c r="R529" t="inlineStr"/>
      <c r="S529" t="inlineStr"/>
      <c r="T529" t="inlineStr"/>
    </row>
    <row r="530">
      <c r="A530" t="inlineStr">
        <is>
          <t>CC Saint-Marcellin Vercors Isère Communauté</t>
        </is>
      </c>
      <c r="B530" t="inlineStr">
        <is>
          <t>Communauté de communes</t>
        </is>
      </c>
      <c r="C530" t="inlineStr">
        <is>
          <t>200070431</t>
        </is>
      </c>
      <c r="D530" t="inlineStr">
        <is>
          <t>38</t>
        </is>
      </c>
      <c r="E530" t="inlineStr">
        <is>
          <t>Isère</t>
        </is>
      </c>
      <c r="F530" t="inlineStr">
        <is>
          <t>Auvergne-Rhône-Alpes</t>
        </is>
      </c>
      <c r="G530" s="3" t="n">
        <v>45048</v>
      </c>
      <c r="H530" t="n">
        <v>47</v>
      </c>
      <c r="I530" t="inlineStr">
        <is>
          <t>7 rue du Colombier, Maison de l'intercommunalité</t>
        </is>
      </c>
      <c r="J530" t="inlineStr">
        <is>
          <t>38160</t>
        </is>
      </c>
      <c r="K530" t="inlineStr">
        <is>
          <t>Saint-Marcellin</t>
        </is>
      </c>
      <c r="L530" t="inlineStr">
        <is>
          <t>04 76 38 45 48</t>
        </is>
      </c>
      <c r="M530" s="4" t="inlineStr">
        <is>
          <t>secretariat@smvic.fr</t>
        </is>
      </c>
      <c r="N530" s="4" t="inlineStr">
        <is>
          <t>http://www.saintmarcellin-vercors-isere.fr/</t>
        </is>
      </c>
      <c r="O530" s="4" t="inlineStr">
        <is>
          <t>https://saintmarcellin-vercors-isere.fr/index.php?alias=contact</t>
        </is>
      </c>
      <c r="P530" s="4" t="inlineStr">
        <is>
          <t>https://lannuaire.service-public.gouv.fr/auvergne-rhone-alpes/isere/0fd7da40-9088-4adc-9c51-1b1b53519f5e</t>
        </is>
      </c>
      <c r="Q530" t="inlineStr">
        <is>
          <t>Annuaire Service-public.fr</t>
        </is>
      </c>
      <c r="R530" t="inlineStr"/>
      <c r="S530" t="inlineStr"/>
      <c r="T530" t="inlineStr"/>
    </row>
    <row r="531">
      <c r="A531" t="inlineStr">
        <is>
          <t>CC de Bièvre Est</t>
        </is>
      </c>
      <c r="B531" t="inlineStr">
        <is>
          <t>Communauté de communes</t>
        </is>
      </c>
      <c r="C531" t="inlineStr">
        <is>
          <t>243801073</t>
        </is>
      </c>
      <c r="D531" t="inlineStr">
        <is>
          <t>38</t>
        </is>
      </c>
      <c r="E531" t="inlineStr">
        <is>
          <t>Isère</t>
        </is>
      </c>
      <c r="F531" t="inlineStr">
        <is>
          <t>Auvergne-Rhône-Alpes</t>
        </is>
      </c>
      <c r="G531" s="3" t="n">
        <v>23032</v>
      </c>
      <c r="H531" t="n">
        <v>14</v>
      </c>
      <c r="I531" t="inlineStr">
        <is>
          <t>Parc d'activité Bièvre-Dauphine, 1352 rue Augustin-Blanchet</t>
        </is>
      </c>
      <c r="J531" t="inlineStr">
        <is>
          <t>38690</t>
        </is>
      </c>
      <c r="K531" t="inlineStr">
        <is>
          <t>Colombe</t>
        </is>
      </c>
      <c r="L531" t="inlineStr">
        <is>
          <t>04 76 06 10 94</t>
        </is>
      </c>
      <c r="M531" s="4" t="inlineStr">
        <is>
          <t>correspondances@cc-bievre-est.fr</t>
        </is>
      </c>
      <c r="N531" s="4" t="inlineStr">
        <is>
          <t>https://www.bievre-est.fr/</t>
        </is>
      </c>
      <c r="O531" t="inlineStr"/>
      <c r="P531" s="4" t="inlineStr">
        <is>
          <t>https://lannuaire.service-public.gouv.fr/auvergne-rhone-alpes/isere/63efa973-7536-4599-92c2-dcc59341f98c</t>
        </is>
      </c>
      <c r="Q531" t="inlineStr">
        <is>
          <t>Annuaire Service-public.fr</t>
        </is>
      </c>
      <c r="R531" t="inlineStr"/>
      <c r="S531" t="inlineStr"/>
      <c r="T531" t="inlineStr"/>
    </row>
    <row r="532">
      <c r="A532" t="inlineStr">
        <is>
          <t>CC de l'Oisans</t>
        </is>
      </c>
      <c r="B532" t="inlineStr">
        <is>
          <t>Communauté de communes</t>
        </is>
      </c>
      <c r="C532" t="inlineStr">
        <is>
          <t>243800745</t>
        </is>
      </c>
      <c r="D532" t="inlineStr">
        <is>
          <t>38</t>
        </is>
      </c>
      <c r="E532" t="inlineStr">
        <is>
          <t>Isère</t>
        </is>
      </c>
      <c r="F532" t="inlineStr">
        <is>
          <t>Auvergne-Rhône-Alpes</t>
        </is>
      </c>
      <c r="G532" s="3" t="n">
        <v>10172</v>
      </c>
      <c r="H532" t="n">
        <v>19</v>
      </c>
      <c r="I532" t="inlineStr">
        <is>
          <t>1 bis rue Hunbert</t>
        </is>
      </c>
      <c r="J532" t="inlineStr">
        <is>
          <t>38520</t>
        </is>
      </c>
      <c r="K532" t="inlineStr">
        <is>
          <t>Le Bourg d'Oisans</t>
        </is>
      </c>
      <c r="L532" t="inlineStr">
        <is>
          <t>04 76 11 01 09</t>
        </is>
      </c>
      <c r="M532" s="4" t="inlineStr">
        <is>
          <t>accueil@ccoisans.fr</t>
        </is>
      </c>
      <c r="N532" s="4" t="inlineStr">
        <is>
          <t>https://www.ccoisans.fr/</t>
        </is>
      </c>
      <c r="O532" s="4" t="inlineStr">
        <is>
          <t>https://www.ccoisans.fr/contactez-nous/</t>
        </is>
      </c>
      <c r="P532" s="4" t="inlineStr">
        <is>
          <t>https://lannuaire.service-public.gouv.fr/auvergne-rhone-alpes/isere/5a41dab3-1ffe-479b-94a7-17e5b0747d13</t>
        </is>
      </c>
      <c r="Q532" t="inlineStr">
        <is>
          <t>Annuaire Service-public.fr</t>
        </is>
      </c>
      <c r="R532" t="inlineStr"/>
      <c r="S532" t="inlineStr"/>
      <c r="T532" t="inlineStr"/>
    </row>
    <row r="533">
      <c r="A533" t="inlineStr">
        <is>
          <t>CC de la Matheysine</t>
        </is>
      </c>
      <c r="B533" t="inlineStr">
        <is>
          <t>Communauté de communes</t>
        </is>
      </c>
      <c r="C533" t="inlineStr">
        <is>
          <t>200040657</t>
        </is>
      </c>
      <c r="D533" t="inlineStr">
        <is>
          <t>38</t>
        </is>
      </c>
      <c r="E533" t="inlineStr">
        <is>
          <t>Isère</t>
        </is>
      </c>
      <c r="F533" t="inlineStr">
        <is>
          <t>Auvergne-Rhône-Alpes</t>
        </is>
      </c>
      <c r="G533" s="3" t="n">
        <v>19010</v>
      </c>
      <c r="H533" t="n">
        <v>43</v>
      </c>
      <c r="I533" t="inlineStr">
        <is>
          <t>13 route du Terril</t>
        </is>
      </c>
      <c r="J533" t="inlineStr">
        <is>
          <t>38350</t>
        </is>
      </c>
      <c r="K533" t="inlineStr">
        <is>
          <t>Susville</t>
        </is>
      </c>
      <c r="L533" t="inlineStr">
        <is>
          <t>04 76 81 18 24</t>
        </is>
      </c>
      <c r="M533" s="4" t="inlineStr">
        <is>
          <t>contact@ccmatheysine.fr</t>
        </is>
      </c>
      <c r="N533" s="4" t="inlineStr">
        <is>
          <t>https://www.ccmatheysine.fr/web/</t>
        </is>
      </c>
      <c r="O533" s="4" t="inlineStr">
        <is>
          <t>https://www.ccmatheysine.fr/web/acces-rapides/contact/</t>
        </is>
      </c>
      <c r="P533" s="4" t="inlineStr">
        <is>
          <t>https://lannuaire.service-public.gouv.fr/auvergne-rhone-alpes/isere/7c3c3cbb-1640-45bf-8a34-837554a851ec</t>
        </is>
      </c>
      <c r="Q533" t="inlineStr">
        <is>
          <t>Annuaire Service-public.fr</t>
        </is>
      </c>
      <c r="R533" t="inlineStr"/>
      <c r="S533" t="inlineStr"/>
      <c r="T533" t="inlineStr"/>
    </row>
    <row r="534">
      <c r="A534" t="inlineStr">
        <is>
          <t>CC du Massif du Vercors</t>
        </is>
      </c>
      <c r="B534" t="inlineStr">
        <is>
          <t>Communauté de communes</t>
        </is>
      </c>
      <c r="C534" t="inlineStr">
        <is>
          <t>243801024</t>
        </is>
      </c>
      <c r="D534" t="inlineStr">
        <is>
          <t>38</t>
        </is>
      </c>
      <c r="E534" t="inlineStr">
        <is>
          <t>Isère</t>
        </is>
      </c>
      <c r="F534" t="inlineStr">
        <is>
          <t>Auvergne-Rhône-Alpes</t>
        </is>
      </c>
      <c r="G534" s="3" t="n">
        <v>11997</v>
      </c>
      <c r="H534" t="n">
        <v>6</v>
      </c>
      <c r="I534" t="inlineStr">
        <is>
          <t>19 chemin de la Croix-Margo, Maison de l'intercommunalité</t>
        </is>
      </c>
      <c r="J534" t="inlineStr">
        <is>
          <t>38250</t>
        </is>
      </c>
      <c r="K534" t="inlineStr">
        <is>
          <t>Villard-de-Lans</t>
        </is>
      </c>
      <c r="L534" t="inlineStr">
        <is>
          <t>04 76 95 08 96</t>
        </is>
      </c>
      <c r="M534" s="4" t="inlineStr">
        <is>
          <t>cc-massifduvercors@vercors.org</t>
        </is>
      </c>
      <c r="N534" s="4" t="inlineStr">
        <is>
          <t>https://www.vercors.org/fr/</t>
        </is>
      </c>
      <c r="O534" s="4" t="inlineStr">
        <is>
          <t>https://www.vercors.org/fr/contact/</t>
        </is>
      </c>
      <c r="P534" s="4" t="inlineStr">
        <is>
          <t>https://lannuaire.service-public.gouv.fr/auvergne-rhone-alpes/isere/a7e9fd0e-c66a-4a43-b16b-d28d4bc311eb</t>
        </is>
      </c>
      <c r="Q534" t="inlineStr">
        <is>
          <t>Annuaire Service-public.fr</t>
        </is>
      </c>
      <c r="R534" t="inlineStr"/>
      <c r="S534" t="inlineStr"/>
      <c r="T534" t="inlineStr"/>
    </row>
    <row r="535">
      <c r="A535" t="inlineStr">
        <is>
          <t>CC du Trièves</t>
        </is>
      </c>
      <c r="B535" t="inlineStr">
        <is>
          <t>Communauté de communes</t>
        </is>
      </c>
      <c r="C535" t="inlineStr">
        <is>
          <t>200030658</t>
        </is>
      </c>
      <c r="D535" t="inlineStr">
        <is>
          <t>38</t>
        </is>
      </c>
      <c r="E535" t="inlineStr">
        <is>
          <t>Isère</t>
        </is>
      </c>
      <c r="F535" t="inlineStr">
        <is>
          <t>Auvergne-Rhône-Alpes</t>
        </is>
      </c>
      <c r="G535" s="3" t="n">
        <v>10338</v>
      </c>
      <c r="H535" t="n">
        <v>27</v>
      </c>
      <c r="I535" t="inlineStr">
        <is>
          <t>300 chemin de Ferrier</t>
        </is>
      </c>
      <c r="J535" t="inlineStr">
        <is>
          <t>38650</t>
        </is>
      </c>
      <c r="K535" t="inlineStr">
        <is>
          <t>Monestier-de-Clermont</t>
        </is>
      </c>
      <c r="L535" t="inlineStr">
        <is>
          <t>04 76 34 11 22</t>
        </is>
      </c>
      <c r="M535" s="4" t="inlineStr">
        <is>
          <t>accueil@cdctrieves.fr</t>
        </is>
      </c>
      <c r="N535" s="4" t="inlineStr">
        <is>
          <t>https://www.cdctrieves.fr/</t>
        </is>
      </c>
      <c r="O535" t="inlineStr"/>
      <c r="P535" s="4" t="inlineStr">
        <is>
          <t>https://lannuaire.service-public.gouv.fr/auvergne-rhone-alpes/isere/68fdef02-b5c4-471a-802e-1c3fe5e89509</t>
        </is>
      </c>
      <c r="Q535" t="inlineStr">
        <is>
          <t>Annuaire Service-public.fr</t>
        </is>
      </c>
      <c r="R535" t="inlineStr"/>
      <c r="S535" t="inlineStr"/>
      <c r="T535" t="inlineStr"/>
    </row>
    <row r="536">
      <c r="A536" t="inlineStr">
        <is>
          <t>Grenoble-Alpes-Métropole</t>
        </is>
      </c>
      <c r="B536" t="inlineStr">
        <is>
          <t>Métropole</t>
        </is>
      </c>
      <c r="C536" t="inlineStr">
        <is>
          <t>200040715</t>
        </is>
      </c>
      <c r="D536" t="inlineStr">
        <is>
          <t>38</t>
        </is>
      </c>
      <c r="E536" t="inlineStr">
        <is>
          <t>Isère</t>
        </is>
      </c>
      <c r="F536" t="inlineStr">
        <is>
          <t>Auvergne-Rhône-Alpes</t>
        </is>
      </c>
      <c r="G536" s="3" t="n">
        <v>449509</v>
      </c>
      <c r="H536" t="n">
        <v>49</v>
      </c>
      <c r="I536" t="inlineStr">
        <is>
          <t>1 place André-Malraux</t>
        </is>
      </c>
      <c r="J536" t="inlineStr">
        <is>
          <t>38000</t>
        </is>
      </c>
      <c r="K536" t="inlineStr">
        <is>
          <t>Grenoble</t>
        </is>
      </c>
      <c r="L536" t="inlineStr">
        <is>
          <t>04 76 59 59 59</t>
        </is>
      </c>
      <c r="M536" t="inlineStr"/>
      <c r="N536" s="4" t="inlineStr">
        <is>
          <t>https://www.grenoblealpesmetropole.fr/</t>
        </is>
      </c>
      <c r="O536" s="4" t="inlineStr">
        <is>
          <t>https://www.grenoblealpesmetropole.fr/263-via-nos-formulaires-de-contact.htm</t>
        </is>
      </c>
      <c r="P536" s="4" t="inlineStr">
        <is>
          <t>https://lannuaire.service-public.gouv.fr/auvergne-rhone-alpes/isere/f6bb5305-3ef0-41da-8850-d0a44de6cb35</t>
        </is>
      </c>
      <c r="Q536" t="inlineStr">
        <is>
          <t>Annuaire Service-public.fr</t>
        </is>
      </c>
      <c r="R536" t="inlineStr"/>
      <c r="S536" t="inlineStr"/>
      <c r="T536" t="inlineStr"/>
    </row>
    <row r="537">
      <c r="A537" t="inlineStr">
        <is>
          <t>CA Vienne Condrieu</t>
        </is>
      </c>
      <c r="B537" t="inlineStr">
        <is>
          <t>Communauté d’agglomération</t>
        </is>
      </c>
      <c r="C537" t="inlineStr">
        <is>
          <t>200077014</t>
        </is>
      </c>
      <c r="D537" t="inlineStr">
        <is>
          <t>38, 69</t>
        </is>
      </c>
      <c r="E537" t="inlineStr">
        <is>
          <t>Isère, Rhône</t>
        </is>
      </c>
      <c r="F537" t="inlineStr">
        <is>
          <t>Auvergne-Rhône-Alpes</t>
        </is>
      </c>
      <c r="G537" s="3" t="n">
        <v>94864</v>
      </c>
      <c r="H537" t="n">
        <v>30</v>
      </c>
      <c r="I537" t="inlineStr">
        <is>
          <t>30 avenue du Général-Leclerc, Espace Saint-Germain</t>
        </is>
      </c>
      <c r="J537" t="inlineStr">
        <is>
          <t>38200</t>
        </is>
      </c>
      <c r="K537" t="inlineStr">
        <is>
          <t>Vienne</t>
        </is>
      </c>
      <c r="L537" t="inlineStr">
        <is>
          <t>04 74 78 32 10</t>
        </is>
      </c>
      <c r="M537" s="4" t="inlineStr">
        <is>
          <t>info@vienne-condrieu-agglomeration.fr</t>
        </is>
      </c>
      <c r="N537" s="4" t="inlineStr">
        <is>
          <t>https://www.vienne-condrieu-agglomeration.fr/</t>
        </is>
      </c>
      <c r="O537" s="4" t="inlineStr">
        <is>
          <t>https://www.vienne-condrieu-agglomeration.fr/contact</t>
        </is>
      </c>
      <c r="P537" s="4" t="inlineStr">
        <is>
          <t>https://lannuaire.service-public.gouv.fr/auvergne-rhone-alpes/isere/878d7684-c95d-430e-a726-7b1634ecf6c1</t>
        </is>
      </c>
      <c r="Q537" t="inlineStr">
        <is>
          <t>Annuaire Service-public.fr</t>
        </is>
      </c>
      <c r="R537" t="inlineStr"/>
      <c r="S537" t="inlineStr"/>
      <c r="T537" t="inlineStr"/>
    </row>
    <row r="538">
      <c r="A538" t="inlineStr">
        <is>
          <t>CC Coeur de Chartreuse</t>
        </is>
      </c>
      <c r="B538" t="inlineStr">
        <is>
          <t>Communauté de communes</t>
        </is>
      </c>
      <c r="C538" t="inlineStr">
        <is>
          <t>200040111</t>
        </is>
      </c>
      <c r="D538" t="inlineStr">
        <is>
          <t>38, 73</t>
        </is>
      </c>
      <c r="E538" t="inlineStr">
        <is>
          <t>Isère, Savoie</t>
        </is>
      </c>
      <c r="F538" t="inlineStr">
        <is>
          <t>Auvergne-Rhône-Alpes</t>
        </is>
      </c>
      <c r="G538" s="3" t="n">
        <v>17165</v>
      </c>
      <c r="H538" t="n">
        <v>17</v>
      </c>
      <c r="I538" t="inlineStr">
        <is>
          <t>2 ZI Chartreuse-Guiers, Pôle tertiaire</t>
        </is>
      </c>
      <c r="J538" t="inlineStr">
        <is>
          <t>38380</t>
        </is>
      </c>
      <c r="K538" t="inlineStr">
        <is>
          <t>Entre-deux-Guiers</t>
        </is>
      </c>
      <c r="L538" t="inlineStr">
        <is>
          <t>04 76 66 81 74</t>
        </is>
      </c>
      <c r="M538" s="4" t="inlineStr">
        <is>
          <t>accueil@cc-coeurdechartreuse.fr</t>
        </is>
      </c>
      <c r="N538" s="4" t="inlineStr">
        <is>
          <t>https://coeurdechartreuse.fr/</t>
        </is>
      </c>
      <c r="O538" t="inlineStr"/>
      <c r="P538" s="4" t="inlineStr">
        <is>
          <t>https://lannuaire.service-public.gouv.fr/auvergne-rhone-alpes/isere/6306a198-e90d-49a5-8ee3-a174c4e9e216</t>
        </is>
      </c>
      <c r="Q538" t="inlineStr">
        <is>
          <t>Annuaire Service-public.fr</t>
        </is>
      </c>
      <c r="R538" t="inlineStr"/>
      <c r="S538" t="inlineStr"/>
      <c r="T538" t="inlineStr"/>
    </row>
    <row r="539">
      <c r="A539" t="inlineStr">
        <is>
          <t>CA ECLA  (Espace Communautaire Lons Agglomération)</t>
        </is>
      </c>
      <c r="B539" t="inlineStr">
        <is>
          <t>Communauté d’agglomération</t>
        </is>
      </c>
      <c r="C539" t="inlineStr">
        <is>
          <t>200071116</t>
        </is>
      </c>
      <c r="D539" t="inlineStr">
        <is>
          <t>39</t>
        </is>
      </c>
      <c r="E539" t="inlineStr">
        <is>
          <t>Jura</t>
        </is>
      </c>
      <c r="F539" t="inlineStr">
        <is>
          <t>Bourgogne-Franche-Comté</t>
        </is>
      </c>
      <c r="G539" s="3" t="n">
        <v>34210</v>
      </c>
      <c r="H539" t="n">
        <v>32</v>
      </c>
      <c r="I539" t="inlineStr">
        <is>
          <t>4 avenue du 44e-Régiment-d'Infanterie</t>
        </is>
      </c>
      <c r="J539" t="inlineStr">
        <is>
          <t>39000</t>
        </is>
      </c>
      <c r="K539" t="inlineStr">
        <is>
          <t>Lons-le-Saunier</t>
        </is>
      </c>
      <c r="L539" t="inlineStr">
        <is>
          <t>03 84 24 46 06</t>
        </is>
      </c>
      <c r="M539" s="4" t="inlineStr">
        <is>
          <t>contact@ecla-jura.fr</t>
        </is>
      </c>
      <c r="N539" s="4" t="inlineStr">
        <is>
          <t>https://www.ecla-jura.fr/</t>
        </is>
      </c>
      <c r="O539" t="inlineStr"/>
      <c r="P539" s="4" t="inlineStr">
        <is>
          <t>https://lannuaire.service-public.gouv.fr/bourgogne-franche-comte/jura/b1989671-90c3-483a-a536-fa0a33d70dab</t>
        </is>
      </c>
      <c r="Q539" t="inlineStr">
        <is>
          <t>Annuaire Service-public.fr</t>
        </is>
      </c>
      <c r="R539" t="inlineStr"/>
      <c r="S539" t="inlineStr"/>
      <c r="T539" t="inlineStr"/>
    </row>
    <row r="540">
      <c r="A540" t="inlineStr">
        <is>
          <t>CA du Grand Dole</t>
        </is>
      </c>
      <c r="B540" t="inlineStr">
        <is>
          <t>Communauté d’agglomération</t>
        </is>
      </c>
      <c r="C540" t="inlineStr">
        <is>
          <t>200010650</t>
        </is>
      </c>
      <c r="D540" t="inlineStr">
        <is>
          <t>39</t>
        </is>
      </c>
      <c r="E540" t="inlineStr">
        <is>
          <t>Jura</t>
        </is>
      </c>
      <c r="F540" t="inlineStr">
        <is>
          <t>Bourgogne-Franche-Comté</t>
        </is>
      </c>
      <c r="G540" s="3" t="n">
        <v>54697</v>
      </c>
      <c r="H540" t="n">
        <v>47</v>
      </c>
      <c r="I540" t="inlineStr">
        <is>
          <t>Place de l'Europe</t>
        </is>
      </c>
      <c r="J540" t="inlineStr">
        <is>
          <t>39100</t>
        </is>
      </c>
      <c r="K540" t="inlineStr">
        <is>
          <t>Dole</t>
        </is>
      </c>
      <c r="L540" t="inlineStr">
        <is>
          <t>03 84 79 78 40</t>
        </is>
      </c>
      <c r="M540" s="4" t="inlineStr">
        <is>
          <t>info@grand-dole.fr</t>
        </is>
      </c>
      <c r="N540" s="4" t="inlineStr">
        <is>
          <t>https://www.grand-dole.fr/</t>
        </is>
      </c>
      <c r="O540" s="4" t="inlineStr">
        <is>
          <t>https://www.grand-dole.fr/contactez-nous</t>
        </is>
      </c>
      <c r="P540" s="4" t="inlineStr">
        <is>
          <t>https://lannuaire.service-public.gouv.fr/bourgogne-franche-comte/jura/b93534f5-828e-4838-b8d5-789934968e04</t>
        </is>
      </c>
      <c r="Q540" t="inlineStr">
        <is>
          <t>Annuaire Service-public.fr</t>
        </is>
      </c>
      <c r="R540" t="inlineStr"/>
      <c r="S540" t="inlineStr"/>
      <c r="T540" t="inlineStr"/>
    </row>
    <row r="541">
      <c r="A541" t="inlineStr">
        <is>
          <t>CC Arbois, Poligny, Salins, Coeur du Jura</t>
        </is>
      </c>
      <c r="B541" t="inlineStr">
        <is>
          <t>Communauté de communes</t>
        </is>
      </c>
      <c r="C541" t="inlineStr">
        <is>
          <t>200071595</t>
        </is>
      </c>
      <c r="D541" t="inlineStr">
        <is>
          <t>39</t>
        </is>
      </c>
      <c r="E541" t="inlineStr">
        <is>
          <t>Jura</t>
        </is>
      </c>
      <c r="F541" t="inlineStr">
        <is>
          <t>Bourgogne-Franche-Comté</t>
        </is>
      </c>
      <c r="G541" s="3" t="n">
        <v>21429</v>
      </c>
      <c r="H541" t="n">
        <v>65</v>
      </c>
      <c r="I541" t="inlineStr">
        <is>
          <t>4 rue du Champ-de-foire, Pôle administratif Coeur du Jura</t>
        </is>
      </c>
      <c r="J541" t="inlineStr">
        <is>
          <t>39800</t>
        </is>
      </c>
      <c r="K541" t="inlineStr">
        <is>
          <t>Poligny</t>
        </is>
      </c>
      <c r="L541" t="inlineStr">
        <is>
          <t>03 84 73 71 71</t>
        </is>
      </c>
      <c r="M541" s="4" t="inlineStr">
        <is>
          <t>contact@ville-poligny.fr</t>
        </is>
      </c>
      <c r="N541" s="4" t="inlineStr">
        <is>
          <t>https://www.cc-coeurdujura.fr/</t>
        </is>
      </c>
      <c r="O541" s="4" t="inlineStr">
        <is>
          <t>https://www.cc-coeurdujura.fr/contact</t>
        </is>
      </c>
      <c r="P541" s="4" t="inlineStr">
        <is>
          <t>https://lannuaire.service-public.gouv.fr/bourgogne-franche-comte/jura/39350034-45aa-4227-8bf6-28b2a481fba8</t>
        </is>
      </c>
      <c r="Q541" t="inlineStr">
        <is>
          <t>Annuaire Service-public.fr</t>
        </is>
      </c>
      <c r="R541" t="inlineStr"/>
      <c r="S541" t="inlineStr"/>
      <c r="T541" t="inlineStr"/>
    </row>
    <row r="542">
      <c r="A542" t="inlineStr">
        <is>
          <t>CC Bresse Haute Seille</t>
        </is>
      </c>
      <c r="B542" t="inlineStr">
        <is>
          <t>Communauté de communes</t>
        </is>
      </c>
      <c r="C542" t="inlineStr">
        <is>
          <t>200069615</t>
        </is>
      </c>
      <c r="D542" t="inlineStr">
        <is>
          <t>39</t>
        </is>
      </c>
      <c r="E542" t="inlineStr">
        <is>
          <t>Jura</t>
        </is>
      </c>
      <c r="F542" t="inlineStr">
        <is>
          <t>Bourgogne-Franche-Comté</t>
        </is>
      </c>
      <c r="G542" s="3" t="n">
        <v>19149</v>
      </c>
      <c r="H542" t="n">
        <v>54</v>
      </c>
      <c r="I542" t="inlineStr">
        <is>
          <t>1 place de la Mairie</t>
        </is>
      </c>
      <c r="J542" t="inlineStr">
        <is>
          <t>39140</t>
        </is>
      </c>
      <c r="K542" t="inlineStr">
        <is>
          <t>Bletterans</t>
        </is>
      </c>
      <c r="L542" t="inlineStr">
        <is>
          <t>03 84 44 46 80</t>
        </is>
      </c>
      <c r="M542" s="4" t="inlineStr">
        <is>
          <t>accueil@bressehauteseille.fr</t>
        </is>
      </c>
      <c r="N542" s="4" t="inlineStr">
        <is>
          <t>https://www.bressehauteseille.fr/</t>
        </is>
      </c>
      <c r="O542" t="inlineStr"/>
      <c r="P542" s="4" t="inlineStr">
        <is>
          <t>https://lannuaire.service-public.gouv.fr/bourgogne-franche-comte/jura/2009d45f-40ad-42ce-a70e-f62aeb66d950</t>
        </is>
      </c>
      <c r="Q542" t="inlineStr">
        <is>
          <t>Annuaire Service-public.fr</t>
        </is>
      </c>
      <c r="R542" t="inlineStr"/>
      <c r="S542" t="inlineStr"/>
      <c r="T542" t="inlineStr"/>
    </row>
    <row r="543">
      <c r="A543" t="inlineStr">
        <is>
          <t>CC Champagnole Nozeroy Jura</t>
        </is>
      </c>
      <c r="B543" t="inlineStr">
        <is>
          <t>Communauté de communes</t>
        </is>
      </c>
      <c r="C543" t="inlineStr">
        <is>
          <t>200069623</t>
        </is>
      </c>
      <c r="D543" t="inlineStr">
        <is>
          <t>39</t>
        </is>
      </c>
      <c r="E543" t="inlineStr">
        <is>
          <t>Jura</t>
        </is>
      </c>
      <c r="F543" t="inlineStr">
        <is>
          <t>Bourgogne-Franche-Comté</t>
        </is>
      </c>
      <c r="G543" s="3" t="n">
        <v>22936</v>
      </c>
      <c r="H543" t="n">
        <v>66</v>
      </c>
      <c r="I543" t="inlineStr">
        <is>
          <t>3 rue Victor-Bérard</t>
        </is>
      </c>
      <c r="J543" t="inlineStr">
        <is>
          <t>39300</t>
        </is>
      </c>
      <c r="K543" t="inlineStr">
        <is>
          <t>Champagnole</t>
        </is>
      </c>
      <c r="L543" t="inlineStr">
        <is>
          <t>03 84 52 06 20</t>
        </is>
      </c>
      <c r="M543" s="4" t="inlineStr">
        <is>
          <t>contact@champagnolenozeroyjura.fr</t>
        </is>
      </c>
      <c r="N543" s="4" t="inlineStr">
        <is>
          <t>https://www.champagnolenozeroyjura.fr/</t>
        </is>
      </c>
      <c r="O543" s="4" t="inlineStr">
        <is>
          <t>https://www.champagnolenozeroyjura.fr/contact/</t>
        </is>
      </c>
      <c r="P543" s="4" t="inlineStr">
        <is>
          <t>https://lannuaire.service-public.gouv.fr/bourgogne-franche-comte/jura/df7f979f-d349-4ca6-b54a-98a5dcac9a7e</t>
        </is>
      </c>
      <c r="Q543" t="inlineStr">
        <is>
          <t>Annuaire Service-public.fr</t>
        </is>
      </c>
      <c r="R543" t="inlineStr"/>
      <c r="S543" t="inlineStr"/>
      <c r="T543" t="inlineStr"/>
    </row>
    <row r="544">
      <c r="A544" t="inlineStr">
        <is>
          <t>CC Haut-Jura Arcade Communauté</t>
        </is>
      </c>
      <c r="B544" t="inlineStr">
        <is>
          <t>Communauté de communes</t>
        </is>
      </c>
      <c r="C544" t="inlineStr">
        <is>
          <t>243900479</t>
        </is>
      </c>
      <c r="D544" t="inlineStr">
        <is>
          <t>39</t>
        </is>
      </c>
      <c r="E544" t="inlineStr">
        <is>
          <t>Jura</t>
        </is>
      </c>
      <c r="F544" t="inlineStr">
        <is>
          <t>Bourgogne-Franche-Comté</t>
        </is>
      </c>
      <c r="G544" s="3" t="n">
        <v>9097</v>
      </c>
      <c r="H544" t="n">
        <v>4</v>
      </c>
      <c r="I544" t="inlineStr">
        <is>
          <t>112 rue de la République</t>
        </is>
      </c>
      <c r="J544" t="inlineStr">
        <is>
          <t>39400</t>
        </is>
      </c>
      <c r="K544" t="inlineStr">
        <is>
          <t>Hauts-de-Bienne</t>
        </is>
      </c>
      <c r="L544" t="inlineStr">
        <is>
          <t>03 84 34 11 30</t>
        </is>
      </c>
      <c r="M544" s="4" t="inlineStr">
        <is>
          <t>secretariat@arcade-cchj.fr</t>
        </is>
      </c>
      <c r="N544" s="4" t="inlineStr">
        <is>
          <t>https://www.hautjura-arcade.com/</t>
        </is>
      </c>
      <c r="O544" s="4" t="inlineStr">
        <is>
          <t>https://www.hautjura-arcade.com/contact</t>
        </is>
      </c>
      <c r="P544" s="4" t="inlineStr">
        <is>
          <t>https://lannuaire.service-public.gouv.fr/bourgogne-franche-comte/jura/dc6c092d-05eb-437a-b078-e7e48874b523</t>
        </is>
      </c>
      <c r="Q544" t="inlineStr">
        <is>
          <t>Annuaire Service-public.fr</t>
        </is>
      </c>
      <c r="R544" t="inlineStr"/>
      <c r="S544" t="inlineStr"/>
      <c r="T544" t="inlineStr"/>
    </row>
    <row r="545">
      <c r="A545" t="inlineStr">
        <is>
          <t>CC Haut-Jura Saint-Claude</t>
        </is>
      </c>
      <c r="B545" t="inlineStr">
        <is>
          <t>Communauté de communes</t>
        </is>
      </c>
      <c r="C545" t="inlineStr">
        <is>
          <t>200026573</t>
        </is>
      </c>
      <c r="D545" t="inlineStr">
        <is>
          <t>39</t>
        </is>
      </c>
      <c r="E545" t="inlineStr">
        <is>
          <t>Jura</t>
        </is>
      </c>
      <c r="F545" t="inlineStr">
        <is>
          <t>Bourgogne-Franche-Comté</t>
        </is>
      </c>
      <c r="G545" s="3" t="n">
        <v>19431</v>
      </c>
      <c r="H545" t="n">
        <v>22</v>
      </c>
      <c r="I545" t="inlineStr">
        <is>
          <t>13 bis boulevard de la République</t>
        </is>
      </c>
      <c r="J545" t="inlineStr">
        <is>
          <t>39200</t>
        </is>
      </c>
      <c r="K545" t="inlineStr">
        <is>
          <t>Saint-Claude</t>
        </is>
      </c>
      <c r="L545" t="inlineStr">
        <is>
          <t>03 84 45 89 00</t>
        </is>
      </c>
      <c r="M545" s="4" t="inlineStr">
        <is>
          <t>contact@hautjurasaintclaude.fr</t>
        </is>
      </c>
      <c r="N545" s="4" t="inlineStr">
        <is>
          <t>https://www.hautjurasaintclaude.fr/</t>
        </is>
      </c>
      <c r="O545" t="inlineStr"/>
      <c r="P545" s="4" t="inlineStr">
        <is>
          <t>https://lannuaire.service-public.gouv.fr/bourgogne-franche-comte/jura/e8c0a63e-106b-4f39-8d82-213179176b6f</t>
        </is>
      </c>
      <c r="Q545" t="inlineStr">
        <is>
          <t>Annuaire Service-public.fr</t>
        </is>
      </c>
      <c r="R545" t="inlineStr"/>
      <c r="S545" t="inlineStr"/>
      <c r="T545" t="inlineStr"/>
    </row>
    <row r="546">
      <c r="A546" t="inlineStr">
        <is>
          <t>CC Jura Nord</t>
        </is>
      </c>
      <c r="B546" t="inlineStr">
        <is>
          <t>Communauté de communes</t>
        </is>
      </c>
      <c r="C546" t="inlineStr">
        <is>
          <t>243900560</t>
        </is>
      </c>
      <c r="D546" t="inlineStr">
        <is>
          <t>39</t>
        </is>
      </c>
      <c r="E546" t="inlineStr">
        <is>
          <t>Jura</t>
        </is>
      </c>
      <c r="F546" t="inlineStr">
        <is>
          <t>Bourgogne-Franche-Comté</t>
        </is>
      </c>
      <c r="G546" s="3" t="n">
        <v>11804</v>
      </c>
      <c r="H546" t="n">
        <v>32</v>
      </c>
      <c r="I546" t="inlineStr">
        <is>
          <t>1 rue du Tissage</t>
        </is>
      </c>
      <c r="J546" t="inlineStr">
        <is>
          <t>39700</t>
        </is>
      </c>
      <c r="K546" t="inlineStr">
        <is>
          <t>Dampierre</t>
        </is>
      </c>
      <c r="L546" t="inlineStr">
        <is>
          <t>03 84 71 12 17</t>
        </is>
      </c>
      <c r="M546" s="4" t="inlineStr">
        <is>
          <t>contact@jura-nord.com</t>
        </is>
      </c>
      <c r="N546" s="4" t="inlineStr">
        <is>
          <t>https://www.jura-nord.com/</t>
        </is>
      </c>
      <c r="O546" t="inlineStr"/>
      <c r="P546" s="4" t="inlineStr">
        <is>
          <t>https://lannuaire.service-public.gouv.fr/bourgogne-franche-comte/jura/05e2ff87-9b59-44ba-b7a5-6d5439dbcd5b</t>
        </is>
      </c>
      <c r="Q546" t="inlineStr">
        <is>
          <t>Annuaire Service-public.fr</t>
        </is>
      </c>
      <c r="R546" t="inlineStr"/>
      <c r="S546" t="inlineStr"/>
      <c r="T546" t="inlineStr"/>
    </row>
    <row r="547">
      <c r="A547" t="inlineStr">
        <is>
          <t>CC Porte du Jura</t>
        </is>
      </c>
      <c r="B547" t="inlineStr">
        <is>
          <t>Communauté de communes</t>
        </is>
      </c>
      <c r="C547" t="inlineStr">
        <is>
          <t>200072056</t>
        </is>
      </c>
      <c r="D547" t="inlineStr">
        <is>
          <t>39</t>
        </is>
      </c>
      <c r="E547" t="inlineStr">
        <is>
          <t>Jura</t>
        </is>
      </c>
      <c r="F547" t="inlineStr">
        <is>
          <t>Bourgogne-Franche-Comté</t>
        </is>
      </c>
      <c r="G547" s="3" t="n">
        <v>10520</v>
      </c>
      <c r="H547" t="n">
        <v>21</v>
      </c>
      <c r="I547" t="inlineStr">
        <is>
          <t>10 Grande rue</t>
        </is>
      </c>
      <c r="J547" t="inlineStr">
        <is>
          <t>39190</t>
        </is>
      </c>
      <c r="K547" t="inlineStr">
        <is>
          <t>Beaufort-Orbagna</t>
        </is>
      </c>
      <c r="L547" t="inlineStr">
        <is>
          <t>03 84 48 96 67</t>
        </is>
      </c>
      <c r="M547" s="4" t="inlineStr">
        <is>
          <t>accueil@ccportedujura.fr</t>
        </is>
      </c>
      <c r="N547" s="4" t="inlineStr">
        <is>
          <t>https://www.ccportedujura.fr/</t>
        </is>
      </c>
      <c r="O547" s="4" t="inlineStr">
        <is>
          <t>https://www.ccportedujura.fr/contact/</t>
        </is>
      </c>
      <c r="P547" s="4" t="inlineStr">
        <is>
          <t>https://lannuaire.service-public.gouv.fr/bourgogne-franche-comte/jura/38b74bec-9779-433b-82d5-ed15d44a7e8c</t>
        </is>
      </c>
      <c r="Q547" t="inlineStr">
        <is>
          <t>Annuaire Service-public.fr</t>
        </is>
      </c>
      <c r="R547" t="inlineStr"/>
      <c r="S547" t="inlineStr"/>
      <c r="T547" t="inlineStr"/>
    </row>
    <row r="548">
      <c r="A548" t="inlineStr">
        <is>
          <t>CC Terre d'Émeraude Communauté</t>
        </is>
      </c>
      <c r="B548" t="inlineStr">
        <is>
          <t>Communauté de communes</t>
        </is>
      </c>
      <c r="C548" t="inlineStr">
        <is>
          <t>200090579</t>
        </is>
      </c>
      <c r="D548" t="inlineStr">
        <is>
          <t>39</t>
        </is>
      </c>
      <c r="E548" t="inlineStr">
        <is>
          <t>Jura</t>
        </is>
      </c>
      <c r="F548" t="inlineStr">
        <is>
          <t>Bourgogne-Franche-Comté</t>
        </is>
      </c>
      <c r="G548" s="3" t="n">
        <v>24295</v>
      </c>
      <c r="H548" t="n">
        <v>92</v>
      </c>
      <c r="I548" t="inlineStr">
        <is>
          <t>4 chemin du Quart</t>
        </is>
      </c>
      <c r="J548" t="inlineStr">
        <is>
          <t>39270</t>
        </is>
      </c>
      <c r="K548" t="inlineStr">
        <is>
          <t>Orgelet</t>
        </is>
      </c>
      <c r="L548" t="inlineStr">
        <is>
          <t>03 84 25 41 13</t>
        </is>
      </c>
      <c r="M548" s="4" t="inlineStr">
        <is>
          <t>contact@terredemeraude.fr</t>
        </is>
      </c>
      <c r="N548" s="4" t="inlineStr">
        <is>
          <t>https://www.terredemeraude.fr</t>
        </is>
      </c>
      <c r="O548" s="4" t="inlineStr">
        <is>
          <t>https://www.terredemeraude.fr/nous-contacter/</t>
        </is>
      </c>
      <c r="P548" s="4" t="inlineStr">
        <is>
          <t>https://lannuaire.service-public.gouv.fr/bourgogne-franche-comte/jura/9a91597d-92a6-4e94-99ad-5a5ba2c7a089</t>
        </is>
      </c>
      <c r="Q548" t="inlineStr">
        <is>
          <t>Annuaire Service-public.fr</t>
        </is>
      </c>
      <c r="R548" t="inlineStr"/>
      <c r="S548" t="inlineStr"/>
      <c r="T548" t="inlineStr"/>
    </row>
    <row r="549">
      <c r="A549" t="inlineStr">
        <is>
          <t>CC de la Plaine Jurassienne</t>
        </is>
      </c>
      <c r="B549" t="inlineStr">
        <is>
          <t>Communauté de communes</t>
        </is>
      </c>
      <c r="C549" t="inlineStr">
        <is>
          <t>243901089</t>
        </is>
      </c>
      <c r="D549" t="inlineStr">
        <is>
          <t>39</t>
        </is>
      </c>
      <c r="E549" t="inlineStr">
        <is>
          <t>Jura</t>
        </is>
      </c>
      <c r="F549" t="inlineStr">
        <is>
          <t>Bourgogne-Franche-Comté</t>
        </is>
      </c>
      <c r="G549" s="3" t="n">
        <v>9077</v>
      </c>
      <c r="H549" t="n">
        <v>21</v>
      </c>
      <c r="I549" t="inlineStr">
        <is>
          <t>3 place du Collège</t>
        </is>
      </c>
      <c r="J549" t="inlineStr">
        <is>
          <t>39120</t>
        </is>
      </c>
      <c r="K549" t="inlineStr">
        <is>
          <t>Chaussin</t>
        </is>
      </c>
      <c r="L549" t="inlineStr">
        <is>
          <t>03 84 81 70 22</t>
        </is>
      </c>
      <c r="M549" s="4" t="inlineStr">
        <is>
          <t>administration@cc-laplaine-jurassienne.com</t>
        </is>
      </c>
      <c r="N549" s="4" t="inlineStr">
        <is>
          <t>https://www.cc-laplaine-jurassienne.fr/</t>
        </is>
      </c>
      <c r="O549" s="4" t="inlineStr">
        <is>
          <t>https://www.cc-laplaine-jurassienne.fr/index.php/contact/</t>
        </is>
      </c>
      <c r="P549" s="4" t="inlineStr">
        <is>
          <t>https://lannuaire.service-public.gouv.fr/bourgogne-franche-comte/jura/210060a0-4c1f-4fd8-9663-0821c7c20f47</t>
        </is>
      </c>
      <c r="Q549" t="inlineStr">
        <is>
          <t>Annuaire Service-public.fr</t>
        </is>
      </c>
      <c r="R549" t="inlineStr"/>
      <c r="S549" t="inlineStr"/>
      <c r="T549" t="inlineStr"/>
    </row>
    <row r="550">
      <c r="A550" t="inlineStr">
        <is>
          <t>CC de la Station des Rousses-Haut Jura</t>
        </is>
      </c>
      <c r="B550" t="inlineStr">
        <is>
          <t>Communauté de communes</t>
        </is>
      </c>
      <c r="C550" t="inlineStr">
        <is>
          <t>243900354</t>
        </is>
      </c>
      <c r="D550" t="inlineStr">
        <is>
          <t>39</t>
        </is>
      </c>
      <c r="E550" t="inlineStr">
        <is>
          <t>Jura</t>
        </is>
      </c>
      <c r="F550" t="inlineStr">
        <is>
          <t>Bourgogne-Franche-Comté</t>
        </is>
      </c>
      <c r="G550" s="3" t="n">
        <v>7300</v>
      </c>
      <c r="H550" t="n">
        <v>4</v>
      </c>
      <c r="I550" t="inlineStr">
        <is>
          <t>Rue du Sergent-Chef-Benoît-Lizon, Fort des Rousses</t>
        </is>
      </c>
      <c r="J550" t="inlineStr">
        <is>
          <t>39220</t>
        </is>
      </c>
      <c r="K550" t="inlineStr">
        <is>
          <t>Les Rousses</t>
        </is>
      </c>
      <c r="L550" t="inlineStr">
        <is>
          <t>03 84 60 52 60</t>
        </is>
      </c>
      <c r="M550" s="4" t="inlineStr">
        <is>
          <t>contact@cc-stationdesrousses.fr</t>
        </is>
      </c>
      <c r="N550" s="4" t="inlineStr">
        <is>
          <t>https://www.cc-stationdesrousses.fr/</t>
        </is>
      </c>
      <c r="O550" s="4" t="inlineStr">
        <is>
          <t>https://www.cc-stationdesrousses.fr/contact/</t>
        </is>
      </c>
      <c r="P550" s="4" t="inlineStr">
        <is>
          <t>https://lannuaire.service-public.gouv.fr/bourgogne-franche-comte/jura/0f10504b-5482-4e73-83d0-e1aede2b228f</t>
        </is>
      </c>
      <c r="Q550" t="inlineStr">
        <is>
          <t>Annuaire Service-public.fr</t>
        </is>
      </c>
      <c r="R550" t="inlineStr"/>
      <c r="S550" t="inlineStr"/>
      <c r="T550" t="inlineStr"/>
    </row>
    <row r="551">
      <c r="A551" t="inlineStr">
        <is>
          <t>CC du Val d'Amour</t>
        </is>
      </c>
      <c r="B551" t="inlineStr">
        <is>
          <t>Communauté de communes</t>
        </is>
      </c>
      <c r="C551" t="inlineStr">
        <is>
          <t>243900420</t>
        </is>
      </c>
      <c r="D551" t="inlineStr">
        <is>
          <t>39</t>
        </is>
      </c>
      <c r="E551" t="inlineStr">
        <is>
          <t>Jura</t>
        </is>
      </c>
      <c r="F551" t="inlineStr">
        <is>
          <t>Bourgogne-Franche-Comté</t>
        </is>
      </c>
      <c r="G551" s="3" t="n">
        <v>9054</v>
      </c>
      <c r="H551" t="n">
        <v>24</v>
      </c>
      <c r="I551" t="inlineStr">
        <is>
          <t>74 Grande rue</t>
        </is>
      </c>
      <c r="J551" t="inlineStr">
        <is>
          <t>39380</t>
        </is>
      </c>
      <c r="K551" t="inlineStr">
        <is>
          <t>Chamblay</t>
        </is>
      </c>
      <c r="L551" t="inlineStr">
        <is>
          <t>03 84 37 74 74</t>
        </is>
      </c>
      <c r="M551" s="4" t="inlineStr">
        <is>
          <t>contact@valdamour.com</t>
        </is>
      </c>
      <c r="N551" s="4" t="inlineStr">
        <is>
          <t>https://www.valdamour.com/</t>
        </is>
      </c>
      <c r="O551" s="4" t="inlineStr">
        <is>
          <t>https://www.valdamour.com/nous-contacter.htm</t>
        </is>
      </c>
      <c r="P551" s="4" t="inlineStr">
        <is>
          <t>https://lannuaire.service-public.gouv.fr/bourgogne-franche-comte/jura/1b3563e3-a2cd-46cd-bf75-09fadaa41d29</t>
        </is>
      </c>
      <c r="Q551" t="inlineStr">
        <is>
          <t>Annuaire Service-public.fr</t>
        </is>
      </c>
      <c r="R551" t="inlineStr"/>
      <c r="S551" t="inlineStr"/>
      <c r="T551" t="inlineStr"/>
    </row>
    <row r="552">
      <c r="A552" t="inlineStr">
        <is>
          <t>CC la Grandvallière</t>
        </is>
      </c>
      <c r="B552" t="inlineStr">
        <is>
          <t>Communauté de communes</t>
        </is>
      </c>
      <c r="C552" t="inlineStr">
        <is>
          <t>243900610</t>
        </is>
      </c>
      <c r="D552" t="inlineStr">
        <is>
          <t>39</t>
        </is>
      </c>
      <c r="E552" t="inlineStr">
        <is>
          <t>Jura</t>
        </is>
      </c>
      <c r="F552" t="inlineStr">
        <is>
          <t>Bourgogne-Franche-Comté</t>
        </is>
      </c>
      <c r="G552" s="3" t="n">
        <v>5406</v>
      </c>
      <c r="H552" t="n">
        <v>8</v>
      </c>
      <c r="I552" t="inlineStr">
        <is>
          <t>31 rue du de Paris</t>
        </is>
      </c>
      <c r="J552" t="inlineStr">
        <is>
          <t>39150</t>
        </is>
      </c>
      <c r="K552" t="inlineStr">
        <is>
          <t>Saint- Laurent-Grandvaux</t>
        </is>
      </c>
      <c r="L552" t="inlineStr">
        <is>
          <t>03 84 60 20 63</t>
        </is>
      </c>
      <c r="M552" s="4" t="inlineStr">
        <is>
          <t>secretariat@lagrandvalliere.fr</t>
        </is>
      </c>
      <c r="N552" s="4" t="inlineStr">
        <is>
          <t>http://www.lagrandvalliere.fr</t>
        </is>
      </c>
      <c r="O552" t="inlineStr"/>
      <c r="P552" s="4" t="inlineStr">
        <is>
          <t>https://lannuaire.service-public.gouv.fr/bourgogne-franche-comte/jura/1f3d682e-6ffb-4855-be70-34752026b549</t>
        </is>
      </c>
      <c r="Q552" t="inlineStr">
        <is>
          <t>Annuaire Service-public.fr</t>
        </is>
      </c>
      <c r="R552" t="inlineStr"/>
      <c r="S552" t="inlineStr"/>
      <c r="T552" t="inlineStr"/>
    </row>
    <row r="553">
      <c r="A553" t="inlineStr">
        <is>
          <t>CA Mont de Marsan Agglomération</t>
        </is>
      </c>
      <c r="B553" t="inlineStr">
        <is>
          <t>Communauté d’agglomération</t>
        </is>
      </c>
      <c r="C553" t="inlineStr">
        <is>
          <t>244000808</t>
        </is>
      </c>
      <c r="D553" t="inlineStr">
        <is>
          <t>40</t>
        </is>
      </c>
      <c r="E553" t="inlineStr">
        <is>
          <t>Landes</t>
        </is>
      </c>
      <c r="F553" t="inlineStr">
        <is>
          <t>Nouvelle-Aquitaine</t>
        </is>
      </c>
      <c r="G553" s="3" t="n">
        <v>56042</v>
      </c>
      <c r="H553" t="n">
        <v>18</v>
      </c>
      <c r="I553" t="inlineStr">
        <is>
          <t>575 avenue du Maréchal-Foch, BP 70171</t>
        </is>
      </c>
      <c r="J553" t="inlineStr">
        <is>
          <t>40003</t>
        </is>
      </c>
      <c r="K553" t="inlineStr">
        <is>
          <t>Mont-de-Marsan Cedex</t>
        </is>
      </c>
      <c r="L553" t="inlineStr">
        <is>
          <t>05 58 46 64 10</t>
        </is>
      </c>
      <c r="M553" s="4" t="inlineStr">
        <is>
          <t>accueil.agglo@montdemarsan-agglo.fr</t>
        </is>
      </c>
      <c r="N553" s="4" t="inlineStr">
        <is>
          <t>http://www.montdemarsan-agglo.fr</t>
        </is>
      </c>
      <c r="O553" t="inlineStr"/>
      <c r="P553" s="4" t="inlineStr">
        <is>
          <t>https://lannuaire.service-public.gouv.fr/nouvelle-aquitaine/landes/ea9830f0-27bd-483e-ae0e-3fa4f01267b2</t>
        </is>
      </c>
      <c r="Q553" t="inlineStr">
        <is>
          <t>Annuaire Service-public.fr</t>
        </is>
      </c>
      <c r="R553" t="inlineStr"/>
      <c r="S553" t="inlineStr"/>
      <c r="T553" t="inlineStr"/>
    </row>
    <row r="554">
      <c r="A554" t="inlineStr">
        <is>
          <t>CA du Grand Dax</t>
        </is>
      </c>
      <c r="B554" t="inlineStr">
        <is>
          <t>Communauté d’agglomération</t>
        </is>
      </c>
      <c r="C554" t="inlineStr">
        <is>
          <t>244000675</t>
        </is>
      </c>
      <c r="D554" t="inlineStr">
        <is>
          <t>40</t>
        </is>
      </c>
      <c r="E554" t="inlineStr">
        <is>
          <t>Landes</t>
        </is>
      </c>
      <c r="F554" t="inlineStr">
        <is>
          <t>Nouvelle-Aquitaine</t>
        </is>
      </c>
      <c r="G554" s="3" t="n">
        <v>58036</v>
      </c>
      <c r="H554" t="n">
        <v>20</v>
      </c>
      <c r="I554" t="inlineStr">
        <is>
          <t>20 avenue de la Gare, 4e étage</t>
        </is>
      </c>
      <c r="J554" t="inlineStr">
        <is>
          <t>40100</t>
        </is>
      </c>
      <c r="K554" t="inlineStr">
        <is>
          <t>Dax</t>
        </is>
      </c>
      <c r="L554" t="inlineStr">
        <is>
          <t>05 58 56 39 40</t>
        </is>
      </c>
      <c r="M554" s="4" t="inlineStr">
        <is>
          <t>contact@grand-dax.fr</t>
        </is>
      </c>
      <c r="N554" s="4" t="inlineStr">
        <is>
          <t>https://www.grand-dax.fr/</t>
        </is>
      </c>
      <c r="O554" s="4" t="inlineStr">
        <is>
          <t>https://www.grand-dax.fr/nous-contacter</t>
        </is>
      </c>
      <c r="P554" s="4" t="inlineStr">
        <is>
          <t>https://lannuaire.service-public.gouv.fr/nouvelle-aquitaine/landes/c65ede47-56a1-47d1-be9b-41c7e2d9e425</t>
        </is>
      </c>
      <c r="Q554" t="inlineStr">
        <is>
          <t>Annuaire Service-public.fr</t>
        </is>
      </c>
      <c r="R554" t="inlineStr"/>
      <c r="S554" t="inlineStr"/>
      <c r="T554" t="inlineStr"/>
    </row>
    <row r="555">
      <c r="A555" t="inlineStr">
        <is>
          <t>CC Chalosse Tursan</t>
        </is>
      </c>
      <c r="B555" t="inlineStr">
        <is>
          <t>Communauté de communes</t>
        </is>
      </c>
      <c r="C555" t="inlineStr">
        <is>
          <t>200069649</t>
        </is>
      </c>
      <c r="D555" t="inlineStr">
        <is>
          <t>40</t>
        </is>
      </c>
      <c r="E555" t="inlineStr">
        <is>
          <t>Landes</t>
        </is>
      </c>
      <c r="F555" t="inlineStr">
        <is>
          <t>Nouvelle-Aquitaine</t>
        </is>
      </c>
      <c r="G555" s="3" t="n">
        <v>26170</v>
      </c>
      <c r="H555" t="n">
        <v>50</v>
      </c>
      <c r="I555" t="inlineStr">
        <is>
          <t>Immeuble Les Violettes, 1 rue du Bellocq</t>
        </is>
      </c>
      <c r="J555" t="inlineStr">
        <is>
          <t>40500</t>
        </is>
      </c>
      <c r="K555" t="inlineStr">
        <is>
          <t>Saint-Sever</t>
        </is>
      </c>
      <c r="L555" t="inlineStr">
        <is>
          <t>05 58 76 41 41</t>
        </is>
      </c>
      <c r="M555" s="4" t="inlineStr">
        <is>
          <t>cias@chalossetursan.fr</t>
        </is>
      </c>
      <c r="N555" s="4" t="inlineStr">
        <is>
          <t>https://www.chalossetursan.fr/</t>
        </is>
      </c>
      <c r="O555" t="inlineStr"/>
      <c r="P555" s="4" t="inlineStr">
        <is>
          <t>https://lannuaire.service-public.gouv.fr/nouvelle-aquitaine/landes/5ced6950-d266-4e9e-9d64-ae2c85cf1db4</t>
        </is>
      </c>
      <c r="Q555" t="inlineStr">
        <is>
          <t>Annuaire Service-public.fr</t>
        </is>
      </c>
      <c r="R555" t="inlineStr"/>
      <c r="S555" t="inlineStr"/>
      <c r="T555" t="inlineStr"/>
    </row>
    <row r="556">
      <c r="A556" t="inlineStr">
        <is>
          <t>CC Coeur Haute Lande</t>
        </is>
      </c>
      <c r="B556" t="inlineStr">
        <is>
          <t>Communauté de communes</t>
        </is>
      </c>
      <c r="C556" t="inlineStr">
        <is>
          <t>200069656</t>
        </is>
      </c>
      <c r="D556" t="inlineStr">
        <is>
          <t>40</t>
        </is>
      </c>
      <c r="E556" t="inlineStr">
        <is>
          <t>Landes</t>
        </is>
      </c>
      <c r="F556" t="inlineStr">
        <is>
          <t>Nouvelle-Aquitaine</t>
        </is>
      </c>
      <c r="G556" s="3" t="n">
        <v>16305</v>
      </c>
      <c r="H556" t="n">
        <v>26</v>
      </c>
      <c r="I556" t="inlineStr">
        <is>
          <t>131 place Gambetta</t>
        </is>
      </c>
      <c r="J556" t="inlineStr">
        <is>
          <t>40630</t>
        </is>
      </c>
      <c r="K556" t="inlineStr">
        <is>
          <t>Sabres</t>
        </is>
      </c>
      <c r="L556" t="inlineStr">
        <is>
          <t>05 58 51 03 71</t>
        </is>
      </c>
      <c r="M556" s="4" t="inlineStr">
        <is>
          <t>accueil.chl@coeurhautelande.fr</t>
        </is>
      </c>
      <c r="N556" s="4" t="inlineStr">
        <is>
          <t>https://www.coeurhautelande.fr/</t>
        </is>
      </c>
      <c r="O556" s="4" t="inlineStr">
        <is>
          <t>https://www.coeurhautelande.fr/Communaute-de-communes/Coeur-Haute-Lande/Contacter-la-Communaute-de-Communes</t>
        </is>
      </c>
      <c r="P556" s="4" t="inlineStr">
        <is>
          <t>https://lannuaire.service-public.gouv.fr/nouvelle-aquitaine/landes/03f19b56-01e1-4d56-9fd1-4e76039783b1</t>
        </is>
      </c>
      <c r="Q556" t="inlineStr">
        <is>
          <t>Annuaire Service-public.fr</t>
        </is>
      </c>
      <c r="R556" t="inlineStr"/>
      <c r="S556" t="inlineStr"/>
      <c r="T556" t="inlineStr"/>
    </row>
    <row r="557">
      <c r="A557" t="inlineStr">
        <is>
          <t>CC Coteaux et Vallées des Luys</t>
        </is>
      </c>
      <c r="B557" t="inlineStr">
        <is>
          <t>Communauté de communes</t>
        </is>
      </c>
      <c r="C557" t="inlineStr">
        <is>
          <t>244000881</t>
        </is>
      </c>
      <c r="D557" t="inlineStr">
        <is>
          <t>40</t>
        </is>
      </c>
      <c r="E557" t="inlineStr">
        <is>
          <t>Landes</t>
        </is>
      </c>
      <c r="F557" t="inlineStr">
        <is>
          <t>Nouvelle-Aquitaine</t>
        </is>
      </c>
      <c r="G557" s="3" t="n">
        <v>7647</v>
      </c>
      <c r="H557" t="n">
        <v>16</v>
      </c>
      <c r="I557" t="inlineStr">
        <is>
          <t>19 place de la Técouère</t>
        </is>
      </c>
      <c r="J557" t="inlineStr">
        <is>
          <t>40330</t>
        </is>
      </c>
      <c r="K557" t="inlineStr">
        <is>
          <t>Amou</t>
        </is>
      </c>
      <c r="L557" t="inlineStr">
        <is>
          <t>05 58 89 00 50</t>
        </is>
      </c>
      <c r="M557" s="4" t="inlineStr">
        <is>
          <t>contact@cc-luys.fr</t>
        </is>
      </c>
      <c r="N557" s="4" t="inlineStr">
        <is>
          <t>https://www.cc-luys.fr/</t>
        </is>
      </c>
      <c r="O557" t="inlineStr"/>
      <c r="P557" s="4" t="inlineStr">
        <is>
          <t>https://lannuaire.service-public.gouv.fr/nouvelle-aquitaine/landes/23d8004f-e45b-4a3d-be96-4afff5d82f52</t>
        </is>
      </c>
      <c r="Q557" t="inlineStr">
        <is>
          <t>Annuaire Service-public.fr</t>
        </is>
      </c>
      <c r="R557" t="inlineStr"/>
      <c r="S557" t="inlineStr"/>
      <c r="T557" t="inlineStr"/>
    </row>
    <row r="558">
      <c r="A558" t="inlineStr">
        <is>
          <t>CC Côte Landes Nature</t>
        </is>
      </c>
      <c r="B558" t="inlineStr">
        <is>
          <t>Communauté de communes</t>
        </is>
      </c>
      <c r="C558" t="inlineStr">
        <is>
          <t>244000857</t>
        </is>
      </c>
      <c r="D558" t="inlineStr">
        <is>
          <t>40</t>
        </is>
      </c>
      <c r="E558" t="inlineStr">
        <is>
          <t>Landes</t>
        </is>
      </c>
      <c r="F558" t="inlineStr">
        <is>
          <t>Nouvelle-Aquitaine</t>
        </is>
      </c>
      <c r="G558" s="3" t="n">
        <v>12672</v>
      </c>
      <c r="H558" t="n">
        <v>10</v>
      </c>
      <c r="I558" t="inlineStr">
        <is>
          <t>272 avenue Jean-Noël-Serret</t>
        </is>
      </c>
      <c r="J558" t="inlineStr">
        <is>
          <t>40260</t>
        </is>
      </c>
      <c r="K558" t="inlineStr">
        <is>
          <t>Castets</t>
        </is>
      </c>
      <c r="L558" t="inlineStr">
        <is>
          <t>05 58 55 08 75</t>
        </is>
      </c>
      <c r="M558" s="4" t="inlineStr">
        <is>
          <t>secretariat@cc-cln.fr</t>
        </is>
      </c>
      <c r="N558" s="4" t="inlineStr">
        <is>
          <t>https://www.cc-cln.fr/</t>
        </is>
      </c>
      <c r="O558" s="4" t="inlineStr">
        <is>
          <t>https://www.cc-cln.fr/communaute-de-communes/contact</t>
        </is>
      </c>
      <c r="P558" s="4" t="inlineStr">
        <is>
          <t>https://lannuaire.service-public.gouv.fr/nouvelle-aquitaine/landes/d45a48a5-111b-45c9-9d4e-73ce623f4cb4</t>
        </is>
      </c>
      <c r="Q558" t="inlineStr">
        <is>
          <t>Annuaire Service-public.fr</t>
        </is>
      </c>
      <c r="R558" t="inlineStr"/>
      <c r="S558" t="inlineStr"/>
      <c r="T558" t="inlineStr"/>
    </row>
    <row r="559">
      <c r="A559" t="inlineStr">
        <is>
          <t>CC Maremne Adour Côte Sud</t>
        </is>
      </c>
      <c r="B559" t="inlineStr">
        <is>
          <t>Communauté de communes</t>
        </is>
      </c>
      <c r="C559" t="inlineStr">
        <is>
          <t>244000865</t>
        </is>
      </c>
      <c r="D559" t="inlineStr">
        <is>
          <t>40</t>
        </is>
      </c>
      <c r="E559" t="inlineStr">
        <is>
          <t>Landes</t>
        </is>
      </c>
      <c r="F559" t="inlineStr">
        <is>
          <t>Nouvelle-Aquitaine</t>
        </is>
      </c>
      <c r="G559" s="3" t="n">
        <v>71315</v>
      </c>
      <c r="H559" t="n">
        <v>23</v>
      </c>
      <c r="I559" t="inlineStr">
        <is>
          <t>Allée des Camélias</t>
        </is>
      </c>
      <c r="J559" t="inlineStr">
        <is>
          <t>40230</t>
        </is>
      </c>
      <c r="K559" t="inlineStr">
        <is>
          <t>Saint-Vincent-de-Tyrosse</t>
        </is>
      </c>
      <c r="L559" t="inlineStr">
        <is>
          <t>05 58 77 23 23</t>
        </is>
      </c>
      <c r="M559" s="4" t="inlineStr">
        <is>
          <t>contact@cc-macs.org</t>
        </is>
      </c>
      <c r="N559" s="4" t="inlineStr">
        <is>
          <t>https://www.cc-macs.org/</t>
        </is>
      </c>
      <c r="O559" t="inlineStr"/>
      <c r="P559" s="4" t="inlineStr">
        <is>
          <t>https://lannuaire.service-public.gouv.fr/nouvelle-aquitaine/landes/04d10a79-1573-4e01-9279-22ba46ff80ef</t>
        </is>
      </c>
      <c r="Q559" t="inlineStr">
        <is>
          <t>Annuaire Service-public.fr</t>
        </is>
      </c>
      <c r="R559" t="inlineStr"/>
      <c r="S559" t="inlineStr"/>
      <c r="T559" t="inlineStr"/>
    </row>
    <row r="560">
      <c r="A560" t="inlineStr">
        <is>
          <t>CC Pays d'Orthe et Arrigans</t>
        </is>
      </c>
      <c r="B560" t="inlineStr">
        <is>
          <t>Communauté de communes</t>
        </is>
      </c>
      <c r="C560" t="inlineStr">
        <is>
          <t>200069417</t>
        </is>
      </c>
      <c r="D560" t="inlineStr">
        <is>
          <t>40</t>
        </is>
      </c>
      <c r="E560" t="inlineStr">
        <is>
          <t>Landes</t>
        </is>
      </c>
      <c r="F560" t="inlineStr">
        <is>
          <t>Nouvelle-Aquitaine</t>
        </is>
      </c>
      <c r="G560" s="3" t="n">
        <v>24363</v>
      </c>
      <c r="H560" t="n">
        <v>24</v>
      </c>
      <c r="I560" t="inlineStr">
        <is>
          <t>156 route de Mahoumic</t>
        </is>
      </c>
      <c r="J560" t="inlineStr">
        <is>
          <t>40300</t>
        </is>
      </c>
      <c r="K560" t="inlineStr">
        <is>
          <t>Peyrehorade</t>
        </is>
      </c>
      <c r="L560" t="inlineStr">
        <is>
          <t>05 58 73 60 03</t>
        </is>
      </c>
      <c r="M560" s="4" t="inlineStr">
        <is>
          <t>contact@orthe-arrigans.fr</t>
        </is>
      </c>
      <c r="N560" s="4" t="inlineStr">
        <is>
          <t>https://www.pays-orthe-arrigans.fr/</t>
        </is>
      </c>
      <c r="O560" s="4" t="inlineStr">
        <is>
          <t>https://www.pays-orthe-arrigans.fr/contact.html</t>
        </is>
      </c>
      <c r="P560" s="4" t="inlineStr">
        <is>
          <t>https://lannuaire.service-public.gouv.fr/nouvelle-aquitaine/landes/23ce6b07-68a0-40e7-bf15-54dc32d8f07c</t>
        </is>
      </c>
      <c r="Q560" t="inlineStr">
        <is>
          <t>Annuaire Service-public.fr</t>
        </is>
      </c>
      <c r="R560" t="inlineStr"/>
      <c r="S560" t="inlineStr"/>
      <c r="T560" t="inlineStr"/>
    </row>
    <row r="561">
      <c r="A561" t="inlineStr">
        <is>
          <t>CC Terres de Chalosse</t>
        </is>
      </c>
      <c r="B561" t="inlineStr">
        <is>
          <t>Communauté de communes</t>
        </is>
      </c>
      <c r="C561" t="inlineStr">
        <is>
          <t>200069631</t>
        </is>
      </c>
      <c r="D561" t="inlineStr">
        <is>
          <t>40</t>
        </is>
      </c>
      <c r="E561" t="inlineStr">
        <is>
          <t>Landes</t>
        </is>
      </c>
      <c r="F561" t="inlineStr">
        <is>
          <t>Nouvelle-Aquitaine</t>
        </is>
      </c>
      <c r="G561" s="3" t="n">
        <v>18276</v>
      </c>
      <c r="H561" t="n">
        <v>34</v>
      </c>
      <c r="I561" t="inlineStr">
        <is>
          <t>55 place Foch</t>
        </is>
      </c>
      <c r="J561" t="inlineStr">
        <is>
          <t>40380</t>
        </is>
      </c>
      <c r="K561" t="inlineStr">
        <is>
          <t>Montfort-en-Chalosse</t>
        </is>
      </c>
      <c r="L561" t="inlineStr">
        <is>
          <t>05 58 98 45 88</t>
        </is>
      </c>
      <c r="M561" s="4" t="inlineStr">
        <is>
          <t>contact@terresdechalosse.fr</t>
        </is>
      </c>
      <c r="N561" s="4" t="inlineStr">
        <is>
          <t>https://www.terresdechalosse.fr/</t>
        </is>
      </c>
      <c r="O561" s="4" t="inlineStr">
        <is>
          <t>https://www.terresdechalosse.fr/Communaute-de-communes/Terres-de-Chalosse/Contactez-nous</t>
        </is>
      </c>
      <c r="P561" s="4" t="inlineStr">
        <is>
          <t>https://lannuaire.service-public.gouv.fr/nouvelle-aquitaine/landes/c56a0986-6bfe-49f1-b795-9e0ca967cea2</t>
        </is>
      </c>
      <c r="Q561" t="inlineStr">
        <is>
          <t>Annuaire Service-public.fr</t>
        </is>
      </c>
      <c r="R561" t="inlineStr"/>
      <c r="S561" t="inlineStr"/>
      <c r="T561" t="inlineStr"/>
    </row>
    <row r="562">
      <c r="A562" t="inlineStr">
        <is>
          <t>CC de Mimizan</t>
        </is>
      </c>
      <c r="B562" t="inlineStr">
        <is>
          <t>Communauté de communes</t>
        </is>
      </c>
      <c r="C562" t="inlineStr">
        <is>
          <t>244000543</t>
        </is>
      </c>
      <c r="D562" t="inlineStr">
        <is>
          <t>40</t>
        </is>
      </c>
      <c r="E562" t="inlineStr">
        <is>
          <t>Landes</t>
        </is>
      </c>
      <c r="F562" t="inlineStr">
        <is>
          <t>Nouvelle-Aquitaine</t>
        </is>
      </c>
      <c r="G562" s="3" t="n">
        <v>12927</v>
      </c>
      <c r="H562" t="n">
        <v>6</v>
      </c>
      <c r="I562" t="inlineStr">
        <is>
          <t>3 avenue de la Gare</t>
        </is>
      </c>
      <c r="J562" t="inlineStr">
        <is>
          <t>40200</t>
        </is>
      </c>
      <c r="K562" t="inlineStr">
        <is>
          <t>Mimizan</t>
        </is>
      </c>
      <c r="L562" t="inlineStr">
        <is>
          <t>05 58 09 44 55</t>
        </is>
      </c>
      <c r="M562" s="4" t="inlineStr">
        <is>
          <t>contact@mimizan.net</t>
        </is>
      </c>
      <c r="N562" s="4" t="inlineStr">
        <is>
          <t>https://www.cc-mimizan.fr/</t>
        </is>
      </c>
      <c r="O562" t="inlineStr"/>
      <c r="P562" s="4" t="inlineStr">
        <is>
          <t>https://lannuaire.service-public.gouv.fr/nouvelle-aquitaine/landes/ceef7e34-3c83-4dfa-ba66-b61d58412db7</t>
        </is>
      </c>
      <c r="Q562" t="inlineStr">
        <is>
          <t>Annuaire Service-public.fr</t>
        </is>
      </c>
      <c r="R562" t="inlineStr"/>
      <c r="S562" t="inlineStr"/>
      <c r="T562" t="inlineStr"/>
    </row>
    <row r="563">
      <c r="A563" t="inlineStr">
        <is>
          <t>CC des Grands Lacs</t>
        </is>
      </c>
      <c r="B563" t="inlineStr">
        <is>
          <t>Communauté de communes</t>
        </is>
      </c>
      <c r="C563" t="inlineStr">
        <is>
          <t>244000873</t>
        </is>
      </c>
      <c r="D563" t="inlineStr">
        <is>
          <t>40</t>
        </is>
      </c>
      <c r="E563" t="inlineStr">
        <is>
          <t>Landes</t>
        </is>
      </c>
      <c r="F563" t="inlineStr">
        <is>
          <t>Nouvelle-Aquitaine</t>
        </is>
      </c>
      <c r="G563" s="3" t="n">
        <v>32874</v>
      </c>
      <c r="H563" t="n">
        <v>7</v>
      </c>
      <c r="I563" t="inlineStr">
        <is>
          <t>29 avenue Léopold-Darmuzey, centre administratif</t>
        </is>
      </c>
      <c r="J563" t="inlineStr">
        <is>
          <t>40160</t>
        </is>
      </c>
      <c r="K563" t="inlineStr">
        <is>
          <t>Parentis-en-Born</t>
        </is>
      </c>
      <c r="L563" t="inlineStr">
        <is>
          <t>05 58 78 54 63</t>
        </is>
      </c>
      <c r="M563" s="4" t="inlineStr">
        <is>
          <t>secretariat.general@ccgrandslacs.fr</t>
        </is>
      </c>
      <c r="N563" s="4" t="inlineStr">
        <is>
          <t>https://www.ccgrandslacs.fr/</t>
        </is>
      </c>
      <c r="O563" t="inlineStr"/>
      <c r="P563" s="4" t="inlineStr">
        <is>
          <t>https://lannuaire.service-public.gouv.fr/nouvelle-aquitaine/landes/4c3cce19-076f-49df-b890-af92a3fd7f34</t>
        </is>
      </c>
      <c r="Q563" t="inlineStr">
        <is>
          <t>Annuaire Service-public.fr</t>
        </is>
      </c>
      <c r="R563" t="inlineStr"/>
      <c r="S563" t="inlineStr"/>
      <c r="T563" t="inlineStr"/>
    </row>
    <row r="564">
      <c r="A564" t="inlineStr">
        <is>
          <t>CC des Landes d'Armagnac</t>
        </is>
      </c>
      <c r="B564" t="inlineStr">
        <is>
          <t>Communauté de communes</t>
        </is>
      </c>
      <c r="C564" t="inlineStr">
        <is>
          <t>200035541</t>
        </is>
      </c>
      <c r="D564" t="inlineStr">
        <is>
          <t>40</t>
        </is>
      </c>
      <c r="E564" t="inlineStr">
        <is>
          <t>Landes</t>
        </is>
      </c>
      <c r="F564" t="inlineStr">
        <is>
          <t>Nouvelle-Aquitaine</t>
        </is>
      </c>
      <c r="G564" s="3" t="n">
        <v>10743</v>
      </c>
      <c r="H564" t="n">
        <v>27</v>
      </c>
      <c r="I564" t="inlineStr">
        <is>
          <t>31 chemin de Bas-de-Haut</t>
        </is>
      </c>
      <c r="J564" t="inlineStr">
        <is>
          <t>40120</t>
        </is>
      </c>
      <c r="K564" t="inlineStr">
        <is>
          <t>Roquefort</t>
        </is>
      </c>
      <c r="L564" t="inlineStr">
        <is>
          <t>05 58 45 66 93</t>
        </is>
      </c>
      <c r="M564" s="4" t="inlineStr">
        <is>
          <t>contact@ccla40.fr</t>
        </is>
      </c>
      <c r="N564" s="4" t="inlineStr">
        <is>
          <t>https://www.landesdarmagnac.fr/</t>
        </is>
      </c>
      <c r="O564" t="inlineStr"/>
      <c r="P564" s="4" t="inlineStr">
        <is>
          <t>https://lannuaire.service-public.gouv.fr/nouvelle-aquitaine/landes/c3476eaa-4cee-4812-a45b-3da879670f71</t>
        </is>
      </c>
      <c r="Q564" t="inlineStr">
        <is>
          <t>Annuaire Service-public.fr</t>
        </is>
      </c>
      <c r="R564" t="inlineStr"/>
      <c r="S564" t="inlineStr"/>
      <c r="T564" t="inlineStr"/>
    </row>
    <row r="565">
      <c r="A565" t="inlineStr">
        <is>
          <t>CC du Pays Grenadois</t>
        </is>
      </c>
      <c r="B565" t="inlineStr">
        <is>
          <t>Communauté de communes</t>
        </is>
      </c>
      <c r="C565" t="inlineStr">
        <is>
          <t>244000824</t>
        </is>
      </c>
      <c r="D565" t="inlineStr">
        <is>
          <t>40</t>
        </is>
      </c>
      <c r="E565" t="inlineStr">
        <is>
          <t>Landes</t>
        </is>
      </c>
      <c r="F565" t="inlineStr">
        <is>
          <t>Nouvelle-Aquitaine</t>
        </is>
      </c>
      <c r="G565" s="3" t="n">
        <v>7713</v>
      </c>
      <c r="H565" t="n">
        <v>11</v>
      </c>
      <c r="I565" t="inlineStr">
        <is>
          <t>14 place des Tilleuls</t>
        </is>
      </c>
      <c r="J565" t="inlineStr">
        <is>
          <t>40270</t>
        </is>
      </c>
      <c r="K565" t="inlineStr">
        <is>
          <t>Grenade-sur-l'Adour</t>
        </is>
      </c>
      <c r="L565" t="inlineStr">
        <is>
          <t>05 58 45 44 42</t>
        </is>
      </c>
      <c r="M565" s="4" t="inlineStr">
        <is>
          <t>secretariat@cc-paysgrenadois.fr</t>
        </is>
      </c>
      <c r="N565" s="4" t="inlineStr">
        <is>
          <t>https://www.cc-paysgrenadois.fr</t>
        </is>
      </c>
      <c r="O565" t="inlineStr"/>
      <c r="P565" s="4" t="inlineStr">
        <is>
          <t>https://lannuaire.service-public.gouv.fr/nouvelle-aquitaine/landes/be3612dc-6b96-4d92-a00a-b95f22f1ce8e</t>
        </is>
      </c>
      <c r="Q565" t="inlineStr">
        <is>
          <t>Annuaire Service-public.fr</t>
        </is>
      </c>
      <c r="R565" t="inlineStr"/>
      <c r="S565" t="inlineStr"/>
      <c r="T565" t="inlineStr"/>
    </row>
    <row r="566">
      <c r="A566" t="inlineStr">
        <is>
          <t>CC du Pays Morcenais</t>
        </is>
      </c>
      <c r="B566" t="inlineStr">
        <is>
          <t>Communauté de communes</t>
        </is>
      </c>
      <c r="C566" t="inlineStr">
        <is>
          <t>244000691</t>
        </is>
      </c>
      <c r="D566" t="inlineStr">
        <is>
          <t>40</t>
        </is>
      </c>
      <c r="E566" t="inlineStr">
        <is>
          <t>Landes</t>
        </is>
      </c>
      <c r="F566" t="inlineStr">
        <is>
          <t>Nouvelle-Aquitaine</t>
        </is>
      </c>
      <c r="G566" s="3" t="n">
        <v>9434</v>
      </c>
      <c r="H566" t="n">
        <v>6</v>
      </c>
      <c r="I566" t="inlineStr">
        <is>
          <t>16 place Léo-Bouyssou</t>
        </is>
      </c>
      <c r="J566" t="inlineStr">
        <is>
          <t>40110</t>
        </is>
      </c>
      <c r="K566" t="inlineStr">
        <is>
          <t>Morcenx-la-Nouvelle</t>
        </is>
      </c>
      <c r="L566" t="inlineStr">
        <is>
          <t>05 58 04 14 15</t>
        </is>
      </c>
      <c r="M566" s="4" t="inlineStr">
        <is>
          <t>contact@paysmorcenais.fr</t>
        </is>
      </c>
      <c r="N566" s="4" t="inlineStr">
        <is>
          <t>https://www.paysmorcenais.fr/</t>
        </is>
      </c>
      <c r="O566" s="4" t="inlineStr">
        <is>
          <t>https://www.paysmorcenais.fr/communaute-de-communes/contact</t>
        </is>
      </c>
      <c r="P566" s="4" t="inlineStr">
        <is>
          <t>https://lannuaire.service-public.gouv.fr/nouvelle-aquitaine/landes/22ee9784-f723-4d87-9d5f-619d71aefe90</t>
        </is>
      </c>
      <c r="Q566" t="inlineStr">
        <is>
          <t>Annuaire Service-public.fr</t>
        </is>
      </c>
      <c r="R566" t="inlineStr"/>
      <c r="S566" t="inlineStr"/>
      <c r="T566" t="inlineStr"/>
    </row>
    <row r="567">
      <c r="A567" t="inlineStr">
        <is>
          <t>CC du Pays Tarusate</t>
        </is>
      </c>
      <c r="B567" t="inlineStr">
        <is>
          <t>Communauté de communes</t>
        </is>
      </c>
      <c r="C567" t="inlineStr">
        <is>
          <t>244000766</t>
        </is>
      </c>
      <c r="D567" t="inlineStr">
        <is>
          <t>40</t>
        </is>
      </c>
      <c r="E567" t="inlineStr">
        <is>
          <t>Landes</t>
        </is>
      </c>
      <c r="F567" t="inlineStr">
        <is>
          <t>Nouvelle-Aquitaine</t>
        </is>
      </c>
      <c r="G567" s="3" t="n">
        <v>18074</v>
      </c>
      <c r="H567" t="n">
        <v>17</v>
      </c>
      <c r="I567" t="inlineStr">
        <is>
          <t>143 rue Jules-Ferry</t>
        </is>
      </c>
      <c r="J567" t="inlineStr">
        <is>
          <t>40400</t>
        </is>
      </c>
      <c r="K567" t="inlineStr">
        <is>
          <t>Tartas</t>
        </is>
      </c>
      <c r="L567" t="inlineStr">
        <is>
          <t>05 58 73 31 28</t>
        </is>
      </c>
      <c r="M567" s="4" t="inlineStr">
        <is>
          <t>accueil@pays-tarusate.fr</t>
        </is>
      </c>
      <c r="N567" s="4" t="inlineStr">
        <is>
          <t>https://www.pays-tarusate.fr/</t>
        </is>
      </c>
      <c r="O567" s="4" t="inlineStr">
        <is>
          <t>https://www.facebook.com/paystarusate/</t>
        </is>
      </c>
      <c r="P567" s="4" t="inlineStr">
        <is>
          <t>https://lannuaire.service-public.gouv.fr/nouvelle-aquitaine/landes/c69718a1-0a9c-4094-bfe0-9922eb508d99</t>
        </is>
      </c>
      <c r="Q567" t="inlineStr">
        <is>
          <t>Annuaire Service-public.fr</t>
        </is>
      </c>
      <c r="R567" t="inlineStr"/>
      <c r="S567" t="inlineStr"/>
      <c r="T567" t="inlineStr"/>
    </row>
    <row r="568">
      <c r="A568" t="inlineStr">
        <is>
          <t>CC du Pays de Villeneuve en Armagnac Landais</t>
        </is>
      </c>
      <c r="B568" t="inlineStr">
        <is>
          <t>Communauté de communes</t>
        </is>
      </c>
      <c r="C568" t="inlineStr">
        <is>
          <t>244000774</t>
        </is>
      </c>
      <c r="D568" t="inlineStr">
        <is>
          <t>40</t>
        </is>
      </c>
      <c r="E568" t="inlineStr">
        <is>
          <t>Landes</t>
        </is>
      </c>
      <c r="F568" t="inlineStr">
        <is>
          <t>Nouvelle-Aquitaine</t>
        </is>
      </c>
      <c r="G568" s="3" t="n">
        <v>6249</v>
      </c>
      <c r="H568" t="n">
        <v>12</v>
      </c>
      <c r="I568" t="inlineStr">
        <is>
          <t>7 rue de la Birol</t>
        </is>
      </c>
      <c r="J568" t="inlineStr">
        <is>
          <t>40190</t>
        </is>
      </c>
      <c r="K568" t="inlineStr">
        <is>
          <t>Villeneuve-de-Marsan</t>
        </is>
      </c>
      <c r="L568" t="inlineStr">
        <is>
          <t>05 58 93 08 00</t>
        </is>
      </c>
      <c r="M568" s="4" t="inlineStr">
        <is>
          <t>accueil@cc-vdm.com</t>
        </is>
      </c>
      <c r="N568" s="4" t="inlineStr">
        <is>
          <t>https://www.cc-vdm.com/</t>
        </is>
      </c>
      <c r="O568" s="4" t="inlineStr">
        <is>
          <t>https://www.cc-vdm.com/CDC-Pays-de-Villeneuve/La-Communaute-de-Communes/Nous-contacter</t>
        </is>
      </c>
      <c r="P568" s="4" t="inlineStr">
        <is>
          <t>https://lannuaire.service-public.gouv.fr/nouvelle-aquitaine/landes/ed61e58d-b3d6-44aa-8875-c651b808526e</t>
        </is>
      </c>
      <c r="Q568" t="inlineStr">
        <is>
          <t>Annuaire Service-public.fr</t>
        </is>
      </c>
      <c r="R568" t="inlineStr"/>
      <c r="S568" t="inlineStr"/>
      <c r="T568" t="inlineStr"/>
    </row>
    <row r="569">
      <c r="A569" t="inlineStr">
        <is>
          <t>CC du Seignanx</t>
        </is>
      </c>
      <c r="B569" t="inlineStr">
        <is>
          <t>Communauté de communes</t>
        </is>
      </c>
      <c r="C569" t="inlineStr">
        <is>
          <t>244000659</t>
        </is>
      </c>
      <c r="D569" t="inlineStr">
        <is>
          <t>40</t>
        </is>
      </c>
      <c r="E569" t="inlineStr">
        <is>
          <t>Landes</t>
        </is>
      </c>
      <c r="F569" t="inlineStr">
        <is>
          <t>Nouvelle-Aquitaine</t>
        </is>
      </c>
      <c r="G569" s="3" t="n">
        <v>29658</v>
      </c>
      <c r="H569" t="n">
        <v>8</v>
      </c>
      <c r="I569" t="inlineStr">
        <is>
          <t>1526 avenue de Barrère, Maison Clairbois</t>
        </is>
      </c>
      <c r="J569" t="inlineStr">
        <is>
          <t>40390</t>
        </is>
      </c>
      <c r="K569" t="inlineStr">
        <is>
          <t>Saint-Martin-de-Seignanx</t>
        </is>
      </c>
      <c r="L569" t="inlineStr">
        <is>
          <t>05 59 56 61 61</t>
        </is>
      </c>
      <c r="M569" s="4" t="inlineStr">
        <is>
          <t>accueil@cc-seignanx.fr</t>
        </is>
      </c>
      <c r="N569" s="4" t="inlineStr">
        <is>
          <t>https://www.cc-seignanx.fr/</t>
        </is>
      </c>
      <c r="O569" s="4" t="inlineStr">
        <is>
          <t>https://www.cc-seignanx.fr/Communaute-de-Communes/Votre-Communaute/Nous-contacter</t>
        </is>
      </c>
      <c r="P569" s="4" t="inlineStr">
        <is>
          <t>https://lannuaire.service-public.gouv.fr/nouvelle-aquitaine/landes/d3a5d630-81bb-466c-9e52-0af25638c816</t>
        </is>
      </c>
      <c r="Q569" t="inlineStr">
        <is>
          <t>Annuaire Service-public.fr</t>
        </is>
      </c>
      <c r="R569" t="inlineStr"/>
      <c r="S569" t="inlineStr"/>
      <c r="T569" t="inlineStr"/>
    </row>
    <row r="570">
      <c r="A570" t="inlineStr">
        <is>
          <t>CA Territoires Vendômois</t>
        </is>
      </c>
      <c r="B570" t="inlineStr">
        <is>
          <t>Communauté d’agglomération</t>
        </is>
      </c>
      <c r="C570" t="inlineStr">
        <is>
          <t>200072072</t>
        </is>
      </c>
      <c r="D570" t="inlineStr">
        <is>
          <t>41</t>
        </is>
      </c>
      <c r="E570" t="inlineStr">
        <is>
          <t>Loir-et-Cher</t>
        </is>
      </c>
      <c r="F570" t="inlineStr">
        <is>
          <t>Centre-Val de Loire</t>
        </is>
      </c>
      <c r="G570" s="3" t="n">
        <v>52136</v>
      </c>
      <c r="H570" t="n">
        <v>65</v>
      </c>
      <c r="I570" t="inlineStr">
        <is>
          <t>Parc Ronsard</t>
        </is>
      </c>
      <c r="J570" t="inlineStr">
        <is>
          <t>41100</t>
        </is>
      </c>
      <c r="K570" t="inlineStr">
        <is>
          <t>Vendôme</t>
        </is>
      </c>
      <c r="L570" t="inlineStr">
        <is>
          <t>02 54 89 42 00</t>
        </is>
      </c>
      <c r="M570" s="4" t="inlineStr">
        <is>
          <t>courrier@catv41.fr</t>
        </is>
      </c>
      <c r="N570" s="4" t="inlineStr">
        <is>
          <t>https://www.territoiresvendomois.fr/</t>
        </is>
      </c>
      <c r="O570" s="4" t="inlineStr">
        <is>
          <t>https://www.territoiresvendomois.fr/contactez-nous/</t>
        </is>
      </c>
      <c r="P570" s="4" t="inlineStr">
        <is>
          <t>https://lannuaire.service-public.gouv.fr/centre-val-de-loire/loir-et-cher/6ec56d5c-8925-4eb5-8b68-ba5ba265a6cc</t>
        </is>
      </c>
      <c r="Q570" t="inlineStr">
        <is>
          <t>Annuaire Service-public.fr</t>
        </is>
      </c>
      <c r="R570" t="inlineStr"/>
      <c r="S570" t="inlineStr"/>
      <c r="T570" t="inlineStr"/>
    </row>
    <row r="571">
      <c r="A571" t="inlineStr">
        <is>
          <t>CA de Blois ''Agglopolys''</t>
        </is>
      </c>
      <c r="B571" t="inlineStr">
        <is>
          <t>Communauté d’agglomération</t>
        </is>
      </c>
      <c r="C571" t="inlineStr">
        <is>
          <t>200030385</t>
        </is>
      </c>
      <c r="D571" t="inlineStr">
        <is>
          <t>41</t>
        </is>
      </c>
      <c r="E571" t="inlineStr">
        <is>
          <t>Loir-et-Cher</t>
        </is>
      </c>
      <c r="F571" t="inlineStr">
        <is>
          <t>Centre-Val de Loire</t>
        </is>
      </c>
      <c r="G571" s="3" t="n">
        <v>106574</v>
      </c>
      <c r="H571" t="n">
        <v>43</v>
      </c>
      <c r="I571" t="inlineStr">
        <is>
          <t>1 rue Honoré-de-Balzac, Hôtel d'agglomération, CS 4318</t>
        </is>
      </c>
      <c r="J571" t="inlineStr">
        <is>
          <t>41043</t>
        </is>
      </c>
      <c r="K571" t="inlineStr">
        <is>
          <t>Blois Cedex</t>
        </is>
      </c>
      <c r="L571" t="inlineStr">
        <is>
          <t>02 54 90 35 35</t>
        </is>
      </c>
      <c r="M571" s="4" t="inlineStr">
        <is>
          <t>contact@agglopolys.fr</t>
        </is>
      </c>
      <c r="N571" s="4" t="inlineStr">
        <is>
          <t>http://www.agglopolys.fr</t>
        </is>
      </c>
      <c r="O571" s="4" t="inlineStr">
        <is>
          <t>https://m.agglopolys.fr/</t>
        </is>
      </c>
      <c r="P571" s="4" t="inlineStr">
        <is>
          <t>https://lannuaire.service-public.gouv.fr/centre-val-de-loire/loir-et-cher/f2045ea3-baa1-414c-b50b-4ce49de959f5</t>
        </is>
      </c>
      <c r="Q571" t="inlineStr">
        <is>
          <t>Annuaire Service-public.fr</t>
        </is>
      </c>
      <c r="R571" t="inlineStr"/>
      <c r="S571" t="inlineStr"/>
      <c r="T571" t="inlineStr"/>
    </row>
    <row r="572">
      <c r="A572" t="inlineStr">
        <is>
          <t>CC Beauce Val de Loire</t>
        </is>
      </c>
      <c r="B572" t="inlineStr">
        <is>
          <t>Communauté de communes</t>
        </is>
      </c>
      <c r="C572" t="inlineStr">
        <is>
          <t>200055481</t>
        </is>
      </c>
      <c r="D572" t="inlineStr">
        <is>
          <t>41</t>
        </is>
      </c>
      <c r="E572" t="inlineStr">
        <is>
          <t>Loir-et-Cher</t>
        </is>
      </c>
      <c r="F572" t="inlineStr">
        <is>
          <t>Centre-Val de Loire</t>
        </is>
      </c>
      <c r="G572" s="3" t="n">
        <v>19658</v>
      </c>
      <c r="H572" t="n">
        <v>30</v>
      </c>
      <c r="I572" t="inlineStr">
        <is>
          <t>9 rue Nationale</t>
        </is>
      </c>
      <c r="J572" t="inlineStr">
        <is>
          <t>41500</t>
        </is>
      </c>
      <c r="K572" t="inlineStr">
        <is>
          <t>Mer</t>
        </is>
      </c>
      <c r="L572" t="inlineStr">
        <is>
          <t>02 54 81 40 80</t>
        </is>
      </c>
      <c r="M572" s="4" t="inlineStr">
        <is>
          <t>contact@beaucevaldeloire.fr</t>
        </is>
      </c>
      <c r="N572" s="4" t="inlineStr">
        <is>
          <t>https://www.beaucevaldeloire.fr/</t>
        </is>
      </c>
      <c r="O572" s="4" t="inlineStr">
        <is>
          <t>https://www.beaucevaldeloire.fr/contact/</t>
        </is>
      </c>
      <c r="P572" s="4" t="inlineStr">
        <is>
          <t>https://lannuaire.service-public.gouv.fr/centre-val-de-loire/loir-et-cher/f5646667-ab43-497e-b222-2dc572278cea</t>
        </is>
      </c>
      <c r="Q572" t="inlineStr">
        <is>
          <t>Annuaire Service-public.fr</t>
        </is>
      </c>
      <c r="R572" t="inlineStr"/>
      <c r="S572" t="inlineStr"/>
      <c r="T572" t="inlineStr"/>
    </row>
    <row r="573">
      <c r="A573" t="inlineStr">
        <is>
          <t>CC Coeur de Sologne</t>
        </is>
      </c>
      <c r="B573" t="inlineStr">
        <is>
          <t>Communauté de communes</t>
        </is>
      </c>
      <c r="C573" t="inlineStr">
        <is>
          <t>200000800</t>
        </is>
      </c>
      <c r="D573" t="inlineStr">
        <is>
          <t>41</t>
        </is>
      </c>
      <c r="E573" t="inlineStr">
        <is>
          <t>Loir-et-Cher</t>
        </is>
      </c>
      <c r="F573" t="inlineStr">
        <is>
          <t>Centre-Val de Loire</t>
        </is>
      </c>
      <c r="G573" s="3" t="n">
        <v>10230</v>
      </c>
      <c r="H573" t="n">
        <v>6</v>
      </c>
      <c r="I573" t="inlineStr">
        <is>
          <t>Place Simone-Veil</t>
        </is>
      </c>
      <c r="J573" t="inlineStr">
        <is>
          <t>41600</t>
        </is>
      </c>
      <c r="K573" t="inlineStr">
        <is>
          <t>Lamotte-Beuvron</t>
        </is>
      </c>
      <c r="L573" t="inlineStr">
        <is>
          <t>02 54 83 09 92</t>
        </is>
      </c>
      <c r="M573" s="4" t="inlineStr">
        <is>
          <t>contact@coeurdesologne.com</t>
        </is>
      </c>
      <c r="N573" t="inlineStr"/>
      <c r="O573" t="inlineStr"/>
      <c r="P573" s="4" t="inlineStr">
        <is>
          <t>https://lannuaire.service-public.gouv.fr/centre-val-de-loire/loir-et-cher/47f5514b-2401-49dc-94d3-cd14c4eece86</t>
        </is>
      </c>
      <c r="Q573" t="inlineStr">
        <is>
          <t>Annuaire Service-public.fr</t>
        </is>
      </c>
      <c r="R573" t="inlineStr"/>
      <c r="S573" t="inlineStr"/>
      <c r="T573" t="inlineStr"/>
    </row>
    <row r="574">
      <c r="A574" t="inlineStr">
        <is>
          <t>CC Val-de-Cher-Controis</t>
        </is>
      </c>
      <c r="B574" t="inlineStr">
        <is>
          <t>Communauté de communes</t>
        </is>
      </c>
      <c r="C574" t="inlineStr">
        <is>
          <t>200072064</t>
        </is>
      </c>
      <c r="D574" t="inlineStr">
        <is>
          <t>41</t>
        </is>
      </c>
      <c r="E574" t="inlineStr">
        <is>
          <t>Loir-et-Cher</t>
        </is>
      </c>
      <c r="F574" t="inlineStr">
        <is>
          <t>Centre-Val de Loire</t>
        </is>
      </c>
      <c r="G574" s="3" t="n">
        <v>46974</v>
      </c>
      <c r="H574" t="n">
        <v>33</v>
      </c>
      <c r="I574" t="inlineStr">
        <is>
          <t>15 A rue des Entrepreneurs, ZI des Barreliers</t>
        </is>
      </c>
      <c r="J574" t="inlineStr">
        <is>
          <t>41700</t>
        </is>
      </c>
      <c r="K574" t="inlineStr">
        <is>
          <t>Le-Controis-en-Sologne</t>
        </is>
      </c>
      <c r="L574" t="inlineStr">
        <is>
          <t>02 54 79 15 50</t>
        </is>
      </c>
      <c r="M574" s="4" t="inlineStr">
        <is>
          <t>contact@val2c.fr</t>
        </is>
      </c>
      <c r="N574" s="4" t="inlineStr">
        <is>
          <t>https://www.val2c.fr/</t>
        </is>
      </c>
      <c r="O574" s="4" t="inlineStr">
        <is>
          <t>https://www.val2c.fr/contact/</t>
        </is>
      </c>
      <c r="P574" s="4" t="inlineStr">
        <is>
          <t>https://lannuaire.service-public.gouv.fr/centre-val-de-loire/loir-et-cher/8ee96140-871c-4db8-8edf-e5223bd24bf6</t>
        </is>
      </c>
      <c r="Q574" t="inlineStr">
        <is>
          <t>Annuaire Service-public.fr</t>
        </is>
      </c>
      <c r="R574" t="inlineStr"/>
      <c r="S574" t="inlineStr"/>
      <c r="T574" t="inlineStr"/>
    </row>
    <row r="575">
      <c r="A575" t="inlineStr">
        <is>
          <t>CC de la Sologne des Etangs</t>
        </is>
      </c>
      <c r="B575" t="inlineStr">
        <is>
          <t>Communauté de communes</t>
        </is>
      </c>
      <c r="C575" t="inlineStr">
        <is>
          <t>244100780</t>
        </is>
      </c>
      <c r="D575" t="inlineStr">
        <is>
          <t>41</t>
        </is>
      </c>
      <c r="E575" t="inlineStr">
        <is>
          <t>Loir-et-Cher</t>
        </is>
      </c>
      <c r="F575" t="inlineStr">
        <is>
          <t>Centre-Val de Loire</t>
        </is>
      </c>
      <c r="G575" s="3" t="n">
        <v>8651</v>
      </c>
      <c r="H575" t="n">
        <v>12</v>
      </c>
      <c r="I575" t="inlineStr">
        <is>
          <t>Domaine de Villemorant</t>
        </is>
      </c>
      <c r="J575" t="inlineStr">
        <is>
          <t>41210</t>
        </is>
      </c>
      <c r="K575" t="inlineStr">
        <is>
          <t>Neung-sur-Beuvron</t>
        </is>
      </c>
      <c r="L575" t="inlineStr">
        <is>
          <t>02 54 94 62 00</t>
        </is>
      </c>
      <c r="M575" s="4" t="inlineStr">
        <is>
          <t>contact@sologne-des-etangs.fr</t>
        </is>
      </c>
      <c r="N575" s="4" t="inlineStr">
        <is>
          <t>https://www.sologne-des-etangs.fr</t>
        </is>
      </c>
      <c r="O575" t="inlineStr"/>
      <c r="P575" s="4" t="inlineStr">
        <is>
          <t>https://lannuaire.service-public.gouv.fr/centre-val-de-loire/loir-et-cher/0f8bded0-705c-44ba-9290-032087f1504c</t>
        </is>
      </c>
      <c r="Q575" t="inlineStr">
        <is>
          <t>Annuaire Service-public.fr</t>
        </is>
      </c>
      <c r="R575" t="inlineStr"/>
      <c r="S575" t="inlineStr"/>
      <c r="T575" t="inlineStr"/>
    </row>
    <row r="576">
      <c r="A576" t="inlineStr">
        <is>
          <t>CC de la Sologne des Rivières</t>
        </is>
      </c>
      <c r="B576" t="inlineStr">
        <is>
          <t>Communauté de communes</t>
        </is>
      </c>
      <c r="C576" t="inlineStr">
        <is>
          <t>244100806</t>
        </is>
      </c>
      <c r="D576" t="inlineStr">
        <is>
          <t>41</t>
        </is>
      </c>
      <c r="E576" t="inlineStr">
        <is>
          <t>Loir-et-Cher</t>
        </is>
      </c>
      <c r="F576" t="inlineStr">
        <is>
          <t>Centre-Val de Loire</t>
        </is>
      </c>
      <c r="G576" s="3" t="n">
        <v>10404</v>
      </c>
      <c r="H576" t="n">
        <v>7</v>
      </c>
      <c r="I576" t="inlineStr">
        <is>
          <t>33 boulevard de la République</t>
        </is>
      </c>
      <c r="J576" t="inlineStr">
        <is>
          <t>41300</t>
        </is>
      </c>
      <c r="K576" t="inlineStr">
        <is>
          <t>Salbris</t>
        </is>
      </c>
      <c r="L576" t="inlineStr">
        <is>
          <t>02 54 97 10 40</t>
        </is>
      </c>
      <c r="M576" s="4" t="inlineStr">
        <is>
          <t>solognedesrivieres@ccsr.fr</t>
        </is>
      </c>
      <c r="N576" s="4" t="inlineStr">
        <is>
          <t>https://sologne-des-rivieres.fr/</t>
        </is>
      </c>
      <c r="O576" t="inlineStr"/>
      <c r="P576" s="4" t="inlineStr">
        <is>
          <t>https://lannuaire.service-public.gouv.fr/centre-val-de-loire/loir-et-cher/86399de6-2317-47e7-80fc-dc72d64a8f7c</t>
        </is>
      </c>
      <c r="Q576" t="inlineStr">
        <is>
          <t>Annuaire Service-public.fr</t>
        </is>
      </c>
      <c r="R576" t="inlineStr"/>
      <c r="S576" t="inlineStr"/>
      <c r="T576" t="inlineStr"/>
    </row>
    <row r="577">
      <c r="A577" t="inlineStr">
        <is>
          <t>CC des Collines du Perche</t>
        </is>
      </c>
      <c r="B577" t="inlineStr">
        <is>
          <t>Communauté de communes</t>
        </is>
      </c>
      <c r="C577" t="inlineStr">
        <is>
          <t>244100293</t>
        </is>
      </c>
      <c r="D577" t="inlineStr">
        <is>
          <t>41</t>
        </is>
      </c>
      <c r="E577" t="inlineStr">
        <is>
          <t>Loir-et-Cher</t>
        </is>
      </c>
      <c r="F577" t="inlineStr">
        <is>
          <t>Centre-Val de Loire</t>
        </is>
      </c>
      <c r="G577" s="3" t="n">
        <v>5885</v>
      </c>
      <c r="H577" t="n">
        <v>12</v>
      </c>
      <c r="I577" t="inlineStr">
        <is>
          <t>36 rue Gheerbrant</t>
        </is>
      </c>
      <c r="J577" t="inlineStr">
        <is>
          <t>41170</t>
        </is>
      </c>
      <c r="K577" t="inlineStr">
        <is>
          <t>Mondoubleau</t>
        </is>
      </c>
      <c r="L577" t="inlineStr">
        <is>
          <t>02 54 89 71 14</t>
        </is>
      </c>
      <c r="M577" s="4" t="inlineStr">
        <is>
          <t>dgs@cc-collinesperche.fr</t>
        </is>
      </c>
      <c r="N577" s="4" t="inlineStr">
        <is>
          <t>https://www.cc-collinesperche.fr/</t>
        </is>
      </c>
      <c r="O577" s="4" t="inlineStr">
        <is>
          <t>https://www.cc-collinesperche.fr/contact</t>
        </is>
      </c>
      <c r="P577" s="4" t="inlineStr">
        <is>
          <t>https://lannuaire.service-public.gouv.fr/centre-val-de-loire/loir-et-cher/2b2f19e4-aa7a-44c8-95b8-64d3613d77cc</t>
        </is>
      </c>
      <c r="Q577" t="inlineStr">
        <is>
          <t>Annuaire Service-public.fr</t>
        </is>
      </c>
      <c r="R577" t="inlineStr"/>
      <c r="S577" t="inlineStr"/>
      <c r="T577" t="inlineStr"/>
    </row>
    <row r="578">
      <c r="A578" t="inlineStr">
        <is>
          <t>CC du Grand Chambord</t>
        </is>
      </c>
      <c r="B578" t="inlineStr">
        <is>
          <t>Communauté de communes</t>
        </is>
      </c>
      <c r="C578" t="inlineStr">
        <is>
          <t>244100798</t>
        </is>
      </c>
      <c r="D578" t="inlineStr">
        <is>
          <t>41</t>
        </is>
      </c>
      <c r="E578" t="inlineStr">
        <is>
          <t>Loir-et-Cher</t>
        </is>
      </c>
      <c r="F578" t="inlineStr">
        <is>
          <t>Centre-Val de Loire</t>
        </is>
      </c>
      <c r="G578" s="3" t="n">
        <v>20640</v>
      </c>
      <c r="H578" t="n">
        <v>16</v>
      </c>
      <c r="I578" t="inlineStr">
        <is>
          <t>22 avenue de la Sablière</t>
        </is>
      </c>
      <c r="J578" t="inlineStr">
        <is>
          <t>41250</t>
        </is>
      </c>
      <c r="K578" t="inlineStr">
        <is>
          <t>Bracieux</t>
        </is>
      </c>
      <c r="L578" t="inlineStr">
        <is>
          <t>02 54 46 53 80</t>
        </is>
      </c>
      <c r="M578" s="4" t="inlineStr">
        <is>
          <t>contact@grandchambord.fr</t>
        </is>
      </c>
      <c r="N578" s="4" t="inlineStr">
        <is>
          <t>https://www.grandchambord.fr/</t>
        </is>
      </c>
      <c r="O578" s="4" t="inlineStr">
        <is>
          <t>https://www.grandchambord.fr/nous-contacter/</t>
        </is>
      </c>
      <c r="P578" s="4" t="inlineStr">
        <is>
          <t>https://lannuaire.service-public.gouv.fr/centre-val-de-loire/loir-et-cher/0746a14a-affb-43f7-a6db-92cd10ff06bb</t>
        </is>
      </c>
      <c r="Q578" t="inlineStr">
        <is>
          <t>Annuaire Service-public.fr</t>
        </is>
      </c>
      <c r="R578" t="inlineStr"/>
      <c r="S578" t="inlineStr"/>
      <c r="T578" t="inlineStr"/>
    </row>
    <row r="579">
      <c r="A579" t="inlineStr">
        <is>
          <t>CC du Perche et Haut Vendômois</t>
        </is>
      </c>
      <c r="B579" t="inlineStr">
        <is>
          <t>Communauté de communes</t>
        </is>
      </c>
      <c r="C579" t="inlineStr">
        <is>
          <t>200040772</t>
        </is>
      </c>
      <c r="D579" t="inlineStr">
        <is>
          <t>41</t>
        </is>
      </c>
      <c r="E579" t="inlineStr">
        <is>
          <t>Loir-et-Cher</t>
        </is>
      </c>
      <c r="F579" t="inlineStr">
        <is>
          <t>Centre-Val de Loire</t>
        </is>
      </c>
      <c r="G579" s="3" t="n">
        <v>9155</v>
      </c>
      <c r="H579" t="n">
        <v>23</v>
      </c>
      <c r="I579" t="inlineStr">
        <is>
          <t>Place Pierre-Genevée</t>
        </is>
      </c>
      <c r="J579" t="inlineStr">
        <is>
          <t>41160</t>
        </is>
      </c>
      <c r="K579" t="inlineStr">
        <is>
          <t>Freteval</t>
        </is>
      </c>
      <c r="L579" t="inlineStr">
        <is>
          <t>02 54 82 74 91</t>
        </is>
      </c>
      <c r="M579" s="4" t="inlineStr">
        <is>
          <t>cchv@cchv41.fr</t>
        </is>
      </c>
      <c r="N579" s="4" t="inlineStr">
        <is>
          <t>https://cphv41.fr/</t>
        </is>
      </c>
      <c r="O579" s="4" t="inlineStr">
        <is>
          <t>https://cphv41.fr/fr/</t>
        </is>
      </c>
      <c r="P579" s="4" t="inlineStr">
        <is>
          <t>https://lannuaire.service-public.gouv.fr/centre-val-de-loire/loir-et-cher/48f284d1-650a-41ab-b5ef-287623247236</t>
        </is>
      </c>
      <c r="Q579" t="inlineStr">
        <is>
          <t>Annuaire Service-public.fr</t>
        </is>
      </c>
      <c r="R579" t="inlineStr"/>
      <c r="S579" t="inlineStr"/>
      <c r="T579" t="inlineStr"/>
    </row>
    <row r="580">
      <c r="A580" t="inlineStr">
        <is>
          <t>CC du Romorantinais et du Monestois</t>
        </is>
      </c>
      <c r="B580" t="inlineStr">
        <is>
          <t>Communauté de communes</t>
        </is>
      </c>
      <c r="C580" t="inlineStr">
        <is>
          <t>200018406</t>
        </is>
      </c>
      <c r="D580" t="inlineStr">
        <is>
          <t>41</t>
        </is>
      </c>
      <c r="E580" t="inlineStr">
        <is>
          <t>Loir-et-Cher</t>
        </is>
      </c>
      <c r="F580" t="inlineStr">
        <is>
          <t>Centre-Val de Loire</t>
        </is>
      </c>
      <c r="G580" s="3" t="n">
        <v>33921</v>
      </c>
      <c r="H580" t="n">
        <v>16</v>
      </c>
      <c r="I580" t="inlineStr">
        <is>
          <t>Porte des Béliers, Rue Normant</t>
        </is>
      </c>
      <c r="J580" t="inlineStr">
        <is>
          <t>41200</t>
        </is>
      </c>
      <c r="K580" t="inlineStr">
        <is>
          <t>Romorantin-Lanthenay</t>
        </is>
      </c>
      <c r="L580" t="inlineStr">
        <is>
          <t>02 54 94 41 61</t>
        </is>
      </c>
      <c r="M580" s="4" t="inlineStr">
        <is>
          <t>direction.generale@ccrm41.fr</t>
        </is>
      </c>
      <c r="N580" s="4" t="inlineStr">
        <is>
          <t>https://ccrm41.fr/</t>
        </is>
      </c>
      <c r="O580" s="4" t="inlineStr">
        <is>
          <t>https://ccrm41.fr/contact/</t>
        </is>
      </c>
      <c r="P580" s="4" t="inlineStr">
        <is>
          <t>https://lannuaire.service-public.gouv.fr/centre-val-de-loire/loir-et-cher/dc6b0502-a130-430f-8e68-b89ec96cb0dc</t>
        </is>
      </c>
      <c r="Q580" t="inlineStr">
        <is>
          <t>Annuaire Service-public.fr</t>
        </is>
      </c>
      <c r="R580" t="inlineStr"/>
      <c r="S580" t="inlineStr"/>
      <c r="T580" t="inlineStr"/>
    </row>
    <row r="581">
      <c r="A581" t="inlineStr">
        <is>
          <t>CC des Terres du Val de Loire</t>
        </is>
      </c>
      <c r="B581" t="inlineStr">
        <is>
          <t>Communauté de communes</t>
        </is>
      </c>
      <c r="C581" t="inlineStr">
        <is>
          <t>200070183</t>
        </is>
      </c>
      <c r="D581" t="inlineStr">
        <is>
          <t>41, 45</t>
        </is>
      </c>
      <c r="E581" t="inlineStr">
        <is>
          <t>Loir-et-Cher, Loiret</t>
        </is>
      </c>
      <c r="F581" t="inlineStr">
        <is>
          <t>Centre-Val de Loire</t>
        </is>
      </c>
      <c r="G581" s="3" t="n">
        <v>50078</v>
      </c>
      <c r="H581" t="n">
        <v>25</v>
      </c>
      <c r="I581" t="inlineStr">
        <is>
          <t>32 rue du Général-de-Gaulle</t>
        </is>
      </c>
      <c r="J581" t="inlineStr">
        <is>
          <t>45130</t>
        </is>
      </c>
      <c r="K581" t="inlineStr">
        <is>
          <t>Meung-sur-Loire</t>
        </is>
      </c>
      <c r="L581" t="inlineStr">
        <is>
          <t>02 38 45 11 11</t>
        </is>
      </c>
      <c r="M581" s="4" t="inlineStr">
        <is>
          <t>accueil@ccterresduvaldeloire.fr</t>
        </is>
      </c>
      <c r="N581" s="4" t="inlineStr">
        <is>
          <t>https://www.ccterresduvaldeloire.fr/</t>
        </is>
      </c>
      <c r="O581" s="4" t="inlineStr">
        <is>
          <t>https://www.ccterresduvaldeloire.fr/systeme/contact/</t>
        </is>
      </c>
      <c r="P581" s="4" t="inlineStr">
        <is>
          <t>https://lannuaire.service-public.gouv.fr/centre-val-de-loire/loiret/aca18a15-0241-4886-81f7-c048e4b5846f</t>
        </is>
      </c>
      <c r="Q581" t="inlineStr">
        <is>
          <t>Annuaire Service-public.fr</t>
        </is>
      </c>
      <c r="R581" t="inlineStr"/>
      <c r="S581" t="inlineStr"/>
      <c r="T581" t="inlineStr"/>
    </row>
    <row r="582">
      <c r="A582" t="inlineStr">
        <is>
          <t>CA Loire Forez Agglomération (LFA)</t>
        </is>
      </c>
      <c r="B582" t="inlineStr">
        <is>
          <t>Communauté d’agglomération</t>
        </is>
      </c>
      <c r="C582" t="inlineStr">
        <is>
          <t>200065886</t>
        </is>
      </c>
      <c r="D582" t="inlineStr">
        <is>
          <t>42</t>
        </is>
      </c>
      <c r="E582" t="inlineStr">
        <is>
          <t>Loire</t>
        </is>
      </c>
      <c r="F582" t="inlineStr">
        <is>
          <t>Auvergne-Rhône-Alpes</t>
        </is>
      </c>
      <c r="G582" s="3" t="n">
        <v>112261</v>
      </c>
      <c r="H582" t="n">
        <v>84</v>
      </c>
      <c r="I582" t="inlineStr">
        <is>
          <t>17 boulevard de la Préfecture</t>
        </is>
      </c>
      <c r="J582" t="inlineStr">
        <is>
          <t>42600</t>
        </is>
      </c>
      <c r="K582" t="inlineStr">
        <is>
          <t>Montbrison</t>
        </is>
      </c>
      <c r="L582" t="inlineStr">
        <is>
          <t>04 26 54 70 00</t>
        </is>
      </c>
      <c r="M582" s="4" t="inlineStr">
        <is>
          <t>agglomeration@loireforez.fr</t>
        </is>
      </c>
      <c r="N582" s="4" t="inlineStr">
        <is>
          <t>https://www.loireforez.fr</t>
        </is>
      </c>
      <c r="O582" t="inlineStr"/>
      <c r="P582" s="4" t="inlineStr">
        <is>
          <t>https://lannuaire.service-public.gouv.fr/auvergne-rhone-alpes/loire/084d41a6-93e1-404a-a54a-a339822f810f</t>
        </is>
      </c>
      <c r="Q582" t="inlineStr">
        <is>
          <t>Annuaire Service-public.fr</t>
        </is>
      </c>
      <c r="R582" t="inlineStr"/>
      <c r="S582" t="inlineStr"/>
      <c r="T582" t="inlineStr"/>
    </row>
    <row r="583">
      <c r="A583" t="inlineStr">
        <is>
          <t>CA Roannais Agglomération</t>
        </is>
      </c>
      <c r="B583" t="inlineStr">
        <is>
          <t>Communauté d’agglomération</t>
        </is>
      </c>
      <c r="C583" t="inlineStr">
        <is>
          <t>200035731</t>
        </is>
      </c>
      <c r="D583" t="inlineStr">
        <is>
          <t>42</t>
        </is>
      </c>
      <c r="E583" t="inlineStr">
        <is>
          <t>Loire</t>
        </is>
      </c>
      <c r="F583" t="inlineStr">
        <is>
          <t>Auvergne-Rhône-Alpes</t>
        </is>
      </c>
      <c r="G583" s="3" t="n">
        <v>101851</v>
      </c>
      <c r="H583" t="n">
        <v>40</v>
      </c>
      <c r="I583" t="inlineStr">
        <is>
          <t>63 rue Jean-Jaurès, CS 70005</t>
        </is>
      </c>
      <c r="J583" t="inlineStr">
        <is>
          <t>42311</t>
        </is>
      </c>
      <c r="K583" t="inlineStr">
        <is>
          <t>Roanne Cedex</t>
        </is>
      </c>
      <c r="L583" t="inlineStr">
        <is>
          <t>04 77 44 29 50</t>
        </is>
      </c>
      <c r="M583" s="4" t="inlineStr">
        <is>
          <t>info@roannais-agglomeration.fr</t>
        </is>
      </c>
      <c r="N583" s="4" t="inlineStr">
        <is>
          <t>https://www.aggloroanne.fr/</t>
        </is>
      </c>
      <c r="O583" s="4" t="inlineStr">
        <is>
          <t>https://www.aggloroanne.fr/prendre-contact-avec-la-ville-de-roanne-468.html</t>
        </is>
      </c>
      <c r="P583" s="4" t="inlineStr">
        <is>
          <t>https://lannuaire.service-public.gouv.fr/auvergne-rhone-alpes/loire/3c35a518-bdfc-42da-959c-7d7657e81104</t>
        </is>
      </c>
      <c r="Q583" t="inlineStr">
        <is>
          <t>Annuaire Service-public.fr</t>
        </is>
      </c>
      <c r="R583" t="inlineStr"/>
      <c r="S583" t="inlineStr"/>
      <c r="T583" t="inlineStr"/>
    </row>
    <row r="584">
      <c r="A584" t="inlineStr">
        <is>
          <t>CC Charlieu-Belmont</t>
        </is>
      </c>
      <c r="B584" t="inlineStr">
        <is>
          <t>Communauté de communes</t>
        </is>
      </c>
      <c r="C584" t="inlineStr">
        <is>
          <t>200035202</t>
        </is>
      </c>
      <c r="D584" t="inlineStr">
        <is>
          <t>42</t>
        </is>
      </c>
      <c r="E584" t="inlineStr">
        <is>
          <t>Loire</t>
        </is>
      </c>
      <c r="F584" t="inlineStr">
        <is>
          <t>Auvergne-Rhône-Alpes</t>
        </is>
      </c>
      <c r="G584" s="3" t="n">
        <v>23400</v>
      </c>
      <c r="H584" t="n">
        <v>25</v>
      </c>
      <c r="I584" t="inlineStr">
        <is>
          <t>9 place de la Bouverie</t>
        </is>
      </c>
      <c r="J584" t="inlineStr">
        <is>
          <t>42190</t>
        </is>
      </c>
      <c r="K584" t="inlineStr">
        <is>
          <t>Charlieu</t>
        </is>
      </c>
      <c r="L584" t="inlineStr">
        <is>
          <t>04 77 69 03 06</t>
        </is>
      </c>
      <c r="M584" s="4" t="inlineStr">
        <is>
          <t>contact@charlieubelmont.com</t>
        </is>
      </c>
      <c r="N584" s="4" t="inlineStr">
        <is>
          <t>https://www.charlieubelmont.com/</t>
        </is>
      </c>
      <c r="O584" s="4" t="inlineStr">
        <is>
          <t>https://www.charlieubelmont.com/nous-contacter/</t>
        </is>
      </c>
      <c r="P584" s="4" t="inlineStr">
        <is>
          <t>https://lannuaire.service-public.gouv.fr/auvergne-rhone-alpes/loire/1c40356e-a86e-4680-806e-80d8b250f679</t>
        </is>
      </c>
      <c r="Q584" t="inlineStr">
        <is>
          <t>Annuaire Service-public.fr</t>
        </is>
      </c>
      <c r="R584" t="inlineStr"/>
      <c r="S584" t="inlineStr"/>
      <c r="T584" t="inlineStr"/>
    </row>
    <row r="585">
      <c r="A585" t="inlineStr">
        <is>
          <t>CC de Forez-Est</t>
        </is>
      </c>
      <c r="B585" t="inlineStr">
        <is>
          <t>Communauté de communes</t>
        </is>
      </c>
      <c r="C585" t="inlineStr">
        <is>
          <t>200065894</t>
        </is>
      </c>
      <c r="D585" t="inlineStr">
        <is>
          <t>42</t>
        </is>
      </c>
      <c r="E585" t="inlineStr">
        <is>
          <t>Loire</t>
        </is>
      </c>
      <c r="F585" t="inlineStr">
        <is>
          <t>Auvergne-Rhône-Alpes</t>
        </is>
      </c>
      <c r="G585" s="3" t="n">
        <v>64654</v>
      </c>
      <c r="H585" t="n">
        <v>42</v>
      </c>
      <c r="I585" t="inlineStr">
        <is>
          <t>6 Place Paul Larue, BP 13</t>
        </is>
      </c>
      <c r="J585" t="inlineStr">
        <is>
          <t>42110</t>
        </is>
      </c>
      <c r="K585" t="inlineStr">
        <is>
          <t>Feurs</t>
        </is>
      </c>
      <c r="L585" t="inlineStr">
        <is>
          <t>04 77 28 29 30</t>
        </is>
      </c>
      <c r="M585" s="4" t="inlineStr">
        <is>
          <t>direction-generale@forez-est.fr</t>
        </is>
      </c>
      <c r="N585" s="4" t="inlineStr">
        <is>
          <t>https://www.forez-est.fr/</t>
        </is>
      </c>
      <c r="O585" s="4" t="inlineStr">
        <is>
          <t>https://www.forez-est.fr/</t>
        </is>
      </c>
      <c r="P585" s="4" t="inlineStr">
        <is>
          <t>https://lannuaire.service-public.gouv.fr/auvergne-rhone-alpes/loire/c4523d51-7d32-4b54-94a4-64700d643aaf</t>
        </is>
      </c>
      <c r="Q585" t="inlineStr">
        <is>
          <t>Annuaire Service-public.fr</t>
        </is>
      </c>
      <c r="R585" t="inlineStr"/>
      <c r="S585" t="inlineStr"/>
      <c r="T585" t="inlineStr"/>
    </row>
    <row r="586">
      <c r="A586" t="inlineStr">
        <is>
          <t>CC des Monts du Pilat</t>
        </is>
      </c>
      <c r="B586" t="inlineStr">
        <is>
          <t>Communauté de communes</t>
        </is>
      </c>
      <c r="C586" t="inlineStr">
        <is>
          <t>244200622</t>
        </is>
      </c>
      <c r="D586" t="inlineStr">
        <is>
          <t>42</t>
        </is>
      </c>
      <c r="E586" t="inlineStr">
        <is>
          <t>Loire</t>
        </is>
      </c>
      <c r="F586" t="inlineStr">
        <is>
          <t>Auvergne-Rhône-Alpes</t>
        </is>
      </c>
      <c r="G586" s="3" t="n">
        <v>15463</v>
      </c>
      <c r="H586" t="n">
        <v>16</v>
      </c>
      <c r="I586" t="inlineStr">
        <is>
          <t>3 place de l'Hôtel-de-Ville</t>
        </is>
      </c>
      <c r="J586" t="inlineStr">
        <is>
          <t>42220</t>
        </is>
      </c>
      <c r="K586" t="inlineStr">
        <is>
          <t>Bourg-Argental</t>
        </is>
      </c>
      <c r="L586" t="inlineStr">
        <is>
          <t>04 77 39 69 21</t>
        </is>
      </c>
      <c r="M586" s="4" t="inlineStr">
        <is>
          <t>info@cc-montsdupilat.fr</t>
        </is>
      </c>
      <c r="N586" s="4" t="inlineStr">
        <is>
          <t>https://www.cc-montsdupilat.fr/</t>
        </is>
      </c>
      <c r="O586" s="4" t="inlineStr">
        <is>
          <t>https://www.cc-montsdupilat.fr/contact/</t>
        </is>
      </c>
      <c r="P586" s="4" t="inlineStr">
        <is>
          <t>https://lannuaire.service-public.gouv.fr/auvergne-rhone-alpes/loire/9294d86e-69d3-4c04-8e5f-053336627726</t>
        </is>
      </c>
      <c r="Q586" t="inlineStr">
        <is>
          <t>Annuaire Service-public.fr</t>
        </is>
      </c>
      <c r="R586" t="inlineStr"/>
      <c r="S586" t="inlineStr"/>
      <c r="T586" t="inlineStr"/>
    </row>
    <row r="587">
      <c r="A587" t="inlineStr">
        <is>
          <t>CC des Vals d'Aix et Isable</t>
        </is>
      </c>
      <c r="B587" t="inlineStr">
        <is>
          <t>Communauté de communes</t>
        </is>
      </c>
      <c r="C587" t="inlineStr">
        <is>
          <t>244200614</t>
        </is>
      </c>
      <c r="D587" t="inlineStr">
        <is>
          <t>42</t>
        </is>
      </c>
      <c r="E587" t="inlineStr">
        <is>
          <t>Loire</t>
        </is>
      </c>
      <c r="F587" t="inlineStr">
        <is>
          <t>Auvergne-Rhône-Alpes</t>
        </is>
      </c>
      <c r="G587" s="3" t="n">
        <v>5943</v>
      </c>
      <c r="H587" t="n">
        <v>12</v>
      </c>
      <c r="I587" t="inlineStr">
        <is>
          <t>28 rue Robert-Lugnier</t>
        </is>
      </c>
      <c r="J587" t="inlineStr">
        <is>
          <t>42260</t>
        </is>
      </c>
      <c r="K587" t="inlineStr">
        <is>
          <t>Saint-Germain-Laval</t>
        </is>
      </c>
      <c r="L587" t="inlineStr">
        <is>
          <t>04 77 65 48 75</t>
        </is>
      </c>
      <c r="M587" s="4" t="inlineStr">
        <is>
          <t>accueil@ccvai.fr</t>
        </is>
      </c>
      <c r="N587" s="4" t="inlineStr">
        <is>
          <t>https://www.ccvai.fr/</t>
        </is>
      </c>
      <c r="O587" s="4" t="inlineStr">
        <is>
          <t>https://www.ccvai.fr/contact-ccvai-art-13.html</t>
        </is>
      </c>
      <c r="P587" s="4" t="inlineStr">
        <is>
          <t>https://lannuaire.service-public.gouv.fr/auvergne-rhone-alpes/loire/1fcb4106-9517-4614-be7b-c342bd751544</t>
        </is>
      </c>
      <c r="Q587" t="inlineStr">
        <is>
          <t>Annuaire Service-public.fr</t>
        </is>
      </c>
      <c r="R587" t="inlineStr"/>
      <c r="S587" t="inlineStr"/>
      <c r="T587" t="inlineStr"/>
    </row>
    <row r="588">
      <c r="A588" t="inlineStr">
        <is>
          <t>CC du Pays Entre Loire et Rhône</t>
        </is>
      </c>
      <c r="B588" t="inlineStr">
        <is>
          <t>Communauté de communes</t>
        </is>
      </c>
      <c r="C588" t="inlineStr">
        <is>
          <t>244200630</t>
        </is>
      </c>
      <c r="D588" t="inlineStr">
        <is>
          <t>42</t>
        </is>
      </c>
      <c r="E588" t="inlineStr">
        <is>
          <t>Loire</t>
        </is>
      </c>
      <c r="F588" t="inlineStr">
        <is>
          <t>Auvergne-Rhône-Alpes</t>
        </is>
      </c>
      <c r="G588" s="3" t="n">
        <v>14105</v>
      </c>
      <c r="H588" t="n">
        <v>16</v>
      </c>
      <c r="I588" t="inlineStr">
        <is>
          <t>44 rue de la Tête-Noire</t>
        </is>
      </c>
      <c r="J588" t="inlineStr">
        <is>
          <t>42470</t>
        </is>
      </c>
      <c r="K588" t="inlineStr">
        <is>
          <t>Saint-Symphorien-de-Lay</t>
        </is>
      </c>
      <c r="L588" t="inlineStr">
        <is>
          <t>04 77 62 77 62</t>
        </is>
      </c>
      <c r="M588" s="4" t="inlineStr">
        <is>
          <t>copler@copler.fr</t>
        </is>
      </c>
      <c r="N588" s="4" t="inlineStr">
        <is>
          <t>https://www.copler.fr/</t>
        </is>
      </c>
      <c r="O588" s="4" t="inlineStr">
        <is>
          <t>https://www.copler.fr/</t>
        </is>
      </c>
      <c r="P588" s="4" t="inlineStr">
        <is>
          <t>https://lannuaire.service-public.gouv.fr/auvergne-rhone-alpes/loire/3f94349e-a952-4ec4-9629-117db099b3fa</t>
        </is>
      </c>
      <c r="Q588" t="inlineStr">
        <is>
          <t>Annuaire Service-public.fr</t>
        </is>
      </c>
      <c r="R588" t="inlineStr"/>
      <c r="S588" t="inlineStr"/>
      <c r="T588" t="inlineStr"/>
    </row>
    <row r="589">
      <c r="A589" t="inlineStr">
        <is>
          <t>CC du Pays d'Urfé</t>
        </is>
      </c>
      <c r="B589" t="inlineStr">
        <is>
          <t>Communauté de communes</t>
        </is>
      </c>
      <c r="C589" t="inlineStr">
        <is>
          <t>244200820</t>
        </is>
      </c>
      <c r="D589" t="inlineStr">
        <is>
          <t>42</t>
        </is>
      </c>
      <c r="E589" t="inlineStr">
        <is>
          <t>Loire</t>
        </is>
      </c>
      <c r="F589" t="inlineStr">
        <is>
          <t>Auvergne-Rhône-Alpes</t>
        </is>
      </c>
      <c r="G589" s="3" t="n">
        <v>5104</v>
      </c>
      <c r="H589" t="n">
        <v>11</v>
      </c>
      <c r="I589" t="inlineStr">
        <is>
          <t>55 rue rené cassin</t>
        </is>
      </c>
      <c r="J589" t="inlineStr">
        <is>
          <t>42430</t>
        </is>
      </c>
      <c r="K589" t="inlineStr">
        <is>
          <t>Saint-Just-en-Chevalet</t>
        </is>
      </c>
      <c r="L589" t="inlineStr">
        <is>
          <t>04 77 65 12 24</t>
        </is>
      </c>
      <c r="M589" s="4" t="inlineStr">
        <is>
          <t>contact@ccpu.fr</t>
        </is>
      </c>
      <c r="N589" s="4" t="inlineStr">
        <is>
          <t>https://www.ccpu.fr/</t>
        </is>
      </c>
      <c r="O589" s="4" t="inlineStr">
        <is>
          <t>https://www.ccpu.fr/contact-comcom-pays-durfe-loire-42_fr.html</t>
        </is>
      </c>
      <c r="P589" s="4" t="inlineStr">
        <is>
          <t>https://lannuaire.service-public.gouv.fr/auvergne-rhone-alpes/loire/664da76a-141e-4238-ae51-420e7fc05f75</t>
        </is>
      </c>
      <c r="Q589" t="inlineStr">
        <is>
          <t>Annuaire Service-public.fr</t>
        </is>
      </c>
      <c r="R589" t="inlineStr"/>
      <c r="S589" t="inlineStr"/>
      <c r="T589" t="inlineStr"/>
    </row>
    <row r="590">
      <c r="A590" t="inlineStr">
        <is>
          <t>CC du Pilat Rhodanien</t>
        </is>
      </c>
      <c r="B590" t="inlineStr">
        <is>
          <t>Communauté de communes</t>
        </is>
      </c>
      <c r="C590" t="inlineStr">
        <is>
          <t>244200895</t>
        </is>
      </c>
      <c r="D590" t="inlineStr">
        <is>
          <t>42</t>
        </is>
      </c>
      <c r="E590" t="inlineStr">
        <is>
          <t>Loire</t>
        </is>
      </c>
      <c r="F590" t="inlineStr">
        <is>
          <t>Auvergne-Rhône-Alpes</t>
        </is>
      </c>
      <c r="G590" s="3" t="n">
        <v>16953</v>
      </c>
      <c r="H590" t="n">
        <v>14</v>
      </c>
      <c r="I590" t="inlineStr">
        <is>
          <t>9 rue des Prairies</t>
        </is>
      </c>
      <c r="J590" t="inlineStr">
        <is>
          <t>42410</t>
        </is>
      </c>
      <c r="K590" t="inlineStr">
        <is>
          <t>Pélussin</t>
        </is>
      </c>
      <c r="L590" t="inlineStr">
        <is>
          <t>04 74 87 30 13</t>
        </is>
      </c>
      <c r="M590" s="4" t="inlineStr">
        <is>
          <t>ccpr@pilatrhodanien.fr</t>
        </is>
      </c>
      <c r="N590" s="4" t="inlineStr">
        <is>
          <t>https://www.pilatrhodanien.fr/</t>
        </is>
      </c>
      <c r="O590" s="4" t="inlineStr">
        <is>
          <t>https://www.pilatrhodanien.fr/contact/</t>
        </is>
      </c>
      <c r="P590" s="4" t="inlineStr">
        <is>
          <t>https://lannuaire.service-public.gouv.fr/auvergne-rhone-alpes/loire/d4d94e5e-ac87-42c7-969c-bbd27aa4748f</t>
        </is>
      </c>
      <c r="Q590" t="inlineStr">
        <is>
          <t>Annuaire Service-public.fr</t>
        </is>
      </c>
      <c r="R590" t="inlineStr"/>
      <c r="S590" t="inlineStr"/>
      <c r="T590" t="inlineStr"/>
    </row>
    <row r="591">
      <c r="A591" t="inlineStr">
        <is>
          <t>Saint-Étienne Métropole</t>
        </is>
      </c>
      <c r="B591" t="inlineStr">
        <is>
          <t>Métropole</t>
        </is>
      </c>
      <c r="C591" t="inlineStr">
        <is>
          <t>244200770</t>
        </is>
      </c>
      <c r="D591" t="inlineStr">
        <is>
          <t>42</t>
        </is>
      </c>
      <c r="E591" t="inlineStr">
        <is>
          <t>Loire</t>
        </is>
      </c>
      <c r="F591" t="inlineStr">
        <is>
          <t>Auvergne-Rhône-Alpes</t>
        </is>
      </c>
      <c r="G591" s="3" t="n">
        <v>407700</v>
      </c>
      <c r="H591" t="n">
        <v>53</v>
      </c>
      <c r="I591" t="inlineStr">
        <is>
          <t>2 avenue Gruner</t>
        </is>
      </c>
      <c r="J591" t="inlineStr">
        <is>
          <t>42000</t>
        </is>
      </c>
      <c r="K591" t="inlineStr">
        <is>
          <t>Saint-Étienne</t>
        </is>
      </c>
      <c r="L591" t="inlineStr">
        <is>
          <t>04 77 49 21 49</t>
        </is>
      </c>
      <c r="M591" s="4" t="inlineStr">
        <is>
          <t>accueil@saint-etienne-metropole.fr</t>
        </is>
      </c>
      <c r="N591" s="4" t="inlineStr">
        <is>
          <t>https://www.saint-etienne-metropole.fr/</t>
        </is>
      </c>
      <c r="O591" s="4" t="inlineStr">
        <is>
          <t>https://www.saint-etienne-metropole.fr/contacter-saint-etienne-metropole</t>
        </is>
      </c>
      <c r="P591" s="4" t="inlineStr">
        <is>
          <t>https://lannuaire.service-public.gouv.fr/auvergne-rhone-alpes/loire/c05ed861-1909-4042-b168-1f8fbe23bf91</t>
        </is>
      </c>
      <c r="Q591" t="inlineStr">
        <is>
          <t>Annuaire Service-public.fr</t>
        </is>
      </c>
      <c r="R591" t="inlineStr"/>
      <c r="S591" t="inlineStr"/>
      <c r="T591" t="inlineStr"/>
    </row>
    <row r="592">
      <c r="A592" t="inlineStr">
        <is>
          <t>CC des Monts du Lyonnais</t>
        </is>
      </c>
      <c r="B592" t="inlineStr">
        <is>
          <t>Communauté de communes</t>
        </is>
      </c>
      <c r="C592" t="inlineStr">
        <is>
          <t>200066587</t>
        </is>
      </c>
      <c r="D592" t="inlineStr">
        <is>
          <t>42, 69</t>
        </is>
      </c>
      <c r="E592" t="inlineStr">
        <is>
          <t>Loire, Rhône</t>
        </is>
      </c>
      <c r="F592" t="inlineStr">
        <is>
          <t>Auvergne-Rhône-Alpes</t>
        </is>
      </c>
      <c r="G592" s="3" t="n">
        <v>35237</v>
      </c>
      <c r="H592" t="n">
        <v>32</v>
      </c>
      <c r="I592" t="inlineStr">
        <is>
          <t>790 allée de Pluvy</t>
        </is>
      </c>
      <c r="J592" t="inlineStr">
        <is>
          <t>69590</t>
        </is>
      </c>
      <c r="K592" t="inlineStr">
        <is>
          <t>Pomeys</t>
        </is>
      </c>
      <c r="L592" t="inlineStr">
        <is>
          <t>04 37 20 13 09</t>
        </is>
      </c>
      <c r="M592" s="4" t="inlineStr">
        <is>
          <t>contact@cc-mdl.fr</t>
        </is>
      </c>
      <c r="N592" s="4" t="inlineStr">
        <is>
          <t>https://www.cc-montsdulyonnais.fr/</t>
        </is>
      </c>
      <c r="O592" s="4" t="inlineStr">
        <is>
          <t>https://www.cc-montsdulyonnais.fr/contact/</t>
        </is>
      </c>
      <c r="P592" s="4" t="inlineStr">
        <is>
          <t>https://lannuaire.service-public.gouv.fr/auvergne-rhone-alpes/rhone/3dce566a-862f-4e81-b65c-f11b3d1ce3ab</t>
        </is>
      </c>
      <c r="Q592" t="inlineStr">
        <is>
          <t>Annuaire Service-public.fr</t>
        </is>
      </c>
      <c r="R592" t="inlineStr"/>
      <c r="S592" t="inlineStr"/>
      <c r="T592" t="inlineStr"/>
    </row>
    <row r="593">
      <c r="A593" t="inlineStr">
        <is>
          <t>CA du Puy-en-Velay</t>
        </is>
      </c>
      <c r="B593" t="inlineStr">
        <is>
          <t>Communauté d’agglomération</t>
        </is>
      </c>
      <c r="C593" t="inlineStr">
        <is>
          <t>200073419</t>
        </is>
      </c>
      <c r="D593" t="inlineStr">
        <is>
          <t>43</t>
        </is>
      </c>
      <c r="E593" t="inlineStr">
        <is>
          <t>Haute-Loire</t>
        </is>
      </c>
      <c r="F593" t="inlineStr">
        <is>
          <t>Auvergne-Rhône-Alpes</t>
        </is>
      </c>
      <c r="G593" s="3" t="n">
        <v>82819</v>
      </c>
      <c r="H593" t="n">
        <v>72</v>
      </c>
      <c r="I593" t="inlineStr">
        <is>
          <t>16 place de la Libération</t>
        </is>
      </c>
      <c r="J593" t="inlineStr">
        <is>
          <t>43003</t>
        </is>
      </c>
      <c r="K593" t="inlineStr">
        <is>
          <t>Le Puy-en-Velay</t>
        </is>
      </c>
      <c r="L593" t="inlineStr">
        <is>
          <t>04 71 04 37 00</t>
        </is>
      </c>
      <c r="M593" s="4" t="inlineStr">
        <is>
          <t>contact.agglo@lepuyenvelay.fr</t>
        </is>
      </c>
      <c r="N593" s="4" t="inlineStr">
        <is>
          <t>https://www.agglo-lepuyenvelay.fr/</t>
        </is>
      </c>
      <c r="O593" s="4" t="inlineStr">
        <is>
          <t>https://www.citoyens.agglo-lepuyenvelay.fr/nous-contacter</t>
        </is>
      </c>
      <c r="P593" s="4" t="inlineStr">
        <is>
          <t>https://lannuaire.service-public.gouv.fr/auvergne-rhone-alpes/haute-loire/01c91802-fe88-4a64-aa64-163271b93f0e</t>
        </is>
      </c>
      <c r="Q593" t="inlineStr">
        <is>
          <t>Annuaire Service-public.fr</t>
        </is>
      </c>
      <c r="R593" t="inlineStr"/>
      <c r="S593" t="inlineStr"/>
      <c r="T593" t="inlineStr"/>
    </row>
    <row r="594">
      <c r="A594" t="inlineStr">
        <is>
          <t>CC Auzon Communauté</t>
        </is>
      </c>
      <c r="B594" t="inlineStr">
        <is>
          <t>Communauté de communes</t>
        </is>
      </c>
      <c r="C594" t="inlineStr">
        <is>
          <t>244301099</t>
        </is>
      </c>
      <c r="D594" t="inlineStr">
        <is>
          <t>43</t>
        </is>
      </c>
      <c r="E594" t="inlineStr">
        <is>
          <t>Haute-Loire</t>
        </is>
      </c>
      <c r="F594" t="inlineStr">
        <is>
          <t>Auvergne-Rhône-Alpes</t>
        </is>
      </c>
      <c r="G594" s="3" t="n">
        <v>9348</v>
      </c>
      <c r="H594" t="n">
        <v>12</v>
      </c>
      <c r="I594" t="inlineStr">
        <is>
          <t>Rue Jean-Catinot</t>
        </is>
      </c>
      <c r="J594" t="inlineStr">
        <is>
          <t>43250</t>
        </is>
      </c>
      <c r="K594" t="inlineStr">
        <is>
          <t>Sainte-Florine</t>
        </is>
      </c>
      <c r="L594" t="inlineStr">
        <is>
          <t>04 73 54 02 28</t>
        </is>
      </c>
      <c r="M594" s="4" t="inlineStr">
        <is>
          <t>contact@cc-auzon.fr</t>
        </is>
      </c>
      <c r="N594" s="4" t="inlineStr">
        <is>
          <t>https://www.cc-auzon.fr/</t>
        </is>
      </c>
      <c r="O594" s="4" t="inlineStr">
        <is>
          <t>https://www.cc-auzon.fr/contact_fr.html</t>
        </is>
      </c>
      <c r="P594" s="4" t="inlineStr">
        <is>
          <t>https://lannuaire.service-public.gouv.fr/auvergne-rhone-alpes/haute-loire/0599b0d5-64b1-4742-a00d-7795cc5118da</t>
        </is>
      </c>
      <c r="Q594" t="inlineStr">
        <is>
          <t>Annuaire Service-public.fr</t>
        </is>
      </c>
      <c r="R594" t="inlineStr"/>
      <c r="S594" t="inlineStr"/>
      <c r="T594" t="inlineStr"/>
    </row>
    <row r="595">
      <c r="A595" t="inlineStr">
        <is>
          <t>CC Brioude Sud Auvergne</t>
        </is>
      </c>
      <c r="B595" t="inlineStr">
        <is>
          <t>Communauté de communes</t>
        </is>
      </c>
      <c r="C595" t="inlineStr">
        <is>
          <t>200085728</t>
        </is>
      </c>
      <c r="D595" t="inlineStr">
        <is>
          <t>43</t>
        </is>
      </c>
      <c r="E595" t="inlineStr">
        <is>
          <t>Haute-Loire</t>
        </is>
      </c>
      <c r="F595" t="inlineStr">
        <is>
          <t>Auvergne-Rhône-Alpes</t>
        </is>
      </c>
      <c r="G595" s="3" t="n">
        <v>16706</v>
      </c>
      <c r="H595" t="n">
        <v>27</v>
      </c>
      <c r="I595" t="inlineStr">
        <is>
          <t>Rue du 21-Juin-1944, BP 55</t>
        </is>
      </c>
      <c r="J595" t="inlineStr">
        <is>
          <t>43102</t>
        </is>
      </c>
      <c r="K595" t="inlineStr">
        <is>
          <t>Brioude</t>
        </is>
      </c>
      <c r="L595" t="inlineStr">
        <is>
          <t>04 71 50 89 10</t>
        </is>
      </c>
      <c r="M595" s="4" t="inlineStr">
        <is>
          <t>accueil@brioudesudauvergne.fr</t>
        </is>
      </c>
      <c r="N595" s="4" t="inlineStr">
        <is>
          <t>https://www.cc-brivadois.fr/</t>
        </is>
      </c>
      <c r="O595" t="inlineStr"/>
      <c r="P595" s="4" t="inlineStr">
        <is>
          <t>https://lannuaire.service-public.gouv.fr/auvergne-rhone-alpes/haute-loire/de712671-35bb-4119-ba82-17e4180e0a2c</t>
        </is>
      </c>
      <c r="Q595" t="inlineStr">
        <is>
          <t>Annuaire Service-public.fr</t>
        </is>
      </c>
      <c r="R595" t="inlineStr"/>
      <c r="S595" t="inlineStr"/>
      <c r="T595" t="inlineStr"/>
    </row>
    <row r="596">
      <c r="A596" t="inlineStr">
        <is>
          <t>CC Haut Pays du Velay</t>
        </is>
      </c>
      <c r="B596" t="inlineStr">
        <is>
          <t>Communauté de communes</t>
        </is>
      </c>
      <c r="C596" t="inlineStr">
        <is>
          <t>244300307</t>
        </is>
      </c>
      <c r="D596" t="inlineStr">
        <is>
          <t>43</t>
        </is>
      </c>
      <c r="E596" t="inlineStr">
        <is>
          <t>Haute-Loire</t>
        </is>
      </c>
      <c r="F596" t="inlineStr">
        <is>
          <t>Auvergne-Rhône-Alpes</t>
        </is>
      </c>
      <c r="G596" s="3" t="n">
        <v>8025</v>
      </c>
      <c r="H596" t="n">
        <v>8</v>
      </c>
      <c r="I596" t="inlineStr">
        <is>
          <t>37 rue Centrale</t>
        </is>
      </c>
      <c r="J596" t="inlineStr">
        <is>
          <t>43290</t>
        </is>
      </c>
      <c r="K596" t="inlineStr">
        <is>
          <t>Montfaucon-en-Velay</t>
        </is>
      </c>
      <c r="L596" t="inlineStr">
        <is>
          <t>04 71 65 74 10</t>
        </is>
      </c>
      <c r="M596" s="4" t="inlineStr">
        <is>
          <t>accueil@hautpaysduvelay.fr</t>
        </is>
      </c>
      <c r="N596" s="4" t="inlineStr">
        <is>
          <t>https://hautpaysduvelay-communaute.fr/</t>
        </is>
      </c>
      <c r="O596" s="4" t="inlineStr">
        <is>
          <t>https://hautpaysduvelay-communaute.fr/contact/</t>
        </is>
      </c>
      <c r="P596" s="4" t="inlineStr">
        <is>
          <t>https://lannuaire.service-public.gouv.fr/auvergne-rhone-alpes/haute-loire/fd7b9ee7-d62a-49cc-9520-b8a2e13bc530</t>
        </is>
      </c>
      <c r="Q596" t="inlineStr">
        <is>
          <t>Annuaire Service-public.fr</t>
        </is>
      </c>
      <c r="R596" t="inlineStr"/>
      <c r="S596" t="inlineStr"/>
      <c r="T596" t="inlineStr"/>
    </row>
    <row r="597">
      <c r="A597" t="inlineStr">
        <is>
          <t>CC Loire et Semène</t>
        </is>
      </c>
      <c r="B597" t="inlineStr">
        <is>
          <t>Communauté de communes</t>
        </is>
      </c>
      <c r="C597" t="inlineStr">
        <is>
          <t>244301131</t>
        </is>
      </c>
      <c r="D597" t="inlineStr">
        <is>
          <t>43</t>
        </is>
      </c>
      <c r="E597" t="inlineStr">
        <is>
          <t>Haute-Loire</t>
        </is>
      </c>
      <c r="F597" t="inlineStr">
        <is>
          <t>Auvergne-Rhône-Alpes</t>
        </is>
      </c>
      <c r="G597" s="3" t="n">
        <v>20448</v>
      </c>
      <c r="H597" t="n">
        <v>7</v>
      </c>
      <c r="I597" t="inlineStr">
        <is>
          <t>1 place de l'Abbaye</t>
        </is>
      </c>
      <c r="J597" t="inlineStr">
        <is>
          <t>43140</t>
        </is>
      </c>
      <c r="K597" t="inlineStr">
        <is>
          <t>La Séauve-sur-Semène</t>
        </is>
      </c>
      <c r="L597" t="inlineStr">
        <is>
          <t>04 71 75 69 50</t>
        </is>
      </c>
      <c r="M597" s="4" t="inlineStr">
        <is>
          <t>accueil@loire-semene.fr</t>
        </is>
      </c>
      <c r="N597" s="4" t="inlineStr">
        <is>
          <t>https://loire-semene.fr/</t>
        </is>
      </c>
      <c r="O597" s="4" t="inlineStr">
        <is>
          <t>https://loire-semene.fr/contact/</t>
        </is>
      </c>
      <c r="P597" s="4" t="inlineStr">
        <is>
          <t>https://lannuaire.service-public.gouv.fr/auvergne-rhone-alpes/haute-loire/2efa5cc7-f0d5-4ad0-ba9d-de02d29a52eb</t>
        </is>
      </c>
      <c r="Q597" t="inlineStr">
        <is>
          <t>Annuaire Service-public.fr</t>
        </is>
      </c>
      <c r="R597" t="inlineStr"/>
      <c r="S597" t="inlineStr"/>
      <c r="T597" t="inlineStr"/>
    </row>
    <row r="598">
      <c r="A598" t="inlineStr">
        <is>
          <t>CC Marches du Velay-Rochebaron</t>
        </is>
      </c>
      <c r="B598" t="inlineStr">
        <is>
          <t>Communauté de communes</t>
        </is>
      </c>
      <c r="C598" t="inlineStr">
        <is>
          <t>200073427</t>
        </is>
      </c>
      <c r="D598" t="inlineStr">
        <is>
          <t>43</t>
        </is>
      </c>
      <c r="E598" t="inlineStr">
        <is>
          <t>Haute-Loire</t>
        </is>
      </c>
      <c r="F598" t="inlineStr">
        <is>
          <t>Auvergne-Rhône-Alpes</t>
        </is>
      </c>
      <c r="G598" s="3" t="n">
        <v>31339</v>
      </c>
      <c r="H598" t="n">
        <v>14</v>
      </c>
      <c r="I598" t="inlineStr">
        <is>
          <t>9 rue de l'Épée, ZA La Borie, BP 70060</t>
        </is>
      </c>
      <c r="J598" t="inlineStr">
        <is>
          <t>43120</t>
        </is>
      </c>
      <c r="K598" t="inlineStr">
        <is>
          <t>Monistrol-sur-Loire</t>
        </is>
      </c>
      <c r="L598" t="inlineStr">
        <is>
          <t>04 71 61 74 34</t>
        </is>
      </c>
      <c r="M598" s="4" t="inlineStr">
        <is>
          <t>contact@marchesduvelayrochebaron.fr</t>
        </is>
      </c>
      <c r="N598" s="4" t="inlineStr">
        <is>
          <t>https://www.marchesduvelayrochebaron.fr/</t>
        </is>
      </c>
      <c r="O598" s="4" t="inlineStr">
        <is>
          <t>https://www.marchesduvelayrochebaron.fr/contact/</t>
        </is>
      </c>
      <c r="P598" s="4" t="inlineStr">
        <is>
          <t>https://lannuaire.service-public.gouv.fr/auvergne-rhone-alpes/haute-loire/29e3b0d7-373b-4007-a42d-3cffff32a256</t>
        </is>
      </c>
      <c r="Q598" t="inlineStr">
        <is>
          <t>Annuaire Service-public.fr</t>
        </is>
      </c>
      <c r="R598" t="inlineStr"/>
      <c r="S598" t="inlineStr"/>
      <c r="T598" t="inlineStr"/>
    </row>
    <row r="599">
      <c r="A599" t="inlineStr">
        <is>
          <t>CC Mézenc-Loire-Meygal</t>
        </is>
      </c>
      <c r="B599" t="inlineStr">
        <is>
          <t>Communauté de communes</t>
        </is>
      </c>
      <c r="C599" t="inlineStr">
        <is>
          <t>200073401</t>
        </is>
      </c>
      <c r="D599" t="inlineStr">
        <is>
          <t>43</t>
        </is>
      </c>
      <c r="E599" t="inlineStr">
        <is>
          <t>Haute-Loire</t>
        </is>
      </c>
      <c r="F599" t="inlineStr">
        <is>
          <t>Auvergne-Rhône-Alpes</t>
        </is>
      </c>
      <c r="G599" s="3" t="n">
        <v>11429</v>
      </c>
      <c r="H599" t="n">
        <v>22</v>
      </c>
      <c r="I599" t="inlineStr">
        <is>
          <t>10 place Saint-Robert</t>
        </is>
      </c>
      <c r="J599" t="inlineStr">
        <is>
          <t>43260</t>
        </is>
      </c>
      <c r="K599" t="inlineStr">
        <is>
          <t>Saint-Julien-Chapteuil</t>
        </is>
      </c>
      <c r="L599" t="inlineStr">
        <is>
          <t>04 71 01 14 34</t>
        </is>
      </c>
      <c r="M599" s="4" t="inlineStr">
        <is>
          <t>contact@mezencloiremeygal.fr</t>
        </is>
      </c>
      <c r="N599" s="4" t="inlineStr">
        <is>
          <t>https://www.mezencloiremeygal.fr</t>
        </is>
      </c>
      <c r="O599" t="inlineStr"/>
      <c r="P599" s="4" t="inlineStr">
        <is>
          <t>https://lannuaire.service-public.gouv.fr/auvergne-rhone-alpes/haute-loire/de7acbc9-b1dd-44e1-9aeb-25954f431e80</t>
        </is>
      </c>
      <c r="Q599" t="inlineStr">
        <is>
          <t>Annuaire Service-public.fr</t>
        </is>
      </c>
      <c r="R599" t="inlineStr"/>
      <c r="S599" t="inlineStr"/>
      <c r="T599" t="inlineStr"/>
    </row>
    <row r="600">
      <c r="A600" t="inlineStr">
        <is>
          <t>CC des Pays de Cayres et de Pradelles</t>
        </is>
      </c>
      <c r="B600" t="inlineStr">
        <is>
          <t>Communauté de communes</t>
        </is>
      </c>
      <c r="C600" t="inlineStr">
        <is>
          <t>244301123</t>
        </is>
      </c>
      <c r="D600" t="inlineStr">
        <is>
          <t>43</t>
        </is>
      </c>
      <c r="E600" t="inlineStr">
        <is>
          <t>Haute-Loire</t>
        </is>
      </c>
      <c r="F600" t="inlineStr">
        <is>
          <t>Auvergne-Rhône-Alpes</t>
        </is>
      </c>
      <c r="G600" s="3" t="n">
        <v>5148</v>
      </c>
      <c r="H600" t="n">
        <v>20</v>
      </c>
      <c r="I600" t="inlineStr">
        <is>
          <t>Place de l'Église</t>
        </is>
      </c>
      <c r="J600" t="inlineStr">
        <is>
          <t>43490</t>
        </is>
      </c>
      <c r="K600" t="inlineStr">
        <is>
          <t>Costaros</t>
        </is>
      </c>
      <c r="L600" t="inlineStr">
        <is>
          <t>04 71 57 88 00</t>
        </is>
      </c>
      <c r="M600" s="4" t="inlineStr">
        <is>
          <t>contact@ccpcp.fr</t>
        </is>
      </c>
      <c r="N600" s="4" t="inlineStr">
        <is>
          <t>https://www.ccpcp.fr/</t>
        </is>
      </c>
      <c r="O600" s="4" t="inlineStr">
        <is>
          <t>https://www.ccpcp.fr/nous-contacter/</t>
        </is>
      </c>
      <c r="P600" s="4" t="inlineStr">
        <is>
          <t>https://lannuaire.service-public.gouv.fr/auvergne-rhone-alpes/haute-loire/2f5c0f05-1bfd-46d5-b2fd-f1343cb83a4b</t>
        </is>
      </c>
      <c r="Q600" t="inlineStr">
        <is>
          <t>Annuaire Service-public.fr</t>
        </is>
      </c>
      <c r="R600" t="inlineStr"/>
      <c r="S600" t="inlineStr"/>
      <c r="T600" t="inlineStr"/>
    </row>
    <row r="601">
      <c r="A601" t="inlineStr">
        <is>
          <t>CC des Rives du Haut Allier</t>
        </is>
      </c>
      <c r="B601" t="inlineStr">
        <is>
          <t>Communauté de communes</t>
        </is>
      </c>
      <c r="C601" t="inlineStr">
        <is>
          <t>200073393</t>
        </is>
      </c>
      <c r="D601" t="inlineStr">
        <is>
          <t>43</t>
        </is>
      </c>
      <c r="E601" t="inlineStr">
        <is>
          <t>Haute-Loire</t>
        </is>
      </c>
      <c r="F601" t="inlineStr">
        <is>
          <t>Auvergne-Rhône-Alpes</t>
        </is>
      </c>
      <c r="G601" s="3" t="n">
        <v>16416</v>
      </c>
      <c r="H601" t="n">
        <v>60</v>
      </c>
      <c r="I601" t="inlineStr">
        <is>
          <t>6 place André-Roux</t>
        </is>
      </c>
      <c r="J601" t="inlineStr">
        <is>
          <t>43300</t>
        </is>
      </c>
      <c r="K601" t="inlineStr">
        <is>
          <t>Langeac</t>
        </is>
      </c>
      <c r="L601" t="inlineStr">
        <is>
          <t>04 71 77 26 51</t>
        </is>
      </c>
      <c r="M601" s="4" t="inlineStr">
        <is>
          <t>cc@rivesduhautallier.fr</t>
        </is>
      </c>
      <c r="N601" s="4" t="inlineStr">
        <is>
          <t>https://www.rivesduhautallier.fr/</t>
        </is>
      </c>
      <c r="O601" s="4" t="inlineStr">
        <is>
          <t>https://www.rivesduhautallier.fr/</t>
        </is>
      </c>
      <c r="P601" s="4" t="inlineStr">
        <is>
          <t>https://lannuaire.service-public.gouv.fr/auvergne-rhone-alpes/haute-loire/2b4dd47f-cd8e-4ed8-89dd-af7c76cef38a</t>
        </is>
      </c>
      <c r="Q601" t="inlineStr">
        <is>
          <t>Annuaire Service-public.fr</t>
        </is>
      </c>
      <c r="R601" t="inlineStr"/>
      <c r="S601" t="inlineStr"/>
      <c r="T601" t="inlineStr"/>
    </row>
    <row r="602">
      <c r="A602" t="inlineStr">
        <is>
          <t>CC des Sucs</t>
        </is>
      </c>
      <c r="B602" t="inlineStr">
        <is>
          <t>Communauté de communes</t>
        </is>
      </c>
      <c r="C602" t="inlineStr">
        <is>
          <t>244301016</t>
        </is>
      </c>
      <c r="D602" t="inlineStr">
        <is>
          <t>43</t>
        </is>
      </c>
      <c r="E602" t="inlineStr">
        <is>
          <t>Haute-Loire</t>
        </is>
      </c>
      <c r="F602" t="inlineStr">
        <is>
          <t>Auvergne-Rhône-Alpes</t>
        </is>
      </c>
      <c r="G602" s="3" t="n">
        <v>18332</v>
      </c>
      <c r="H602" t="n">
        <v>9</v>
      </c>
      <c r="I602" t="inlineStr">
        <is>
          <t>Place Charles-de-Gaulle</t>
        </is>
      </c>
      <c r="J602" t="inlineStr">
        <is>
          <t>43200</t>
        </is>
      </c>
      <c r="K602" t="inlineStr">
        <is>
          <t>Yssingeaux</t>
        </is>
      </c>
      <c r="L602" t="inlineStr">
        <is>
          <t>04 71 59 07 67</t>
        </is>
      </c>
      <c r="M602" s="4" t="inlineStr">
        <is>
          <t>contact@cc-des-sucs.fr</t>
        </is>
      </c>
      <c r="N602" s="4" t="inlineStr">
        <is>
          <t>https://www.cc-des-sucs.fr/</t>
        </is>
      </c>
      <c r="O602" s="4" t="inlineStr">
        <is>
          <t>https://www.cc-des-sucs.fr/contact/</t>
        </is>
      </c>
      <c r="P602" s="4" t="inlineStr">
        <is>
          <t>https://lannuaire.service-public.gouv.fr/auvergne-rhone-alpes/haute-loire/71cead4b-b2c2-4bd1-9938-7fa6daf0cd1c</t>
        </is>
      </c>
      <c r="Q602" t="inlineStr">
        <is>
          <t>Annuaire Service-public.fr</t>
        </is>
      </c>
      <c r="R602" t="inlineStr"/>
      <c r="S602" t="inlineStr"/>
      <c r="T602" t="inlineStr"/>
    </row>
    <row r="603">
      <c r="A603" t="inlineStr">
        <is>
          <t>CC du Haut Lignon</t>
        </is>
      </c>
      <c r="B603" t="inlineStr">
        <is>
          <t>Communauté de communes</t>
        </is>
      </c>
      <c r="C603" t="inlineStr">
        <is>
          <t>244301107</t>
        </is>
      </c>
      <c r="D603" t="inlineStr">
        <is>
          <t>43</t>
        </is>
      </c>
      <c r="E603" t="inlineStr">
        <is>
          <t>Haute-Loire</t>
        </is>
      </c>
      <c r="F603" t="inlineStr">
        <is>
          <t>Auvergne-Rhône-Alpes</t>
        </is>
      </c>
      <c r="G603" s="3" t="n">
        <v>8151</v>
      </c>
      <c r="H603" t="n">
        <v>6</v>
      </c>
      <c r="I603" t="inlineStr">
        <is>
          <t>13 allée des Pâquerettes</t>
        </is>
      </c>
      <c r="J603" t="inlineStr">
        <is>
          <t>43190</t>
        </is>
      </c>
      <c r="K603" t="inlineStr">
        <is>
          <t>Tence</t>
        </is>
      </c>
      <c r="L603" t="inlineStr">
        <is>
          <t>04 71 59 87 63</t>
        </is>
      </c>
      <c r="M603" s="4" t="inlineStr">
        <is>
          <t>cc.hautlignon@wanadoo.fr</t>
        </is>
      </c>
      <c r="N603" s="4" t="inlineStr">
        <is>
          <t>https://www.cc-hautlignon.fr/</t>
        </is>
      </c>
      <c r="O603" s="4" t="inlineStr">
        <is>
          <t>https://www.cc-hautlignon.fr/pages/site/contact/</t>
        </is>
      </c>
      <c r="P603" s="4" t="inlineStr">
        <is>
          <t>https://lannuaire.service-public.gouv.fr/auvergne-rhone-alpes/haute-loire/50f9ed2f-39ff-4959-8954-482beaf753a9</t>
        </is>
      </c>
      <c r="Q603" t="inlineStr">
        <is>
          <t>Annuaire Service-public.fr</t>
        </is>
      </c>
      <c r="R603" t="inlineStr"/>
      <c r="S603" t="inlineStr"/>
      <c r="T603" t="inlineStr"/>
    </row>
    <row r="604">
      <c r="A604" t="inlineStr">
        <is>
          <t>CA Clisson Sèvre et Maine Agglo</t>
        </is>
      </c>
      <c r="B604" t="inlineStr">
        <is>
          <t>Communauté d’agglomération</t>
        </is>
      </c>
      <c r="C604" t="inlineStr">
        <is>
          <t>200067635</t>
        </is>
      </c>
      <c r="D604" t="inlineStr">
        <is>
          <t>44</t>
        </is>
      </c>
      <c r="E604" t="inlineStr">
        <is>
          <t>Loire-Atlantique</t>
        </is>
      </c>
      <c r="F604" t="inlineStr">
        <is>
          <t>Pays de la Loire</t>
        </is>
      </c>
      <c r="G604" s="3" t="n">
        <v>57167</v>
      </c>
      <c r="H604" t="n">
        <v>16</v>
      </c>
      <c r="I604" t="inlineStr">
        <is>
          <t>13 rue des Ajoncs</t>
        </is>
      </c>
      <c r="J604" t="inlineStr">
        <is>
          <t>44190</t>
        </is>
      </c>
      <c r="K604" t="inlineStr">
        <is>
          <t>Clisson</t>
        </is>
      </c>
      <c r="L604" t="inlineStr">
        <is>
          <t>02 40 54 75 15</t>
        </is>
      </c>
      <c r="M604" s="4" t="inlineStr">
        <is>
          <t>accueil@clissonsevremaine.fr</t>
        </is>
      </c>
      <c r="N604" s="4" t="inlineStr">
        <is>
          <t>https://www.clissonsevremaine.fr/</t>
        </is>
      </c>
      <c r="O604" s="4" t="inlineStr">
        <is>
          <t>https://mesdemarches.clissonsevremaine.fr/contacter-l-agglo/contacter-clisson-sevre-et-maine-agglo/</t>
        </is>
      </c>
      <c r="P604" s="4" t="inlineStr">
        <is>
          <t>https://lannuaire.service-public.gouv.fr/pays-de-la-loire/loire-atlantique/6c315f8c-c3a7-4370-aba6-e919252dad10</t>
        </is>
      </c>
      <c r="Q604" t="inlineStr">
        <is>
          <t>Annuaire Service-public.fr</t>
        </is>
      </c>
      <c r="R604" t="inlineStr"/>
      <c r="S604" t="inlineStr"/>
      <c r="T604" t="inlineStr"/>
    </row>
    <row r="605">
      <c r="A605" t="inlineStr">
        <is>
          <t>CA Pornic Agglo Pays de Retz</t>
        </is>
      </c>
      <c r="B605" t="inlineStr">
        <is>
          <t>Communauté d’agglomération</t>
        </is>
      </c>
      <c r="C605" t="inlineStr">
        <is>
          <t>200067346</t>
        </is>
      </c>
      <c r="D605" t="inlineStr">
        <is>
          <t>44</t>
        </is>
      </c>
      <c r="E605" t="inlineStr">
        <is>
          <t>Loire-Atlantique</t>
        </is>
      </c>
      <c r="F605" t="inlineStr">
        <is>
          <t>Pays de la Loire</t>
        </is>
      </c>
      <c r="G605" s="3" t="n">
        <v>69252</v>
      </c>
      <c r="H605" t="n">
        <v>15</v>
      </c>
      <c r="I605" t="inlineStr">
        <is>
          <t>2 rue du Docteur-Ange-Guépin, ZAC de la Chaussée</t>
        </is>
      </c>
      <c r="J605" t="inlineStr">
        <is>
          <t>44210</t>
        </is>
      </c>
      <c r="K605" t="inlineStr">
        <is>
          <t>Pornic</t>
        </is>
      </c>
      <c r="L605" t="inlineStr">
        <is>
          <t>02 51 74 07 16</t>
        </is>
      </c>
      <c r="M605" s="4" t="inlineStr">
        <is>
          <t>contact@pornicagglo.fr</t>
        </is>
      </c>
      <c r="N605" s="4" t="inlineStr">
        <is>
          <t>https://www.pornicagglo.fr/</t>
        </is>
      </c>
      <c r="O605" s="4" t="inlineStr">
        <is>
          <t>https://www.pornicagglo.fr/contact/</t>
        </is>
      </c>
      <c r="P605" s="4" t="inlineStr">
        <is>
          <t>https://lannuaire.service-public.gouv.fr/pays-de-la-loire/loire-atlantique/631ce663-3dbf-4eda-84d4-2621a81348e9</t>
        </is>
      </c>
      <c r="Q605" t="inlineStr">
        <is>
          <t>Annuaire Service-public.fr</t>
        </is>
      </c>
      <c r="R605" t="inlineStr"/>
      <c r="S605" t="inlineStr"/>
      <c r="T605" t="inlineStr"/>
    </row>
    <row r="606">
      <c r="A606" t="inlineStr">
        <is>
          <t>CA de la Région Nazairienne et de l'Estuaire (CARENE)</t>
        </is>
      </c>
      <c r="B606" t="inlineStr">
        <is>
          <t>Communauté d’agglomération</t>
        </is>
      </c>
      <c r="C606" t="inlineStr">
        <is>
          <t>244400644</t>
        </is>
      </c>
      <c r="D606" t="inlineStr">
        <is>
          <t>44</t>
        </is>
      </c>
      <c r="E606" t="inlineStr">
        <is>
          <t>Loire-Atlantique</t>
        </is>
      </c>
      <c r="F606" t="inlineStr">
        <is>
          <t>Pays de la Loire</t>
        </is>
      </c>
      <c r="G606" s="3" t="n">
        <v>131317</v>
      </c>
      <c r="H606" t="n">
        <v>10</v>
      </c>
      <c r="I606" t="inlineStr">
        <is>
          <t>4 avenue du Commandant-l'Herminier</t>
        </is>
      </c>
      <c r="J606" t="inlineStr">
        <is>
          <t>44600</t>
        </is>
      </c>
      <c r="K606" t="inlineStr">
        <is>
          <t>Saint-Nazaire</t>
        </is>
      </c>
      <c r="L606" t="inlineStr">
        <is>
          <t>02 51 16 48 48</t>
        </is>
      </c>
      <c r="M606" s="4" t="inlineStr">
        <is>
          <t>carene@saintnazaireagglo.fr</t>
        </is>
      </c>
      <c r="N606" s="4" t="inlineStr">
        <is>
          <t>https://www.saintnazaireagglo.fr/</t>
        </is>
      </c>
      <c r="O606" s="4" t="inlineStr">
        <is>
          <t>https://www.saintnazaireagglo.fr/liens-utiles/contact</t>
        </is>
      </c>
      <c r="P606" s="4" t="inlineStr">
        <is>
          <t>https://lannuaire.service-public.gouv.fr/pays-de-la-loire/loire-atlantique/e8062953-63b3-4e4d-af59-c72c0fee0c7b</t>
        </is>
      </c>
      <c r="Q606" t="inlineStr">
        <is>
          <t>Annuaire Service-public.fr</t>
        </is>
      </c>
      <c r="R606" t="inlineStr"/>
      <c r="S606" t="inlineStr"/>
      <c r="T606" t="inlineStr"/>
    </row>
    <row r="607">
      <c r="A607" t="inlineStr">
        <is>
          <t>CC Châteaubriant-Derval</t>
        </is>
      </c>
      <c r="B607" t="inlineStr">
        <is>
          <t>Communauté de communes</t>
        </is>
      </c>
      <c r="C607" t="inlineStr">
        <is>
          <t>200072726</t>
        </is>
      </c>
      <c r="D607" t="inlineStr">
        <is>
          <t>44</t>
        </is>
      </c>
      <c r="E607" t="inlineStr">
        <is>
          <t>Loire-Atlantique</t>
        </is>
      </c>
      <c r="F607" t="inlineStr">
        <is>
          <t>Pays de la Loire</t>
        </is>
      </c>
      <c r="G607" s="3" t="n">
        <v>44697</v>
      </c>
      <c r="H607" t="n">
        <v>26</v>
      </c>
      <c r="I607" t="inlineStr">
        <is>
          <t>5 rue Gabriel-Delatour</t>
        </is>
      </c>
      <c r="J607" t="inlineStr">
        <is>
          <t>44110</t>
        </is>
      </c>
      <c r="K607" t="inlineStr">
        <is>
          <t>Châteaubriant</t>
        </is>
      </c>
      <c r="L607" t="inlineStr">
        <is>
          <t>02 28 04 06 33</t>
        </is>
      </c>
      <c r="M607" s="4" t="inlineStr">
        <is>
          <t>accueil@cc-chateaubriant-derval.fr</t>
        </is>
      </c>
      <c r="N607" s="4" t="inlineStr">
        <is>
          <t>https://www.cc-chateaubriant-derval.fr/</t>
        </is>
      </c>
      <c r="O607" s="4" t="inlineStr">
        <is>
          <t>https://www.cc-chateaubriant-derval.fr/nous-contacter/</t>
        </is>
      </c>
      <c r="P607" s="4" t="inlineStr">
        <is>
          <t>https://lannuaire.service-public.gouv.fr/pays-de-la-loire/loire-atlantique/ba69ec86-a06d-442b-bfdd-bd9bf934a98a</t>
        </is>
      </c>
      <c r="Q607" t="inlineStr">
        <is>
          <t>Annuaire Service-public.fr</t>
        </is>
      </c>
      <c r="R607" t="inlineStr"/>
      <c r="S607" t="inlineStr"/>
      <c r="T607" t="inlineStr"/>
    </row>
    <row r="608">
      <c r="A608" t="inlineStr">
        <is>
          <t>CC Estuaire et Sillon</t>
        </is>
      </c>
      <c r="B608" t="inlineStr">
        <is>
          <t>Communauté de communes</t>
        </is>
      </c>
      <c r="C608" t="inlineStr">
        <is>
          <t>200072734</t>
        </is>
      </c>
      <c r="D608" t="inlineStr">
        <is>
          <t>44</t>
        </is>
      </c>
      <c r="E608" t="inlineStr">
        <is>
          <t>Loire-Atlantique</t>
        </is>
      </c>
      <c r="F608" t="inlineStr">
        <is>
          <t>Pays de la Loire</t>
        </is>
      </c>
      <c r="G608" s="3" t="n">
        <v>41096</v>
      </c>
      <c r="H608" t="n">
        <v>11</v>
      </c>
      <c r="I608" t="inlineStr">
        <is>
          <t>2 boulevard de la Loire</t>
        </is>
      </c>
      <c r="J608" t="inlineStr">
        <is>
          <t>44260</t>
        </is>
      </c>
      <c r="K608" t="inlineStr">
        <is>
          <t>Savenay</t>
        </is>
      </c>
      <c r="L608" t="inlineStr">
        <is>
          <t>02 40 56 81 03</t>
        </is>
      </c>
      <c r="M608" s="4" t="inlineStr">
        <is>
          <t>communaute@estuaire-sillon.fr</t>
        </is>
      </c>
      <c r="N608" s="4" t="inlineStr">
        <is>
          <t>https://www.estuaire-sillon.fr/</t>
        </is>
      </c>
      <c r="O608" s="4" t="inlineStr">
        <is>
          <t>https://www.estuaire-sillon.fr/nous-contacter-9.html</t>
        </is>
      </c>
      <c r="P608" s="4" t="inlineStr">
        <is>
          <t>https://lannuaire.service-public.gouv.fr/pays-de-la-loire/loire-atlantique/6c019e24-4f59-4cbc-9280-b94998c3a2bc</t>
        </is>
      </c>
      <c r="Q608" t="inlineStr">
        <is>
          <t>Annuaire Service-public.fr</t>
        </is>
      </c>
      <c r="R608" t="inlineStr"/>
      <c r="S608" t="inlineStr"/>
      <c r="T608" t="inlineStr"/>
    </row>
    <row r="609">
      <c r="A609" t="inlineStr">
        <is>
          <t>CC Grand Lieu Communauté</t>
        </is>
      </c>
      <c r="B609" t="inlineStr">
        <is>
          <t>Communauté de communes</t>
        </is>
      </c>
      <c r="C609" t="inlineStr">
        <is>
          <t>244400438</t>
        </is>
      </c>
      <c r="D609" t="inlineStr">
        <is>
          <t>44</t>
        </is>
      </c>
      <c r="E609" t="inlineStr">
        <is>
          <t>Loire-Atlantique</t>
        </is>
      </c>
      <c r="F609" t="inlineStr">
        <is>
          <t>Pays de la Loire</t>
        </is>
      </c>
      <c r="G609" s="3" t="n">
        <v>42037</v>
      </c>
      <c r="H609" t="n">
        <v>9</v>
      </c>
      <c r="I609" t="inlineStr">
        <is>
          <t>Parc d'activités de Tournebride, 1 rue de la Guillauderie</t>
        </is>
      </c>
      <c r="J609" t="inlineStr">
        <is>
          <t>44118</t>
        </is>
      </c>
      <c r="K609" t="inlineStr">
        <is>
          <t>La Chevrolière</t>
        </is>
      </c>
      <c r="L609" t="inlineStr">
        <is>
          <t>02 51 70 91 11</t>
        </is>
      </c>
      <c r="M609" s="4" t="inlineStr">
        <is>
          <t>grandlieu@grandlieu.fr</t>
        </is>
      </c>
      <c r="N609" s="4" t="inlineStr">
        <is>
          <t>https://www.grandlieu.fr/</t>
        </is>
      </c>
      <c r="O609" t="inlineStr"/>
      <c r="P609" s="4" t="inlineStr">
        <is>
          <t>https://lannuaire.service-public.gouv.fr/pays-de-la-loire/loire-atlantique/020578c8-e284-44af-bb35-44054bd624cc</t>
        </is>
      </c>
      <c r="Q609" t="inlineStr">
        <is>
          <t>Annuaire Service-public.fr</t>
        </is>
      </c>
      <c r="R609" t="inlineStr"/>
      <c r="S609" t="inlineStr"/>
      <c r="T609" t="inlineStr"/>
    </row>
    <row r="610">
      <c r="A610" t="inlineStr">
        <is>
          <t>CC Sud Retz Atlantique</t>
        </is>
      </c>
      <c r="B610" t="inlineStr">
        <is>
          <t>Communauté de communes</t>
        </is>
      </c>
      <c r="C610" t="inlineStr">
        <is>
          <t>200071546</t>
        </is>
      </c>
      <c r="D610" t="inlineStr">
        <is>
          <t>44</t>
        </is>
      </c>
      <c r="E610" t="inlineStr">
        <is>
          <t>Loire-Atlantique</t>
        </is>
      </c>
      <c r="F610" t="inlineStr">
        <is>
          <t>Pays de la Loire</t>
        </is>
      </c>
      <c r="G610" s="3" t="n">
        <v>25607</v>
      </c>
      <c r="H610" t="n">
        <v>8</v>
      </c>
      <c r="I610" t="inlineStr">
        <is>
          <t>ZIA de la Seiglerie 3, Maison de l'intercommunalité, 2 rue Galilée</t>
        </is>
      </c>
      <c r="J610" t="inlineStr">
        <is>
          <t>44270</t>
        </is>
      </c>
      <c r="K610" t="inlineStr">
        <is>
          <t>Machecoul</t>
        </is>
      </c>
      <c r="L610" t="inlineStr">
        <is>
          <t>02 40 02 32 62</t>
        </is>
      </c>
      <c r="M610" s="4" t="inlineStr">
        <is>
          <t>contact@ccsudretzatlantique.fr</t>
        </is>
      </c>
      <c r="N610" s="4" t="inlineStr">
        <is>
          <t>https://www.sud-retz-atlantique.fr/</t>
        </is>
      </c>
      <c r="O610" s="4" t="inlineStr">
        <is>
          <t>https://www.sud-retz-atlantique.fr/sud-retz-atlantique-communaute-de-communes-sra-contact/</t>
        </is>
      </c>
      <c r="P610" s="4" t="inlineStr">
        <is>
          <t>https://lannuaire.service-public.gouv.fr/pays-de-la-loire/loire-atlantique/2baeef5a-eb65-4f3b-b057-a4c7dca03ee9</t>
        </is>
      </c>
      <c r="Q610" t="inlineStr">
        <is>
          <t>Annuaire Service-public.fr</t>
        </is>
      </c>
      <c r="R610" t="inlineStr"/>
      <c r="S610" t="inlineStr"/>
      <c r="T610" t="inlineStr"/>
    </row>
    <row r="611">
      <c r="A611" t="inlineStr">
        <is>
          <t>CC Sèvre et Loire</t>
        </is>
      </c>
      <c r="B611" t="inlineStr">
        <is>
          <t>Communauté de communes</t>
        </is>
      </c>
      <c r="C611" t="inlineStr">
        <is>
          <t>200067866</t>
        </is>
      </c>
      <c r="D611" t="inlineStr">
        <is>
          <t>44</t>
        </is>
      </c>
      <c r="E611" t="inlineStr">
        <is>
          <t>Loire-Atlantique</t>
        </is>
      </c>
      <c r="F611" t="inlineStr">
        <is>
          <t>Pays de la Loire</t>
        </is>
      </c>
      <c r="G611" s="3" t="n">
        <v>49940</v>
      </c>
      <c r="H611" t="n">
        <v>11</v>
      </c>
      <c r="I611" t="inlineStr">
        <is>
          <t>1 place Charles-de-Gaulle</t>
        </is>
      </c>
      <c r="J611" t="inlineStr">
        <is>
          <t>44330</t>
        </is>
      </c>
      <c r="K611" t="inlineStr">
        <is>
          <t>Vallet</t>
        </is>
      </c>
      <c r="L611" t="inlineStr">
        <is>
          <t>02 51 71 92 12</t>
        </is>
      </c>
      <c r="M611" s="4" t="inlineStr">
        <is>
          <t>contact@cc-sevreloire.fr</t>
        </is>
      </c>
      <c r="N611" s="4" t="inlineStr">
        <is>
          <t>https://www.cc-sevreloire.fr/</t>
        </is>
      </c>
      <c r="O611" s="4" t="inlineStr">
        <is>
          <t>https://interco.cc-sevreloire.fr/contact/</t>
        </is>
      </c>
      <c r="P611" s="4" t="inlineStr">
        <is>
          <t>https://lannuaire.service-public.gouv.fr/pays-de-la-loire/loire-atlantique/c167afc5-780e-496c-a2a2-5383c3dc34c5</t>
        </is>
      </c>
      <c r="Q611" t="inlineStr">
        <is>
          <t>Annuaire Service-public.fr</t>
        </is>
      </c>
      <c r="R611" t="inlineStr"/>
      <c r="S611" t="inlineStr"/>
      <c r="T611" t="inlineStr"/>
    </row>
    <row r="612">
      <c r="A612" t="inlineStr">
        <is>
          <t>CC d'Erdre et Gesvres</t>
        </is>
      </c>
      <c r="B612" t="inlineStr">
        <is>
          <t>Communauté de communes</t>
        </is>
      </c>
      <c r="C612" t="inlineStr">
        <is>
          <t>244400503</t>
        </is>
      </c>
      <c r="D612" t="inlineStr">
        <is>
          <t>44</t>
        </is>
      </c>
      <c r="E612" t="inlineStr">
        <is>
          <t>Loire-Atlantique</t>
        </is>
      </c>
      <c r="F612" t="inlineStr">
        <is>
          <t>Pays de la Loire</t>
        </is>
      </c>
      <c r="G612" s="3" t="n">
        <v>68096</v>
      </c>
      <c r="H612" t="n">
        <v>12</v>
      </c>
      <c r="I612" t="inlineStr">
        <is>
          <t>Parc d'activités la Grand'haie, 1 rue Marie-Curie</t>
        </is>
      </c>
      <c r="J612" t="inlineStr">
        <is>
          <t>44119</t>
        </is>
      </c>
      <c r="K612" t="inlineStr">
        <is>
          <t>Grandchamps-des-Fontaines</t>
        </is>
      </c>
      <c r="L612" t="inlineStr">
        <is>
          <t>02 28 02 22 40</t>
        </is>
      </c>
      <c r="M612" s="4" t="inlineStr">
        <is>
          <t>contact@cceg.fr</t>
        </is>
      </c>
      <c r="N612" s="4" t="inlineStr">
        <is>
          <t>https://www.cceg.fr/</t>
        </is>
      </c>
      <c r="O612" s="4" t="inlineStr">
        <is>
          <t>https://www.cceg.fr/informations-pratiques/contact</t>
        </is>
      </c>
      <c r="P612" s="4" t="inlineStr">
        <is>
          <t>https://lannuaire.service-public.gouv.fr/pays-de-la-loire/loire-atlantique/5f782c25-fb66-4605-83ea-7bcc10a4b394</t>
        </is>
      </c>
      <c r="Q612" t="inlineStr">
        <is>
          <t>Annuaire Service-public.fr</t>
        </is>
      </c>
      <c r="R612" t="inlineStr"/>
      <c r="S612" t="inlineStr"/>
      <c r="T612" t="inlineStr"/>
    </row>
    <row r="613">
      <c r="A613" t="inlineStr">
        <is>
          <t>CC de Nozay</t>
        </is>
      </c>
      <c r="B613" t="inlineStr">
        <is>
          <t>Communauté de communes</t>
        </is>
      </c>
      <c r="C613" t="inlineStr">
        <is>
          <t>244400537</t>
        </is>
      </c>
      <c r="D613" t="inlineStr">
        <is>
          <t>44</t>
        </is>
      </c>
      <c r="E613" t="inlineStr">
        <is>
          <t>Loire-Atlantique</t>
        </is>
      </c>
      <c r="F613" t="inlineStr">
        <is>
          <t>Pays de la Loire</t>
        </is>
      </c>
      <c r="G613" s="3" t="n">
        <v>16406</v>
      </c>
      <c r="H613" t="n">
        <v>7</v>
      </c>
      <c r="I613" t="inlineStr">
        <is>
          <t>9 rue de l'Église</t>
        </is>
      </c>
      <c r="J613" t="inlineStr">
        <is>
          <t>44170</t>
        </is>
      </c>
      <c r="K613" t="inlineStr">
        <is>
          <t>Nozay</t>
        </is>
      </c>
      <c r="L613" t="inlineStr">
        <is>
          <t>02 40 79 51 51</t>
        </is>
      </c>
      <c r="M613" s="4" t="inlineStr">
        <is>
          <t>accueil@cc-nozay.fr</t>
        </is>
      </c>
      <c r="N613" s="4" t="inlineStr">
        <is>
          <t>https://www.cc-nozay.fr/</t>
        </is>
      </c>
      <c r="O613" s="4" t="inlineStr">
        <is>
          <t>https://www.cc-nozay.fr/systeme/contact/</t>
        </is>
      </c>
      <c r="P613" s="4" t="inlineStr">
        <is>
          <t>https://lannuaire.service-public.gouv.fr/pays-de-la-loire/loire-atlantique/21af4b1b-3ed3-4194-834b-62962dc1591b</t>
        </is>
      </c>
      <c r="Q613" t="inlineStr">
        <is>
          <t>Annuaire Service-public.fr</t>
        </is>
      </c>
      <c r="R613" t="inlineStr"/>
      <c r="S613" t="inlineStr"/>
      <c r="T613" t="inlineStr"/>
    </row>
    <row r="614">
      <c r="A614" t="inlineStr">
        <is>
          <t>CC du Pays de Blain</t>
        </is>
      </c>
      <c r="B614" t="inlineStr">
        <is>
          <t>Communauté de communes</t>
        </is>
      </c>
      <c r="C614" t="inlineStr">
        <is>
          <t>244400453</t>
        </is>
      </c>
      <c r="D614" t="inlineStr">
        <is>
          <t>44</t>
        </is>
      </c>
      <c r="E614" t="inlineStr">
        <is>
          <t>Loire-Atlantique</t>
        </is>
      </c>
      <c r="F614" t="inlineStr">
        <is>
          <t>Pays de la Loire</t>
        </is>
      </c>
      <c r="G614" s="3" t="n">
        <v>16858</v>
      </c>
      <c r="H614" t="n">
        <v>4</v>
      </c>
      <c r="I614" t="inlineStr">
        <is>
          <t>1 avenue de la Gare</t>
        </is>
      </c>
      <c r="J614" t="inlineStr">
        <is>
          <t>44130</t>
        </is>
      </c>
      <c r="K614" t="inlineStr">
        <is>
          <t>Blain</t>
        </is>
      </c>
      <c r="L614" t="inlineStr">
        <is>
          <t>02 40 79 09 92</t>
        </is>
      </c>
      <c r="M614" s="4" t="inlineStr">
        <is>
          <t>accueil@paysdeblain.fr</t>
        </is>
      </c>
      <c r="N614" s="4" t="inlineStr">
        <is>
          <t>https://www.pays-de-blain.com/</t>
        </is>
      </c>
      <c r="O614" s="4" t="inlineStr">
        <is>
          <t>https://www.pays-de-blain.com/contact/</t>
        </is>
      </c>
      <c r="P614" s="4" t="inlineStr">
        <is>
          <t>https://lannuaire.service-public.gouv.fr/pays-de-la-loire/loire-atlantique/231e2c6a-ce58-492c-8c0f-672f0c954d9e</t>
        </is>
      </c>
      <c r="Q614" t="inlineStr">
        <is>
          <t>Annuaire Service-public.fr</t>
        </is>
      </c>
      <c r="R614" t="inlineStr"/>
      <c r="S614" t="inlineStr"/>
      <c r="T614" t="inlineStr"/>
    </row>
    <row r="615">
      <c r="A615" t="inlineStr">
        <is>
          <t>CC du Pays de Pontchâteau St-Gildas-des-Bois</t>
        </is>
      </c>
      <c r="B615" t="inlineStr">
        <is>
          <t>Communauté de communes</t>
        </is>
      </c>
      <c r="C615" t="inlineStr">
        <is>
          <t>200000438</t>
        </is>
      </c>
      <c r="D615" t="inlineStr">
        <is>
          <t>44</t>
        </is>
      </c>
      <c r="E615" t="inlineStr">
        <is>
          <t>Loire-Atlantique</t>
        </is>
      </c>
      <c r="F615" t="inlineStr">
        <is>
          <t>Pays de la Loire</t>
        </is>
      </c>
      <c r="G615" s="3" t="n">
        <v>36662</v>
      </c>
      <c r="H615" t="n">
        <v>9</v>
      </c>
      <c r="I615" t="inlineStr">
        <is>
          <t>2 rue des Châtaigniers</t>
        </is>
      </c>
      <c r="J615" t="inlineStr">
        <is>
          <t>44160</t>
        </is>
      </c>
      <c r="K615" t="inlineStr">
        <is>
          <t>Pont-Château</t>
        </is>
      </c>
      <c r="L615" t="inlineStr">
        <is>
          <t>02 40 45 07 94</t>
        </is>
      </c>
      <c r="M615" s="4" t="inlineStr">
        <is>
          <t>accueil@cc-paysdepontchateau.fr</t>
        </is>
      </c>
      <c r="N615" s="4" t="inlineStr">
        <is>
          <t>https://www.cc-paysdepontchateau.fr/</t>
        </is>
      </c>
      <c r="O615" s="4" t="inlineStr">
        <is>
          <t>https://www.cc-paysdepontchateau.fr/systeme/contact/</t>
        </is>
      </c>
      <c r="P615" s="4" t="inlineStr">
        <is>
          <t>https://lannuaire.service-public.gouv.fr/pays-de-la-loire/loire-atlantique/ef45cd0d-d5e6-480c-bf24-277f9b6d350c</t>
        </is>
      </c>
      <c r="Q615" t="inlineStr">
        <is>
          <t>Annuaire Service-public.fr</t>
        </is>
      </c>
      <c r="R615" t="inlineStr"/>
      <c r="S615" t="inlineStr"/>
      <c r="T615" t="inlineStr"/>
    </row>
    <row r="616">
      <c r="A616" t="inlineStr">
        <is>
          <t>CC du Sud Estuaire</t>
        </is>
      </c>
      <c r="B616" t="inlineStr">
        <is>
          <t>Communauté de communes</t>
        </is>
      </c>
      <c r="C616" t="inlineStr">
        <is>
          <t>244400586</t>
        </is>
      </c>
      <c r="D616" t="inlineStr">
        <is>
          <t>44</t>
        </is>
      </c>
      <c r="E616" t="inlineStr">
        <is>
          <t>Loire-Atlantique</t>
        </is>
      </c>
      <c r="F616" t="inlineStr">
        <is>
          <t>Pays de la Loire</t>
        </is>
      </c>
      <c r="G616" s="3" t="n">
        <v>31126</v>
      </c>
      <c r="H616" t="n">
        <v>6</v>
      </c>
      <c r="I616" t="inlineStr">
        <is>
          <t>6 boulevard Dumesnildot</t>
        </is>
      </c>
      <c r="J616" t="inlineStr">
        <is>
          <t>44560</t>
        </is>
      </c>
      <c r="K616" t="inlineStr">
        <is>
          <t>Painboeuf</t>
        </is>
      </c>
      <c r="L616" t="inlineStr">
        <is>
          <t>02 40 27 70 12</t>
        </is>
      </c>
      <c r="M616" s="4" t="inlineStr">
        <is>
          <t>info@cc-sudestuaire.fr</t>
        </is>
      </c>
      <c r="N616" s="4" t="inlineStr">
        <is>
          <t>http://www.cc-sudestuaire.fr</t>
        </is>
      </c>
      <c r="O616" s="4" t="inlineStr">
        <is>
          <t>http://www.cc-sudestuaire.fr/contact/</t>
        </is>
      </c>
      <c r="P616" s="4" t="inlineStr">
        <is>
          <t>https://lannuaire.service-public.gouv.fr/pays-de-la-loire/loire-atlantique/b67892c3-e85e-4bbc-9f71-1219248ac078</t>
        </is>
      </c>
      <c r="Q616" t="inlineStr">
        <is>
          <t>Annuaire Service-public.fr</t>
        </is>
      </c>
      <c r="R616" t="inlineStr"/>
      <c r="S616" t="inlineStr"/>
      <c r="T616" t="inlineStr"/>
    </row>
    <row r="617">
      <c r="A617" t="inlineStr">
        <is>
          <t>Nantes Métropole</t>
        </is>
      </c>
      <c r="B617" t="inlineStr">
        <is>
          <t>Métropole</t>
        </is>
      </c>
      <c r="C617" t="inlineStr">
        <is>
          <t>244400404</t>
        </is>
      </c>
      <c r="D617" t="inlineStr">
        <is>
          <t>44</t>
        </is>
      </c>
      <c r="E617" t="inlineStr">
        <is>
          <t>Loire-Atlantique</t>
        </is>
      </c>
      <c r="F617" t="inlineStr">
        <is>
          <t>Pays de la Loire</t>
        </is>
      </c>
      <c r="G617" s="3" t="n">
        <v>683981</v>
      </c>
      <c r="H617" t="n">
        <v>24</v>
      </c>
      <c r="I617" t="inlineStr">
        <is>
          <t>2 cours du Champ-de-Mars</t>
        </is>
      </c>
      <c r="J617" t="inlineStr">
        <is>
          <t>44923</t>
        </is>
      </c>
      <c r="K617" t="inlineStr">
        <is>
          <t>Nantes</t>
        </is>
      </c>
      <c r="L617" t="inlineStr">
        <is>
          <t>02 40 99 48 48</t>
        </is>
      </c>
      <c r="M617" s="4" t="inlineStr">
        <is>
          <t>contact@nantesmetropole.fr</t>
        </is>
      </c>
      <c r="N617" s="4" t="inlineStr">
        <is>
          <t>https://metropole.nantes.fr/</t>
        </is>
      </c>
      <c r="O617" t="inlineStr"/>
      <c r="P617" s="4" t="inlineStr">
        <is>
          <t>https://lannuaire.service-public.gouv.fr/pays-de-la-loire/loire-atlantique/56df4149-fe3e-4d1a-aaca-1598242d175c</t>
        </is>
      </c>
      <c r="Q617" t="inlineStr">
        <is>
          <t>Annuaire Service-public.fr</t>
        </is>
      </c>
      <c r="R617" t="inlineStr"/>
      <c r="S617" t="inlineStr"/>
      <c r="T617" t="inlineStr"/>
    </row>
    <row r="618">
      <c r="A618" t="inlineStr">
        <is>
          <t>CC du Pays d'Ancenis</t>
        </is>
      </c>
      <c r="B618" t="inlineStr">
        <is>
          <t>Communauté de communes</t>
        </is>
      </c>
      <c r="C618" t="inlineStr">
        <is>
          <t>244400552</t>
        </is>
      </c>
      <c r="D618" t="inlineStr">
        <is>
          <t>44, 49</t>
        </is>
      </c>
      <c r="E618" t="inlineStr">
        <is>
          <t>Loire-Atlantique, Maine-et-Loire</t>
        </is>
      </c>
      <c r="F618" t="inlineStr">
        <is>
          <t>Pays de la Loire</t>
        </is>
      </c>
      <c r="G618" s="3" t="n">
        <v>69666</v>
      </c>
      <c r="H618" t="n">
        <v>20</v>
      </c>
      <c r="I618" t="inlineStr">
        <is>
          <t>Centre administratif Les Ursulines</t>
        </is>
      </c>
      <c r="J618" t="inlineStr">
        <is>
          <t>44150</t>
        </is>
      </c>
      <c r="K618" t="inlineStr">
        <is>
          <t>Ancenis-Saint-Géréon</t>
        </is>
      </c>
      <c r="L618" t="inlineStr">
        <is>
          <t>02 40 96 31 89</t>
        </is>
      </c>
      <c r="M618" s="4" t="inlineStr">
        <is>
          <t>compa@pays-ancenis.com</t>
        </is>
      </c>
      <c r="N618" s="4" t="inlineStr">
        <is>
          <t>https://www.pays-ancenis.com/</t>
        </is>
      </c>
      <c r="O618" s="4" t="inlineStr">
        <is>
          <t>https://www.pays-ancenis.com/formulaires/formulaire-de-contact-compa</t>
        </is>
      </c>
      <c r="P618" s="4" t="inlineStr">
        <is>
          <t>https://lannuaire.service-public.gouv.fr/pays-de-la-loire/loire-atlantique/ee1d6428-34c7-469f-9b68-afccfaa503ba</t>
        </is>
      </c>
      <c r="Q618" t="inlineStr">
        <is>
          <t>Annuaire Service-public.fr</t>
        </is>
      </c>
      <c r="R618" t="inlineStr"/>
      <c r="S618" t="inlineStr"/>
      <c r="T618" t="inlineStr"/>
    </row>
    <row r="619">
      <c r="A619" t="inlineStr">
        <is>
          <t>CA de la Presqu'île de Guérande Atlantique (Cap Atlantique)</t>
        </is>
      </c>
      <c r="B619" t="inlineStr">
        <is>
          <t>Communauté d’agglomération</t>
        </is>
      </c>
      <c r="C619" t="inlineStr">
        <is>
          <t>244400610</t>
        </is>
      </c>
      <c r="D619" t="inlineStr">
        <is>
          <t>44, 56</t>
        </is>
      </c>
      <c r="E619" t="inlineStr">
        <is>
          <t>Loire-Atlantique, Morbihan</t>
        </is>
      </c>
      <c r="F619" t="inlineStr">
        <is>
          <t>Pays de la Loire, Bretagne</t>
        </is>
      </c>
      <c r="G619" s="3" t="n">
        <v>77687</v>
      </c>
      <c r="H619" t="n">
        <v>15</v>
      </c>
      <c r="I619" t="inlineStr">
        <is>
          <t>3 avenue des Noëlles</t>
        </is>
      </c>
      <c r="J619" t="inlineStr">
        <is>
          <t>44500</t>
        </is>
      </c>
      <c r="K619" t="inlineStr">
        <is>
          <t>La Baule-Escoublac</t>
        </is>
      </c>
      <c r="L619" t="inlineStr">
        <is>
          <t>02 51 75 06 80</t>
        </is>
      </c>
      <c r="M619" s="4" t="inlineStr">
        <is>
          <t>accueil@cap-atlantique.fr</t>
        </is>
      </c>
      <c r="N619" s="4" t="inlineStr">
        <is>
          <t>https://www.cap-atlantique.fr/</t>
        </is>
      </c>
      <c r="O619" s="4" t="inlineStr">
        <is>
          <t>https://formulaires.mesdemarches.cap-atlantique.fr/une-infos-une-remarque-une-idee/contact/</t>
        </is>
      </c>
      <c r="P619" s="4" t="inlineStr">
        <is>
          <t>https://lannuaire.service-public.gouv.fr/pays-de-la-loire/loire-atlantique/5aa1713e-38e7-489d-bcd3-7e8c9e547225</t>
        </is>
      </c>
      <c r="Q619" t="inlineStr">
        <is>
          <t>Annuaire Service-public.fr</t>
        </is>
      </c>
      <c r="R619" t="inlineStr"/>
      <c r="S619" t="inlineStr"/>
      <c r="T619" t="inlineStr"/>
    </row>
    <row r="620">
      <c r="A620" t="inlineStr">
        <is>
          <t>CA Montargoise et Rives du Loing (AME)</t>
        </is>
      </c>
      <c r="B620" t="inlineStr">
        <is>
          <t>Communauté d’agglomération</t>
        </is>
      </c>
      <c r="C620" t="inlineStr">
        <is>
          <t>244500203</t>
        </is>
      </c>
      <c r="D620" t="inlineStr">
        <is>
          <t>45</t>
        </is>
      </c>
      <c r="E620" t="inlineStr">
        <is>
          <t>Loiret</t>
        </is>
      </c>
      <c r="F620" t="inlineStr">
        <is>
          <t>Centre-Val de Loire</t>
        </is>
      </c>
      <c r="G620" s="3" t="n">
        <v>62989</v>
      </c>
      <c r="H620" t="n">
        <v>15</v>
      </c>
      <c r="I620" t="inlineStr">
        <is>
          <t>1 rue du Faubourg-de-la-Chaussée</t>
        </is>
      </c>
      <c r="J620" t="inlineStr">
        <is>
          <t>45125</t>
        </is>
      </c>
      <c r="K620" t="inlineStr">
        <is>
          <t>Montargis</t>
        </is>
      </c>
      <c r="L620" t="inlineStr">
        <is>
          <t>02 38 95 02 02</t>
        </is>
      </c>
      <c r="M620" s="4" t="inlineStr">
        <is>
          <t>contact@agglo-montargoise.fr</t>
        </is>
      </c>
      <c r="N620" s="4" t="inlineStr">
        <is>
          <t>https://www.agglo-montargoise.fr</t>
        </is>
      </c>
      <c r="O620" t="inlineStr"/>
      <c r="P620" s="4" t="inlineStr">
        <is>
          <t>https://lannuaire.service-public.gouv.fr/centre-val-de-loire/loiret/37f4e54c-54a9-4b47-a056-5f7edb3712b4</t>
        </is>
      </c>
      <c r="Q620" t="inlineStr">
        <is>
          <t>Annuaire Service-public.fr</t>
        </is>
      </c>
      <c r="R620" t="inlineStr"/>
      <c r="S620" t="inlineStr"/>
      <c r="T620" t="inlineStr"/>
    </row>
    <row r="621">
      <c r="A621" t="inlineStr">
        <is>
          <t>CC Berry Loire Puisaye</t>
        </is>
      </c>
      <c r="B621" t="inlineStr">
        <is>
          <t>Communauté de communes</t>
        </is>
      </c>
      <c r="C621" t="inlineStr">
        <is>
          <t>200068278</t>
        </is>
      </c>
      <c r="D621" t="inlineStr">
        <is>
          <t>45</t>
        </is>
      </c>
      <c r="E621" t="inlineStr">
        <is>
          <t>Loiret</t>
        </is>
      </c>
      <c r="F621" t="inlineStr">
        <is>
          <t>Centre-Val de Loire</t>
        </is>
      </c>
      <c r="G621" s="3" t="n">
        <v>17525</v>
      </c>
      <c r="H621" t="n">
        <v>20</v>
      </c>
      <c r="I621" t="inlineStr">
        <is>
          <t>42 rue des Prés-Gris</t>
        </is>
      </c>
      <c r="J621" t="inlineStr">
        <is>
          <t>45250</t>
        </is>
      </c>
      <c r="K621" t="inlineStr">
        <is>
          <t>Briare</t>
        </is>
      </c>
      <c r="L621" t="inlineStr">
        <is>
          <t>02 38 37 03 84</t>
        </is>
      </c>
      <c r="M621" s="4" t="inlineStr">
        <is>
          <t>contact@cc-berryloirepuisaye.fr</t>
        </is>
      </c>
      <c r="N621" s="4" t="inlineStr">
        <is>
          <t>https://cc-berryloirepuisaye.fr/fr/</t>
        </is>
      </c>
      <c r="O621" s="4" t="inlineStr">
        <is>
          <t>https://cc-berryloirepuisaye.fr/fr/</t>
        </is>
      </c>
      <c r="P621" s="4" t="inlineStr">
        <is>
          <t>https://lannuaire.service-public.gouv.fr/centre-val-de-loire/loiret/50a3d8c1-3477-48b3-9af2-9c55b5902194</t>
        </is>
      </c>
      <c r="Q621" t="inlineStr">
        <is>
          <t>Annuaire Service-public.fr</t>
        </is>
      </c>
      <c r="R621" t="inlineStr"/>
      <c r="S621" t="inlineStr"/>
      <c r="T621" t="inlineStr"/>
    </row>
    <row r="622">
      <c r="A622" t="inlineStr">
        <is>
          <t>CC Canaux et Forêts en Gâtinais</t>
        </is>
      </c>
      <c r="B622" t="inlineStr">
        <is>
          <t>Communauté de communes</t>
        </is>
      </c>
      <c r="C622" t="inlineStr">
        <is>
          <t>200067676</t>
        </is>
      </c>
      <c r="D622" t="inlineStr">
        <is>
          <t>45</t>
        </is>
      </c>
      <c r="E622" t="inlineStr">
        <is>
          <t>Loiret</t>
        </is>
      </c>
      <c r="F622" t="inlineStr">
        <is>
          <t>Centre-Val de Loire</t>
        </is>
      </c>
      <c r="G622" s="3" t="n">
        <v>27348</v>
      </c>
      <c r="H622" t="n">
        <v>38</v>
      </c>
      <c r="I622" t="inlineStr">
        <is>
          <t>Parc d'activités du Pays de Lorris, 155 rue des Érables</t>
        </is>
      </c>
      <c r="J622" t="inlineStr">
        <is>
          <t>45260</t>
        </is>
      </c>
      <c r="K622" t="inlineStr">
        <is>
          <t>Lorris</t>
        </is>
      </c>
      <c r="L622" t="inlineStr">
        <is>
          <t>02 38 92 31 11</t>
        </is>
      </c>
      <c r="M622" s="4" t="inlineStr">
        <is>
          <t>accueil@comcomcfg.fr</t>
        </is>
      </c>
      <c r="N622" s="4" t="inlineStr">
        <is>
          <t>https://www.comcomcfg.fr/</t>
        </is>
      </c>
      <c r="O622" s="4" t="inlineStr">
        <is>
          <t>https://www.comcomcfg.fr/communaute-communes-cfg-contact-acces_fr.html</t>
        </is>
      </c>
      <c r="P622" s="4" t="inlineStr">
        <is>
          <t>https://lannuaire.service-public.gouv.fr/centre-val-de-loire/loiret/2fd36bdf-ac79-4781-8189-0f4ab0aaa1b1</t>
        </is>
      </c>
      <c r="Q622" t="inlineStr">
        <is>
          <t>Annuaire Service-public.fr</t>
        </is>
      </c>
      <c r="R622" t="inlineStr"/>
      <c r="S622" t="inlineStr"/>
      <c r="T622" t="inlineStr"/>
    </row>
    <row r="623">
      <c r="A623" t="inlineStr">
        <is>
          <t>CC Giennoises</t>
        </is>
      </c>
      <c r="B623" t="inlineStr">
        <is>
          <t>Communauté de communes</t>
        </is>
      </c>
      <c r="C623" t="inlineStr">
        <is>
          <t>244500211</t>
        </is>
      </c>
      <c r="D623" t="inlineStr">
        <is>
          <t>45</t>
        </is>
      </c>
      <c r="E623" t="inlineStr">
        <is>
          <t>Loiret</t>
        </is>
      </c>
      <c r="F623" t="inlineStr">
        <is>
          <t>Centre-Val de Loire</t>
        </is>
      </c>
      <c r="G623" s="3" t="n">
        <v>24145</v>
      </c>
      <c r="H623" t="n">
        <v>11</v>
      </c>
      <c r="I623" t="inlineStr">
        <is>
          <t>3 chemin de Montfort</t>
        </is>
      </c>
      <c r="J623" t="inlineStr">
        <is>
          <t>45500</t>
        </is>
      </c>
      <c r="K623" t="inlineStr">
        <is>
          <t>Gien</t>
        </is>
      </c>
      <c r="L623" t="inlineStr">
        <is>
          <t>02 38 29 80 00</t>
        </is>
      </c>
      <c r="M623" s="4" t="inlineStr">
        <is>
          <t>direction@cc-giennoises.fr</t>
        </is>
      </c>
      <c r="N623" s="4" t="inlineStr">
        <is>
          <t>https://www.legiennois.fr/</t>
        </is>
      </c>
      <c r="O623" s="4" t="inlineStr">
        <is>
          <t>https://www.cc-giennoises.fr/contact/</t>
        </is>
      </c>
      <c r="P623" s="4" t="inlineStr">
        <is>
          <t>https://lannuaire.service-public.gouv.fr/centre-val-de-loire/loiret/715aa30c-67fd-4348-9016-46d19cd1e5d9</t>
        </is>
      </c>
      <c r="Q623" t="inlineStr">
        <is>
          <t>Annuaire Service-public.fr</t>
        </is>
      </c>
      <c r="R623" t="inlineStr"/>
      <c r="S623" t="inlineStr"/>
      <c r="T623" t="inlineStr"/>
    </row>
    <row r="624">
      <c r="A624" t="inlineStr">
        <is>
          <t>CC de la Beauce Loirétaine</t>
        </is>
      </c>
      <c r="B624" t="inlineStr">
        <is>
          <t>Communauté de communes</t>
        </is>
      </c>
      <c r="C624" t="inlineStr">
        <is>
          <t>200035764</t>
        </is>
      </c>
      <c r="D624" t="inlineStr">
        <is>
          <t>45</t>
        </is>
      </c>
      <c r="E624" t="inlineStr">
        <is>
          <t>Loiret</t>
        </is>
      </c>
      <c r="F624" t="inlineStr">
        <is>
          <t>Centre-Val de Loire</t>
        </is>
      </c>
      <c r="G624" s="3" t="n">
        <v>16991</v>
      </c>
      <c r="H624" t="n">
        <v>23</v>
      </c>
      <c r="I624" t="inlineStr">
        <is>
          <t>Chemin des ouches</t>
        </is>
      </c>
      <c r="J624" t="inlineStr">
        <is>
          <t>45410</t>
        </is>
      </c>
      <c r="K624" t="inlineStr">
        <is>
          <t>Sougy</t>
        </is>
      </c>
      <c r="L624" t="inlineStr">
        <is>
          <t>02 19 23 00 50</t>
        </is>
      </c>
      <c r="M624" s="4" t="inlineStr">
        <is>
          <t>contact@cc-beauceloiretaine.fr</t>
        </is>
      </c>
      <c r="N624" s="4" t="inlineStr">
        <is>
          <t>https://www.cc-beauceloiretaine.fr/</t>
        </is>
      </c>
      <c r="O624" s="4" t="inlineStr">
        <is>
          <t>https://www.cc-beauceloiretaine.fr/systeme/nous-contacter/</t>
        </is>
      </c>
      <c r="P624" s="4" t="inlineStr">
        <is>
          <t>https://lannuaire.service-public.gouv.fr/centre-val-de-loire/loiret/1e0f58ad-6231-49a5-b7e0-e4202dcbcee7</t>
        </is>
      </c>
      <c r="Q624" t="inlineStr">
        <is>
          <t>Annuaire Service-public.fr</t>
        </is>
      </c>
      <c r="R624" t="inlineStr"/>
      <c r="S624" t="inlineStr"/>
      <c r="T624" t="inlineStr"/>
    </row>
    <row r="625">
      <c r="A625" t="inlineStr">
        <is>
          <t>CC de la Forêt</t>
        </is>
      </c>
      <c r="B625" t="inlineStr">
        <is>
          <t>Communauté de communes</t>
        </is>
      </c>
      <c r="C625" t="inlineStr">
        <is>
          <t>244500484</t>
        </is>
      </c>
      <c r="D625" t="inlineStr">
        <is>
          <t>45</t>
        </is>
      </c>
      <c r="E625" t="inlineStr">
        <is>
          <t>Loiret</t>
        </is>
      </c>
      <c r="F625" t="inlineStr">
        <is>
          <t>Centre-Val de Loire</t>
        </is>
      </c>
      <c r="G625" s="3" t="n">
        <v>17601</v>
      </c>
      <c r="H625" t="n">
        <v>10</v>
      </c>
      <c r="I625" t="inlineStr">
        <is>
          <t>15 rue du Mail-Est</t>
        </is>
      </c>
      <c r="J625" t="inlineStr">
        <is>
          <t>45170</t>
        </is>
      </c>
      <c r="K625" t="inlineStr">
        <is>
          <t>Neuville-aux-Bois</t>
        </is>
      </c>
      <c r="L625" t="inlineStr">
        <is>
          <t>02 38 91 52 88</t>
        </is>
      </c>
      <c r="M625" s="4" t="inlineStr">
        <is>
          <t>contact@cc-foret.fr</t>
        </is>
      </c>
      <c r="N625" s="4" t="inlineStr">
        <is>
          <t>https://www.cc-foret.fr/</t>
        </is>
      </c>
      <c r="O625" t="inlineStr"/>
      <c r="P625" s="4" t="inlineStr">
        <is>
          <t>https://lannuaire.service-public.gouv.fr/centre-val-de-loire/loiret/fab2e052-a94f-4590-b98c-06ff6d37cf01</t>
        </is>
      </c>
      <c r="Q625" t="inlineStr">
        <is>
          <t>Annuaire Service-public.fr</t>
        </is>
      </c>
      <c r="R625" t="inlineStr"/>
      <c r="S625" t="inlineStr"/>
      <c r="T625" t="inlineStr"/>
    </row>
    <row r="626">
      <c r="A626" t="inlineStr">
        <is>
          <t>CC de la Plaine du Nord Loiret</t>
        </is>
      </c>
      <c r="B626" t="inlineStr">
        <is>
          <t>Communauté de communes</t>
        </is>
      </c>
      <c r="C626" t="inlineStr">
        <is>
          <t>244500542</t>
        </is>
      </c>
      <c r="D626" t="inlineStr">
        <is>
          <t>45</t>
        </is>
      </c>
      <c r="E626" t="inlineStr">
        <is>
          <t>Loiret</t>
        </is>
      </c>
      <c r="F626" t="inlineStr">
        <is>
          <t>Centre-Val de Loire</t>
        </is>
      </c>
      <c r="G626" s="3" t="n">
        <v>6719</v>
      </c>
      <c r="H626" t="n">
        <v>15</v>
      </c>
      <c r="I626" t="inlineStr">
        <is>
          <t>3 rue de l'Avenir</t>
        </is>
      </c>
      <c r="J626" t="inlineStr">
        <is>
          <t>45480</t>
        </is>
      </c>
      <c r="K626" t="inlineStr">
        <is>
          <t>Bazoches-les-Gallerandes</t>
        </is>
      </c>
      <c r="L626" t="inlineStr">
        <is>
          <t>02 38 39 60 38</t>
        </is>
      </c>
      <c r="M626" s="4" t="inlineStr">
        <is>
          <t>accueil@cc-plaine-nord-loiret.fr</t>
        </is>
      </c>
      <c r="N626" s="4" t="inlineStr">
        <is>
          <t>https://cc-plaine-nord-loiret.fr/</t>
        </is>
      </c>
      <c r="O626" t="inlineStr"/>
      <c r="P626" s="4" t="inlineStr">
        <is>
          <t>https://lannuaire.service-public.gouv.fr/centre-val-de-loire/loiret/93e3d19d-4255-441d-bf45-1348d23f6216</t>
        </is>
      </c>
      <c r="Q626" t="inlineStr">
        <is>
          <t>Annuaire Service-public.fr</t>
        </is>
      </c>
      <c r="R626" t="inlineStr"/>
      <c r="S626" t="inlineStr"/>
      <c r="T626" t="inlineStr"/>
    </row>
    <row r="627">
      <c r="A627" t="inlineStr">
        <is>
          <t>CC des Loges</t>
        </is>
      </c>
      <c r="B627" t="inlineStr">
        <is>
          <t>Communauté de communes</t>
        </is>
      </c>
      <c r="C627" t="inlineStr">
        <is>
          <t>244500427</t>
        </is>
      </c>
      <c r="D627" t="inlineStr">
        <is>
          <t>45</t>
        </is>
      </c>
      <c r="E627" t="inlineStr">
        <is>
          <t>Loiret</t>
        </is>
      </c>
      <c r="F627" t="inlineStr">
        <is>
          <t>Centre-Val de Loire</t>
        </is>
      </c>
      <c r="G627" s="3" t="n">
        <v>43246</v>
      </c>
      <c r="H627" t="n">
        <v>20</v>
      </c>
      <c r="I627" t="inlineStr">
        <is>
          <t>54 rue du Clos-Renard</t>
        </is>
      </c>
      <c r="J627" t="inlineStr">
        <is>
          <t>45110</t>
        </is>
      </c>
      <c r="K627" t="inlineStr">
        <is>
          <t>Châteauneuf-sur-Loire</t>
        </is>
      </c>
      <c r="L627" t="inlineStr">
        <is>
          <t>02 38 46 99 66</t>
        </is>
      </c>
      <c r="M627" s="4" t="inlineStr">
        <is>
          <t>secretariat@cc-loges.fr</t>
        </is>
      </c>
      <c r="N627" s="4" t="inlineStr">
        <is>
          <t>https://www.cc-loges.fr/</t>
        </is>
      </c>
      <c r="O627" s="4" t="inlineStr">
        <is>
          <t>https://www.cc-loges.fr/systeme/nous-contacter/</t>
        </is>
      </c>
      <c r="P627" s="4" t="inlineStr">
        <is>
          <t>https://lannuaire.service-public.gouv.fr/centre-val-de-loire/loiret/a3767d4d-7666-4c6a-bbd8-4728297ef8d8</t>
        </is>
      </c>
      <c r="Q627" t="inlineStr">
        <is>
          <t>Annuaire Service-public.fr</t>
        </is>
      </c>
      <c r="R627" t="inlineStr"/>
      <c r="S627" t="inlineStr"/>
      <c r="T627" t="inlineStr"/>
    </row>
    <row r="628">
      <c r="A628" t="inlineStr">
        <is>
          <t>CC des Portes de Sologne</t>
        </is>
      </c>
      <c r="B628" t="inlineStr">
        <is>
          <t>Communauté de communes</t>
        </is>
      </c>
      <c r="C628" t="inlineStr">
        <is>
          <t>200005932</t>
        </is>
      </c>
      <c r="D628" t="inlineStr">
        <is>
          <t>45</t>
        </is>
      </c>
      <c r="E628" t="inlineStr">
        <is>
          <t>Loiret</t>
        </is>
      </c>
      <c r="F628" t="inlineStr">
        <is>
          <t>Centre-Val de Loire</t>
        </is>
      </c>
      <c r="G628" s="3" t="n">
        <v>15654</v>
      </c>
      <c r="H628" t="n">
        <v>7</v>
      </c>
      <c r="I628" t="inlineStr">
        <is>
          <t>Place Charles-de-Gaulle, Mairie</t>
        </is>
      </c>
      <c r="J628" t="inlineStr">
        <is>
          <t>45240</t>
        </is>
      </c>
      <c r="K628" t="inlineStr">
        <is>
          <t>La Ferté-Saint-Aubin</t>
        </is>
      </c>
      <c r="L628" t="inlineStr">
        <is>
          <t>02 38 64 83 91</t>
        </is>
      </c>
      <c r="M628" s="4" t="inlineStr">
        <is>
          <t>ccps@ccportesdesologne.fr</t>
        </is>
      </c>
      <c r="N628" s="4" t="inlineStr">
        <is>
          <t>https://www.ccportesdesologne.fr</t>
        </is>
      </c>
      <c r="O628" s="4" t="inlineStr">
        <is>
          <t>https://www.ccportesdesologne.fr/nous-contacter/</t>
        </is>
      </c>
      <c r="P628" s="4" t="inlineStr">
        <is>
          <t>https://lannuaire.service-public.gouv.fr/centre-val-de-loire/loiret/33558b18-417f-41af-978a-81911a2c8a11</t>
        </is>
      </c>
      <c r="Q628" t="inlineStr">
        <is>
          <t>Annuaire Service-public.fr</t>
        </is>
      </c>
      <c r="R628" t="inlineStr"/>
      <c r="S628" t="inlineStr"/>
      <c r="T628" t="inlineStr"/>
    </row>
    <row r="629">
      <c r="A629" t="inlineStr">
        <is>
          <t>CC des Quatre Vallées</t>
        </is>
      </c>
      <c r="B629" t="inlineStr">
        <is>
          <t>Communauté de communes</t>
        </is>
      </c>
      <c r="C629" t="inlineStr">
        <is>
          <t>244500419</t>
        </is>
      </c>
      <c r="D629" t="inlineStr">
        <is>
          <t>45</t>
        </is>
      </c>
      <c r="E629" t="inlineStr">
        <is>
          <t>Loiret</t>
        </is>
      </c>
      <c r="F629" t="inlineStr">
        <is>
          <t>Centre-Val de Loire</t>
        </is>
      </c>
      <c r="G629" s="3" t="n">
        <v>17270</v>
      </c>
      <c r="H629" t="n">
        <v>20</v>
      </c>
      <c r="I629" t="inlineStr">
        <is>
          <t>4 place Saint-Macé</t>
        </is>
      </c>
      <c r="J629" t="inlineStr">
        <is>
          <t>45210</t>
        </is>
      </c>
      <c r="K629" t="inlineStr">
        <is>
          <t>Ferrières-en-Gâtinais</t>
        </is>
      </c>
      <c r="L629" t="inlineStr">
        <is>
          <t>02 38 26 02 70</t>
        </is>
      </c>
      <c r="M629" s="4" t="inlineStr">
        <is>
          <t>secretariatcc4v@cc4v.fr</t>
        </is>
      </c>
      <c r="N629" s="4" t="inlineStr">
        <is>
          <t>https://www.cc4v.fr/</t>
        </is>
      </c>
      <c r="O629" s="4" t="inlineStr">
        <is>
          <t>https://www.cc4v.fr/contactez-nous</t>
        </is>
      </c>
      <c r="P629" s="4" t="inlineStr">
        <is>
          <t>https://lannuaire.service-public.gouv.fr/centre-val-de-loire/loiret/842534ea-55e1-4d40-9d67-b8beeb6944e6</t>
        </is>
      </c>
      <c r="Q629" t="inlineStr">
        <is>
          <t>Annuaire Service-public.fr</t>
        </is>
      </c>
      <c r="R629" t="inlineStr"/>
      <c r="S629" t="inlineStr"/>
      <c r="T629" t="inlineStr"/>
    </row>
    <row r="630">
      <c r="A630" t="inlineStr">
        <is>
          <t>CC du Pithiverais</t>
        </is>
      </c>
      <c r="B630" t="inlineStr">
        <is>
          <t>Communauté de communes</t>
        </is>
      </c>
      <c r="C630" t="inlineStr">
        <is>
          <t>200066280</t>
        </is>
      </c>
      <c r="D630" t="inlineStr">
        <is>
          <t>45</t>
        </is>
      </c>
      <c r="E630" t="inlineStr">
        <is>
          <t>Loiret</t>
        </is>
      </c>
      <c r="F630" t="inlineStr">
        <is>
          <t>Centre-Val de Loire</t>
        </is>
      </c>
      <c r="G630" s="3" t="n">
        <v>29093</v>
      </c>
      <c r="H630" t="n">
        <v>31</v>
      </c>
      <c r="I630" t="inlineStr">
        <is>
          <t>ZA Le Moulin de Pierre, 5 route de Toury</t>
        </is>
      </c>
      <c r="J630" t="inlineStr">
        <is>
          <t>45300</t>
        </is>
      </c>
      <c r="K630" t="inlineStr">
        <is>
          <t>Pithiviers-le-Vieil</t>
        </is>
      </c>
      <c r="L630" t="inlineStr">
        <is>
          <t>02 38 32 76 10</t>
        </is>
      </c>
      <c r="M630" s="4" t="inlineStr">
        <is>
          <t>accueil@ccdp.fr</t>
        </is>
      </c>
      <c r="N630" s="4" t="inlineStr">
        <is>
          <t>https://www.ccdp.fr/</t>
        </is>
      </c>
      <c r="O630" s="4" t="inlineStr">
        <is>
          <t>https://www.ccdp.fr/systeme/nous-contacter/</t>
        </is>
      </c>
      <c r="P630" s="4" t="inlineStr">
        <is>
          <t>https://lannuaire.service-public.gouv.fr/centre-val-de-loire/loiret/9da445e5-9bf3-4785-a0c2-872039854cce</t>
        </is>
      </c>
      <c r="Q630" t="inlineStr">
        <is>
          <t>Annuaire Service-public.fr</t>
        </is>
      </c>
      <c r="R630" t="inlineStr"/>
      <c r="S630" t="inlineStr"/>
      <c r="T630" t="inlineStr"/>
    </row>
    <row r="631">
      <c r="A631" t="inlineStr">
        <is>
          <t>CC du Pithiverais-Gâtinais</t>
        </is>
      </c>
      <c r="B631" t="inlineStr">
        <is>
          <t>Communauté de communes</t>
        </is>
      </c>
      <c r="C631" t="inlineStr">
        <is>
          <t>200071850</t>
        </is>
      </c>
      <c r="D631" t="inlineStr">
        <is>
          <t>45</t>
        </is>
      </c>
      <c r="E631" t="inlineStr">
        <is>
          <t>Loiret</t>
        </is>
      </c>
      <c r="F631" t="inlineStr">
        <is>
          <t>Centre-Val de Loire</t>
        </is>
      </c>
      <c r="G631" s="3" t="n">
        <v>25581</v>
      </c>
      <c r="H631" t="n">
        <v>31</v>
      </c>
      <c r="I631" t="inlineStr">
        <is>
          <t>3 bis rue des Déportés</t>
        </is>
      </c>
      <c r="J631" t="inlineStr">
        <is>
          <t>45340</t>
        </is>
      </c>
      <c r="K631" t="inlineStr">
        <is>
          <t>Beaune-la-Rolande</t>
        </is>
      </c>
      <c r="L631" t="inlineStr">
        <is>
          <t>02 38 33 92 68</t>
        </is>
      </c>
      <c r="M631" s="4" t="inlineStr">
        <is>
          <t>accueil.beaunois@pithiveraisgatinais.fr</t>
        </is>
      </c>
      <c r="N631" s="4" t="inlineStr">
        <is>
          <t>https://www.pithiveraisgatinais.fr/</t>
        </is>
      </c>
      <c r="O631" s="4" t="inlineStr">
        <is>
          <t>https://www.pithiveraisgatinais.fr/nous-contacter/</t>
        </is>
      </c>
      <c r="P631" s="4" t="inlineStr">
        <is>
          <t>https://lannuaire.service-public.gouv.fr/centre-val-de-loire/loiret/97726be2-fe54-4048-8ac2-90d34977d916</t>
        </is>
      </c>
      <c r="Q631" t="inlineStr">
        <is>
          <t>Annuaire Service-public.fr</t>
        </is>
      </c>
      <c r="R631" t="inlineStr"/>
      <c r="S631" t="inlineStr"/>
      <c r="T631" t="inlineStr"/>
    </row>
    <row r="632">
      <c r="A632" t="inlineStr">
        <is>
          <t>CC du Val de Sully</t>
        </is>
      </c>
      <c r="B632" t="inlineStr">
        <is>
          <t>Communauté de communes</t>
        </is>
      </c>
      <c r="C632" t="inlineStr">
        <is>
          <t>200070100</t>
        </is>
      </c>
      <c r="D632" t="inlineStr">
        <is>
          <t>45</t>
        </is>
      </c>
      <c r="E632" t="inlineStr">
        <is>
          <t>Loiret</t>
        </is>
      </c>
      <c r="F632" t="inlineStr">
        <is>
          <t>Centre-Val de Loire</t>
        </is>
      </c>
      <c r="G632" s="3" t="n">
        <v>24081</v>
      </c>
      <c r="H632" t="n">
        <v>19</v>
      </c>
      <c r="I632" t="inlineStr">
        <is>
          <t>28 route des Bordes</t>
        </is>
      </c>
      <c r="J632" t="inlineStr">
        <is>
          <t>45460</t>
        </is>
      </c>
      <c r="K632" t="inlineStr">
        <is>
          <t>Bonnée</t>
        </is>
      </c>
      <c r="L632" t="inlineStr">
        <is>
          <t>02 38 35 05 58</t>
        </is>
      </c>
      <c r="M632" s="4" t="inlineStr">
        <is>
          <t>accueil@valdesully.fr</t>
        </is>
      </c>
      <c r="N632" s="4" t="inlineStr">
        <is>
          <t>https://valdesully.fr/</t>
        </is>
      </c>
      <c r="O632" s="4" t="inlineStr">
        <is>
          <t>https://valdesully.fr/contact</t>
        </is>
      </c>
      <c r="P632" s="4" t="inlineStr">
        <is>
          <t>https://lannuaire.service-public.gouv.fr/centre-val-de-loire/loiret/268be038-b2bf-4d16-ba64-fe0fb41bba11</t>
        </is>
      </c>
      <c r="Q632" t="inlineStr">
        <is>
          <t>Annuaire Service-public.fr</t>
        </is>
      </c>
      <c r="R632" t="inlineStr"/>
      <c r="S632" t="inlineStr"/>
      <c r="T632" t="inlineStr"/>
    </row>
    <row r="633">
      <c r="A633" t="inlineStr">
        <is>
          <t>Orléans Métropole</t>
        </is>
      </c>
      <c r="B633" t="inlineStr">
        <is>
          <t>Métropole</t>
        </is>
      </c>
      <c r="C633" t="inlineStr">
        <is>
          <t>244500468</t>
        </is>
      </c>
      <c r="D633" t="inlineStr">
        <is>
          <t>45</t>
        </is>
      </c>
      <c r="E633" t="inlineStr">
        <is>
          <t>Loiret</t>
        </is>
      </c>
      <c r="F633" t="inlineStr">
        <is>
          <t>Centre-Val de Loire</t>
        </is>
      </c>
      <c r="G633" s="3" t="n">
        <v>293673</v>
      </c>
      <c r="H633" t="n">
        <v>22</v>
      </c>
      <c r="I633" t="inlineStr">
        <is>
          <t>5 place du 6-Juin-1944</t>
        </is>
      </c>
      <c r="J633" t="inlineStr">
        <is>
          <t>45000</t>
        </is>
      </c>
      <c r="K633" t="inlineStr">
        <is>
          <t>Orléans</t>
        </is>
      </c>
      <c r="L633" t="inlineStr">
        <is>
          <t>02 38 78 75 75</t>
        </is>
      </c>
      <c r="M633" s="4" t="inlineStr">
        <is>
          <t>info@orleans-metropole.fr</t>
        </is>
      </c>
      <c r="N633" s="4" t="inlineStr">
        <is>
          <t>https://www.orleans-metropole.fr/</t>
        </is>
      </c>
      <c r="O633" s="4" t="inlineStr">
        <is>
          <t>https://www.orleans-metropole.fr/contact</t>
        </is>
      </c>
      <c r="P633" s="4" t="inlineStr">
        <is>
          <t>https://lannuaire.service-public.gouv.fr/centre-val-de-loire/loiret/f3ad88f1-9969-49dd-993b-1881d0defb50</t>
        </is>
      </c>
      <c r="Q633" t="inlineStr">
        <is>
          <t>Annuaire Service-public.fr</t>
        </is>
      </c>
      <c r="R633" t="inlineStr"/>
      <c r="S633" t="inlineStr"/>
      <c r="T633" t="inlineStr"/>
    </row>
    <row r="634">
      <c r="A634" t="inlineStr">
        <is>
          <t>CC de la Cléry, du Betz et de l'Ouanne</t>
        </is>
      </c>
      <c r="B634" t="inlineStr">
        <is>
          <t>Communauté de communes</t>
        </is>
      </c>
      <c r="C634" t="inlineStr">
        <is>
          <t>200067668</t>
        </is>
      </c>
      <c r="D634" t="inlineStr">
        <is>
          <t>45, 89</t>
        </is>
      </c>
      <c r="E634" t="inlineStr">
        <is>
          <t>Loiret, Yonne</t>
        </is>
      </c>
      <c r="F634" t="inlineStr">
        <is>
          <t>Centre-Val de Loire, Bourgogne-Franche-Comté</t>
        </is>
      </c>
      <c r="G634" s="3" t="n">
        <v>20042</v>
      </c>
      <c r="H634" t="n">
        <v>23</v>
      </c>
      <c r="I634" t="inlineStr">
        <is>
          <t>569 route de Châtillon-Colligny</t>
        </is>
      </c>
      <c r="J634" t="inlineStr">
        <is>
          <t>45220</t>
        </is>
      </c>
      <c r="K634" t="inlineStr">
        <is>
          <t>Château-Renard</t>
        </is>
      </c>
      <c r="L634" t="inlineStr">
        <is>
          <t>02 38 95 25 15</t>
        </is>
      </c>
      <c r="M634" s="4" t="inlineStr">
        <is>
          <t>accueil@3cbo.fr</t>
        </is>
      </c>
      <c r="N634" s="4" t="inlineStr">
        <is>
          <t>https://www.3cbo.fr/</t>
        </is>
      </c>
      <c r="O634" s="4" t="inlineStr">
        <is>
          <t>https://www.3cbo.fr/contact/</t>
        </is>
      </c>
      <c r="P634" s="4" t="inlineStr">
        <is>
          <t>https://lannuaire.service-public.gouv.fr/centre-val-de-loire/loiret/d7afa4b9-2de1-452a-9730-55a77b34c139</t>
        </is>
      </c>
      <c r="Q634" t="inlineStr">
        <is>
          <t>Annuaire Service-public.fr</t>
        </is>
      </c>
      <c r="R634" t="inlineStr"/>
      <c r="S634" t="inlineStr"/>
      <c r="T634" t="inlineStr"/>
    </row>
    <row r="635">
      <c r="A635" t="inlineStr">
        <is>
          <t>CA du Grand Cahors</t>
        </is>
      </c>
      <c r="B635" t="inlineStr">
        <is>
          <t>Communauté d’agglomération</t>
        </is>
      </c>
      <c r="C635" t="inlineStr">
        <is>
          <t>200023737</t>
        </is>
      </c>
      <c r="D635" t="inlineStr">
        <is>
          <t>46</t>
        </is>
      </c>
      <c r="E635" t="inlineStr">
        <is>
          <t>Lot</t>
        </is>
      </c>
      <c r="F635" t="inlineStr">
        <is>
          <t>Occitanie</t>
        </is>
      </c>
      <c r="G635" s="3" t="n">
        <v>42094</v>
      </c>
      <c r="H635" t="n">
        <v>36</v>
      </c>
      <c r="I635" t="inlineStr">
        <is>
          <t>72 rue Wilson</t>
        </is>
      </c>
      <c r="J635" t="inlineStr">
        <is>
          <t>46000</t>
        </is>
      </c>
      <c r="K635" t="inlineStr">
        <is>
          <t>Cahors</t>
        </is>
      </c>
      <c r="L635" t="inlineStr">
        <is>
          <t>05 65 20 88 99</t>
        </is>
      </c>
      <c r="M635" s="4" t="inlineStr">
        <is>
          <t>communication@mairie-cahors.fr</t>
        </is>
      </c>
      <c r="N635" s="4" t="inlineStr">
        <is>
          <t>https://cahorsagglo.fr/</t>
        </is>
      </c>
      <c r="O635" s="4" t="inlineStr">
        <is>
          <t>https://cahorsagglo.fr/contact-0</t>
        </is>
      </c>
      <c r="P635" s="4" t="inlineStr">
        <is>
          <t>https://lannuaire.service-public.gouv.fr/occitanie/lot/d9599850-0b16-4ff2-a765-5676cbecdc9d</t>
        </is>
      </c>
      <c r="Q635" t="inlineStr">
        <is>
          <t>Annuaire Service-public.fr</t>
        </is>
      </c>
      <c r="R635" t="inlineStr"/>
      <c r="S635" t="inlineStr"/>
      <c r="T635" t="inlineStr"/>
    </row>
    <row r="636">
      <c r="A636" t="inlineStr">
        <is>
          <t>CC Causses et Vallée de la Dordogne</t>
        </is>
      </c>
      <c r="B636" t="inlineStr">
        <is>
          <t>Communauté de communes</t>
        </is>
      </c>
      <c r="C636" t="inlineStr">
        <is>
          <t>200066371</t>
        </is>
      </c>
      <c r="D636" t="inlineStr">
        <is>
          <t>46</t>
        </is>
      </c>
      <c r="E636" t="inlineStr">
        <is>
          <t>Lot</t>
        </is>
      </c>
      <c r="F636" t="inlineStr">
        <is>
          <t>Occitanie</t>
        </is>
      </c>
      <c r="G636" s="3" t="n">
        <v>45320</v>
      </c>
      <c r="H636" t="n">
        <v>77</v>
      </c>
      <c r="I636" t="inlineStr">
        <is>
          <t>Bramefond</t>
        </is>
      </c>
      <c r="J636" t="inlineStr">
        <is>
          <t>46200</t>
        </is>
      </c>
      <c r="K636" t="inlineStr">
        <is>
          <t>Souillac</t>
        </is>
      </c>
      <c r="L636" t="inlineStr">
        <is>
          <t>05 65 27 02 10</t>
        </is>
      </c>
      <c r="M636" s="4" t="inlineStr">
        <is>
          <t>contact@cauvaldor.fr</t>
        </is>
      </c>
      <c r="N636" s="4" t="inlineStr">
        <is>
          <t>https://www.cauvaldor.fr/</t>
        </is>
      </c>
      <c r="O636" t="inlineStr"/>
      <c r="P636" s="4" t="inlineStr">
        <is>
          <t>https://lannuaire.service-public.gouv.fr/occitanie/lot/4934c59d-9a8f-44de-8b13-ec71033348c9</t>
        </is>
      </c>
      <c r="Q636" t="inlineStr">
        <is>
          <t>Annuaire Service-public.fr</t>
        </is>
      </c>
      <c r="R636" t="inlineStr"/>
      <c r="S636" t="inlineStr"/>
      <c r="T636" t="inlineStr"/>
    </row>
    <row r="637">
      <c r="A637" t="inlineStr">
        <is>
          <t>CC Cazals-Salviac</t>
        </is>
      </c>
      <c r="B637" t="inlineStr">
        <is>
          <t>Communauté de communes</t>
        </is>
      </c>
      <c r="C637" t="inlineStr">
        <is>
          <t>200035327</t>
        </is>
      </c>
      <c r="D637" t="inlineStr">
        <is>
          <t>46</t>
        </is>
      </c>
      <c r="E637" t="inlineStr">
        <is>
          <t>Lot</t>
        </is>
      </c>
      <c r="F637" t="inlineStr">
        <is>
          <t>Occitanie</t>
        </is>
      </c>
      <c r="G637" s="3" t="n">
        <v>5432</v>
      </c>
      <c r="H637" t="n">
        <v>15</v>
      </c>
      <c r="I637" t="inlineStr">
        <is>
          <t>5 boulevard Hugon</t>
        </is>
      </c>
      <c r="J637" t="inlineStr">
        <is>
          <t>46340</t>
        </is>
      </c>
      <c r="K637" t="inlineStr">
        <is>
          <t>Salviac</t>
        </is>
      </c>
      <c r="L637" t="inlineStr">
        <is>
          <t>05 65 41 62 40</t>
        </is>
      </c>
      <c r="M637" s="4" t="inlineStr">
        <is>
          <t>accueil@cc-cazalssalviac.fr</t>
        </is>
      </c>
      <c r="N637" s="4" t="inlineStr">
        <is>
          <t>https://www.cc-cazalssalviac.fr/</t>
        </is>
      </c>
      <c r="O637" s="4" t="inlineStr">
        <is>
          <t>https://www.cc-cazalssalviac.fr/pied-de-page/contact</t>
        </is>
      </c>
      <c r="P637" s="4" t="inlineStr">
        <is>
          <t>https://lannuaire.service-public.gouv.fr/occitanie/lot/4fb3e530-d953-455c-ad5d-67468bb53d09</t>
        </is>
      </c>
      <c r="Q637" t="inlineStr">
        <is>
          <t>Annuaire Service-public.fr</t>
        </is>
      </c>
      <c r="R637" t="inlineStr"/>
      <c r="S637" t="inlineStr"/>
      <c r="T637" t="inlineStr"/>
    </row>
    <row r="638">
      <c r="A638" t="inlineStr">
        <is>
          <t>CC Quercy - Bouriane</t>
        </is>
      </c>
      <c r="B638" t="inlineStr">
        <is>
          <t>Communauté de communes</t>
        </is>
      </c>
      <c r="C638" t="inlineStr">
        <is>
          <t>244600482</t>
        </is>
      </c>
      <c r="D638" t="inlineStr">
        <is>
          <t>46</t>
        </is>
      </c>
      <c r="E638" t="inlineStr">
        <is>
          <t>Lot</t>
        </is>
      </c>
      <c r="F638" t="inlineStr">
        <is>
          <t>Occitanie</t>
        </is>
      </c>
      <c r="G638" s="3" t="n">
        <v>10247</v>
      </c>
      <c r="H638" t="n">
        <v>20</v>
      </c>
      <c r="I638" t="inlineStr">
        <is>
          <t>98 avenue Gambetta</t>
        </is>
      </c>
      <c r="J638" t="inlineStr">
        <is>
          <t>46300</t>
        </is>
      </c>
      <c r="K638" t="inlineStr">
        <is>
          <t>Gourdon</t>
        </is>
      </c>
      <c r="L638" t="inlineStr">
        <is>
          <t>05 65 37 23 70</t>
        </is>
      </c>
      <c r="M638" s="4" t="inlineStr">
        <is>
          <t>contact@ccqb.fr</t>
        </is>
      </c>
      <c r="N638" s="4" t="inlineStr">
        <is>
          <t>https://ccqb.fr/</t>
        </is>
      </c>
      <c r="O638" s="4" t="inlineStr">
        <is>
          <t>https://ccqb.fr/</t>
        </is>
      </c>
      <c r="P638" s="4" t="inlineStr">
        <is>
          <t>https://lannuaire.service-public.gouv.fr/occitanie/lot/69c93204-2451-41a4-abc2-5b93606b6973</t>
        </is>
      </c>
      <c r="Q638" t="inlineStr">
        <is>
          <t>Annuaire Service-public.fr</t>
        </is>
      </c>
      <c r="R638" t="inlineStr"/>
      <c r="S638" t="inlineStr"/>
      <c r="T638" t="inlineStr"/>
    </row>
    <row r="639">
      <c r="A639" t="inlineStr">
        <is>
          <t>CC de la Vallée du Lot et du Vignoble</t>
        </is>
      </c>
      <c r="B639" t="inlineStr">
        <is>
          <t>Communauté de communes</t>
        </is>
      </c>
      <c r="C639" t="inlineStr">
        <is>
          <t>244600433</t>
        </is>
      </c>
      <c r="D639" t="inlineStr">
        <is>
          <t>46</t>
        </is>
      </c>
      <c r="E639" t="inlineStr">
        <is>
          <t>Lot</t>
        </is>
      </c>
      <c r="F639" t="inlineStr">
        <is>
          <t>Occitanie</t>
        </is>
      </c>
      <c r="G639" s="3" t="n">
        <v>14516</v>
      </c>
      <c r="H639" t="n">
        <v>27</v>
      </c>
      <c r="I639" t="inlineStr">
        <is>
          <t>13 avenue de la Gare</t>
        </is>
      </c>
      <c r="J639" t="inlineStr">
        <is>
          <t>46700</t>
        </is>
      </c>
      <c r="K639" t="inlineStr">
        <is>
          <t>Puy-l'Évêque</t>
        </is>
      </c>
      <c r="L639" t="inlineStr">
        <is>
          <t>05 65 36 06 06</t>
        </is>
      </c>
      <c r="M639" s="4" t="inlineStr">
        <is>
          <t>lot.vignoble@ccvlv.fr</t>
        </is>
      </c>
      <c r="N639" s="4" t="inlineStr">
        <is>
          <t>http://www.cc-lot-vignoble.fr</t>
        </is>
      </c>
      <c r="O639" s="4" t="inlineStr">
        <is>
          <t>https://ccvlv.fr/contact/</t>
        </is>
      </c>
      <c r="P639" s="4" t="inlineStr">
        <is>
          <t>https://lannuaire.service-public.gouv.fr/occitanie/lot/69e0e4c0-0b1e-4917-9dc9-3204ef448676</t>
        </is>
      </c>
      <c r="Q639" t="inlineStr">
        <is>
          <t>Annuaire Service-public.fr</t>
        </is>
      </c>
      <c r="R639" t="inlineStr"/>
      <c r="S639" t="inlineStr"/>
      <c r="T639" t="inlineStr"/>
    </row>
    <row r="640">
      <c r="A640" t="inlineStr">
        <is>
          <t>CC du Causse de Labastide Murat</t>
        </is>
      </c>
      <c r="B640" t="inlineStr">
        <is>
          <t>Communauté de communes</t>
        </is>
      </c>
      <c r="C640" t="inlineStr">
        <is>
          <t>244600573</t>
        </is>
      </c>
      <c r="D640" t="inlineStr">
        <is>
          <t>46</t>
        </is>
      </c>
      <c r="E640" t="inlineStr">
        <is>
          <t>Lot</t>
        </is>
      </c>
      <c r="F640" t="inlineStr">
        <is>
          <t>Occitanie</t>
        </is>
      </c>
      <c r="G640" s="3" t="n">
        <v>3915</v>
      </c>
      <c r="H640" t="n">
        <v>17</v>
      </c>
      <c r="I640" t="inlineStr">
        <is>
          <t>8 Grande rue du Causse, Labastide-Murat</t>
        </is>
      </c>
      <c r="J640" t="inlineStr">
        <is>
          <t>46240</t>
        </is>
      </c>
      <c r="K640" t="inlineStr">
        <is>
          <t>Coeur-de-Causse</t>
        </is>
      </c>
      <c r="L640" t="inlineStr">
        <is>
          <t>05 65 20 08 50</t>
        </is>
      </c>
      <c r="M640" s="4" t="inlineStr">
        <is>
          <t>contact@cc-labastide-murat.fr</t>
        </is>
      </c>
      <c r="N640" s="4" t="inlineStr">
        <is>
          <t>https://www.cc-labastide-murat.fr/</t>
        </is>
      </c>
      <c r="O640" t="inlineStr"/>
      <c r="P640" s="4" t="inlineStr">
        <is>
          <t>https://lannuaire.service-public.gouv.fr/occitanie/lot/3fbe5157-ee53-4b22-bb46-f7e26ae4c445</t>
        </is>
      </c>
      <c r="Q640" t="inlineStr">
        <is>
          <t>Annuaire Service-public.fr</t>
        </is>
      </c>
      <c r="R640" t="inlineStr"/>
      <c r="S640" t="inlineStr"/>
      <c r="T640" t="inlineStr"/>
    </row>
    <row r="641">
      <c r="A641" t="inlineStr">
        <is>
          <t>CC du Pays de Lalbenque-Limogne</t>
        </is>
      </c>
      <c r="B641" t="inlineStr">
        <is>
          <t>Communauté de communes</t>
        </is>
      </c>
      <c r="C641" t="inlineStr">
        <is>
          <t>244600532</t>
        </is>
      </c>
      <c r="D641" t="inlineStr">
        <is>
          <t>46</t>
        </is>
      </c>
      <c r="E641" t="inlineStr">
        <is>
          <t>Lot</t>
        </is>
      </c>
      <c r="F641" t="inlineStr">
        <is>
          <t>Occitanie</t>
        </is>
      </c>
      <c r="G641" s="3" t="n">
        <v>8886</v>
      </c>
      <c r="H641" t="n">
        <v>23</v>
      </c>
      <c r="I641" t="inlineStr">
        <is>
          <t>38 place de la Bascule</t>
        </is>
      </c>
      <c r="J641" t="inlineStr">
        <is>
          <t>46230</t>
        </is>
      </c>
      <c r="K641" t="inlineStr">
        <is>
          <t>Lalbenque</t>
        </is>
      </c>
      <c r="L641" t="inlineStr">
        <is>
          <t>05 65 24 22 50</t>
        </is>
      </c>
      <c r="M641" s="4" t="inlineStr">
        <is>
          <t>contact@ccpll.fr</t>
        </is>
      </c>
      <c r="N641" s="4" t="inlineStr">
        <is>
          <t>https://www.cc-lalbenque-limogne.fr/</t>
        </is>
      </c>
      <c r="O641" s="4" t="inlineStr">
        <is>
          <t>https://www.cc-lalbenque-limogne.fr/systeme/nous-contacter/</t>
        </is>
      </c>
      <c r="P641" s="4" t="inlineStr">
        <is>
          <t>https://lannuaire.service-public.gouv.fr/occitanie/lot/17816680-2186-458b-a0d7-31f1592a6fa3</t>
        </is>
      </c>
      <c r="Q641" t="inlineStr">
        <is>
          <t>Annuaire Service-public.fr</t>
        </is>
      </c>
      <c r="R641" t="inlineStr"/>
      <c r="S641" t="inlineStr"/>
      <c r="T641" t="inlineStr"/>
    </row>
    <row r="642">
      <c r="A642" t="inlineStr">
        <is>
          <t>CC du Quercy Blanc</t>
        </is>
      </c>
      <c r="B642" t="inlineStr">
        <is>
          <t>Communauté de communes</t>
        </is>
      </c>
      <c r="C642" t="inlineStr">
        <is>
          <t>200039519</t>
        </is>
      </c>
      <c r="D642" t="inlineStr">
        <is>
          <t>46</t>
        </is>
      </c>
      <c r="E642" t="inlineStr">
        <is>
          <t>Lot</t>
        </is>
      </c>
      <c r="F642" t="inlineStr">
        <is>
          <t>Occitanie</t>
        </is>
      </c>
      <c r="G642" s="3" t="n">
        <v>7704</v>
      </c>
      <c r="H642" t="n">
        <v>9</v>
      </c>
      <c r="I642" t="inlineStr">
        <is>
          <t>37 place Gambetta</t>
        </is>
      </c>
      <c r="J642" t="inlineStr">
        <is>
          <t>46170</t>
        </is>
      </c>
      <c r="K642" t="inlineStr">
        <is>
          <t>Castelnau-Montratier</t>
        </is>
      </c>
      <c r="L642" t="inlineStr">
        <is>
          <t>05 65 20 34 92</t>
        </is>
      </c>
      <c r="M642" s="4" t="inlineStr">
        <is>
          <t>contact@ccquercyblanc.fr</t>
        </is>
      </c>
      <c r="N642" s="4" t="inlineStr">
        <is>
          <t>https://www.ccquercyblanc.fr/</t>
        </is>
      </c>
      <c r="O642" s="4" t="inlineStr">
        <is>
          <t>https://www.ccquercyblanc.fr/contact/</t>
        </is>
      </c>
      <c r="P642" s="4" t="inlineStr">
        <is>
          <t>https://lannuaire.service-public.gouv.fr/occitanie/lot/c17aac7a-6868-4355-a1a2-65f724a8eef8</t>
        </is>
      </c>
      <c r="Q642" t="inlineStr">
        <is>
          <t>Annuaire Service-public.fr</t>
        </is>
      </c>
      <c r="R642" t="inlineStr"/>
      <c r="S642" t="inlineStr"/>
      <c r="T642" t="inlineStr"/>
    </row>
    <row r="643">
      <c r="A643" t="inlineStr">
        <is>
          <t>CA Agglomération d'Agen</t>
        </is>
      </c>
      <c r="B643" t="inlineStr">
        <is>
          <t>Communauté d’agglomération</t>
        </is>
      </c>
      <c r="C643" t="inlineStr">
        <is>
          <t>200096956</t>
        </is>
      </c>
      <c r="D643" t="inlineStr">
        <is>
          <t>47</t>
        </is>
      </c>
      <c r="E643" t="inlineStr">
        <is>
          <t>Lot-et-Garonne</t>
        </is>
      </c>
      <c r="F643" t="inlineStr">
        <is>
          <t>Nouvelle-Aquitaine</t>
        </is>
      </c>
      <c r="G643" s="3" t="n">
        <v>101727</v>
      </c>
      <c r="H643" t="n">
        <v>44</v>
      </c>
      <c r="I643" t="inlineStr">
        <is>
          <t>8 rue André-Chénier, BP 90045</t>
        </is>
      </c>
      <c r="J643" t="inlineStr">
        <is>
          <t>47916</t>
        </is>
      </c>
      <c r="K643" t="inlineStr">
        <is>
          <t>Agen Cedex 9</t>
        </is>
      </c>
      <c r="L643" t="inlineStr">
        <is>
          <t>05 53 69 68 67</t>
        </is>
      </c>
      <c r="M643" s="4" t="inlineStr">
        <is>
          <t>espace.accueil@agglo-agen.fr</t>
        </is>
      </c>
      <c r="N643" s="4" t="inlineStr">
        <is>
          <t>https://www.agglo-agen.net/</t>
        </is>
      </c>
      <c r="O643" s="4" t="inlineStr">
        <is>
          <t>https://www.agglo-agen.net/contact</t>
        </is>
      </c>
      <c r="P643" s="4" t="inlineStr">
        <is>
          <t>https://lannuaire.service-public.gouv.fr/nouvelle-aquitaine/lot-et-garonne/1e00284d-7248-4124-8108-6aa98c02d8bf</t>
        </is>
      </c>
      <c r="Q643" t="inlineStr">
        <is>
          <t>Annuaire Service-public.fr</t>
        </is>
      </c>
      <c r="R643" t="inlineStr"/>
      <c r="S643" t="inlineStr"/>
      <c r="T643" t="inlineStr"/>
    </row>
    <row r="644">
      <c r="A644" t="inlineStr">
        <is>
          <t>CA Val de Garonne Agglomération</t>
        </is>
      </c>
      <c r="B644" t="inlineStr">
        <is>
          <t>Communauté d’agglomération</t>
        </is>
      </c>
      <c r="C644" t="inlineStr">
        <is>
          <t>200030674</t>
        </is>
      </c>
      <c r="D644" t="inlineStr">
        <is>
          <t>47</t>
        </is>
      </c>
      <c r="E644" t="inlineStr">
        <is>
          <t>Lot-et-Garonne</t>
        </is>
      </c>
      <c r="F644" t="inlineStr">
        <is>
          <t>Nouvelle-Aquitaine</t>
        </is>
      </c>
      <c r="G644" s="3" t="n">
        <v>60690</v>
      </c>
      <c r="H644" t="n">
        <v>43</v>
      </c>
      <c r="I644" t="inlineStr">
        <is>
          <t>Place du Marché</t>
        </is>
      </c>
      <c r="J644" t="inlineStr">
        <is>
          <t>47210</t>
        </is>
      </c>
      <c r="K644" t="inlineStr">
        <is>
          <t>Marmande</t>
        </is>
      </c>
      <c r="L644" t="inlineStr">
        <is>
          <t>05 53 64 40 46</t>
        </is>
      </c>
      <c r="M644" s="4" t="inlineStr">
        <is>
          <t>vga@valdegaronne.fr</t>
        </is>
      </c>
      <c r="N644" s="4" t="inlineStr">
        <is>
          <t>https://www.vg-agglo.com/</t>
        </is>
      </c>
      <c r="O644" s="4" t="inlineStr">
        <is>
          <t>https://www.facebook.com/valdegaronneagglo/</t>
        </is>
      </c>
      <c r="P644" s="4" t="inlineStr">
        <is>
          <t>https://lannuaire.service-public.gouv.fr/nouvelle-aquitaine/lot-et-garonne/a4a02e33-9f63-4f35-9b7b-6ef885bfcf2a</t>
        </is>
      </c>
      <c r="Q644" t="inlineStr">
        <is>
          <t>Annuaire Service-public.fr</t>
        </is>
      </c>
      <c r="R644" t="inlineStr"/>
      <c r="S644" t="inlineStr"/>
      <c r="T644" t="inlineStr"/>
    </row>
    <row r="645">
      <c r="A645" t="inlineStr">
        <is>
          <t>CA du Grand Villeneuvois</t>
        </is>
      </c>
      <c r="B645" t="inlineStr">
        <is>
          <t>Communauté d’agglomération</t>
        </is>
      </c>
      <c r="C645" t="inlineStr">
        <is>
          <t>200023307</t>
        </is>
      </c>
      <c r="D645" t="inlineStr">
        <is>
          <t>47</t>
        </is>
      </c>
      <c r="E645" t="inlineStr">
        <is>
          <t>Lot-et-Garonne</t>
        </is>
      </c>
      <c r="F645" t="inlineStr">
        <is>
          <t>Nouvelle-Aquitaine</t>
        </is>
      </c>
      <c r="G645" s="3" t="n">
        <v>47899</v>
      </c>
      <c r="H645" t="n">
        <v>19</v>
      </c>
      <c r="I645" t="inlineStr">
        <is>
          <t>24 rue du Vieux-Pont</t>
        </is>
      </c>
      <c r="J645" t="inlineStr">
        <is>
          <t>47440</t>
        </is>
      </c>
      <c r="K645" t="inlineStr">
        <is>
          <t>Casseneuil</t>
        </is>
      </c>
      <c r="L645" t="inlineStr">
        <is>
          <t>05 53 71 54 81</t>
        </is>
      </c>
      <c r="M645" s="4" t="inlineStr">
        <is>
          <t>contact@grand-villeneuvois.fr</t>
        </is>
      </c>
      <c r="N645" s="4" t="inlineStr">
        <is>
          <t>https://www.grand-villeneuvois.fr</t>
        </is>
      </c>
      <c r="O645" s="4" t="inlineStr">
        <is>
          <t>http://www.grand-villeneuvois.fr/contact.html</t>
        </is>
      </c>
      <c r="P645" s="4" t="inlineStr">
        <is>
          <t>https://lannuaire.service-public.gouv.fr/nouvelle-aquitaine/lot-et-garonne/1f0cae85-8db2-4151-bde7-966ae220615c</t>
        </is>
      </c>
      <c r="Q645" t="inlineStr">
        <is>
          <t>Annuaire Service-public.fr</t>
        </is>
      </c>
      <c r="R645" t="inlineStr"/>
      <c r="S645" t="inlineStr"/>
      <c r="T645" t="inlineStr"/>
    </row>
    <row r="646">
      <c r="A646" t="inlineStr">
        <is>
          <t>CC Albret Communauté</t>
        </is>
      </c>
      <c r="B646" t="inlineStr">
        <is>
          <t>Communauté de communes</t>
        </is>
      </c>
      <c r="C646" t="inlineStr">
        <is>
          <t>200068948</t>
        </is>
      </c>
      <c r="D646" t="inlineStr">
        <is>
          <t>47</t>
        </is>
      </c>
      <c r="E646" t="inlineStr">
        <is>
          <t>Lot-et-Garonne</t>
        </is>
      </c>
      <c r="F646" t="inlineStr">
        <is>
          <t>Nouvelle-Aquitaine</t>
        </is>
      </c>
      <c r="G646" s="3" t="n">
        <v>25866</v>
      </c>
      <c r="H646" t="n">
        <v>33</v>
      </c>
      <c r="I646" t="inlineStr">
        <is>
          <t>Centre Haussmann, 10 place Aristide-Briand</t>
        </is>
      </c>
      <c r="J646" t="inlineStr">
        <is>
          <t>47600</t>
        </is>
      </c>
      <c r="K646" t="inlineStr">
        <is>
          <t>Nérac</t>
        </is>
      </c>
      <c r="L646" t="inlineStr">
        <is>
          <t>05 53 97 55 97</t>
        </is>
      </c>
      <c r="M646" s="4" t="inlineStr">
        <is>
          <t>contact@albretcommunaute.fr</t>
        </is>
      </c>
      <c r="N646" s="4" t="inlineStr">
        <is>
          <t>https://www.albretcommunaute.fr/</t>
        </is>
      </c>
      <c r="O646" s="4" t="inlineStr">
        <is>
          <t>https://www.albretcommunaute.fr/formulaire-de-contact</t>
        </is>
      </c>
      <c r="P646" s="4" t="inlineStr">
        <is>
          <t>https://lannuaire.service-public.gouv.fr/nouvelle-aquitaine/lot-et-garonne/a9082f50-d1fe-4b75-8fe1-80f184faa2ba</t>
        </is>
      </c>
      <c r="Q646" t="inlineStr">
        <is>
          <t>Annuaire Service-public.fr</t>
        </is>
      </c>
      <c r="R646" t="inlineStr"/>
      <c r="S646" t="inlineStr"/>
      <c r="T646" t="inlineStr"/>
    </row>
    <row r="647">
      <c r="A647" t="inlineStr">
        <is>
          <t>CC Fumel Vallée du Lot</t>
        </is>
      </c>
      <c r="B647" t="inlineStr">
        <is>
          <t>Communauté de communes</t>
        </is>
      </c>
      <c r="C647" t="inlineStr">
        <is>
          <t>200068930</t>
        </is>
      </c>
      <c r="D647" t="inlineStr">
        <is>
          <t>47</t>
        </is>
      </c>
      <c r="E647" t="inlineStr">
        <is>
          <t>Lot-et-Garonne</t>
        </is>
      </c>
      <c r="F647" t="inlineStr">
        <is>
          <t>Nouvelle-Aquitaine</t>
        </is>
      </c>
      <c r="G647" s="3" t="n">
        <v>24601</v>
      </c>
      <c r="H647" t="n">
        <v>27</v>
      </c>
      <c r="I647" t="inlineStr">
        <is>
          <t>4 place du Château, BP 10037</t>
        </is>
      </c>
      <c r="J647" t="inlineStr">
        <is>
          <t>47502</t>
        </is>
      </c>
      <c r="K647" t="inlineStr">
        <is>
          <t>Fumel Cedex</t>
        </is>
      </c>
      <c r="L647" t="inlineStr">
        <is>
          <t>05 53 40 46 70</t>
        </is>
      </c>
      <c r="M647" s="4" t="inlineStr">
        <is>
          <t>ccfl@cc-dufumelois.fr</t>
        </is>
      </c>
      <c r="N647" s="4" t="inlineStr">
        <is>
          <t>https://www.fumelvalleedulot.com/</t>
        </is>
      </c>
      <c r="O647" t="inlineStr"/>
      <c r="P647" s="4" t="inlineStr">
        <is>
          <t>https://lannuaire.service-public.gouv.fr/nouvelle-aquitaine/lot-et-garonne/3516ebbf-7c32-4ff2-bd22-1c6ead929a0c</t>
        </is>
      </c>
      <c r="Q647" t="inlineStr">
        <is>
          <t>Annuaire Service-public.fr</t>
        </is>
      </c>
      <c r="R647" t="inlineStr"/>
      <c r="S647" t="inlineStr"/>
      <c r="T647" t="inlineStr"/>
    </row>
    <row r="648">
      <c r="A648" t="inlineStr">
        <is>
          <t>CC Lot et Tolzac</t>
        </is>
      </c>
      <c r="B648" t="inlineStr">
        <is>
          <t>Communauté de communes</t>
        </is>
      </c>
      <c r="C648" t="inlineStr">
        <is>
          <t>244701405</t>
        </is>
      </c>
      <c r="D648" t="inlineStr">
        <is>
          <t>47</t>
        </is>
      </c>
      <c r="E648" t="inlineStr">
        <is>
          <t>Lot-et-Garonne</t>
        </is>
      </c>
      <c r="F648" t="inlineStr">
        <is>
          <t>Nouvelle-Aquitaine</t>
        </is>
      </c>
      <c r="G648" s="3" t="n">
        <v>7426</v>
      </c>
      <c r="H648" t="n">
        <v>15</v>
      </c>
      <c r="I648" t="inlineStr">
        <is>
          <t>12 avenue de Comarque</t>
        </is>
      </c>
      <c r="J648" t="inlineStr">
        <is>
          <t>47260</t>
        </is>
      </c>
      <c r="K648" t="inlineStr">
        <is>
          <t>Castelmoron-sur-Lot</t>
        </is>
      </c>
      <c r="L648" t="inlineStr">
        <is>
          <t>05 53 84 82 48</t>
        </is>
      </c>
      <c r="M648" s="4" t="inlineStr">
        <is>
          <t>contact@cclt.fr</t>
        </is>
      </c>
      <c r="N648" s="4" t="inlineStr">
        <is>
          <t>https://www.lotettolzac.fr</t>
        </is>
      </c>
      <c r="O648" t="inlineStr"/>
      <c r="P648" s="4" t="inlineStr">
        <is>
          <t>https://lannuaire.service-public.gouv.fr/nouvelle-aquitaine/lot-et-garonne/28c07be9-52a3-4ad6-abed-c2ed739b718f</t>
        </is>
      </c>
      <c r="Q648" t="inlineStr">
        <is>
          <t>Annuaire Service-public.fr</t>
        </is>
      </c>
      <c r="R648" t="inlineStr"/>
      <c r="S648" t="inlineStr"/>
      <c r="T648" t="inlineStr"/>
    </row>
    <row r="649">
      <c r="A649" t="inlineStr">
        <is>
          <t>CC des Bastides en Haut Agenais Périgord</t>
        </is>
      </c>
      <c r="B649" t="inlineStr">
        <is>
          <t>Communauté de communes</t>
        </is>
      </c>
      <c r="C649" t="inlineStr">
        <is>
          <t>200036523</t>
        </is>
      </c>
      <c r="D649" t="inlineStr">
        <is>
          <t>47</t>
        </is>
      </c>
      <c r="E649" t="inlineStr">
        <is>
          <t>Lot-et-Garonne</t>
        </is>
      </c>
      <c r="F649" t="inlineStr">
        <is>
          <t>Nouvelle-Aquitaine</t>
        </is>
      </c>
      <c r="G649" s="3" t="n">
        <v>17015</v>
      </c>
      <c r="H649" t="n">
        <v>43</v>
      </c>
      <c r="I649" t="inlineStr">
        <is>
          <t>1 rue des Cannelles</t>
        </is>
      </c>
      <c r="J649" t="inlineStr">
        <is>
          <t>47150</t>
        </is>
      </c>
      <c r="K649" t="inlineStr">
        <is>
          <t>Monflanquin</t>
        </is>
      </c>
      <c r="L649" t="inlineStr">
        <is>
          <t>05 53 49 55 80</t>
        </is>
      </c>
      <c r="M649" s="4" t="inlineStr">
        <is>
          <t>contact@ccbastides47.com</t>
        </is>
      </c>
      <c r="N649" s="4" t="inlineStr">
        <is>
          <t>https://www.ccbastides47.com/</t>
        </is>
      </c>
      <c r="O649" s="4" t="inlineStr">
        <is>
          <t>https://www.ccbastides47.com/contact/</t>
        </is>
      </c>
      <c r="P649" s="4" t="inlineStr">
        <is>
          <t>https://lannuaire.service-public.gouv.fr/nouvelle-aquitaine/lot-et-garonne/7f716937-4ea9-4257-ab6f-c52099b48791</t>
        </is>
      </c>
      <c r="Q649" t="inlineStr">
        <is>
          <t>Annuaire Service-public.fr</t>
        </is>
      </c>
      <c r="R649" t="inlineStr"/>
      <c r="S649" t="inlineStr"/>
      <c r="T649" t="inlineStr"/>
    </row>
    <row r="650">
      <c r="A650" t="inlineStr">
        <is>
          <t>CC des Coteaux et Landes de Gascogne</t>
        </is>
      </c>
      <c r="B650" t="inlineStr">
        <is>
          <t>Communauté de communes</t>
        </is>
      </c>
      <c r="C650" t="inlineStr">
        <is>
          <t>244701355</t>
        </is>
      </c>
      <c r="D650" t="inlineStr">
        <is>
          <t>47</t>
        </is>
      </c>
      <c r="E650" t="inlineStr">
        <is>
          <t>Lot-et-Garonne</t>
        </is>
      </c>
      <c r="F650" t="inlineStr">
        <is>
          <t>Nouvelle-Aquitaine</t>
        </is>
      </c>
      <c r="G650" s="3" t="n">
        <v>12590</v>
      </c>
      <c r="H650" t="n">
        <v>27</v>
      </c>
      <c r="I650" t="inlineStr">
        <is>
          <t>2366 route des Châteaux</t>
        </is>
      </c>
      <c r="J650" t="inlineStr">
        <is>
          <t>47250</t>
        </is>
      </c>
      <c r="K650" t="inlineStr">
        <is>
          <t>Grezet-Cavagnan</t>
        </is>
      </c>
      <c r="L650" t="inlineStr">
        <is>
          <t>05 53 83 65 60</t>
        </is>
      </c>
      <c r="M650" s="4" t="inlineStr">
        <is>
          <t>accueil@3clg.fr</t>
        </is>
      </c>
      <c r="N650" s="4" t="inlineStr">
        <is>
          <t>https://cc-coteaux-landes-gascogne.fr/</t>
        </is>
      </c>
      <c r="O650" s="4" t="inlineStr">
        <is>
          <t>https://cc-coteaux-landes-gascogne.fr/contact/</t>
        </is>
      </c>
      <c r="P650" s="4" t="inlineStr">
        <is>
          <t>https://lannuaire.service-public.gouv.fr/nouvelle-aquitaine/lot-et-garonne/4ab09c49-1180-4602-ac46-a318e1377101</t>
        </is>
      </c>
      <c r="Q650" t="inlineStr">
        <is>
          <t>Annuaire Service-public.fr</t>
        </is>
      </c>
      <c r="R650" t="inlineStr"/>
      <c r="S650" t="inlineStr"/>
      <c r="T650" t="inlineStr"/>
    </row>
    <row r="651">
      <c r="A651" t="inlineStr">
        <is>
          <t>CC du Confluent et des Coteaux de Prayssas</t>
        </is>
      </c>
      <c r="B651" t="inlineStr">
        <is>
          <t>Communauté de communes</t>
        </is>
      </c>
      <c r="C651" t="inlineStr">
        <is>
          <t>200068922</t>
        </is>
      </c>
      <c r="D651" t="inlineStr">
        <is>
          <t>47</t>
        </is>
      </c>
      <c r="E651" t="inlineStr">
        <is>
          <t>Lot-et-Garonne</t>
        </is>
      </c>
      <c r="F651" t="inlineStr">
        <is>
          <t>Nouvelle-Aquitaine</t>
        </is>
      </c>
      <c r="G651" s="3" t="n">
        <v>17768</v>
      </c>
      <c r="H651" t="n">
        <v>29</v>
      </c>
      <c r="I651" t="inlineStr">
        <is>
          <t>30 rue Thiers</t>
        </is>
      </c>
      <c r="J651" t="inlineStr">
        <is>
          <t>47190</t>
        </is>
      </c>
      <c r="K651" t="inlineStr">
        <is>
          <t>Aiguillon</t>
        </is>
      </c>
      <c r="L651" t="inlineStr">
        <is>
          <t>05 53 79 81 15</t>
        </is>
      </c>
      <c r="M651" s="4" t="inlineStr">
        <is>
          <t>secretariat@ccconfluent.fr</t>
        </is>
      </c>
      <c r="N651" s="4" t="inlineStr">
        <is>
          <t>https://www.communauteduconfluent.com/</t>
        </is>
      </c>
      <c r="O651" t="inlineStr"/>
      <c r="P651" s="4" t="inlineStr">
        <is>
          <t>https://lannuaire.service-public.gouv.fr/nouvelle-aquitaine/lot-et-garonne/7bb866c0-9103-4247-91cd-47f63c7f720a</t>
        </is>
      </c>
      <c r="Q651" t="inlineStr">
        <is>
          <t>Annuaire Service-public.fr</t>
        </is>
      </c>
      <c r="R651" t="inlineStr"/>
      <c r="S651" t="inlineStr"/>
      <c r="T651" t="inlineStr"/>
    </row>
    <row r="652">
      <c r="A652" t="inlineStr">
        <is>
          <t>CC du Pays de Duras</t>
        </is>
      </c>
      <c r="B652" t="inlineStr">
        <is>
          <t>Communauté de communes</t>
        </is>
      </c>
      <c r="C652" t="inlineStr">
        <is>
          <t>244700449</t>
        </is>
      </c>
      <c r="D652" t="inlineStr">
        <is>
          <t>47</t>
        </is>
      </c>
      <c r="E652" t="inlineStr">
        <is>
          <t>Lot-et-Garonne</t>
        </is>
      </c>
      <c r="F652" t="inlineStr">
        <is>
          <t>Nouvelle-Aquitaine</t>
        </is>
      </c>
      <c r="G652" s="3" t="n">
        <v>5730</v>
      </c>
      <c r="H652" t="n">
        <v>17</v>
      </c>
      <c r="I652" t="inlineStr">
        <is>
          <t>3 impasse François-Laguerre</t>
        </is>
      </c>
      <c r="J652" t="inlineStr">
        <is>
          <t>47120</t>
        </is>
      </c>
      <c r="K652" t="inlineStr">
        <is>
          <t>Duras</t>
        </is>
      </c>
      <c r="L652" t="inlineStr">
        <is>
          <t>05 53 83 78 65</t>
        </is>
      </c>
      <c r="M652" s="4" t="inlineStr">
        <is>
          <t>bienvenue@comdecomduras.fr</t>
        </is>
      </c>
      <c r="N652" s="4" t="inlineStr">
        <is>
          <t>https://cc-paysdeduras.fr/fr/</t>
        </is>
      </c>
      <c r="O652" s="4" t="inlineStr">
        <is>
          <t>https://cc-paysdeduras.fr/fr/</t>
        </is>
      </c>
      <c r="P652" s="4" t="inlineStr">
        <is>
          <t>https://lannuaire.service-public.gouv.fr/nouvelle-aquitaine/lot-et-garonne/2df0cfe5-fa6a-4668-8781-44f7e6c08fd3</t>
        </is>
      </c>
      <c r="Q652" t="inlineStr">
        <is>
          <t>Annuaire Service-public.fr</t>
        </is>
      </c>
      <c r="R652" t="inlineStr"/>
      <c r="S652" t="inlineStr"/>
      <c r="T652" t="inlineStr"/>
    </row>
    <row r="653">
      <c r="A653" t="inlineStr">
        <is>
          <t>CC du Pays de Lauzun</t>
        </is>
      </c>
      <c r="B653" t="inlineStr">
        <is>
          <t>Communauté de communes</t>
        </is>
      </c>
      <c r="C653" t="inlineStr">
        <is>
          <t>244700464</t>
        </is>
      </c>
      <c r="D653" t="inlineStr">
        <is>
          <t>47</t>
        </is>
      </c>
      <c r="E653" t="inlineStr">
        <is>
          <t>Lot-et-Garonne</t>
        </is>
      </c>
      <c r="F653" t="inlineStr">
        <is>
          <t>Nouvelle-Aquitaine</t>
        </is>
      </c>
      <c r="G653" s="3" t="n">
        <v>10362</v>
      </c>
      <c r="H653" t="n">
        <v>20</v>
      </c>
      <c r="I653" t="inlineStr">
        <is>
          <t>5 rue Pissebaque</t>
        </is>
      </c>
      <c r="J653" t="inlineStr">
        <is>
          <t>47410</t>
        </is>
      </c>
      <c r="K653" t="inlineStr">
        <is>
          <t>Lauzun</t>
        </is>
      </c>
      <c r="L653" t="inlineStr">
        <is>
          <t>05 53 94 49 21</t>
        </is>
      </c>
      <c r="M653" s="4" t="inlineStr">
        <is>
          <t>communautecommunes@ccpl47.fr</t>
        </is>
      </c>
      <c r="N653" s="4" t="inlineStr">
        <is>
          <t>https://www.ccpl47.fr/</t>
        </is>
      </c>
      <c r="O653" s="4" t="inlineStr">
        <is>
          <t>https://www.paysdelauzun.com/contact/</t>
        </is>
      </c>
      <c r="P653" s="4" t="inlineStr">
        <is>
          <t>https://lannuaire.service-public.gouv.fr/nouvelle-aquitaine/lot-et-garonne/f7684e2d-4807-4116-bf23-7dc4f2002d7d</t>
        </is>
      </c>
      <c r="Q653" t="inlineStr">
        <is>
          <t>Annuaire Service-public.fr</t>
        </is>
      </c>
      <c r="R653" t="inlineStr"/>
      <c r="S653" t="inlineStr"/>
      <c r="T653" t="inlineStr"/>
    </row>
    <row r="654">
      <c r="A654" t="inlineStr">
        <is>
          <t>CC Aubrac Lot Causses Tarn</t>
        </is>
      </c>
      <c r="B654" t="inlineStr">
        <is>
          <t>Communauté de communes</t>
        </is>
      </c>
      <c r="C654" t="inlineStr">
        <is>
          <t>200069268</t>
        </is>
      </c>
      <c r="D654" t="inlineStr">
        <is>
          <t>48</t>
        </is>
      </c>
      <c r="E654" t="inlineStr">
        <is>
          <t>Lozère</t>
        </is>
      </c>
      <c r="F654" t="inlineStr">
        <is>
          <t>Occitanie</t>
        </is>
      </c>
      <c r="G654" s="3" t="n">
        <v>7884</v>
      </c>
      <c r="H654" t="n">
        <v>15</v>
      </c>
      <c r="I654" t="inlineStr">
        <is>
          <t>16 quartier de Tremoulis</t>
        </is>
      </c>
      <c r="J654" t="inlineStr">
        <is>
          <t>48500</t>
        </is>
      </c>
      <c r="K654" t="inlineStr">
        <is>
          <t>La Canourgue</t>
        </is>
      </c>
      <c r="L654" t="inlineStr">
        <is>
          <t>04 66 31 41 23</t>
        </is>
      </c>
      <c r="M654" s="4" t="inlineStr">
        <is>
          <t>contact@ccalct.fr</t>
        </is>
      </c>
      <c r="N654" s="4" t="inlineStr">
        <is>
          <t>https://www.ccalct.fr/</t>
        </is>
      </c>
      <c r="O654" s="4" t="inlineStr">
        <is>
          <t>https://www.ccalct.fr/contact/</t>
        </is>
      </c>
      <c r="P654" s="4" t="inlineStr">
        <is>
          <t>https://lannuaire.service-public.gouv.fr/occitanie/lozere/1bcf7552-0ff0-48b5-97fc-4ccfb809c710</t>
        </is>
      </c>
      <c r="Q654" t="inlineStr">
        <is>
          <t>Annuaire Service-public.fr</t>
        </is>
      </c>
      <c r="R654" t="inlineStr"/>
      <c r="S654" t="inlineStr"/>
      <c r="T654" t="inlineStr"/>
    </row>
    <row r="655">
      <c r="A655" t="inlineStr">
        <is>
          <t>CC Coeur de Lozère</t>
        </is>
      </c>
      <c r="B655" t="inlineStr">
        <is>
          <t>Communauté de communes</t>
        </is>
      </c>
      <c r="C655" t="inlineStr">
        <is>
          <t>244800405</t>
        </is>
      </c>
      <c r="D655" t="inlineStr">
        <is>
          <t>48</t>
        </is>
      </c>
      <c r="E655" t="inlineStr">
        <is>
          <t>Lozère</t>
        </is>
      </c>
      <c r="F655" t="inlineStr">
        <is>
          <t>Occitanie</t>
        </is>
      </c>
      <c r="G655" s="3" t="n">
        <v>15635</v>
      </c>
      <c r="H655" t="n">
        <v>7</v>
      </c>
      <c r="I655" t="inlineStr">
        <is>
          <t>2 place Charles-de-Gaulle</t>
        </is>
      </c>
      <c r="J655" t="inlineStr">
        <is>
          <t>48000</t>
        </is>
      </c>
      <c r="K655" t="inlineStr">
        <is>
          <t>Mende</t>
        </is>
      </c>
      <c r="L655" t="inlineStr">
        <is>
          <t>04 66 94 09 67</t>
        </is>
      </c>
      <c r="M655" s="4" t="inlineStr">
        <is>
          <t>directiongenerale@coeurdelozere.fr</t>
        </is>
      </c>
      <c r="N655" s="4" t="inlineStr">
        <is>
          <t>https://coeurdelozere.fr/</t>
        </is>
      </c>
      <c r="O655" s="4" t="inlineStr">
        <is>
          <t>https://coeurdelozere.fr/contact/</t>
        </is>
      </c>
      <c r="P655" s="4" t="inlineStr">
        <is>
          <t>https://lannuaire.service-public.gouv.fr/occitanie/lozere/23d3eb3c-fb47-40bc-9989-731cb765f789</t>
        </is>
      </c>
      <c r="Q655" t="inlineStr">
        <is>
          <t>Annuaire Service-public.fr</t>
        </is>
      </c>
      <c r="R655" t="inlineStr"/>
      <c r="S655" t="inlineStr"/>
      <c r="T655" t="inlineStr"/>
    </row>
    <row r="656">
      <c r="A656" t="inlineStr">
        <is>
          <t>CC Gorges Causses Cévennes</t>
        </is>
      </c>
      <c r="B656" t="inlineStr">
        <is>
          <t>Communauté de communes</t>
        </is>
      </c>
      <c r="C656" t="inlineStr">
        <is>
          <t>200069151</t>
        </is>
      </c>
      <c r="D656" t="inlineStr">
        <is>
          <t>48</t>
        </is>
      </c>
      <c r="E656" t="inlineStr">
        <is>
          <t>Lozère</t>
        </is>
      </c>
      <c r="F656" t="inlineStr">
        <is>
          <t>Occitanie</t>
        </is>
      </c>
      <c r="G656" s="3" t="n">
        <v>6928</v>
      </c>
      <c r="H656" t="n">
        <v>17</v>
      </c>
      <c r="I656" t="inlineStr">
        <is>
          <t>4 Route de Mende, Immeuble le Rochefort</t>
        </is>
      </c>
      <c r="J656" t="inlineStr">
        <is>
          <t>48400</t>
        </is>
      </c>
      <c r="K656" t="inlineStr">
        <is>
          <t>Florac Trois Rivières</t>
        </is>
      </c>
      <c r="L656" t="inlineStr">
        <is>
          <t>04 66 44 03 92</t>
        </is>
      </c>
      <c r="M656" s="4" t="inlineStr">
        <is>
          <t>contact@ccgcc48.fr</t>
        </is>
      </c>
      <c r="N656" s="4" t="inlineStr">
        <is>
          <t>https://www.gorgescaussescevennes.fr/</t>
        </is>
      </c>
      <c r="O656" s="4" t="inlineStr">
        <is>
          <t>https://www.gorgescaussescevennes.fr/contact-communaute-de-commune-lozere-48_fr.html</t>
        </is>
      </c>
      <c r="P656" s="4" t="inlineStr">
        <is>
          <t>https://lannuaire.service-public.gouv.fr/occitanie/lozere/c2962cb7-65e0-4004-b519-466e722e2781</t>
        </is>
      </c>
      <c r="Q656" t="inlineStr">
        <is>
          <t>Annuaire Service-public.fr</t>
        </is>
      </c>
      <c r="R656" t="inlineStr"/>
      <c r="S656" t="inlineStr"/>
      <c r="T656" t="inlineStr"/>
    </row>
    <row r="657">
      <c r="A657" t="inlineStr">
        <is>
          <t>CC Randon - Margeride</t>
        </is>
      </c>
      <c r="B657" t="inlineStr">
        <is>
          <t>Communauté de communes</t>
        </is>
      </c>
      <c r="C657" t="inlineStr">
        <is>
          <t>200069102</t>
        </is>
      </c>
      <c r="D657" t="inlineStr">
        <is>
          <t>48</t>
        </is>
      </c>
      <c r="E657" t="inlineStr">
        <is>
          <t>Lozère</t>
        </is>
      </c>
      <c r="F657" t="inlineStr">
        <is>
          <t>Occitanie</t>
        </is>
      </c>
      <c r="G657" s="3" t="n">
        <v>5201</v>
      </c>
      <c r="H657" t="n">
        <v>15</v>
      </c>
      <c r="I657" t="inlineStr">
        <is>
          <t>Place du Foirail, Rieutort-de-Randon</t>
        </is>
      </c>
      <c r="J657" t="inlineStr">
        <is>
          <t>48700</t>
        </is>
      </c>
      <c r="K657" t="inlineStr">
        <is>
          <t>Monts-de-Randon</t>
        </is>
      </c>
      <c r="L657" t="inlineStr">
        <is>
          <t>04 66 42 98 74</t>
        </is>
      </c>
      <c r="M657" s="4" t="inlineStr">
        <is>
          <t>accueil@randon-margeride.fr</t>
        </is>
      </c>
      <c r="N657" s="4" t="inlineStr">
        <is>
          <t>https://www.randonmargeride.fr/</t>
        </is>
      </c>
      <c r="O657" s="4" t="inlineStr">
        <is>
          <t>https://www.randonmargeride.fr/contact-communaute-de-communes-randon-margeride-48-lozere</t>
        </is>
      </c>
      <c r="P657" s="4" t="inlineStr">
        <is>
          <t>https://lannuaire.service-public.gouv.fr/occitanie/lozere/8c263608-8c1f-4b18-8478-ba2f0c581689</t>
        </is>
      </c>
      <c r="Q657" t="inlineStr">
        <is>
          <t>Annuaire Service-public.fr</t>
        </is>
      </c>
      <c r="R657" t="inlineStr"/>
      <c r="S657" t="inlineStr"/>
      <c r="T657" t="inlineStr"/>
    </row>
    <row r="658">
      <c r="A658" t="inlineStr">
        <is>
          <t>CC des Cévennes au Mont Lozère</t>
        </is>
      </c>
      <c r="B658" t="inlineStr">
        <is>
          <t>Communauté de communes</t>
        </is>
      </c>
      <c r="C658" t="inlineStr">
        <is>
          <t>200069136</t>
        </is>
      </c>
      <c r="D658" t="inlineStr">
        <is>
          <t>48</t>
        </is>
      </c>
      <c r="E658" t="inlineStr">
        <is>
          <t>Lozère</t>
        </is>
      </c>
      <c r="F658" t="inlineStr">
        <is>
          <t>Occitanie</t>
        </is>
      </c>
      <c r="G658" s="3" t="n">
        <v>5101</v>
      </c>
      <c r="H658" t="n">
        <v>19</v>
      </c>
      <c r="I658" t="inlineStr">
        <is>
          <t>Route Nationale</t>
        </is>
      </c>
      <c r="J658" t="inlineStr">
        <is>
          <t>48160</t>
        </is>
      </c>
      <c r="K658" t="inlineStr">
        <is>
          <t>Le Collet-de-Dèze</t>
        </is>
      </c>
      <c r="L658" t="inlineStr">
        <is>
          <t>04 66 65 07 79</t>
        </is>
      </c>
      <c r="M658" s="4" t="inlineStr">
        <is>
          <t>contact@cevennes-mont-lozere.fr</t>
        </is>
      </c>
      <c r="N658" s="4" t="inlineStr">
        <is>
          <t>https://www.cevennes-mont-lozere.fr/</t>
        </is>
      </c>
      <c r="O658" t="inlineStr"/>
      <c r="P658" s="4" t="inlineStr">
        <is>
          <t>https://lannuaire.service-public.gouv.fr/occitanie/lozere/92faeeee-1edc-4cea-ad0b-a0ee85aa9b19</t>
        </is>
      </c>
      <c r="Q658" t="inlineStr">
        <is>
          <t>Annuaire Service-public.fr</t>
        </is>
      </c>
      <c r="R658" t="inlineStr"/>
      <c r="S658" t="inlineStr"/>
      <c r="T658" t="inlineStr"/>
    </row>
    <row r="659">
      <c r="A659" t="inlineStr">
        <is>
          <t>CC des Hautes Terres de l'Aubrac</t>
        </is>
      </c>
      <c r="B659" t="inlineStr">
        <is>
          <t>Communauté de communes</t>
        </is>
      </c>
      <c r="C659" t="inlineStr">
        <is>
          <t>200069144</t>
        </is>
      </c>
      <c r="D659" t="inlineStr">
        <is>
          <t>48</t>
        </is>
      </c>
      <c r="E659" t="inlineStr">
        <is>
          <t>Lozère</t>
        </is>
      </c>
      <c r="F659" t="inlineStr">
        <is>
          <t>Occitanie</t>
        </is>
      </c>
      <c r="G659" s="3" t="n">
        <v>4973</v>
      </c>
      <c r="H659" t="n">
        <v>17</v>
      </c>
      <c r="I659" t="inlineStr">
        <is>
          <t>Route du Languedoc, Aumont-Aubrac</t>
        </is>
      </c>
      <c r="J659" t="inlineStr">
        <is>
          <t>48130</t>
        </is>
      </c>
      <c r="K659" t="inlineStr">
        <is>
          <t>Peyre-en-Aubrac</t>
        </is>
      </c>
      <c r="L659" t="inlineStr">
        <is>
          <t>04 66 31 69 45</t>
        </is>
      </c>
      <c r="M659" s="4" t="inlineStr">
        <is>
          <t>ccht48310@gmail.com</t>
        </is>
      </c>
      <c r="N659" s="4" t="inlineStr">
        <is>
          <t>https://hautes-terres-aubrac.fr/</t>
        </is>
      </c>
      <c r="O659" s="4" t="inlineStr">
        <is>
          <t>https://hautes-terres-aubrac.fr/contact/</t>
        </is>
      </c>
      <c r="P659" s="4" t="inlineStr">
        <is>
          <t>https://lannuaire.service-public.gouv.fr/occitanie/lozere/702f230d-75c8-4a57-b143-cf3f2d78bc94</t>
        </is>
      </c>
      <c r="Q659" t="inlineStr">
        <is>
          <t>Annuaire Service-public.fr</t>
        </is>
      </c>
      <c r="R659" t="inlineStr"/>
      <c r="S659" t="inlineStr"/>
      <c r="T659" t="inlineStr"/>
    </row>
    <row r="660">
      <c r="A660" t="inlineStr">
        <is>
          <t>CC des Terres d'Apcher-Margeride-Aubrac</t>
        </is>
      </c>
      <c r="B660" t="inlineStr">
        <is>
          <t>Communauté de communes</t>
        </is>
      </c>
      <c r="C660" t="inlineStr">
        <is>
          <t>200069185</t>
        </is>
      </c>
      <c r="D660" t="inlineStr">
        <is>
          <t>48</t>
        </is>
      </c>
      <c r="E660" t="inlineStr">
        <is>
          <t>Lozère</t>
        </is>
      </c>
      <c r="F660" t="inlineStr">
        <is>
          <t>Occitanie</t>
        </is>
      </c>
      <c r="G660" s="3" t="n">
        <v>10484</v>
      </c>
      <c r="H660" t="n">
        <v>20</v>
      </c>
      <c r="I660" t="inlineStr">
        <is>
          <t>23 boulevard Guérin-d'Apcher</t>
        </is>
      </c>
      <c r="J660" t="inlineStr">
        <is>
          <t>48200</t>
        </is>
      </c>
      <c r="K660" t="inlineStr">
        <is>
          <t>Saint-Chély-d'Apcher</t>
        </is>
      </c>
      <c r="L660" t="inlineStr">
        <is>
          <t>04 66 47 70 02</t>
        </is>
      </c>
      <c r="M660" s="4" t="inlineStr">
        <is>
          <t>contact@cctama.fr</t>
        </is>
      </c>
      <c r="N660" s="4" t="inlineStr">
        <is>
          <t>https://www.cctama.fr/</t>
        </is>
      </c>
      <c r="O660" s="4" t="inlineStr">
        <is>
          <t>https://www.cctama.fr/contact/</t>
        </is>
      </c>
      <c r="P660" s="4" t="inlineStr">
        <is>
          <t>https://lannuaire.service-public.gouv.fr/occitanie/lozere/3aa1a9a6-e89f-49b7-b496-36cf3f71c65a</t>
        </is>
      </c>
      <c r="Q660" t="inlineStr">
        <is>
          <t>Annuaire Service-public.fr</t>
        </is>
      </c>
      <c r="R660" t="inlineStr"/>
      <c r="S660" t="inlineStr"/>
      <c r="T660" t="inlineStr"/>
    </row>
    <row r="661">
      <c r="A661" t="inlineStr">
        <is>
          <t>CC du Gévaudan</t>
        </is>
      </c>
      <c r="B661" t="inlineStr">
        <is>
          <t>Communauté de communes</t>
        </is>
      </c>
      <c r="C661" t="inlineStr">
        <is>
          <t>244800470</t>
        </is>
      </c>
      <c r="D661" t="inlineStr">
        <is>
          <t>48</t>
        </is>
      </c>
      <c r="E661" t="inlineStr">
        <is>
          <t>Lozère</t>
        </is>
      </c>
      <c r="F661" t="inlineStr">
        <is>
          <t>Occitanie</t>
        </is>
      </c>
      <c r="G661" s="3" t="n">
        <v>9658</v>
      </c>
      <c r="H661" t="n">
        <v>12</v>
      </c>
      <c r="I661" t="inlineStr">
        <is>
          <t>4 rue des Chazelles, Pôle d'activités du Gévaudan</t>
        </is>
      </c>
      <c r="J661" t="inlineStr">
        <is>
          <t>48100</t>
        </is>
      </c>
      <c r="K661" t="inlineStr">
        <is>
          <t>Marvejols</t>
        </is>
      </c>
      <c r="L661" t="inlineStr">
        <is>
          <t>04 66 32 38 41</t>
        </is>
      </c>
      <c r="M661" s="4" t="inlineStr">
        <is>
          <t>accueil@cc-gevaudan.fr</t>
        </is>
      </c>
      <c r="N661" s="4" t="inlineStr">
        <is>
          <t>https://www.cc-gevaudan.fr/</t>
        </is>
      </c>
      <c r="O661" s="4" t="inlineStr">
        <is>
          <t>https://www.cc-gevaudan.fr/nous-contacter/</t>
        </is>
      </c>
      <c r="P661" s="4" t="inlineStr">
        <is>
          <t>https://lannuaire.service-public.gouv.fr/occitanie/lozere/18a8229b-be7f-449c-a1d1-3c9bdc864bde</t>
        </is>
      </c>
      <c r="Q661" t="inlineStr">
        <is>
          <t>Annuaire Service-public.fr</t>
        </is>
      </c>
      <c r="R661" t="inlineStr"/>
      <c r="S661" t="inlineStr"/>
      <c r="T661" t="inlineStr"/>
    </row>
    <row r="662">
      <c r="A662" t="inlineStr">
        <is>
          <t>CC du Haut Allier Margeride</t>
        </is>
      </c>
      <c r="B662" t="inlineStr">
        <is>
          <t>Communauté de communes</t>
        </is>
      </c>
      <c r="C662" t="inlineStr">
        <is>
          <t>200006930</t>
        </is>
      </c>
      <c r="D662" t="inlineStr">
        <is>
          <t>48</t>
        </is>
      </c>
      <c r="E662" t="inlineStr">
        <is>
          <t>Lozère</t>
        </is>
      </c>
      <c r="F662" t="inlineStr">
        <is>
          <t>Occitanie</t>
        </is>
      </c>
      <c r="G662" s="3" t="n">
        <v>5167</v>
      </c>
      <c r="H662" t="n">
        <v>10</v>
      </c>
      <c r="I662" t="inlineStr">
        <is>
          <t>1 quai du Langouyrou</t>
        </is>
      </c>
      <c r="J662" t="inlineStr">
        <is>
          <t>48300</t>
        </is>
      </c>
      <c r="K662" t="inlineStr">
        <is>
          <t>Langogne</t>
        </is>
      </c>
      <c r="L662" t="inlineStr">
        <is>
          <t>04 66 46 80 75</t>
        </is>
      </c>
      <c r="M662" s="4" t="inlineStr">
        <is>
          <t>ccham@ccham-langogne.com</t>
        </is>
      </c>
      <c r="N662" s="4" t="inlineStr">
        <is>
          <t>https://ccha-langogne.com/</t>
        </is>
      </c>
      <c r="O662" s="4" t="inlineStr">
        <is>
          <t>https://ccha-langogne.com/contacter-la-ccha/</t>
        </is>
      </c>
      <c r="P662" s="4" t="inlineStr">
        <is>
          <t>https://lannuaire.service-public.gouv.fr/occitanie/lozere/6da03fa5-cea6-43b4-968b-e85ed9f814ce</t>
        </is>
      </c>
      <c r="Q662" t="inlineStr">
        <is>
          <t>Annuaire Service-public.fr</t>
        </is>
      </c>
      <c r="R662" t="inlineStr"/>
      <c r="S662" t="inlineStr"/>
      <c r="T662" t="inlineStr"/>
    </row>
    <row r="663">
      <c r="A663" t="inlineStr">
        <is>
          <t>CA Cholet Agglomération</t>
        </is>
      </c>
      <c r="B663" t="inlineStr">
        <is>
          <t>Communauté d’agglomération</t>
        </is>
      </c>
      <c r="C663" t="inlineStr">
        <is>
          <t>200071678</t>
        </is>
      </c>
      <c r="D663" t="inlineStr">
        <is>
          <t>49</t>
        </is>
      </c>
      <c r="E663" t="inlineStr">
        <is>
          <t>Maine-et-Loire</t>
        </is>
      </c>
      <c r="F663" t="inlineStr">
        <is>
          <t>Pays de la Loire</t>
        </is>
      </c>
      <c r="G663" s="3" t="n">
        <v>104711</v>
      </c>
      <c r="H663" t="n">
        <v>26</v>
      </c>
      <c r="I663" t="inlineStr">
        <is>
          <t>Rue Saint-Bonaventure</t>
        </is>
      </c>
      <c r="J663" t="inlineStr">
        <is>
          <t>49309</t>
        </is>
      </c>
      <c r="K663" t="inlineStr">
        <is>
          <t>Cholet</t>
        </is>
      </c>
      <c r="L663" t="inlineStr">
        <is>
          <t>02 72 77 20 00</t>
        </is>
      </c>
      <c r="M663" s="4" t="inlineStr">
        <is>
          <t>contact@choletagglomeration.fr</t>
        </is>
      </c>
      <c r="N663" s="4" t="inlineStr">
        <is>
          <t>https://www.cholet.fr/welcome/</t>
        </is>
      </c>
      <c r="O663" t="inlineStr"/>
      <c r="P663" s="4" t="inlineStr">
        <is>
          <t>https://lannuaire.service-public.gouv.fr/pays-de-la-loire/maine-et-loire/78ddc726-c889-4b84-aa7f-64a7c83b9379</t>
        </is>
      </c>
      <c r="Q663" t="inlineStr">
        <is>
          <t>Annuaire Service-public.fr</t>
        </is>
      </c>
      <c r="R663" t="inlineStr"/>
      <c r="S663" t="inlineStr"/>
      <c r="T663" t="inlineStr"/>
    </row>
    <row r="664">
      <c r="A664" t="inlineStr">
        <is>
          <t>CA Mauges Communauté</t>
        </is>
      </c>
      <c r="B664" t="inlineStr">
        <is>
          <t>Communauté d’agglomération</t>
        </is>
      </c>
      <c r="C664" t="inlineStr">
        <is>
          <t>200060010</t>
        </is>
      </c>
      <c r="D664" t="inlineStr">
        <is>
          <t>49</t>
        </is>
      </c>
      <c r="E664" t="inlineStr">
        <is>
          <t>Maine-et-Loire</t>
        </is>
      </c>
      <c r="F664" t="inlineStr">
        <is>
          <t>Pays de la Loire</t>
        </is>
      </c>
      <c r="G664" s="3" t="n">
        <v>122374</v>
      </c>
      <c r="H664" t="n">
        <v>6</v>
      </c>
      <c r="I664" t="inlineStr">
        <is>
          <t>1 rue Robert-Schuman, La Loge</t>
        </is>
      </c>
      <c r="J664" t="inlineStr">
        <is>
          <t>49600</t>
        </is>
      </c>
      <c r="K664" t="inlineStr">
        <is>
          <t>Beaupréau-en-Mauges</t>
        </is>
      </c>
      <c r="L664" t="inlineStr">
        <is>
          <t>02 41 71 77 10</t>
        </is>
      </c>
      <c r="M664" s="4" t="inlineStr">
        <is>
          <t>contact@maugescommunaute.fr</t>
        </is>
      </c>
      <c r="N664" s="4" t="inlineStr">
        <is>
          <t>https://www.maugescommunaute.fr/</t>
        </is>
      </c>
      <c r="O664" t="inlineStr"/>
      <c r="P664" s="4" t="inlineStr">
        <is>
          <t>https://lannuaire.service-public.gouv.fr/pays-de-la-loire/maine-et-loire/a5bf9f84-010d-43aa-a141-77c52f290a0d</t>
        </is>
      </c>
      <c r="Q664" t="inlineStr">
        <is>
          <t>Annuaire Service-public.fr</t>
        </is>
      </c>
      <c r="R664" t="inlineStr"/>
      <c r="S664" t="inlineStr"/>
      <c r="T664" t="inlineStr"/>
    </row>
    <row r="665">
      <c r="A665" t="inlineStr">
        <is>
          <t>CA Saumur Val de Loire</t>
        </is>
      </c>
      <c r="B665" t="inlineStr">
        <is>
          <t>Communauté d’agglomération</t>
        </is>
      </c>
      <c r="C665" t="inlineStr">
        <is>
          <t>200071876</t>
        </is>
      </c>
      <c r="D665" t="inlineStr">
        <is>
          <t>49</t>
        </is>
      </c>
      <c r="E665" t="inlineStr">
        <is>
          <t>Maine-et-Loire</t>
        </is>
      </c>
      <c r="F665" t="inlineStr">
        <is>
          <t>Pays de la Loire</t>
        </is>
      </c>
      <c r="G665" s="3" t="n">
        <v>98152</v>
      </c>
      <c r="H665" t="n">
        <v>45</v>
      </c>
      <c r="I665" t="inlineStr">
        <is>
          <t>11 rue du Maréchal-Leclerc</t>
        </is>
      </c>
      <c r="J665" t="inlineStr">
        <is>
          <t>49400</t>
        </is>
      </c>
      <c r="K665" t="inlineStr">
        <is>
          <t>Saumur</t>
        </is>
      </c>
      <c r="L665" t="inlineStr">
        <is>
          <t>02 41 40 45 50</t>
        </is>
      </c>
      <c r="M665" s="4" t="inlineStr">
        <is>
          <t>contact@saumurvaldeloire.fr</t>
        </is>
      </c>
      <c r="N665" s="4" t="inlineStr">
        <is>
          <t>https://www.saumurvaldeloire.fr/</t>
        </is>
      </c>
      <c r="O665" s="4" t="inlineStr">
        <is>
          <t>https://www.saumurvaldeloire.fr/contactez-nous</t>
        </is>
      </c>
      <c r="P665" s="4" t="inlineStr">
        <is>
          <t>https://lannuaire.service-public.gouv.fr/pays-de-la-loire/maine-et-loire/83f2b710-fc54-4325-be9d-5cde5d0998aa</t>
        </is>
      </c>
      <c r="Q665" t="inlineStr">
        <is>
          <t>Annuaire Service-public.fr</t>
        </is>
      </c>
      <c r="R665" t="inlineStr"/>
      <c r="S665" t="inlineStr"/>
      <c r="T665" t="inlineStr"/>
    </row>
    <row r="666">
      <c r="A666" t="inlineStr">
        <is>
          <t>CC Anjou Bleu Communauté</t>
        </is>
      </c>
      <c r="B666" t="inlineStr">
        <is>
          <t>Communauté de communes</t>
        </is>
      </c>
      <c r="C666" t="inlineStr">
        <is>
          <t>244900809</t>
        </is>
      </c>
      <c r="D666" t="inlineStr">
        <is>
          <t>49</t>
        </is>
      </c>
      <c r="E666" t="inlineStr">
        <is>
          <t>Maine-et-Loire</t>
        </is>
      </c>
      <c r="F666" t="inlineStr">
        <is>
          <t>Pays de la Loire</t>
        </is>
      </c>
      <c r="G666" s="3" t="n">
        <v>34526</v>
      </c>
      <c r="H666" t="n">
        <v>11</v>
      </c>
      <c r="I666" t="inlineStr">
        <is>
          <t>1 Esplanade Antoine Glémain, BP 50148</t>
        </is>
      </c>
      <c r="J666" t="inlineStr">
        <is>
          <t>49501</t>
        </is>
      </c>
      <c r="K666" t="inlineStr">
        <is>
          <t>Segré-en-Anjou Bleu Cedex</t>
        </is>
      </c>
      <c r="L666" t="inlineStr">
        <is>
          <t>02 41 26 51 27</t>
        </is>
      </c>
      <c r="M666" s="4" t="inlineStr">
        <is>
          <t>contact@anjoubleucommunaute.fr</t>
        </is>
      </c>
      <c r="N666" s="4" t="inlineStr">
        <is>
          <t>https://www.anjoubleucommunaute.fr/</t>
        </is>
      </c>
      <c r="O666" s="4" t="inlineStr">
        <is>
          <t>https://www.anjoubleucommunaute.fr/systeme/contact/</t>
        </is>
      </c>
      <c r="P666" s="4" t="inlineStr">
        <is>
          <t>https://lannuaire.service-public.gouv.fr/pays-de-la-loire/maine-et-loire/98ea9a55-0ad7-4bad-9b5d-58daf9a3798a</t>
        </is>
      </c>
      <c r="Q666" t="inlineStr">
        <is>
          <t>Annuaire Service-public.fr</t>
        </is>
      </c>
      <c r="R666" t="inlineStr"/>
      <c r="S666" t="inlineStr"/>
      <c r="T666" t="inlineStr"/>
    </row>
    <row r="667">
      <c r="A667" t="inlineStr">
        <is>
          <t>CC Anjou Loir et Sarthe</t>
        </is>
      </c>
      <c r="B667" t="inlineStr">
        <is>
          <t>Communauté de communes</t>
        </is>
      </c>
      <c r="C667" t="inlineStr">
        <is>
          <t>200068955</t>
        </is>
      </c>
      <c r="D667" t="inlineStr">
        <is>
          <t>49</t>
        </is>
      </c>
      <c r="E667" t="inlineStr">
        <is>
          <t>Maine-et-Loire</t>
        </is>
      </c>
      <c r="F667" t="inlineStr">
        <is>
          <t>Pays de la Loire</t>
        </is>
      </c>
      <c r="G667" s="3" t="n">
        <v>28260</v>
      </c>
      <c r="H667" t="n">
        <v>17</v>
      </c>
      <c r="I667" t="inlineStr">
        <is>
          <t>4 bis rue Val-de-Sarthe</t>
        </is>
      </c>
      <c r="J667" t="inlineStr">
        <is>
          <t>49125</t>
        </is>
      </c>
      <c r="K667" t="inlineStr">
        <is>
          <t>Tiercé</t>
        </is>
      </c>
      <c r="L667" t="inlineStr">
        <is>
          <t>02 52 75 05 05</t>
        </is>
      </c>
      <c r="M667" s="4" t="inlineStr">
        <is>
          <t>contact@ccals.fr</t>
        </is>
      </c>
      <c r="N667" s="4" t="inlineStr">
        <is>
          <t>https://www.ccals.fr</t>
        </is>
      </c>
      <c r="O667" s="4" t="inlineStr">
        <is>
          <t>https://www.ccals.fr/systeme/contact/</t>
        </is>
      </c>
      <c r="P667" s="4" t="inlineStr">
        <is>
          <t>https://lannuaire.service-public.gouv.fr/pays-de-la-loire/maine-et-loire/dc36b42c-213a-41b9-adda-c2d4c084fc20</t>
        </is>
      </c>
      <c r="Q667" t="inlineStr">
        <is>
          <t>Annuaire Service-public.fr</t>
        </is>
      </c>
      <c r="R667" t="inlineStr"/>
      <c r="S667" t="inlineStr"/>
      <c r="T667" t="inlineStr"/>
    </row>
    <row r="668">
      <c r="A668" t="inlineStr">
        <is>
          <t>CC Baugeois Vallée</t>
        </is>
      </c>
      <c r="B668" t="inlineStr">
        <is>
          <t>Communauté de communes</t>
        </is>
      </c>
      <c r="C668" t="inlineStr">
        <is>
          <t>244900882</t>
        </is>
      </c>
      <c r="D668" t="inlineStr">
        <is>
          <t>49</t>
        </is>
      </c>
      <c r="E668" t="inlineStr">
        <is>
          <t>Maine-et-Loire</t>
        </is>
      </c>
      <c r="F668" t="inlineStr">
        <is>
          <t>Pays de la Loire</t>
        </is>
      </c>
      <c r="G668" s="3" t="n">
        <v>34608</v>
      </c>
      <c r="H668" t="n">
        <v>7</v>
      </c>
      <c r="I668" t="inlineStr">
        <is>
          <t>15 avenue Legoulz-de-la-Boulaie, Baugé</t>
        </is>
      </c>
      <c r="J668" t="inlineStr">
        <is>
          <t>49150</t>
        </is>
      </c>
      <c r="K668" t="inlineStr">
        <is>
          <t>Baugé-en-Anjou</t>
        </is>
      </c>
      <c r="L668" t="inlineStr">
        <is>
          <t>02 41 84 49 49</t>
        </is>
      </c>
      <c r="M668" s="4" t="inlineStr">
        <is>
          <t>president@baugeoisvallee.fr</t>
        </is>
      </c>
      <c r="N668" s="4" t="inlineStr">
        <is>
          <t>https://www.baugeoisvallee.fr/</t>
        </is>
      </c>
      <c r="O668" s="4" t="inlineStr">
        <is>
          <t>https://www.baugeoisvallee.fr/contact-9.html</t>
        </is>
      </c>
      <c r="P668" s="4" t="inlineStr">
        <is>
          <t>https://lannuaire.service-public.gouv.fr/pays-de-la-loire/maine-et-loire/848aea1c-7bef-495d-95f4-567cbe2e0969</t>
        </is>
      </c>
      <c r="Q668" t="inlineStr">
        <is>
          <t>Annuaire Service-public.fr</t>
        </is>
      </c>
      <c r="R668" t="inlineStr"/>
      <c r="S668" t="inlineStr"/>
      <c r="T668" t="inlineStr"/>
    </row>
    <row r="669">
      <c r="A669" t="inlineStr">
        <is>
          <t>CC Loire Layon Aubance</t>
        </is>
      </c>
      <c r="B669" t="inlineStr">
        <is>
          <t>Communauté de communes</t>
        </is>
      </c>
      <c r="C669" t="inlineStr">
        <is>
          <t>200071553</t>
        </is>
      </c>
      <c r="D669" t="inlineStr">
        <is>
          <t>49</t>
        </is>
      </c>
      <c r="E669" t="inlineStr">
        <is>
          <t>Maine-et-Loire</t>
        </is>
      </c>
      <c r="F669" t="inlineStr">
        <is>
          <t>Pays de la Loire</t>
        </is>
      </c>
      <c r="G669" s="3" t="n">
        <v>57176</v>
      </c>
      <c r="H669" t="n">
        <v>19</v>
      </c>
      <c r="I669" t="inlineStr">
        <is>
          <t>1 rue Adrien-Meslier</t>
        </is>
      </c>
      <c r="J669" t="inlineStr">
        <is>
          <t>49170</t>
        </is>
      </c>
      <c r="K669" t="inlineStr">
        <is>
          <t>Saint-Georges-sur-Loire</t>
        </is>
      </c>
      <c r="L669" t="inlineStr">
        <is>
          <t>02 41 74 93 74</t>
        </is>
      </c>
      <c r="M669" s="4" t="inlineStr">
        <is>
          <t>contact@loirelayonaubance.fr</t>
        </is>
      </c>
      <c r="N669" s="4" t="inlineStr">
        <is>
          <t>https://loire-layon-aubance.fr/</t>
        </is>
      </c>
      <c r="O669" s="4" t="inlineStr">
        <is>
          <t>https://www.loire-layon-aubance.fr/nous-contacter/</t>
        </is>
      </c>
      <c r="P669" s="4" t="inlineStr">
        <is>
          <t>https://lannuaire.service-public.gouv.fr/pays-de-la-loire/maine-et-loire/abf86076-00e1-4949-b3e9-32b53b5e2f08</t>
        </is>
      </c>
      <c r="Q669" t="inlineStr">
        <is>
          <t>Annuaire Service-public.fr</t>
        </is>
      </c>
      <c r="R669" t="inlineStr"/>
      <c r="S669" t="inlineStr"/>
      <c r="T669" t="inlineStr"/>
    </row>
    <row r="670">
      <c r="A670" t="inlineStr">
        <is>
          <t>CC des Vallées du Haut-Anjou</t>
        </is>
      </c>
      <c r="B670" t="inlineStr">
        <is>
          <t>Communauté de communes</t>
        </is>
      </c>
      <c r="C670" t="inlineStr">
        <is>
          <t>200071868</t>
        </is>
      </c>
      <c r="D670" t="inlineStr">
        <is>
          <t>49</t>
        </is>
      </c>
      <c r="E670" t="inlineStr">
        <is>
          <t>Maine-et-Loire</t>
        </is>
      </c>
      <c r="F670" t="inlineStr">
        <is>
          <t>Pays de la Loire</t>
        </is>
      </c>
      <c r="G670" s="3" t="n">
        <v>36469</v>
      </c>
      <c r="H670" t="n">
        <v>15</v>
      </c>
      <c r="I670" t="inlineStr">
        <is>
          <t>Place Charles-de-Gaulle</t>
        </is>
      </c>
      <c r="J670" t="inlineStr">
        <is>
          <t>49220</t>
        </is>
      </c>
      <c r="K670" t="inlineStr">
        <is>
          <t>Le Lion-d'Angers</t>
        </is>
      </c>
      <c r="L670" t="inlineStr">
        <is>
          <t>02 41 95 31 74</t>
        </is>
      </c>
      <c r="M670" s="4" t="inlineStr">
        <is>
          <t>contact@valleesduhautanjou.fr</t>
        </is>
      </c>
      <c r="N670" s="4" t="inlineStr">
        <is>
          <t>https://www.valleesduhautanjou.fr/</t>
        </is>
      </c>
      <c r="O670" s="4" t="inlineStr">
        <is>
          <t>https://www.valleesduhautanjou.fr/contact/</t>
        </is>
      </c>
      <c r="P670" s="4" t="inlineStr">
        <is>
          <t>https://lannuaire.service-public.gouv.fr/pays-de-la-loire/maine-et-loire/e85e526e-c3a9-46c5-993b-adaea5a6db0d</t>
        </is>
      </c>
      <c r="Q670" t="inlineStr">
        <is>
          <t>Annuaire Service-public.fr</t>
        </is>
      </c>
      <c r="R670" t="inlineStr"/>
      <c r="S670" t="inlineStr"/>
      <c r="T670" t="inlineStr"/>
    </row>
    <row r="671">
      <c r="A671" t="inlineStr">
        <is>
          <t>CU Angers Loire Métropole</t>
        </is>
      </c>
      <c r="B671" t="inlineStr">
        <is>
          <t>Communauté urbaine</t>
        </is>
      </c>
      <c r="C671" t="inlineStr">
        <is>
          <t>244900015</t>
        </is>
      </c>
      <c r="D671" t="inlineStr">
        <is>
          <t>49</t>
        </is>
      </c>
      <c r="E671" t="inlineStr">
        <is>
          <t>Maine-et-Loire</t>
        </is>
      </c>
      <c r="F671" t="inlineStr">
        <is>
          <t>Pays de la Loire</t>
        </is>
      </c>
      <c r="G671" s="3" t="n">
        <v>308806</v>
      </c>
      <c r="H671" t="n">
        <v>29</v>
      </c>
      <c r="I671" t="inlineStr">
        <is>
          <t>83 rue du Mail, BP 80011</t>
        </is>
      </c>
      <c r="J671" t="inlineStr">
        <is>
          <t>49020</t>
        </is>
      </c>
      <c r="K671" t="inlineStr">
        <is>
          <t>Angers Cedex 2</t>
        </is>
      </c>
      <c r="L671" t="inlineStr">
        <is>
          <t>02 41 05 50 00</t>
        </is>
      </c>
      <c r="M671" t="inlineStr"/>
      <c r="N671" s="4" t="inlineStr">
        <is>
          <t>https://www.angersloiremetropole.fr/</t>
        </is>
      </c>
      <c r="O671" s="4" t="inlineStr">
        <is>
          <t>https://www.angersloiremetropole.fr/contact/formulaire-de-contact/index.html</t>
        </is>
      </c>
      <c r="P671" s="4" t="inlineStr">
        <is>
          <t>https://lannuaire.service-public.gouv.fr/pays-de-la-loire/maine-et-loire/d4ac6f56-0ec4-4c92-b5cf-2a8638b11ecc</t>
        </is>
      </c>
      <c r="Q671" t="inlineStr">
        <is>
          <t>Annuaire Service-public.fr</t>
        </is>
      </c>
      <c r="R671" t="inlineStr"/>
      <c r="S671" t="inlineStr"/>
      <c r="T671" t="inlineStr"/>
    </row>
    <row r="672">
      <c r="A672" t="inlineStr">
        <is>
          <t>CA Mont-Saint-Michel-Normandie</t>
        </is>
      </c>
      <c r="B672" t="inlineStr">
        <is>
          <t>Communauté d’agglomération</t>
        </is>
      </c>
      <c r="C672" t="inlineStr">
        <is>
          <t>200069425</t>
        </is>
      </c>
      <c r="D672" t="inlineStr">
        <is>
          <t>50</t>
        </is>
      </c>
      <c r="E672" t="inlineStr">
        <is>
          <t>Manche</t>
        </is>
      </c>
      <c r="F672" t="inlineStr">
        <is>
          <t>Normandie</t>
        </is>
      </c>
      <c r="G672" s="3" t="n">
        <v>87390</v>
      </c>
      <c r="H672" t="n">
        <v>95</v>
      </c>
      <c r="I672" t="inlineStr">
        <is>
          <t>1 rue Général-Ruel, BP 540</t>
        </is>
      </c>
      <c r="J672" t="inlineStr">
        <is>
          <t>50305</t>
        </is>
      </c>
      <c r="K672" t="inlineStr">
        <is>
          <t>Avranches Cedex</t>
        </is>
      </c>
      <c r="L672" t="inlineStr">
        <is>
          <t>02 33 89 67 00</t>
        </is>
      </c>
      <c r="M672" s="4" t="inlineStr">
        <is>
          <t>accueil@msm-normandie.fr</t>
        </is>
      </c>
      <c r="N672" s="4" t="inlineStr">
        <is>
          <t>https://www.msm-normandie.fr/fr/</t>
        </is>
      </c>
      <c r="O672" s="4" t="inlineStr">
        <is>
          <t>https://www.msm-normandie.fr/fr/formulaire-de-contact</t>
        </is>
      </c>
      <c r="P672" s="4" t="inlineStr">
        <is>
          <t>https://lannuaire.service-public.gouv.fr/normandie/manche/97fbe4c4-351b-4f0e-a41d-a6f9dfb558b7</t>
        </is>
      </c>
      <c r="Q672" t="inlineStr">
        <is>
          <t>Annuaire Service-public.fr</t>
        </is>
      </c>
      <c r="R672" t="inlineStr"/>
      <c r="S672" t="inlineStr"/>
      <c r="T672" t="inlineStr"/>
    </row>
    <row r="673">
      <c r="A673" t="inlineStr">
        <is>
          <t>CA Saint-Lô Agglo</t>
        </is>
      </c>
      <c r="B673" t="inlineStr">
        <is>
          <t>Communauté d’agglomération</t>
        </is>
      </c>
      <c r="C673" t="inlineStr">
        <is>
          <t>200066389</t>
        </is>
      </c>
      <c r="D673" t="inlineStr">
        <is>
          <t>50</t>
        </is>
      </c>
      <c r="E673" t="inlineStr">
        <is>
          <t>Manche</t>
        </is>
      </c>
      <c r="F673" t="inlineStr">
        <is>
          <t>Normandie</t>
        </is>
      </c>
      <c r="G673" s="3" t="n">
        <v>76674</v>
      </c>
      <c r="H673" t="n">
        <v>61</v>
      </c>
      <c r="I673" t="inlineStr">
        <is>
          <t>70 rue du Neufbourg</t>
        </is>
      </c>
      <c r="J673" t="inlineStr">
        <is>
          <t>50000</t>
        </is>
      </c>
      <c r="K673" t="inlineStr">
        <is>
          <t>Saint-Lô</t>
        </is>
      </c>
      <c r="L673" t="inlineStr">
        <is>
          <t>02 14 29 00 00</t>
        </is>
      </c>
      <c r="M673" s="4" t="inlineStr">
        <is>
          <t>contact@saint-lo-agglo.fr</t>
        </is>
      </c>
      <c r="N673" s="4" t="inlineStr">
        <is>
          <t>https://www.saint-lo-agglo.fr/fr</t>
        </is>
      </c>
      <c r="O673" s="4" t="inlineStr">
        <is>
          <t>https://www.saint-lo-agglo.fr/fr/contacter</t>
        </is>
      </c>
      <c r="P673" s="4" t="inlineStr">
        <is>
          <t>https://lannuaire.service-public.gouv.fr/normandie/manche/4c5d2a3c-a8df-4d05-b44d-34133b59a05b</t>
        </is>
      </c>
      <c r="Q673" t="inlineStr">
        <is>
          <t>Annuaire Service-public.fr</t>
        </is>
      </c>
      <c r="R673" t="inlineStr"/>
      <c r="S673" t="inlineStr"/>
      <c r="T673" t="inlineStr"/>
    </row>
    <row r="674">
      <c r="A674" t="inlineStr">
        <is>
          <t>CA du Cotentin</t>
        </is>
      </c>
      <c r="B674" t="inlineStr">
        <is>
          <t>Communauté d’agglomération</t>
        </is>
      </c>
      <c r="C674" t="inlineStr">
        <is>
          <t>200067205</t>
        </is>
      </c>
      <c r="D674" t="inlineStr">
        <is>
          <t>50</t>
        </is>
      </c>
      <c r="E674" t="inlineStr">
        <is>
          <t>Manche</t>
        </is>
      </c>
      <c r="F674" t="inlineStr">
        <is>
          <t>Normandie</t>
        </is>
      </c>
      <c r="G674" s="3" t="n">
        <v>178684</v>
      </c>
      <c r="H674" t="n">
        <v>129</v>
      </c>
      <c r="I674" t="inlineStr">
        <is>
          <t>Boulevard Félix-Amiot, Hôtel Atlantique</t>
        </is>
      </c>
      <c r="J674" t="inlineStr">
        <is>
          <t>50100</t>
        </is>
      </c>
      <c r="K674" t="inlineStr">
        <is>
          <t>Cherbourg-en-Cotentin</t>
        </is>
      </c>
      <c r="L674" t="inlineStr">
        <is>
          <t>02 50 79 16 10</t>
        </is>
      </c>
      <c r="M674" s="4" t="inlineStr">
        <is>
          <t>contact@lecotentin.fr</t>
        </is>
      </c>
      <c r="N674" s="4" t="inlineStr">
        <is>
          <t>https://www.lecotentin.fr/</t>
        </is>
      </c>
      <c r="O674" s="4" t="inlineStr">
        <is>
          <t>https://www.lecotentin.fr/les-points-daccueil</t>
        </is>
      </c>
      <c r="P674" s="4" t="inlineStr">
        <is>
          <t>https://lannuaire.service-public.gouv.fr/normandie/manche/5114b30a-d0f4-4ee7-b622-595d90a8268d</t>
        </is>
      </c>
      <c r="Q674" t="inlineStr">
        <is>
          <t>Annuaire Service-public.fr</t>
        </is>
      </c>
      <c r="R674" t="inlineStr"/>
      <c r="S674" t="inlineStr"/>
      <c r="T674" t="inlineStr"/>
    </row>
    <row r="675">
      <c r="A675" t="inlineStr">
        <is>
          <t>CC Coutances Mer et Bocage</t>
        </is>
      </c>
      <c r="B675" t="inlineStr">
        <is>
          <t>Communauté de communes</t>
        </is>
      </c>
      <c r="C675" t="inlineStr">
        <is>
          <t>200067023</t>
        </is>
      </c>
      <c r="D675" t="inlineStr">
        <is>
          <t>50</t>
        </is>
      </c>
      <c r="E675" t="inlineStr">
        <is>
          <t>Manche</t>
        </is>
      </c>
      <c r="F675" t="inlineStr">
        <is>
          <t>Normandie</t>
        </is>
      </c>
      <c r="G675" s="3" t="n">
        <v>47755</v>
      </c>
      <c r="H675" t="n">
        <v>48</v>
      </c>
      <c r="I675" t="inlineStr">
        <is>
          <t>Place du Parvis-Notre-Dame, BP 723</t>
        </is>
      </c>
      <c r="J675" t="inlineStr">
        <is>
          <t>50207</t>
        </is>
      </c>
      <c r="K675" t="inlineStr">
        <is>
          <t>Coutances Cedex</t>
        </is>
      </c>
      <c r="L675" t="inlineStr">
        <is>
          <t>02 33 76 55 55</t>
        </is>
      </c>
      <c r="M675" s="4" t="inlineStr">
        <is>
          <t>contact@communaute-coutances.fr</t>
        </is>
      </c>
      <c r="N675" s="4" t="inlineStr">
        <is>
          <t>https://www.coutancesmeretbocage.fr/</t>
        </is>
      </c>
      <c r="O675" s="4" t="inlineStr">
        <is>
          <t>https://www.coutancesmeretbocage.fr/contact</t>
        </is>
      </c>
      <c r="P675" s="4" t="inlineStr">
        <is>
          <t>https://lannuaire.service-public.gouv.fr/normandie/manche/b1a68414-6d3e-4cc3-afa1-66de23b708a4</t>
        </is>
      </c>
      <c r="Q675" t="inlineStr">
        <is>
          <t>Annuaire Service-public.fr</t>
        </is>
      </c>
      <c r="R675" t="inlineStr"/>
      <c r="S675" t="inlineStr"/>
      <c r="T675" t="inlineStr"/>
    </row>
    <row r="676">
      <c r="A676" t="inlineStr">
        <is>
          <t>CC Côte Ouest Centre Manche</t>
        </is>
      </c>
      <c r="B676" t="inlineStr">
        <is>
          <t>Communauté de communes</t>
        </is>
      </c>
      <c r="C676" t="inlineStr">
        <is>
          <t>200067031</t>
        </is>
      </c>
      <c r="D676" t="inlineStr">
        <is>
          <t>50</t>
        </is>
      </c>
      <c r="E676" t="inlineStr">
        <is>
          <t>Manche</t>
        </is>
      </c>
      <c r="F676" t="inlineStr">
        <is>
          <t>Normandie</t>
        </is>
      </c>
      <c r="G676" s="3" t="n">
        <v>22194</v>
      </c>
      <c r="H676" t="n">
        <v>30</v>
      </c>
      <c r="I676" t="inlineStr">
        <is>
          <t>20 rue des Aubépines</t>
        </is>
      </c>
      <c r="J676" t="inlineStr">
        <is>
          <t>50250</t>
        </is>
      </c>
      <c r="K676" t="inlineStr">
        <is>
          <t>La Haye</t>
        </is>
      </c>
      <c r="L676" t="inlineStr">
        <is>
          <t>02 33 07 11 79</t>
        </is>
      </c>
      <c r="M676" s="4" t="inlineStr">
        <is>
          <t>contact@cocm.fr</t>
        </is>
      </c>
      <c r="N676" s="4" t="inlineStr">
        <is>
          <t>https://www.cocm.fr/fr/</t>
        </is>
      </c>
      <c r="O676" s="4" t="inlineStr">
        <is>
          <t>https://www.cocm.fr/fr/cocm/collectivite/contact.html</t>
        </is>
      </c>
      <c r="P676" s="4" t="inlineStr">
        <is>
          <t>https://lannuaire.service-public.gouv.fr/normandie/manche/68bbdd4c-4e6d-4a29-9a4f-24d282dfe407</t>
        </is>
      </c>
      <c r="Q676" t="inlineStr">
        <is>
          <t>Annuaire Service-public.fr</t>
        </is>
      </c>
      <c r="R676" t="inlineStr"/>
      <c r="S676" t="inlineStr"/>
      <c r="T676" t="inlineStr"/>
    </row>
    <row r="677">
      <c r="A677" t="inlineStr">
        <is>
          <t>CC de Granville, Terre et Mer</t>
        </is>
      </c>
      <c r="B677" t="inlineStr">
        <is>
          <t>Communauté de communes</t>
        </is>
      </c>
      <c r="C677" t="inlineStr">
        <is>
          <t>200042604</t>
        </is>
      </c>
      <c r="D677" t="inlineStr">
        <is>
          <t>50</t>
        </is>
      </c>
      <c r="E677" t="inlineStr">
        <is>
          <t>Manche</t>
        </is>
      </c>
      <c r="F677" t="inlineStr">
        <is>
          <t>Normandie</t>
        </is>
      </c>
      <c r="G677" s="3" t="n">
        <v>45480</v>
      </c>
      <c r="H677" t="n">
        <v>32</v>
      </c>
      <c r="I677" t="inlineStr">
        <is>
          <t>197 avenue des Vendéens, BP 231</t>
        </is>
      </c>
      <c r="J677" t="inlineStr">
        <is>
          <t>50402</t>
        </is>
      </c>
      <c r="K677" t="inlineStr">
        <is>
          <t>Granville Cedex</t>
        </is>
      </c>
      <c r="L677" t="inlineStr">
        <is>
          <t>02 33 91 38 60</t>
        </is>
      </c>
      <c r="M677" s="4" t="inlineStr">
        <is>
          <t>contact@granville-terre-mer.fr</t>
        </is>
      </c>
      <c r="N677" s="4" t="inlineStr">
        <is>
          <t>https://www.granville-terre-mer.fr/</t>
        </is>
      </c>
      <c r="O677" s="4" t="inlineStr">
        <is>
          <t>https://www.granville-terre-mer.fr/contacts.html</t>
        </is>
      </c>
      <c r="P677" s="4" t="inlineStr">
        <is>
          <t>https://lannuaire.service-public.gouv.fr/normandie/manche/9c8a8123-e412-4286-957f-04ed72d1c85a</t>
        </is>
      </c>
      <c r="Q677" t="inlineStr">
        <is>
          <t>Annuaire Service-public.fr</t>
        </is>
      </c>
      <c r="R677" t="inlineStr"/>
      <c r="S677" t="inlineStr"/>
      <c r="T677" t="inlineStr"/>
    </row>
    <row r="678">
      <c r="A678" t="inlineStr">
        <is>
          <t>CC de Villedieu Intercom</t>
        </is>
      </c>
      <c r="B678" t="inlineStr">
        <is>
          <t>Communauté de communes</t>
        </is>
      </c>
      <c r="C678" t="inlineStr">
        <is>
          <t>200043354</t>
        </is>
      </c>
      <c r="D678" t="inlineStr">
        <is>
          <t>50</t>
        </is>
      </c>
      <c r="E678" t="inlineStr">
        <is>
          <t>Manche</t>
        </is>
      </c>
      <c r="F678" t="inlineStr">
        <is>
          <t>Normandie</t>
        </is>
      </c>
      <c r="G678" s="3" t="n">
        <v>15676</v>
      </c>
      <c r="H678" t="n">
        <v>27</v>
      </c>
      <c r="I678" t="inlineStr">
        <is>
          <t>11 rue Pierre-Paris</t>
        </is>
      </c>
      <c r="J678" t="inlineStr">
        <is>
          <t>50800</t>
        </is>
      </c>
      <c r="K678" t="inlineStr">
        <is>
          <t>Villedieu-les-Poêles-Rouffigny</t>
        </is>
      </c>
      <c r="L678" t="inlineStr">
        <is>
          <t>02 33 90 17 90</t>
        </is>
      </c>
      <c r="M678" s="4" t="inlineStr">
        <is>
          <t>accueil@villedieuintercom.fr</t>
        </is>
      </c>
      <c r="N678" s="4" t="inlineStr">
        <is>
          <t>https://www.villedieu-intercom.fr/</t>
        </is>
      </c>
      <c r="O678" t="inlineStr"/>
      <c r="P678" s="4" t="inlineStr">
        <is>
          <t>https://lannuaire.service-public.gouv.fr/normandie/manche/b12873ad-b5e3-4f92-95a1-061d232a8caf</t>
        </is>
      </c>
      <c r="Q678" t="inlineStr">
        <is>
          <t>Annuaire Service-public.fr</t>
        </is>
      </c>
      <c r="R678" t="inlineStr"/>
      <c r="S678" t="inlineStr"/>
      <c r="T678" t="inlineStr"/>
    </row>
    <row r="679">
      <c r="A679" t="inlineStr">
        <is>
          <t>CC de la Baie du Cotentin</t>
        </is>
      </c>
      <c r="B679" t="inlineStr">
        <is>
          <t>Communauté de communes</t>
        </is>
      </c>
      <c r="C679" t="inlineStr">
        <is>
          <t>200042729</t>
        </is>
      </c>
      <c r="D679" t="inlineStr">
        <is>
          <t>50</t>
        </is>
      </c>
      <c r="E679" t="inlineStr">
        <is>
          <t>Manche</t>
        </is>
      </c>
      <c r="F679" t="inlineStr">
        <is>
          <t>Normandie</t>
        </is>
      </c>
      <c r="G679" s="3" t="n">
        <v>22962</v>
      </c>
      <c r="H679" t="n">
        <v>23</v>
      </c>
      <c r="I679" t="inlineStr">
        <is>
          <t>2 le Haut-Dick, BP 339</t>
        </is>
      </c>
      <c r="J679" t="inlineStr">
        <is>
          <t>50500</t>
        </is>
      </c>
      <c r="K679" t="inlineStr">
        <is>
          <t>Carentan-les-Marais</t>
        </is>
      </c>
      <c r="L679" t="inlineStr">
        <is>
          <t>02 33 71 90 90</t>
        </is>
      </c>
      <c r="M679" s="4" t="inlineStr">
        <is>
          <t>contact@ccbdc.fr</t>
        </is>
      </c>
      <c r="N679" s="4" t="inlineStr">
        <is>
          <t>https://www.ccbdc.fr/</t>
        </is>
      </c>
      <c r="O679" t="inlineStr"/>
      <c r="P679" s="4" t="inlineStr">
        <is>
          <t>https://lannuaire.service-public.gouv.fr/normandie/manche/de79e2d5-5f42-4257-9653-447aa9d6b68c</t>
        </is>
      </c>
      <c r="Q679" t="inlineStr">
        <is>
          <t>Annuaire Service-public.fr</t>
        </is>
      </c>
      <c r="R679" t="inlineStr"/>
      <c r="S679" t="inlineStr"/>
      <c r="T679" t="inlineStr"/>
    </row>
    <row r="680">
      <c r="A680" t="inlineStr">
        <is>
          <t>CA Epernay, Coteaux et Plaine de Champagne</t>
        </is>
      </c>
      <c r="B680" t="inlineStr">
        <is>
          <t>Communauté d’agglomération</t>
        </is>
      </c>
      <c r="C680" t="inlineStr">
        <is>
          <t>200067684</t>
        </is>
      </c>
      <c r="D680" t="inlineStr">
        <is>
          <t>51</t>
        </is>
      </c>
      <c r="E680" t="inlineStr">
        <is>
          <t>Marne</t>
        </is>
      </c>
      <c r="F680" t="inlineStr">
        <is>
          <t>Grand Est</t>
        </is>
      </c>
      <c r="G680" s="3" t="n">
        <v>46800</v>
      </c>
      <c r="H680" t="n">
        <v>47</v>
      </c>
      <c r="I680" t="inlineStr">
        <is>
          <t>Place du 13e-Régiment-de-Génie</t>
        </is>
      </c>
      <c r="J680" t="inlineStr">
        <is>
          <t>51330</t>
        </is>
      </c>
      <c r="K680" t="inlineStr">
        <is>
          <t>Épernay</t>
        </is>
      </c>
      <c r="L680" t="inlineStr">
        <is>
          <t>03 26 56 47 10</t>
        </is>
      </c>
      <c r="M680" s="4" t="inlineStr">
        <is>
          <t>accueil@epernay-agglo.fr</t>
        </is>
      </c>
      <c r="N680" s="4" t="inlineStr">
        <is>
          <t>https://epernay-agglo.fr/</t>
        </is>
      </c>
      <c r="O680" t="inlineStr"/>
      <c r="P680" s="4" t="inlineStr">
        <is>
          <t>https://lannuaire.service-public.gouv.fr/grand-est/marne/b2b1a939-0841-402e-b305-35eb3700bcce</t>
        </is>
      </c>
      <c r="Q680" t="inlineStr">
        <is>
          <t>Annuaire Service-public.fr</t>
        </is>
      </c>
      <c r="R680" t="inlineStr"/>
      <c r="S680" t="inlineStr"/>
      <c r="T680" t="inlineStr"/>
    </row>
    <row r="681">
      <c r="A681" t="inlineStr">
        <is>
          <t>CA de Châlons-en-Champagne</t>
        </is>
      </c>
      <c r="B681" t="inlineStr">
        <is>
          <t>Communauté d’agglomération</t>
        </is>
      </c>
      <c r="C681" t="inlineStr">
        <is>
          <t>200066876</t>
        </is>
      </c>
      <c r="D681" t="inlineStr">
        <is>
          <t>51</t>
        </is>
      </c>
      <c r="E681" t="inlineStr">
        <is>
          <t>Marne</t>
        </is>
      </c>
      <c r="F681" t="inlineStr">
        <is>
          <t>Grand Est</t>
        </is>
      </c>
      <c r="G681" s="3" t="n">
        <v>78298</v>
      </c>
      <c r="H681" t="n">
        <v>45</v>
      </c>
      <c r="I681" t="inlineStr">
        <is>
          <t>Place Foch, Espace Citoyen, Hôtel de Ville</t>
        </is>
      </c>
      <c r="J681" t="inlineStr">
        <is>
          <t>51022</t>
        </is>
      </c>
      <c r="K681" t="inlineStr">
        <is>
          <t>Châlons-en-Champagne</t>
        </is>
      </c>
      <c r="L681" t="inlineStr">
        <is>
          <t>03 26 69 38 38</t>
        </is>
      </c>
      <c r="M681" s="4" t="inlineStr">
        <is>
          <t>contact@chalons-agglo.fr</t>
        </is>
      </c>
      <c r="N681" s="4" t="inlineStr">
        <is>
          <t>https://www.chalons-agglo.fr/cac</t>
        </is>
      </c>
      <c r="O681" s="4" t="inlineStr">
        <is>
          <t>https://citoyen.chalons-agglo.fr/demandes/question</t>
        </is>
      </c>
      <c r="P681" s="4" t="inlineStr">
        <is>
          <t>https://lannuaire.service-public.gouv.fr/grand-est/marne/51bd69a9-ff15-4593-aa0a-c14579a88d8b</t>
        </is>
      </c>
      <c r="Q681" t="inlineStr">
        <is>
          <t>Annuaire Service-public.fr</t>
        </is>
      </c>
      <c r="R681" t="inlineStr"/>
      <c r="S681" t="inlineStr"/>
      <c r="T681" t="inlineStr"/>
    </row>
    <row r="682">
      <c r="A682" t="inlineStr">
        <is>
          <t>CC Côtes de Champagne et Val de Saulx</t>
        </is>
      </c>
      <c r="B682" t="inlineStr">
        <is>
          <t>Communauté de communes</t>
        </is>
      </c>
      <c r="C682" t="inlineStr">
        <is>
          <t>200067379</t>
        </is>
      </c>
      <c r="D682" t="inlineStr">
        <is>
          <t>51</t>
        </is>
      </c>
      <c r="E682" t="inlineStr">
        <is>
          <t>Marne</t>
        </is>
      </c>
      <c r="F682" t="inlineStr">
        <is>
          <t>Grand Est</t>
        </is>
      </c>
      <c r="G682" s="3" t="n">
        <v>11385</v>
      </c>
      <c r="H682" t="n">
        <v>40</v>
      </c>
      <c r="I682" t="inlineStr">
        <is>
          <t>8 place du Matras</t>
        </is>
      </c>
      <c r="J682" t="inlineStr">
        <is>
          <t>51340</t>
        </is>
      </c>
      <c r="K682" t="inlineStr">
        <is>
          <t>Vanault-les-Dames</t>
        </is>
      </c>
      <c r="L682" t="inlineStr">
        <is>
          <t>03 26 41 25 72</t>
        </is>
      </c>
      <c r="M682" s="4" t="inlineStr">
        <is>
          <t>contact@4cvs.fr</t>
        </is>
      </c>
      <c r="N682" s="4" t="inlineStr">
        <is>
          <t>http://www.4cvs.fr</t>
        </is>
      </c>
      <c r="O682" s="4" t="inlineStr">
        <is>
          <t>http://www.4cvs.fr/fr/contact</t>
        </is>
      </c>
      <c r="P682" s="4" t="inlineStr">
        <is>
          <t>https://lannuaire.service-public.gouv.fr/grand-est/marne/b2c6228b-d34b-4399-ab54-21ac84d7f8ef</t>
        </is>
      </c>
      <c r="Q682" t="inlineStr">
        <is>
          <t>Annuaire Service-public.fr</t>
        </is>
      </c>
      <c r="R682" t="inlineStr"/>
      <c r="S682" t="inlineStr"/>
      <c r="T682" t="inlineStr"/>
    </row>
    <row r="683">
      <c r="A683" t="inlineStr">
        <is>
          <t>CC Perthois-Bocage et Der</t>
        </is>
      </c>
      <c r="B683" t="inlineStr">
        <is>
          <t>Communauté de communes</t>
        </is>
      </c>
      <c r="C683" t="inlineStr">
        <is>
          <t>200042992</t>
        </is>
      </c>
      <c r="D683" t="inlineStr">
        <is>
          <t>51</t>
        </is>
      </c>
      <c r="E683" t="inlineStr">
        <is>
          <t>Marne</t>
        </is>
      </c>
      <c r="F683" t="inlineStr">
        <is>
          <t>Grand Est</t>
        </is>
      </c>
      <c r="G683" s="3" t="n">
        <v>5542</v>
      </c>
      <c r="H683" t="n">
        <v>25</v>
      </c>
      <c r="I683" t="inlineStr">
        <is>
          <t>23 rue du Radet</t>
        </is>
      </c>
      <c r="J683" t="inlineStr">
        <is>
          <t>51290</t>
        </is>
      </c>
      <c r="K683" t="inlineStr">
        <is>
          <t>Saint-Remy-en-Bouzemont-Saint-Genest-et-Isson</t>
        </is>
      </c>
      <c r="L683" t="inlineStr">
        <is>
          <t>03 26 74 12 49</t>
        </is>
      </c>
      <c r="M683" s="4" t="inlineStr">
        <is>
          <t>cc-perthoisbocageetder@orange.fr</t>
        </is>
      </c>
      <c r="N683" s="4" t="inlineStr">
        <is>
          <t>https://cc-perthoisbocageetder.fr</t>
        </is>
      </c>
      <c r="O683" t="inlineStr"/>
      <c r="P683" s="4" t="inlineStr">
        <is>
          <t>https://lannuaire.service-public.gouv.fr/grand-est/marne/f4d924d5-a5ec-4cee-8914-7c29d5bfd947</t>
        </is>
      </c>
      <c r="Q683" t="inlineStr">
        <is>
          <t>Annuaire Service-public.fr</t>
        </is>
      </c>
      <c r="R683" t="inlineStr"/>
      <c r="S683" t="inlineStr"/>
      <c r="T683" t="inlineStr"/>
    </row>
    <row r="684">
      <c r="A684" t="inlineStr">
        <is>
          <t>CC de Sézanne-Sud Ouest Marnais</t>
        </is>
      </c>
      <c r="B684" t="inlineStr">
        <is>
          <t>Communauté de communes</t>
        </is>
      </c>
      <c r="C684" t="inlineStr">
        <is>
          <t>200066835</t>
        </is>
      </c>
      <c r="D684" t="inlineStr">
        <is>
          <t>51</t>
        </is>
      </c>
      <c r="E684" t="inlineStr">
        <is>
          <t>Marne</t>
        </is>
      </c>
      <c r="F684" t="inlineStr">
        <is>
          <t>Grand Est</t>
        </is>
      </c>
      <c r="G684" s="3" t="n">
        <v>20917</v>
      </c>
      <c r="H684" t="n">
        <v>62</v>
      </c>
      <c r="I684" t="inlineStr">
        <is>
          <t>Promenade de l'Aube</t>
        </is>
      </c>
      <c r="J684" t="inlineStr">
        <is>
          <t>51260</t>
        </is>
      </c>
      <c r="K684" t="inlineStr">
        <is>
          <t>Anglure</t>
        </is>
      </c>
      <c r="L684" t="inlineStr">
        <is>
          <t>03 26 42 75 18</t>
        </is>
      </c>
      <c r="M684" s="4" t="inlineStr">
        <is>
          <t>contact@ccssom.fr</t>
        </is>
      </c>
      <c r="N684" s="4" t="inlineStr">
        <is>
          <t>https://ccssom.fr/</t>
        </is>
      </c>
      <c r="O684" t="inlineStr"/>
      <c r="P684" s="4" t="inlineStr">
        <is>
          <t>https://lannuaire.service-public.gouv.fr/grand-est/marne/b0696dc9-9d67-44a2-aaf6-54ac300b9694</t>
        </is>
      </c>
      <c r="Q684" t="inlineStr">
        <is>
          <t>Annuaire Service-public.fr</t>
        </is>
      </c>
      <c r="R684" t="inlineStr"/>
      <c r="S684" t="inlineStr"/>
      <c r="T684" t="inlineStr"/>
    </row>
    <row r="685">
      <c r="A685" t="inlineStr">
        <is>
          <t>CC de Vitry, Champagne et Der</t>
        </is>
      </c>
      <c r="B685" t="inlineStr">
        <is>
          <t>Communauté de communes</t>
        </is>
      </c>
      <c r="C685" t="inlineStr">
        <is>
          <t>200034718</t>
        </is>
      </c>
      <c r="D685" t="inlineStr">
        <is>
          <t>51</t>
        </is>
      </c>
      <c r="E685" t="inlineStr">
        <is>
          <t>Marne</t>
        </is>
      </c>
      <c r="F685" t="inlineStr">
        <is>
          <t>Grand Est</t>
        </is>
      </c>
      <c r="G685" s="3" t="n">
        <v>23412</v>
      </c>
      <c r="H685" t="n">
        <v>35</v>
      </c>
      <c r="I685" t="inlineStr">
        <is>
          <t>Place de l'Hôtel-de-Ville</t>
        </is>
      </c>
      <c r="J685" t="inlineStr">
        <is>
          <t>51300</t>
        </is>
      </c>
      <c r="K685" t="inlineStr">
        <is>
          <t>Vitry-le-François</t>
        </is>
      </c>
      <c r="L685" t="inlineStr">
        <is>
          <t>03 26 41 22 77</t>
        </is>
      </c>
      <c r="M685" s="4" t="inlineStr">
        <is>
          <t>contact@vitry-le-francois.net</t>
        </is>
      </c>
      <c r="N685" s="4" t="inlineStr">
        <is>
          <t>https://www.vitry-le-francois.net/</t>
        </is>
      </c>
      <c r="O685" s="4" t="inlineStr">
        <is>
          <t>https://www.vitry-le-francois.net/contact/</t>
        </is>
      </c>
      <c r="P685" s="4" t="inlineStr">
        <is>
          <t>https://lannuaire.service-public.gouv.fr/grand-est/marne/24034a5b-9770-42c9-99ad-d39087154a05</t>
        </is>
      </c>
      <c r="Q685" t="inlineStr">
        <is>
          <t>Annuaire Service-public.fr</t>
        </is>
      </c>
      <c r="R685" t="inlineStr"/>
      <c r="S685" t="inlineStr"/>
      <c r="T685" t="inlineStr"/>
    </row>
    <row r="686">
      <c r="A686" t="inlineStr">
        <is>
          <t>CC de l'Argonne Champenoise</t>
        </is>
      </c>
      <c r="B686" t="inlineStr">
        <is>
          <t>Communauté de communes</t>
        </is>
      </c>
      <c r="C686" t="inlineStr">
        <is>
          <t>200042703</t>
        </is>
      </c>
      <c r="D686" t="inlineStr">
        <is>
          <t>51</t>
        </is>
      </c>
      <c r="E686" t="inlineStr">
        <is>
          <t>Marne</t>
        </is>
      </c>
      <c r="F686" t="inlineStr">
        <is>
          <t>Grand Est</t>
        </is>
      </c>
      <c r="G686" s="3" t="n">
        <v>11667</v>
      </c>
      <c r="H686" t="n">
        <v>60</v>
      </c>
      <c r="I686" t="inlineStr">
        <is>
          <t>50 avenue de Pertison</t>
        </is>
      </c>
      <c r="J686" t="inlineStr">
        <is>
          <t>51800</t>
        </is>
      </c>
      <c r="K686" t="inlineStr">
        <is>
          <t>Sainte-Menehould</t>
        </is>
      </c>
      <c r="L686" t="inlineStr">
        <is>
          <t>03 26 60 17 38</t>
        </is>
      </c>
      <c r="M686" s="4" t="inlineStr">
        <is>
          <t>contact@cc-argonnechampenoise.fr</t>
        </is>
      </c>
      <c r="N686" s="4" t="inlineStr">
        <is>
          <t>https://www.argonnechampenoise.fr/</t>
        </is>
      </c>
      <c r="O686" s="4" t="inlineStr">
        <is>
          <t>https://www.argonnechampenoise.fr/s-informer/nous-contacter/</t>
        </is>
      </c>
      <c r="P686" s="4" t="inlineStr">
        <is>
          <t>https://lannuaire.service-public.gouv.fr/grand-est/marne/4a02b8bf-46f9-43c0-8770-ca46e27072ed</t>
        </is>
      </c>
      <c r="Q686" t="inlineStr">
        <is>
          <t>Annuaire Service-public.fr</t>
        </is>
      </c>
      <c r="R686" t="inlineStr"/>
      <c r="S686" t="inlineStr"/>
      <c r="T686" t="inlineStr"/>
    </row>
    <row r="687">
      <c r="A687" t="inlineStr">
        <is>
          <t>CC de la Brie Champenoise</t>
        </is>
      </c>
      <c r="B687" t="inlineStr">
        <is>
          <t>Communauté de communes</t>
        </is>
      </c>
      <c r="C687" t="inlineStr">
        <is>
          <t>245100888</t>
        </is>
      </c>
      <c r="D687" t="inlineStr">
        <is>
          <t>51</t>
        </is>
      </c>
      <c r="E687" t="inlineStr">
        <is>
          <t>Marne</t>
        </is>
      </c>
      <c r="F687" t="inlineStr">
        <is>
          <t>Grand Est</t>
        </is>
      </c>
      <c r="G687" s="3" t="n">
        <v>7533</v>
      </c>
      <c r="H687" t="n">
        <v>20</v>
      </c>
      <c r="I687" t="inlineStr">
        <is>
          <t>4 rue des Fosses, BP 6</t>
        </is>
      </c>
      <c r="J687" t="inlineStr">
        <is>
          <t>51210</t>
        </is>
      </c>
      <c r="K687" t="inlineStr">
        <is>
          <t>Montmirail</t>
        </is>
      </c>
      <c r="L687" t="inlineStr">
        <is>
          <t>03 26 81 36 61</t>
        </is>
      </c>
      <c r="M687" s="4" t="inlineStr">
        <is>
          <t>accueil@cc-briechampenoise.fr</t>
        </is>
      </c>
      <c r="N687" s="4" t="inlineStr">
        <is>
          <t>https://www.cc-briechampenoise.fr/</t>
        </is>
      </c>
      <c r="O687" t="inlineStr"/>
      <c r="P687" s="4" t="inlineStr">
        <is>
          <t>https://lannuaire.service-public.gouv.fr/grand-est/marne/4a342bfa-50e1-4bb1-a4d8-8018026018e8</t>
        </is>
      </c>
      <c r="Q687" t="inlineStr">
        <is>
          <t>Annuaire Service-public.fr</t>
        </is>
      </c>
      <c r="R687" t="inlineStr"/>
      <c r="S687" t="inlineStr"/>
      <c r="T687" t="inlineStr"/>
    </row>
    <row r="688">
      <c r="A688" t="inlineStr">
        <is>
          <t>CC de la Grande Vallée de la Marne</t>
        </is>
      </c>
      <c r="B688" t="inlineStr">
        <is>
          <t>Communauté de communes</t>
        </is>
      </c>
      <c r="C688" t="inlineStr">
        <is>
          <t>245100615</t>
        </is>
      </c>
      <c r="D688" t="inlineStr">
        <is>
          <t>51</t>
        </is>
      </c>
      <c r="E688" t="inlineStr">
        <is>
          <t>Marne</t>
        </is>
      </c>
      <c r="F688" t="inlineStr">
        <is>
          <t>Grand Est</t>
        </is>
      </c>
      <c r="G688" s="3" t="n">
        <v>14171</v>
      </c>
      <c r="H688" t="n">
        <v>14</v>
      </c>
      <c r="I688" t="inlineStr">
        <is>
          <t>Place Henri-Martin</t>
        </is>
      </c>
      <c r="J688" t="inlineStr">
        <is>
          <t>51160</t>
        </is>
      </c>
      <c r="K688" t="inlineStr">
        <is>
          <t>Aÿ-Champagne</t>
        </is>
      </c>
      <c r="L688" t="inlineStr">
        <is>
          <t>03 26 56 95 20</t>
        </is>
      </c>
      <c r="M688" s="4" t="inlineStr">
        <is>
          <t>info@ccgvm.com</t>
        </is>
      </c>
      <c r="N688" s="4" t="inlineStr">
        <is>
          <t>https://ccgvm.com/</t>
        </is>
      </c>
      <c r="O688" s="4" t="inlineStr">
        <is>
          <t>https://ccgvm.com/contact/</t>
        </is>
      </c>
      <c r="P688" s="4" t="inlineStr">
        <is>
          <t>https://lannuaire.service-public.gouv.fr/grand-est/marne/b7f6d441-57a1-41fc-8903-f488837de256</t>
        </is>
      </c>
      <c r="Q688" t="inlineStr">
        <is>
          <t>Annuaire Service-public.fr</t>
        </is>
      </c>
      <c r="R688" t="inlineStr"/>
      <c r="S688" t="inlineStr"/>
      <c r="T688" t="inlineStr"/>
    </row>
    <row r="689">
      <c r="A689" t="inlineStr">
        <is>
          <t>CC de la Moivre à la Coole</t>
        </is>
      </c>
      <c r="B689" t="inlineStr">
        <is>
          <t>Communauté de communes</t>
        </is>
      </c>
      <c r="C689" t="inlineStr">
        <is>
          <t>200043438</t>
        </is>
      </c>
      <c r="D689" t="inlineStr">
        <is>
          <t>51</t>
        </is>
      </c>
      <c r="E689" t="inlineStr">
        <is>
          <t>Marne</t>
        </is>
      </c>
      <c r="F689" t="inlineStr">
        <is>
          <t>Grand Est</t>
        </is>
      </c>
      <c r="G689" s="3" t="n">
        <v>9374</v>
      </c>
      <c r="H689" t="n">
        <v>28</v>
      </c>
      <c r="I689" t="inlineStr">
        <is>
          <t>4 Grande rue</t>
        </is>
      </c>
      <c r="J689" t="inlineStr">
        <is>
          <t>51240</t>
        </is>
      </c>
      <c r="K689" t="inlineStr">
        <is>
          <t>Saint-Germain-la-Ville</t>
        </is>
      </c>
      <c r="L689" t="inlineStr">
        <is>
          <t>03 26 63 67 28</t>
        </is>
      </c>
      <c r="M689" s="4" t="inlineStr">
        <is>
          <t>contact@ccmoivrecoole.fr</t>
        </is>
      </c>
      <c r="N689" s="4" t="inlineStr">
        <is>
          <t>https://www.ccmoivrecoole.fr/</t>
        </is>
      </c>
      <c r="O689" t="inlineStr"/>
      <c r="P689" s="4" t="inlineStr">
        <is>
          <t>https://lannuaire.service-public.gouv.fr/grand-est/marne/434f57f7-1d4a-4930-a773-e844473a94db</t>
        </is>
      </c>
      <c r="Q689" t="inlineStr">
        <is>
          <t>Annuaire Service-public.fr</t>
        </is>
      </c>
      <c r="R689" t="inlineStr"/>
      <c r="S689" t="inlineStr"/>
      <c r="T689" t="inlineStr"/>
    </row>
    <row r="690">
      <c r="A690" t="inlineStr">
        <is>
          <t>CC de la Région de Suippes</t>
        </is>
      </c>
      <c r="B690" t="inlineStr">
        <is>
          <t>Communauté de communes</t>
        </is>
      </c>
      <c r="C690" t="inlineStr">
        <is>
          <t>200042620</t>
        </is>
      </c>
      <c r="D690" t="inlineStr">
        <is>
          <t>51</t>
        </is>
      </c>
      <c r="E690" t="inlineStr">
        <is>
          <t>Marne</t>
        </is>
      </c>
      <c r="F690" t="inlineStr">
        <is>
          <t>Grand Est</t>
        </is>
      </c>
      <c r="G690" s="3" t="n">
        <v>7765</v>
      </c>
      <c r="H690" t="n">
        <v>16</v>
      </c>
      <c r="I690" t="inlineStr">
        <is>
          <t>15 place de l'Hôtel-de-Ville</t>
        </is>
      </c>
      <c r="J690" t="inlineStr">
        <is>
          <t>51600</t>
        </is>
      </c>
      <c r="K690" t="inlineStr">
        <is>
          <t>Suippes</t>
        </is>
      </c>
      <c r="L690" t="inlineStr">
        <is>
          <t>03 26 70 08 60</t>
        </is>
      </c>
      <c r="M690" s="4" t="inlineStr">
        <is>
          <t>contact@cc-regiondesuippes.com</t>
        </is>
      </c>
      <c r="N690" s="4" t="inlineStr">
        <is>
          <t>https://cc-regiondesuippes.com</t>
        </is>
      </c>
      <c r="O690" s="4" t="inlineStr">
        <is>
          <t>https://cc-regiondesuippes.com/</t>
        </is>
      </c>
      <c r="P690" s="4" t="inlineStr">
        <is>
          <t>https://lannuaire.service-public.gouv.fr/grand-est/marne/7c23b4d6-89ef-497b-a9bc-5e7183362863</t>
        </is>
      </c>
      <c r="Q690" t="inlineStr">
        <is>
          <t>Annuaire Service-public.fr</t>
        </is>
      </c>
      <c r="R690" t="inlineStr"/>
      <c r="S690" t="inlineStr"/>
      <c r="T690" t="inlineStr"/>
    </row>
    <row r="691">
      <c r="A691" t="inlineStr">
        <is>
          <t>CC des Paysages de la Champagne</t>
        </is>
      </c>
      <c r="B691" t="inlineStr">
        <is>
          <t>Communauté de communes</t>
        </is>
      </c>
      <c r="C691" t="inlineStr">
        <is>
          <t>200066850</t>
        </is>
      </c>
      <c r="D691" t="inlineStr">
        <is>
          <t>51</t>
        </is>
      </c>
      <c r="E691" t="inlineStr">
        <is>
          <t>Marne</t>
        </is>
      </c>
      <c r="F691" t="inlineStr">
        <is>
          <t>Grand Est</t>
        </is>
      </c>
      <c r="G691" s="3" t="n">
        <v>20721</v>
      </c>
      <c r="H691" t="n">
        <v>51</v>
      </c>
      <c r="I691" t="inlineStr">
        <is>
          <t>4 boulevard des Varennes</t>
        </is>
      </c>
      <c r="J691" t="inlineStr">
        <is>
          <t>51700</t>
        </is>
      </c>
      <c r="K691" t="inlineStr">
        <is>
          <t>Dormans</t>
        </is>
      </c>
      <c r="L691" t="inlineStr">
        <is>
          <t>03 26 52 19 23</t>
        </is>
      </c>
      <c r="M691" s="4" t="inlineStr">
        <is>
          <t>accueil@ccpc51.fr</t>
        </is>
      </c>
      <c r="N691" s="4" t="inlineStr">
        <is>
          <t>https://ccpc51.fr/</t>
        </is>
      </c>
      <c r="O691" s="4" t="inlineStr">
        <is>
          <t>https://ccpc51.fr/contact/</t>
        </is>
      </c>
      <c r="P691" s="4" t="inlineStr">
        <is>
          <t>https://lannuaire.service-public.gouv.fr/grand-est/marne/f4ab6b37-e799-4345-956a-e2f058a04193</t>
        </is>
      </c>
      <c r="Q691" t="inlineStr">
        <is>
          <t>Annuaire Service-public.fr</t>
        </is>
      </c>
      <c r="R691" t="inlineStr"/>
      <c r="S691" t="inlineStr"/>
      <c r="T691" t="inlineStr"/>
    </row>
    <row r="692">
      <c r="A692" t="inlineStr">
        <is>
          <t>CC du Sud Marnais</t>
        </is>
      </c>
      <c r="B692" t="inlineStr">
        <is>
          <t>Communauté de communes</t>
        </is>
      </c>
      <c r="C692" t="inlineStr">
        <is>
          <t>245100979</t>
        </is>
      </c>
      <c r="D692" t="inlineStr">
        <is>
          <t>51</t>
        </is>
      </c>
      <c r="E692" t="inlineStr">
        <is>
          <t>Marne</t>
        </is>
      </c>
      <c r="F692" t="inlineStr">
        <is>
          <t>Grand Est</t>
        </is>
      </c>
      <c r="G692" s="3" t="n">
        <v>5834</v>
      </c>
      <c r="H692" t="n">
        <v>14</v>
      </c>
      <c r="I692" t="inlineStr">
        <is>
          <t>150 rue des Verriers</t>
        </is>
      </c>
      <c r="J692" t="inlineStr">
        <is>
          <t>51230</t>
        </is>
      </c>
      <c r="K692" t="inlineStr">
        <is>
          <t>Fère-Champenoise</t>
        </is>
      </c>
      <c r="L692" t="inlineStr">
        <is>
          <t>03 26 42 52 36</t>
        </is>
      </c>
      <c r="M692" s="4" t="inlineStr">
        <is>
          <t>cc-sud-marnais@wanadoo.fr</t>
        </is>
      </c>
      <c r="N692" s="4" t="inlineStr">
        <is>
          <t>https://www.cc-sudmarnais.fr/</t>
        </is>
      </c>
      <c r="O692" s="4" t="inlineStr">
        <is>
          <t>https://www.cc-sudmarnais.fr/contact.php</t>
        </is>
      </c>
      <c r="P692" s="4" t="inlineStr">
        <is>
          <t>https://lannuaire.service-public.gouv.fr/grand-est/marne/a787ef7f-9d4a-45a6-a31a-39d51cf8018c</t>
        </is>
      </c>
      <c r="Q692" t="inlineStr">
        <is>
          <t>Annuaire Service-public.fr</t>
        </is>
      </c>
      <c r="R692" t="inlineStr"/>
      <c r="S692" t="inlineStr"/>
      <c r="T692" t="inlineStr"/>
    </row>
    <row r="693">
      <c r="A693" t="inlineStr">
        <is>
          <t>CU du Grand Reims</t>
        </is>
      </c>
      <c r="B693" t="inlineStr">
        <is>
          <t>Communauté urbaine</t>
        </is>
      </c>
      <c r="C693" t="inlineStr">
        <is>
          <t>200067213</t>
        </is>
      </c>
      <c r="D693" t="inlineStr">
        <is>
          <t>51</t>
        </is>
      </c>
      <c r="E693" t="inlineStr">
        <is>
          <t>Marne</t>
        </is>
      </c>
      <c r="F693" t="inlineStr">
        <is>
          <t>Grand Est</t>
        </is>
      </c>
      <c r="G693" s="3" t="n">
        <v>297492</v>
      </c>
      <c r="H693" t="n">
        <v>143</v>
      </c>
      <c r="I693" t="inlineStr">
        <is>
          <t>3 rue Eugène-Desteuque</t>
        </is>
      </c>
      <c r="J693" t="inlineStr">
        <is>
          <t>51100</t>
        </is>
      </c>
      <c r="K693" t="inlineStr">
        <is>
          <t>Reims</t>
        </is>
      </c>
      <c r="L693" t="inlineStr">
        <is>
          <t>03 26 77 78 79</t>
        </is>
      </c>
      <c r="M693" s="4" t="inlineStr">
        <is>
          <t>accueil@reims-contact.fr</t>
        </is>
      </c>
      <c r="N693" s="4" t="inlineStr">
        <is>
          <t>https://www.grandreims.fr/</t>
        </is>
      </c>
      <c r="O693" s="4" t="inlineStr">
        <is>
          <t>https://mesdemarchesenligne.reims.fr/SEWSaaS.Guichet/workflow_url?ECITIZ_ACTIVITY_PATH=Citoyen&amp;IDORG=GREIMS&amp;TS=SVE&amp;TASK=CREATION&amp;ANONYME=1&amp;THEMATIQUE=PQ_PQ_PQAS&amp;CONTEXTE=GRANDR&amp;CTX_ST=GRANDR</t>
        </is>
      </c>
      <c r="P693" s="4" t="inlineStr">
        <is>
          <t>https://lannuaire.service-public.gouv.fr/grand-est/marne/ea16f802-b050-46de-93de-e90dc7171e45</t>
        </is>
      </c>
      <c r="Q693" t="inlineStr">
        <is>
          <t>Annuaire Service-public.fr</t>
        </is>
      </c>
      <c r="R693" t="inlineStr"/>
      <c r="S693" t="inlineStr"/>
      <c r="T693" t="inlineStr"/>
    </row>
    <row r="694">
      <c r="A694" t="inlineStr">
        <is>
          <t>CA du Grand Saint-Dizier Der et Vallées</t>
        </is>
      </c>
      <c r="B694" t="inlineStr">
        <is>
          <t>Communauté d’agglomération</t>
        </is>
      </c>
      <c r="C694" t="inlineStr">
        <is>
          <t>200068666</t>
        </is>
      </c>
      <c r="D694" t="inlineStr">
        <is>
          <t>51, 52</t>
        </is>
      </c>
      <c r="E694" t="inlineStr">
        <is>
          <t>Marne, Haute-Marne</t>
        </is>
      </c>
      <c r="F694" t="inlineStr">
        <is>
          <t>Grand Est</t>
        </is>
      </c>
      <c r="G694" s="3" t="n">
        <v>55597</v>
      </c>
      <c r="H694" t="n">
        <v>60</v>
      </c>
      <c r="I694" t="inlineStr">
        <is>
          <t>Place Aristide-Briand</t>
        </is>
      </c>
      <c r="J694" t="inlineStr">
        <is>
          <t>52115</t>
        </is>
      </c>
      <c r="K694" t="inlineStr">
        <is>
          <t>Saint-Dizier Cedex</t>
        </is>
      </c>
      <c r="L694" t="inlineStr">
        <is>
          <t>03 25 07 31 31</t>
        </is>
      </c>
      <c r="M694" s="4" t="inlineStr">
        <is>
          <t>codecom@mairie-saintdizier.fr</t>
        </is>
      </c>
      <c r="N694" s="4" t="inlineStr">
        <is>
          <t>https://www.saint-dizier.fr/</t>
        </is>
      </c>
      <c r="O694" s="4" t="inlineStr">
        <is>
          <t>https://www.saint-dizier.fr/contact.html</t>
        </is>
      </c>
      <c r="P694" s="4" t="inlineStr">
        <is>
          <t>https://lannuaire.service-public.gouv.fr/grand-est/haute-marne/830fd7bb-06b1-4605-8024-73fa9d9caaa6</t>
        </is>
      </c>
      <c r="Q694" t="inlineStr">
        <is>
          <t>Annuaire Service-public.fr</t>
        </is>
      </c>
      <c r="R694" t="inlineStr"/>
      <c r="S694" t="inlineStr"/>
      <c r="T694" t="inlineStr"/>
    </row>
    <row r="695">
      <c r="A695" t="inlineStr">
        <is>
          <t>CA de Chaumont</t>
        </is>
      </c>
      <c r="B695" t="inlineStr">
        <is>
          <t>Communauté d’agglomération</t>
        </is>
      </c>
      <c r="C695" t="inlineStr">
        <is>
          <t>200068658</t>
        </is>
      </c>
      <c r="D695" t="inlineStr">
        <is>
          <t>52</t>
        </is>
      </c>
      <c r="E695" t="inlineStr">
        <is>
          <t>Haute-Marne</t>
        </is>
      </c>
      <c r="F695" t="inlineStr">
        <is>
          <t>Grand Est</t>
        </is>
      </c>
      <c r="G695" s="3" t="n">
        <v>43665</v>
      </c>
      <c r="H695" t="n">
        <v>63</v>
      </c>
      <c r="I695" t="inlineStr">
        <is>
          <t>5 avenue Émile-Cassez</t>
        </is>
      </c>
      <c r="J695" t="inlineStr">
        <is>
          <t>52012</t>
        </is>
      </c>
      <c r="K695" t="inlineStr">
        <is>
          <t>Chaumont</t>
        </is>
      </c>
      <c r="L695" t="inlineStr">
        <is>
          <t>03 25 30 60 00</t>
        </is>
      </c>
      <c r="M695" s="4" t="inlineStr">
        <is>
          <t>standard@ville-chaumont.fr</t>
        </is>
      </c>
      <c r="N695" s="4" t="inlineStr">
        <is>
          <t>https://www.agglo-chaumont.fr/</t>
        </is>
      </c>
      <c r="O695" s="4" t="inlineStr">
        <is>
          <t>https://www.agglo-chaumont.fr/nous-contacter/</t>
        </is>
      </c>
      <c r="P695" s="4" t="inlineStr">
        <is>
          <t>https://lannuaire.service-public.gouv.fr/grand-est/haute-marne/4467924f-28f5-4cc1-8b4d-8ed77cd26d68</t>
        </is>
      </c>
      <c r="Q695" t="inlineStr">
        <is>
          <t>Annuaire Service-public.fr</t>
        </is>
      </c>
      <c r="R695" t="inlineStr"/>
      <c r="S695" t="inlineStr"/>
      <c r="T695" t="inlineStr"/>
    </row>
    <row r="696">
      <c r="A696" t="inlineStr">
        <is>
          <t>CC Meuse Rognon</t>
        </is>
      </c>
      <c r="B696" t="inlineStr">
        <is>
          <t>Communauté de communes</t>
        </is>
      </c>
      <c r="C696" t="inlineStr">
        <is>
          <t>200069664</t>
        </is>
      </c>
      <c r="D696" t="inlineStr">
        <is>
          <t>52</t>
        </is>
      </c>
      <c r="E696" t="inlineStr">
        <is>
          <t>Haute-Marne</t>
        </is>
      </c>
      <c r="F696" t="inlineStr">
        <is>
          <t>Grand Est</t>
        </is>
      </c>
      <c r="G696" s="3" t="n">
        <v>10352</v>
      </c>
      <c r="H696" t="n">
        <v>59</v>
      </c>
      <c r="I696" t="inlineStr">
        <is>
          <t>1 allée de la Grande-Fontaine</t>
        </is>
      </c>
      <c r="J696" t="inlineStr">
        <is>
          <t>52150</t>
        </is>
      </c>
      <c r="K696" t="inlineStr">
        <is>
          <t>Illoud</t>
        </is>
      </c>
      <c r="L696" t="inlineStr">
        <is>
          <t>03 25 02 74 86</t>
        </is>
      </c>
      <c r="M696" s="4" t="inlineStr">
        <is>
          <t>secretariat@meuserognon.fr</t>
        </is>
      </c>
      <c r="N696" s="4" t="inlineStr">
        <is>
          <t>https://www.meuserognon.fr</t>
        </is>
      </c>
      <c r="O696" t="inlineStr"/>
      <c r="P696" s="4" t="inlineStr">
        <is>
          <t>https://lannuaire.service-public.gouv.fr/grand-est/haute-marne/1a927647-f63f-4c14-b782-f417fac942f2</t>
        </is>
      </c>
      <c r="Q696" t="inlineStr">
        <is>
          <t>Annuaire Service-public.fr</t>
        </is>
      </c>
      <c r="R696" t="inlineStr"/>
      <c r="S696" t="inlineStr"/>
      <c r="T696" t="inlineStr"/>
    </row>
    <row r="697">
      <c r="A697" t="inlineStr">
        <is>
          <t>CC d'Auberive Vingeanne et Montsaugeonnais</t>
        </is>
      </c>
      <c r="B697" t="inlineStr">
        <is>
          <t>Communauté de communes</t>
        </is>
      </c>
      <c r="C697" t="inlineStr">
        <is>
          <t>200027308</t>
        </is>
      </c>
      <c r="D697" t="inlineStr">
        <is>
          <t>52</t>
        </is>
      </c>
      <c r="E697" t="inlineStr">
        <is>
          <t>Haute-Marne</t>
        </is>
      </c>
      <c r="F697" t="inlineStr">
        <is>
          <t>Grand Est</t>
        </is>
      </c>
      <c r="G697" s="3" t="n">
        <v>8097</v>
      </c>
      <c r="H697" t="n">
        <v>51</v>
      </c>
      <c r="I697" t="inlineStr">
        <is>
          <t>17 chemin des Brosses-Prauthoy</t>
        </is>
      </c>
      <c r="J697" t="inlineStr">
        <is>
          <t>52290</t>
        </is>
      </c>
      <c r="K697" t="inlineStr">
        <is>
          <t>Le Montsaugeonnais</t>
        </is>
      </c>
      <c r="L697" t="inlineStr">
        <is>
          <t>03 25 87 31 04</t>
        </is>
      </c>
      <c r="M697" s="4" t="inlineStr">
        <is>
          <t>accueil@ccavm.fr</t>
        </is>
      </c>
      <c r="N697" s="4" t="inlineStr">
        <is>
          <t>https://www.ccavm.fr/</t>
        </is>
      </c>
      <c r="O697" s="4" t="inlineStr">
        <is>
          <t>https://www.ccavm.fr/crbst_3.html</t>
        </is>
      </c>
      <c r="P697" s="4" t="inlineStr">
        <is>
          <t>https://lannuaire.service-public.gouv.fr/grand-est/haute-marne/9412b1d7-ebd0-46d2-98a3-4d8e0de7b5f1</t>
        </is>
      </c>
      <c r="Q697" t="inlineStr">
        <is>
          <t>Annuaire Service-public.fr</t>
        </is>
      </c>
      <c r="R697" t="inlineStr"/>
      <c r="S697" t="inlineStr"/>
      <c r="T697" t="inlineStr"/>
    </row>
    <row r="698">
      <c r="A698" t="inlineStr">
        <is>
          <t>CC des Trois Forêts</t>
        </is>
      </c>
      <c r="B698" t="inlineStr">
        <is>
          <t>Communauté de communes</t>
        </is>
      </c>
      <c r="C698" t="inlineStr">
        <is>
          <t>245200597</t>
        </is>
      </c>
      <c r="D698" t="inlineStr">
        <is>
          <t>52</t>
        </is>
      </c>
      <c r="E698" t="inlineStr">
        <is>
          <t>Haute-Marne</t>
        </is>
      </c>
      <c r="F698" t="inlineStr">
        <is>
          <t>Grand Est</t>
        </is>
      </c>
      <c r="G698" s="3" t="n">
        <v>7295</v>
      </c>
      <c r="H698" t="n">
        <v>29</v>
      </c>
      <c r="I698" t="inlineStr">
        <is>
          <t>4 route de Châtillon, Site le Chameau</t>
        </is>
      </c>
      <c r="J698" t="inlineStr">
        <is>
          <t>52120</t>
        </is>
      </c>
      <c r="K698" t="inlineStr">
        <is>
          <t>Châteauvillain</t>
        </is>
      </c>
      <c r="L698" t="inlineStr">
        <is>
          <t>03 25 01 38 53</t>
        </is>
      </c>
      <c r="M698" s="4" t="inlineStr">
        <is>
          <t>contact@cc3f52.fr</t>
        </is>
      </c>
      <c r="N698" s="4" t="inlineStr">
        <is>
          <t>http://communautedecommunesdes3forets.com</t>
        </is>
      </c>
      <c r="O698" s="4" t="inlineStr">
        <is>
          <t>http://communautedecommunesdes3forets.com/contact</t>
        </is>
      </c>
      <c r="P698" s="4" t="inlineStr">
        <is>
          <t>https://lannuaire.service-public.gouv.fr/grand-est/haute-marne/53d02c7a-f183-4edf-8971-b2044bd8a44e</t>
        </is>
      </c>
      <c r="Q698" t="inlineStr">
        <is>
          <t>Annuaire Service-public.fr</t>
        </is>
      </c>
      <c r="R698" t="inlineStr"/>
      <c r="S698" t="inlineStr"/>
      <c r="T698" t="inlineStr"/>
    </row>
    <row r="699">
      <c r="A699" t="inlineStr">
        <is>
          <t>CC du Bassin de Joinville en Champagne</t>
        </is>
      </c>
      <c r="B699" t="inlineStr">
        <is>
          <t>Communauté de communes</t>
        </is>
      </c>
      <c r="C699" t="inlineStr">
        <is>
          <t>200044253</t>
        </is>
      </c>
      <c r="D699" t="inlineStr">
        <is>
          <t>52</t>
        </is>
      </c>
      <c r="E699" t="inlineStr">
        <is>
          <t>Haute-Marne</t>
        </is>
      </c>
      <c r="F699" t="inlineStr">
        <is>
          <t>Grand Est</t>
        </is>
      </c>
      <c r="G699" s="3" t="n">
        <v>12196</v>
      </c>
      <c r="H699" t="n">
        <v>59</v>
      </c>
      <c r="I699" t="inlineStr">
        <is>
          <t>3 rue des Capucins</t>
        </is>
      </c>
      <c r="J699" t="inlineStr">
        <is>
          <t>52300</t>
        </is>
      </c>
      <c r="K699" t="inlineStr">
        <is>
          <t>Joinville</t>
        </is>
      </c>
      <c r="L699" t="inlineStr">
        <is>
          <t>03 25 05 94 69</t>
        </is>
      </c>
      <c r="M699" s="4" t="inlineStr">
        <is>
          <t>secretariat@ccbjc.fr</t>
        </is>
      </c>
      <c r="N699" s="4" t="inlineStr">
        <is>
          <t>https://www.ccbjc.fr/</t>
        </is>
      </c>
      <c r="O699" s="4" t="inlineStr">
        <is>
          <t>https://www.ccbjc.fr/contact</t>
        </is>
      </c>
      <c r="P699" s="4" t="inlineStr">
        <is>
          <t>https://lannuaire.service-public.gouv.fr/grand-est/haute-marne/46a72abb-30ff-438f-8cb9-a446aec4e39d</t>
        </is>
      </c>
      <c r="Q699" t="inlineStr">
        <is>
          <t>Annuaire Service-public.fr</t>
        </is>
      </c>
      <c r="R699" t="inlineStr"/>
      <c r="S699" t="inlineStr"/>
      <c r="T699" t="inlineStr"/>
    </row>
    <row r="700">
      <c r="A700" t="inlineStr">
        <is>
          <t>CC du Grand Langres</t>
        </is>
      </c>
      <c r="B700" t="inlineStr">
        <is>
          <t>Communauté de communes</t>
        </is>
      </c>
      <c r="C700" t="inlineStr">
        <is>
          <t>200072999</t>
        </is>
      </c>
      <c r="D700" t="inlineStr">
        <is>
          <t>52</t>
        </is>
      </c>
      <c r="E700" t="inlineStr">
        <is>
          <t>Haute-Marne</t>
        </is>
      </c>
      <c r="F700" t="inlineStr">
        <is>
          <t>Grand Est</t>
        </is>
      </c>
      <c r="G700" s="3" t="n">
        <v>20701</v>
      </c>
      <c r="H700" t="n">
        <v>54</v>
      </c>
      <c r="I700" t="inlineStr">
        <is>
          <t>Place de l'Hôtel-de-Ville, CS 70127</t>
        </is>
      </c>
      <c r="J700" t="inlineStr">
        <is>
          <t>52206</t>
        </is>
      </c>
      <c r="K700" t="inlineStr">
        <is>
          <t>Langres Cedex</t>
        </is>
      </c>
      <c r="L700" t="inlineStr">
        <is>
          <t>03 25 87 77 77</t>
        </is>
      </c>
      <c r="M700" s="4" t="inlineStr">
        <is>
          <t>secretariat@grand-langres.fr</t>
        </is>
      </c>
      <c r="N700" s="4" t="inlineStr">
        <is>
          <t>https://grand-langres.fr/</t>
        </is>
      </c>
      <c r="O700" t="inlineStr"/>
      <c r="P700" s="4" t="inlineStr">
        <is>
          <t>https://lannuaire.service-public.gouv.fr/grand-est/haute-marne/25daa891-0300-4f87-b54c-5d4556779209</t>
        </is>
      </c>
      <c r="Q700" t="inlineStr">
        <is>
          <t>Annuaire Service-public.fr</t>
        </is>
      </c>
      <c r="R700" t="inlineStr"/>
      <c r="S700" t="inlineStr"/>
      <c r="T700" t="inlineStr"/>
    </row>
    <row r="701">
      <c r="A701" t="inlineStr">
        <is>
          <t>CC des Savoir-Faire</t>
        </is>
      </c>
      <c r="B701" t="inlineStr">
        <is>
          <t>Communauté de communes</t>
        </is>
      </c>
      <c r="C701" t="inlineStr">
        <is>
          <t>200070332</t>
        </is>
      </c>
      <c r="D701" t="inlineStr">
        <is>
          <t>52, 70</t>
        </is>
      </c>
      <c r="E701" t="inlineStr">
        <is>
          <t>Haute-Marne, Haute-Saône</t>
        </is>
      </c>
      <c r="F701" t="inlineStr">
        <is>
          <t>Bourgogne-Franche-Comté, Grand Est</t>
        </is>
      </c>
      <c r="G701" s="3" t="n">
        <v>15054</v>
      </c>
      <c r="H701" t="n">
        <v>63</v>
      </c>
      <c r="I701" t="inlineStr">
        <is>
          <t>34 Grande-Rue</t>
        </is>
      </c>
      <c r="J701" t="inlineStr">
        <is>
          <t>52500</t>
        </is>
      </c>
      <c r="K701" t="inlineStr">
        <is>
          <t>Fayl-Billot</t>
        </is>
      </c>
      <c r="L701" t="inlineStr">
        <is>
          <t>03 25 84 45 54</t>
        </is>
      </c>
      <c r="M701" s="4" t="inlineStr">
        <is>
          <t>contact@ccsavoirfaire.fr</t>
        </is>
      </c>
      <c r="N701" s="4" t="inlineStr">
        <is>
          <t>https://www.ccdessavoirfaire.fr/</t>
        </is>
      </c>
      <c r="O701" s="4" t="inlineStr">
        <is>
          <t>https://www.ccdessavoirfaire.fr/informations-pratiques</t>
        </is>
      </c>
      <c r="P701" s="4" t="inlineStr">
        <is>
          <t>https://lannuaire.service-public.gouv.fr/grand-est/haute-marne/8d24e694-3e60-46a4-9b70-a8f673990bb5</t>
        </is>
      </c>
      <c r="Q701" t="inlineStr">
        <is>
          <t>Annuaire Service-public.fr</t>
        </is>
      </c>
      <c r="R701" t="inlineStr"/>
      <c r="S701" t="inlineStr"/>
      <c r="T701" t="inlineStr"/>
    </row>
    <row r="702">
      <c r="A702" t="inlineStr">
        <is>
          <t>CC de l'Ouest Vosgien</t>
        </is>
      </c>
      <c r="B702" t="inlineStr">
        <is>
          <t>Communauté de communes</t>
        </is>
      </c>
      <c r="C702" t="inlineStr">
        <is>
          <t>200068559</t>
        </is>
      </c>
      <c r="D702" t="inlineStr">
        <is>
          <t>52, 88</t>
        </is>
      </c>
      <c r="E702" t="inlineStr">
        <is>
          <t>Haute-Marne, Vosges</t>
        </is>
      </c>
      <c r="F702" t="inlineStr">
        <is>
          <t>Grand Est</t>
        </is>
      </c>
      <c r="G702" s="3" t="n">
        <v>22986</v>
      </c>
      <c r="H702" t="n">
        <v>69</v>
      </c>
      <c r="I702" t="inlineStr">
        <is>
          <t>2 bis avenue François-de-Neufchâteau</t>
        </is>
      </c>
      <c r="J702" t="inlineStr">
        <is>
          <t>88300</t>
        </is>
      </c>
      <c r="K702" t="inlineStr">
        <is>
          <t>Neufchâteau</t>
        </is>
      </c>
      <c r="L702" t="inlineStr">
        <is>
          <t>03 29 94 08 77</t>
        </is>
      </c>
      <c r="M702" s="4" t="inlineStr">
        <is>
          <t>contact@ccov.fr</t>
        </is>
      </c>
      <c r="N702" s="4" t="inlineStr">
        <is>
          <t>https://www.ccov.fr/</t>
        </is>
      </c>
      <c r="O702" t="inlineStr"/>
      <c r="P702" s="4" t="inlineStr">
        <is>
          <t>https://lannuaire.service-public.gouv.fr/grand-est/vosges/0c685021-6cd2-455b-b186-61b37b798673</t>
        </is>
      </c>
      <c r="Q702" t="inlineStr">
        <is>
          <t>Annuaire Service-public.fr</t>
        </is>
      </c>
      <c r="R702" t="inlineStr"/>
      <c r="S702" t="inlineStr"/>
      <c r="T702" t="inlineStr"/>
    </row>
    <row r="703">
      <c r="A703" t="inlineStr">
        <is>
          <t>CA Laval Agglomération</t>
        </is>
      </c>
      <c r="B703" t="inlineStr">
        <is>
          <t>Communauté d’agglomération</t>
        </is>
      </c>
      <c r="C703" t="inlineStr">
        <is>
          <t>200083392</t>
        </is>
      </c>
      <c r="D703" t="inlineStr">
        <is>
          <t>53</t>
        </is>
      </c>
      <c r="E703" t="inlineStr">
        <is>
          <t>Mayenne</t>
        </is>
      </c>
      <c r="F703" t="inlineStr">
        <is>
          <t>Pays de la Loire</t>
        </is>
      </c>
      <c r="G703" s="3" t="n">
        <v>114872</v>
      </c>
      <c r="H703" t="n">
        <v>34</v>
      </c>
      <c r="I703" t="inlineStr">
        <is>
          <t>1 place du Général-Ferrié</t>
        </is>
      </c>
      <c r="J703" t="inlineStr">
        <is>
          <t>53008</t>
        </is>
      </c>
      <c r="K703" t="inlineStr">
        <is>
          <t>Laval</t>
        </is>
      </c>
      <c r="L703" t="inlineStr">
        <is>
          <t>02 43 49 46 47</t>
        </is>
      </c>
      <c r="M703" s="4" t="inlineStr">
        <is>
          <t>laval-agglo@agglo-laval.fr</t>
        </is>
      </c>
      <c r="N703" s="4" t="inlineStr">
        <is>
          <t>https://www.agglo-laval.fr/accueil</t>
        </is>
      </c>
      <c r="O703" s="4" t="inlineStr">
        <is>
          <t>https://www.agglo-laval.fr/lagglo-mon-territoire/nous-contacter</t>
        </is>
      </c>
      <c r="P703" s="4" t="inlineStr">
        <is>
          <t>https://lannuaire.service-public.gouv.fr/pays-de-la-loire/mayenne/a4707521-2d68-4d32-b92e-ee8fea76418f</t>
        </is>
      </c>
      <c r="Q703" t="inlineStr">
        <is>
          <t>Annuaire Service-public.fr</t>
        </is>
      </c>
      <c r="R703" t="inlineStr"/>
      <c r="S703" t="inlineStr"/>
      <c r="T703" t="inlineStr"/>
    </row>
    <row r="704">
      <c r="A704" t="inlineStr">
        <is>
          <t>CC Mayenne Communauté</t>
        </is>
      </c>
      <c r="B704" t="inlineStr">
        <is>
          <t>Communauté de communes</t>
        </is>
      </c>
      <c r="C704" t="inlineStr">
        <is>
          <t>200055887</t>
        </is>
      </c>
      <c r="D704" t="inlineStr">
        <is>
          <t>53</t>
        </is>
      </c>
      <c r="E704" t="inlineStr">
        <is>
          <t>Mayenne</t>
        </is>
      </c>
      <c r="F704" t="inlineStr">
        <is>
          <t>Pays de la Loire</t>
        </is>
      </c>
      <c r="G704" s="3" t="n">
        <v>36612</v>
      </c>
      <c r="H704" t="n">
        <v>33</v>
      </c>
      <c r="I704" t="inlineStr">
        <is>
          <t>10 rue de Verdun, CS 60111</t>
        </is>
      </c>
      <c r="J704" t="inlineStr">
        <is>
          <t>53103</t>
        </is>
      </c>
      <c r="K704" t="inlineStr">
        <is>
          <t>Mayenne Cedex</t>
        </is>
      </c>
      <c r="L704" t="inlineStr">
        <is>
          <t>02 43 30 21 21</t>
        </is>
      </c>
      <c r="M704" s="4" t="inlineStr">
        <is>
          <t>contact@mayennecommunaute.fr</t>
        </is>
      </c>
      <c r="N704" s="4" t="inlineStr">
        <is>
          <t>https://www.mayenne-communaute.net/</t>
        </is>
      </c>
      <c r="O704" s="4" t="inlineStr">
        <is>
          <t>https://www.mayenne-communaute.net/nous-contacter/</t>
        </is>
      </c>
      <c r="P704" s="4" t="inlineStr">
        <is>
          <t>https://lannuaire.service-public.gouv.fr/pays-de-la-loire/mayenne/d098051a-8ed6-4269-b3dd-a7052203d3c4</t>
        </is>
      </c>
      <c r="Q704" t="inlineStr">
        <is>
          <t>Annuaire Service-public.fr</t>
        </is>
      </c>
      <c r="R704" t="inlineStr"/>
      <c r="S704" t="inlineStr"/>
      <c r="T704" t="inlineStr"/>
    </row>
    <row r="705">
      <c r="A705" t="inlineStr">
        <is>
          <t>CC de l'Ernée</t>
        </is>
      </c>
      <c r="B705" t="inlineStr">
        <is>
          <t>Communauté de communes</t>
        </is>
      </c>
      <c r="C705" t="inlineStr">
        <is>
          <t>245300355</t>
        </is>
      </c>
      <c r="D705" t="inlineStr">
        <is>
          <t>53</t>
        </is>
      </c>
      <c r="E705" t="inlineStr">
        <is>
          <t>Mayenne</t>
        </is>
      </c>
      <c r="F705" t="inlineStr">
        <is>
          <t>Pays de la Loire</t>
        </is>
      </c>
      <c r="G705" s="3" t="n">
        <v>20342</v>
      </c>
      <c r="H705" t="n">
        <v>15</v>
      </c>
      <c r="I705" t="inlineStr">
        <is>
          <t>Parc d'activités de la Querminais</t>
        </is>
      </c>
      <c r="J705" t="inlineStr">
        <is>
          <t>53500</t>
        </is>
      </c>
      <c r="K705" t="inlineStr">
        <is>
          <t>Ernée</t>
        </is>
      </c>
      <c r="L705" t="inlineStr">
        <is>
          <t>02 43 05 98 80</t>
        </is>
      </c>
      <c r="M705" s="4" t="inlineStr">
        <is>
          <t>accueil@lernee.fr</t>
        </is>
      </c>
      <c r="N705" s="4" t="inlineStr">
        <is>
          <t>https://www.lernee.fr/</t>
        </is>
      </c>
      <c r="O705" s="4" t="inlineStr">
        <is>
          <t>https://www.lernee.fr/contact/</t>
        </is>
      </c>
      <c r="P705" s="4" t="inlineStr">
        <is>
          <t>https://lannuaire.service-public.gouv.fr/pays-de-la-loire/mayenne/c94a3708-cecd-424e-9540-32f6e33b3f89</t>
        </is>
      </c>
      <c r="Q705" t="inlineStr">
        <is>
          <t>Annuaire Service-public.fr</t>
        </is>
      </c>
      <c r="R705" t="inlineStr"/>
      <c r="S705" t="inlineStr"/>
      <c r="T705" t="inlineStr"/>
    </row>
    <row r="706">
      <c r="A706" t="inlineStr">
        <is>
          <t>CC des Coëvrons</t>
        </is>
      </c>
      <c r="B706" t="inlineStr">
        <is>
          <t>Communauté de communes</t>
        </is>
      </c>
      <c r="C706" t="inlineStr">
        <is>
          <t>200033298</t>
        </is>
      </c>
      <c r="D706" t="inlineStr">
        <is>
          <t>53</t>
        </is>
      </c>
      <c r="E706" t="inlineStr">
        <is>
          <t>Mayenne</t>
        </is>
      </c>
      <c r="F706" t="inlineStr">
        <is>
          <t>Pays de la Loire</t>
        </is>
      </c>
      <c r="G706" s="3" t="n">
        <v>26746</v>
      </c>
      <c r="H706" t="n">
        <v>29</v>
      </c>
      <c r="I706" t="inlineStr">
        <is>
          <t>2 avenue Raoul-Vadepied</t>
        </is>
      </c>
      <c r="J706" t="inlineStr">
        <is>
          <t>53600</t>
        </is>
      </c>
      <c r="K706" t="inlineStr">
        <is>
          <t>Châtres-la-Forêt</t>
        </is>
      </c>
      <c r="L706" t="inlineStr">
        <is>
          <t>02 43 66 32 00</t>
        </is>
      </c>
      <c r="M706" s="4" t="inlineStr">
        <is>
          <t>contact@coevrons.fr</t>
        </is>
      </c>
      <c r="N706" s="4" t="inlineStr">
        <is>
          <t>https://www.coevrons.fr/</t>
        </is>
      </c>
      <c r="O706" s="4" t="inlineStr">
        <is>
          <t>https://www.coevrons.fr/formulaire/contact</t>
        </is>
      </c>
      <c r="P706" s="4" t="inlineStr">
        <is>
          <t>https://lannuaire.service-public.gouv.fr/pays-de-la-loire/mayenne/3c2b9bc6-0d8e-4157-9f8e-7fc7671fb708</t>
        </is>
      </c>
      <c r="Q706" t="inlineStr">
        <is>
          <t>Annuaire Service-public.fr</t>
        </is>
      </c>
      <c r="R706" t="inlineStr"/>
      <c r="S706" t="inlineStr"/>
      <c r="T706" t="inlineStr"/>
    </row>
    <row r="707">
      <c r="A707" t="inlineStr">
        <is>
          <t>CC du Bocage Mayennais</t>
        </is>
      </c>
      <c r="B707" t="inlineStr">
        <is>
          <t>Communauté de communes</t>
        </is>
      </c>
      <c r="C707" t="inlineStr">
        <is>
          <t>245300389</t>
        </is>
      </c>
      <c r="D707" t="inlineStr">
        <is>
          <t>53</t>
        </is>
      </c>
      <c r="E707" t="inlineStr">
        <is>
          <t>Mayenne</t>
        </is>
      </c>
      <c r="F707" t="inlineStr">
        <is>
          <t>Pays de la Loire</t>
        </is>
      </c>
      <c r="G707" s="3" t="n">
        <v>18256</v>
      </c>
      <c r="H707" t="n">
        <v>27</v>
      </c>
      <c r="I707" t="inlineStr">
        <is>
          <t>1 Grande rue, BP53</t>
        </is>
      </c>
      <c r="J707" t="inlineStr">
        <is>
          <t>53120</t>
        </is>
      </c>
      <c r="K707" t="inlineStr">
        <is>
          <t>Gorron</t>
        </is>
      </c>
      <c r="L707" t="inlineStr">
        <is>
          <t>02 43 08 47 47</t>
        </is>
      </c>
      <c r="M707" s="4" t="inlineStr">
        <is>
          <t>accueil@bocage-mayennais.fr</t>
        </is>
      </c>
      <c r="N707" s="4" t="inlineStr">
        <is>
          <t>https://www.bocage-mayennais.fr/</t>
        </is>
      </c>
      <c r="O707" s="4" t="inlineStr">
        <is>
          <t>https://www.bocage-mayennais.fr/bocage-mayennais-extras.php?part=contact</t>
        </is>
      </c>
      <c r="P707" s="4" t="inlineStr">
        <is>
          <t>https://lannuaire.service-public.gouv.fr/pays-de-la-loire/mayenne/73ad95d2-c6ec-44f5-9806-7b5b15cef3fd</t>
        </is>
      </c>
      <c r="Q707" t="inlineStr">
        <is>
          <t>Annuaire Service-public.fr</t>
        </is>
      </c>
      <c r="R707" t="inlineStr"/>
      <c r="S707" t="inlineStr"/>
      <c r="T707" t="inlineStr"/>
    </row>
    <row r="708">
      <c r="A708" t="inlineStr">
        <is>
          <t>CC du Mont des Avaloirs</t>
        </is>
      </c>
      <c r="B708" t="inlineStr">
        <is>
          <t>Communauté de communes</t>
        </is>
      </c>
      <c r="C708" t="inlineStr">
        <is>
          <t>200042182</t>
        </is>
      </c>
      <c r="D708" t="inlineStr">
        <is>
          <t>53</t>
        </is>
      </c>
      <c r="E708" t="inlineStr">
        <is>
          <t>Mayenne</t>
        </is>
      </c>
      <c r="F708" t="inlineStr">
        <is>
          <t>Pays de la Loire</t>
        </is>
      </c>
      <c r="G708" s="3" t="n">
        <v>15531</v>
      </c>
      <c r="H708" t="n">
        <v>26</v>
      </c>
      <c r="I708" t="inlineStr">
        <is>
          <t>1 rue de la Corniche-de-Pail</t>
        </is>
      </c>
      <c r="J708" t="inlineStr">
        <is>
          <t>53140</t>
        </is>
      </c>
      <c r="K708" t="inlineStr">
        <is>
          <t>Pré-en-Pail</t>
        </is>
      </c>
      <c r="L708" t="inlineStr">
        <is>
          <t>02 43 30 11 11</t>
        </is>
      </c>
      <c r="M708" s="4" t="inlineStr">
        <is>
          <t>accueil@cc-montdesavaloirs.fr</t>
        </is>
      </c>
      <c r="N708" s="4" t="inlineStr">
        <is>
          <t>https://www.cc-montdesavaloirs.fr/</t>
        </is>
      </c>
      <c r="O708" t="inlineStr"/>
      <c r="P708" s="4" t="inlineStr">
        <is>
          <t>https://lannuaire.service-public.gouv.fr/pays-de-la-loire/mayenne/8a1028d8-0563-41f7-b1f4-73673393a747</t>
        </is>
      </c>
      <c r="Q708" t="inlineStr">
        <is>
          <t>Annuaire Service-public.fr</t>
        </is>
      </c>
      <c r="R708" t="inlineStr"/>
      <c r="S708" t="inlineStr"/>
      <c r="T708" t="inlineStr"/>
    </row>
    <row r="709">
      <c r="A709" t="inlineStr">
        <is>
          <t>CC du Pays de Château-Gontier</t>
        </is>
      </c>
      <c r="B709" t="inlineStr">
        <is>
          <t>Communauté de communes</t>
        </is>
      </c>
      <c r="C709" t="inlineStr">
        <is>
          <t>245300447</t>
        </is>
      </c>
      <c r="D709" t="inlineStr">
        <is>
          <t>53</t>
        </is>
      </c>
      <c r="E709" t="inlineStr">
        <is>
          <t>Mayenne</t>
        </is>
      </c>
      <c r="F709" t="inlineStr">
        <is>
          <t>Pays de la Loire</t>
        </is>
      </c>
      <c r="G709" s="3" t="n">
        <v>29934</v>
      </c>
      <c r="H709" t="n">
        <v>16</v>
      </c>
      <c r="I709" t="inlineStr">
        <is>
          <t>23 place de la République</t>
        </is>
      </c>
      <c r="J709" t="inlineStr">
        <is>
          <t>53200</t>
        </is>
      </c>
      <c r="K709" t="inlineStr">
        <is>
          <t>Château-Gontier</t>
        </is>
      </c>
      <c r="L709" t="inlineStr">
        <is>
          <t>02 43 09 55 55</t>
        </is>
      </c>
      <c r="M709" s="4" t="inlineStr">
        <is>
          <t>chateau-gontier@chateaugontier.fr</t>
        </is>
      </c>
      <c r="N709" s="4" t="inlineStr">
        <is>
          <t>https://www.chateaugontier.fr/</t>
        </is>
      </c>
      <c r="O709" s="4" t="inlineStr">
        <is>
          <t>https://www.chateaugontier.fr/index.php?page=36</t>
        </is>
      </c>
      <c r="P709" s="4" t="inlineStr">
        <is>
          <t>https://lannuaire.service-public.gouv.fr/pays-de-la-loire/mayenne/424a80a4-7566-4c8d-a787-5b6b120d4970</t>
        </is>
      </c>
      <c r="Q709" t="inlineStr">
        <is>
          <t>Annuaire Service-public.fr</t>
        </is>
      </c>
      <c r="R709" t="inlineStr"/>
      <c r="S709" t="inlineStr"/>
      <c r="T709" t="inlineStr"/>
    </row>
    <row r="710">
      <c r="A710" t="inlineStr">
        <is>
          <t>CC du Pays de Craon</t>
        </is>
      </c>
      <c r="B710" t="inlineStr">
        <is>
          <t>Communauté de communes</t>
        </is>
      </c>
      <c r="C710" t="inlineStr">
        <is>
          <t>200048551</t>
        </is>
      </c>
      <c r="D710" t="inlineStr">
        <is>
          <t>53</t>
        </is>
      </c>
      <c r="E710" t="inlineStr">
        <is>
          <t>Mayenne</t>
        </is>
      </c>
      <c r="F710" t="inlineStr">
        <is>
          <t>Pays de la Loire</t>
        </is>
      </c>
      <c r="G710" s="3" t="n">
        <v>28594</v>
      </c>
      <c r="H710" t="n">
        <v>37</v>
      </c>
      <c r="I710" t="inlineStr">
        <is>
          <t>1 rue de buchenberg</t>
        </is>
      </c>
      <c r="J710" t="inlineStr">
        <is>
          <t>53400</t>
        </is>
      </c>
      <c r="K710" t="inlineStr">
        <is>
          <t>Craon</t>
        </is>
      </c>
      <c r="L710" t="inlineStr">
        <is>
          <t>02 43 09 61 61</t>
        </is>
      </c>
      <c r="M710" s="4" t="inlineStr">
        <is>
          <t>accueil@paysdecraon.fr</t>
        </is>
      </c>
      <c r="N710" s="4" t="inlineStr">
        <is>
          <t>https://www.paysdecraon.fr/</t>
        </is>
      </c>
      <c r="O710" s="4" t="inlineStr">
        <is>
          <t>https://www.paysdecraon.fr/contact/</t>
        </is>
      </c>
      <c r="P710" s="4" t="inlineStr">
        <is>
          <t>https://lannuaire.service-public.gouv.fr/pays-de-la-loire/mayenne/dd59d3a1-5bd5-4e96-8d43-f1373ae91c88</t>
        </is>
      </c>
      <c r="Q710" t="inlineStr">
        <is>
          <t>Annuaire Service-public.fr</t>
        </is>
      </c>
      <c r="R710" t="inlineStr"/>
      <c r="S710" t="inlineStr"/>
      <c r="T710" t="inlineStr"/>
    </row>
    <row r="711">
      <c r="A711" t="inlineStr">
        <is>
          <t>CC du Pays de Meslay-Grez</t>
        </is>
      </c>
      <c r="B711" t="inlineStr">
        <is>
          <t>Communauté de communes</t>
        </is>
      </c>
      <c r="C711" t="inlineStr">
        <is>
          <t>245300223</t>
        </is>
      </c>
      <c r="D711" t="inlineStr">
        <is>
          <t>53</t>
        </is>
      </c>
      <c r="E711" t="inlineStr">
        <is>
          <t>Mayenne</t>
        </is>
      </c>
      <c r="F711" t="inlineStr">
        <is>
          <t>Pays de la Loire</t>
        </is>
      </c>
      <c r="G711" s="3" t="n">
        <v>13832</v>
      </c>
      <c r="H711" t="n">
        <v>22</v>
      </c>
      <c r="I711" t="inlineStr">
        <is>
          <t>1 voie de la Guiternière</t>
        </is>
      </c>
      <c r="J711" t="inlineStr">
        <is>
          <t>53170</t>
        </is>
      </c>
      <c r="K711" t="inlineStr">
        <is>
          <t>Meslay-du-Maine</t>
        </is>
      </c>
      <c r="L711" t="inlineStr">
        <is>
          <t>02 43 64 29 00</t>
        </is>
      </c>
      <c r="M711" s="4" t="inlineStr">
        <is>
          <t>contact@paysmeslaygrez.fr</t>
        </is>
      </c>
      <c r="N711" s="4" t="inlineStr">
        <is>
          <t>https://www.paysmeslaygrez.fr/</t>
        </is>
      </c>
      <c r="O711" s="4" t="inlineStr">
        <is>
          <t>https://www.paysmeslaygrez.fr/systeme/nous-contacter/</t>
        </is>
      </c>
      <c r="P711" s="4" t="inlineStr">
        <is>
          <t>https://lannuaire.service-public.gouv.fr/pays-de-la-loire/mayenne/df00b9ce-ea4a-4ce5-8a01-4898908e4c58</t>
        </is>
      </c>
      <c r="Q711" t="inlineStr">
        <is>
          <t>Annuaire Service-public.fr</t>
        </is>
      </c>
      <c r="R711" t="inlineStr"/>
      <c r="S711" t="inlineStr"/>
      <c r="T711" t="inlineStr"/>
    </row>
    <row r="712">
      <c r="A712" t="inlineStr">
        <is>
          <t>CC du Pays Sabolien</t>
        </is>
      </c>
      <c r="B712" t="inlineStr">
        <is>
          <t>Communauté de communes</t>
        </is>
      </c>
      <c r="C712" t="inlineStr">
        <is>
          <t>247200090</t>
        </is>
      </c>
      <c r="D712" t="inlineStr">
        <is>
          <t>53, 72</t>
        </is>
      </c>
      <c r="E712" t="inlineStr">
        <is>
          <t>Mayenne, Sarthe</t>
        </is>
      </c>
      <c r="F712" t="inlineStr">
        <is>
          <t>Pays de la Loire</t>
        </is>
      </c>
      <c r="G712" s="3" t="n">
        <v>28326</v>
      </c>
      <c r="H712" t="n">
        <v>17</v>
      </c>
      <c r="I712" t="inlineStr">
        <is>
          <t>3 place Raphaël-Elizé</t>
        </is>
      </c>
      <c r="J712" t="inlineStr">
        <is>
          <t>72300</t>
        </is>
      </c>
      <c r="K712" t="inlineStr">
        <is>
          <t>Sablé-sur-Sarthe</t>
        </is>
      </c>
      <c r="L712" t="inlineStr">
        <is>
          <t>02 43 62 50 00</t>
        </is>
      </c>
      <c r="M712" s="4" t="inlineStr">
        <is>
          <t>communautedecommunes@sablesursarthe.fr</t>
        </is>
      </c>
      <c r="N712" s="4" t="inlineStr">
        <is>
          <t>https://www.payssabolien.fr</t>
        </is>
      </c>
      <c r="O712" t="inlineStr"/>
      <c r="P712" s="4" t="inlineStr">
        <is>
          <t>https://lannuaire.service-public.gouv.fr/pays-de-la-loire/sarthe/1c383054-22ca-4d87-b5c1-014aa7bcaf71</t>
        </is>
      </c>
      <c r="Q712" t="inlineStr">
        <is>
          <t>Annuaire Service-public.fr</t>
        </is>
      </c>
      <c r="R712" t="inlineStr"/>
      <c r="S712" t="inlineStr"/>
      <c r="T712" t="inlineStr"/>
    </row>
    <row r="713">
      <c r="A713" t="inlineStr">
        <is>
          <t>CA Grand Longwy Agglomération</t>
        </is>
      </c>
      <c r="B713" t="inlineStr">
        <is>
          <t>Communauté d’agglomération</t>
        </is>
      </c>
      <c r="C713" t="inlineStr">
        <is>
          <t>245400262</t>
        </is>
      </c>
      <c r="D713" t="inlineStr">
        <is>
          <t>54</t>
        </is>
      </c>
      <c r="E713" t="inlineStr">
        <is>
          <t>Meurthe-et-Moselle</t>
        </is>
      </c>
      <c r="F713" t="inlineStr">
        <is>
          <t>Grand Est</t>
        </is>
      </c>
      <c r="G713" s="3" t="n">
        <v>63645</v>
      </c>
      <c r="H713" t="n">
        <v>21</v>
      </c>
      <c r="I713" t="inlineStr">
        <is>
          <t>2 rue de Lexy</t>
        </is>
      </c>
      <c r="J713" t="inlineStr">
        <is>
          <t>54400</t>
        </is>
      </c>
      <c r="K713" t="inlineStr">
        <is>
          <t>Longwy</t>
        </is>
      </c>
      <c r="L713" t="inlineStr">
        <is>
          <t>03 82 26 03 00</t>
        </is>
      </c>
      <c r="M713" t="inlineStr"/>
      <c r="N713" s="4" t="inlineStr">
        <is>
          <t>https://grandlongwy.fr/</t>
        </is>
      </c>
      <c r="O713" s="4" t="inlineStr">
        <is>
          <t>https://grandlongwy.fr/contact/</t>
        </is>
      </c>
      <c r="P713" s="4" t="inlineStr">
        <is>
          <t>https://lannuaire.service-public.gouv.fr/grand-est/meurthe-et-moselle/cadd83b6-7bed-4fea-8ff3-0e0f05e5cb54</t>
        </is>
      </c>
      <c r="Q713" t="inlineStr">
        <is>
          <t>Annuaire Service-public.fr</t>
        </is>
      </c>
      <c r="R713" t="inlineStr"/>
      <c r="S713" t="inlineStr"/>
      <c r="T713" t="inlineStr"/>
    </row>
    <row r="714">
      <c r="A714" t="inlineStr">
        <is>
          <t>CC Meurthe Mortagne Moselle</t>
        </is>
      </c>
      <c r="B714" t="inlineStr">
        <is>
          <t>Communauté de communes</t>
        </is>
      </c>
      <c r="C714" t="inlineStr">
        <is>
          <t>200067643</t>
        </is>
      </c>
      <c r="D714" t="inlineStr">
        <is>
          <t>54</t>
        </is>
      </c>
      <c r="E714" t="inlineStr">
        <is>
          <t>Meurthe-et-Moselle</t>
        </is>
      </c>
      <c r="F714" t="inlineStr">
        <is>
          <t>Grand Est</t>
        </is>
      </c>
      <c r="G714" s="3" t="n">
        <v>16456</v>
      </c>
      <c r="H714" t="n">
        <v>37</v>
      </c>
      <c r="I714" t="inlineStr">
        <is>
          <t>56 avenue Pierre-Sémard</t>
        </is>
      </c>
      <c r="J714" t="inlineStr">
        <is>
          <t>54360</t>
        </is>
      </c>
      <c r="K714" t="inlineStr">
        <is>
          <t>Blainville-sur-l'Eau</t>
        </is>
      </c>
      <c r="L714" t="inlineStr">
        <is>
          <t>03 83 71 43 62</t>
        </is>
      </c>
      <c r="M714" s="4" t="inlineStr">
        <is>
          <t>secretariat@cc3m.fr</t>
        </is>
      </c>
      <c r="N714" s="4" t="inlineStr">
        <is>
          <t>http://www.cc3m.fr</t>
        </is>
      </c>
      <c r="O714" t="inlineStr"/>
      <c r="P714" s="4" t="inlineStr">
        <is>
          <t>https://lannuaire.service-public.gouv.fr/grand-est/meurthe-et-moselle/b3425dd4-16be-4a38-be24-cb302ea12c83</t>
        </is>
      </c>
      <c r="Q714" t="inlineStr">
        <is>
          <t>Annuaire Service-public.fr</t>
        </is>
      </c>
      <c r="R714" t="inlineStr"/>
      <c r="S714" t="inlineStr"/>
      <c r="T714" t="inlineStr"/>
    </row>
    <row r="715">
      <c r="A715" t="inlineStr">
        <is>
          <t>CC Moselle et Madon</t>
        </is>
      </c>
      <c r="B715" t="inlineStr">
        <is>
          <t>Communauté de communes</t>
        </is>
      </c>
      <c r="C715" t="inlineStr">
        <is>
          <t>245400171</t>
        </is>
      </c>
      <c r="D715" t="inlineStr">
        <is>
          <t>54</t>
        </is>
      </c>
      <c r="E715" t="inlineStr">
        <is>
          <t>Meurthe-et-Moselle</t>
        </is>
      </c>
      <c r="F715" t="inlineStr">
        <is>
          <t>Grand Est</t>
        </is>
      </c>
      <c r="G715" s="3" t="n">
        <v>28192</v>
      </c>
      <c r="H715" t="n">
        <v>19</v>
      </c>
      <c r="I715" t="inlineStr">
        <is>
          <t>712 rue Nicolas Cugnot</t>
        </is>
      </c>
      <c r="J715" t="inlineStr">
        <is>
          <t>54230</t>
        </is>
      </c>
      <c r="K715" t="inlineStr">
        <is>
          <t>Neuves-Maisons</t>
        </is>
      </c>
      <c r="L715" t="inlineStr">
        <is>
          <t>03 83 26 45 00</t>
        </is>
      </c>
      <c r="M715" s="4" t="inlineStr">
        <is>
          <t>contact@cc-mosellemadon.fr</t>
        </is>
      </c>
      <c r="N715" s="4" t="inlineStr">
        <is>
          <t>https://www.cc-mosellemadon.fr/fr/</t>
        </is>
      </c>
      <c r="O715" s="4" t="inlineStr">
        <is>
          <t>https://www.cc-mosellemadon.fr/fr/contact.html</t>
        </is>
      </c>
      <c r="P715" s="4" t="inlineStr">
        <is>
          <t>https://lannuaire.service-public.gouv.fr/grand-est/meurthe-et-moselle/6206c1d2-138c-451e-a2fe-e68f8d63f532</t>
        </is>
      </c>
      <c r="Q715" t="inlineStr">
        <is>
          <t>Annuaire Service-public.fr</t>
        </is>
      </c>
      <c r="R715" t="inlineStr"/>
      <c r="S715" t="inlineStr"/>
      <c r="T715" t="inlineStr"/>
    </row>
    <row r="716">
      <c r="A716" t="inlineStr">
        <is>
          <t>CC Orne Lorraine Confluences</t>
        </is>
      </c>
      <c r="B716" t="inlineStr">
        <is>
          <t>Communauté de communes</t>
        </is>
      </c>
      <c r="C716" t="inlineStr">
        <is>
          <t>200070845</t>
        </is>
      </c>
      <c r="D716" t="inlineStr">
        <is>
          <t>54</t>
        </is>
      </c>
      <c r="E716" t="inlineStr">
        <is>
          <t>Meurthe-et-Moselle</t>
        </is>
      </c>
      <c r="F716" t="inlineStr">
        <is>
          <t>Grand Est</t>
        </is>
      </c>
      <c r="G716" s="3" t="n">
        <v>52850</v>
      </c>
      <c r="H716" t="n">
        <v>41</v>
      </c>
      <c r="I716" t="inlineStr">
        <is>
          <t>1 place du Général-Leclerc</t>
        </is>
      </c>
      <c r="J716" t="inlineStr">
        <is>
          <t>54580</t>
        </is>
      </c>
      <c r="K716" t="inlineStr">
        <is>
          <t>Auboué</t>
        </is>
      </c>
      <c r="L716" t="inlineStr">
        <is>
          <t>03 82 22 04 20</t>
        </is>
      </c>
      <c r="M716" s="4" t="inlineStr">
        <is>
          <t>contact@olc54.fr</t>
        </is>
      </c>
      <c r="N716" s="4" t="inlineStr">
        <is>
          <t>https://olc54.fr</t>
        </is>
      </c>
      <c r="O716" s="4" t="inlineStr">
        <is>
          <t>https://olc54.fr/contact</t>
        </is>
      </c>
      <c r="P716" s="4" t="inlineStr">
        <is>
          <t>https://lannuaire.service-public.gouv.fr/grand-est/meurthe-et-moselle/7068cf13-3fff-45c6-8703-081296f508ac</t>
        </is>
      </c>
      <c r="Q716" t="inlineStr">
        <is>
          <t>Annuaire Service-public.fr</t>
        </is>
      </c>
      <c r="R716" t="inlineStr"/>
      <c r="S716" t="inlineStr"/>
      <c r="T716" t="inlineStr"/>
    </row>
    <row r="717">
      <c r="A717" t="inlineStr">
        <is>
          <t>CC Terre Lorraine du Longuyonnais</t>
        </is>
      </c>
      <c r="B717" t="inlineStr">
        <is>
          <t>Communauté de communes</t>
        </is>
      </c>
      <c r="C717" t="inlineStr">
        <is>
          <t>200043693</t>
        </is>
      </c>
      <c r="D717" t="inlineStr">
        <is>
          <t>54</t>
        </is>
      </c>
      <c r="E717" t="inlineStr">
        <is>
          <t>Meurthe-et-Moselle</t>
        </is>
      </c>
      <c r="F717" t="inlineStr">
        <is>
          <t>Grand Est</t>
        </is>
      </c>
      <c r="G717" s="3" t="n">
        <v>15334</v>
      </c>
      <c r="H717" t="n">
        <v>27</v>
      </c>
      <c r="I717" t="inlineStr">
        <is>
          <t>2 rue Augistrou</t>
        </is>
      </c>
      <c r="J717" t="inlineStr">
        <is>
          <t>54260</t>
        </is>
      </c>
      <c r="K717" t="inlineStr">
        <is>
          <t>Longuyon</t>
        </is>
      </c>
      <c r="L717" t="inlineStr">
        <is>
          <t>03 82 26 45 18</t>
        </is>
      </c>
      <c r="M717" s="4" t="inlineStr">
        <is>
          <t>accueil@t2l-54.fr</t>
        </is>
      </c>
      <c r="N717" s="4" t="inlineStr">
        <is>
          <t>http://www.t2l-54.fr</t>
        </is>
      </c>
      <c r="O717" t="inlineStr"/>
      <c r="P717" s="4" t="inlineStr">
        <is>
          <t>https://lannuaire.service-public.gouv.fr/grand-est/meurthe-et-moselle/41c47af9-85a8-4e8a-9b70-b401c825cc9f</t>
        </is>
      </c>
      <c r="Q717" t="inlineStr">
        <is>
          <t>Annuaire Service-public.fr</t>
        </is>
      </c>
      <c r="R717" t="inlineStr"/>
      <c r="S717" t="inlineStr"/>
      <c r="T717" t="inlineStr"/>
    </row>
    <row r="718">
      <c r="A718" t="inlineStr">
        <is>
          <t>CC Terres Touloises</t>
        </is>
      </c>
      <c r="B718" t="inlineStr">
        <is>
          <t>Communauté de communes</t>
        </is>
      </c>
      <c r="C718" t="inlineStr">
        <is>
          <t>200070563</t>
        </is>
      </c>
      <c r="D718" t="inlineStr">
        <is>
          <t>54</t>
        </is>
      </c>
      <c r="E718" t="inlineStr">
        <is>
          <t>Meurthe-et-Moselle</t>
        </is>
      </c>
      <c r="F718" t="inlineStr">
        <is>
          <t>Grand Est</t>
        </is>
      </c>
      <c r="G718" s="3" t="n">
        <v>44293</v>
      </c>
      <c r="H718" t="n">
        <v>41</v>
      </c>
      <c r="I718" t="inlineStr">
        <is>
          <t>Rue du Mémorial-du-Génie</t>
        </is>
      </c>
      <c r="J718" t="inlineStr">
        <is>
          <t>54200</t>
        </is>
      </c>
      <c r="K718" t="inlineStr">
        <is>
          <t>Toul</t>
        </is>
      </c>
      <c r="L718" t="inlineStr">
        <is>
          <t>03 83 43 23 76</t>
        </is>
      </c>
      <c r="M718" s="4" t="inlineStr">
        <is>
          <t>contact@terrestouloises.com</t>
        </is>
      </c>
      <c r="N718" s="4" t="inlineStr">
        <is>
          <t>https://terrestouloises.com/</t>
        </is>
      </c>
      <c r="O718" s="4" t="inlineStr">
        <is>
          <t>https://terrestouloises.com/ma-communaute-de-communes/nous-contacter/</t>
        </is>
      </c>
      <c r="P718" s="4" t="inlineStr">
        <is>
          <t>https://lannuaire.service-public.gouv.fr/grand-est/meurthe-et-moselle/70883fe4-7897-4e85-b8d5-050d044c01c0</t>
        </is>
      </c>
      <c r="Q718" t="inlineStr">
        <is>
          <t>Annuaire Service-public.fr</t>
        </is>
      </c>
      <c r="R718" t="inlineStr"/>
      <c r="S718" t="inlineStr"/>
      <c r="T718" t="inlineStr"/>
    </row>
    <row r="719">
      <c r="A719" t="inlineStr">
        <is>
          <t>CC de Seille et Grand Couronné</t>
        </is>
      </c>
      <c r="B719" t="inlineStr">
        <is>
          <t>Communauté de communes</t>
        </is>
      </c>
      <c r="C719" t="inlineStr">
        <is>
          <t>200070589</t>
        </is>
      </c>
      <c r="D719" t="inlineStr">
        <is>
          <t>54</t>
        </is>
      </c>
      <c r="E719" t="inlineStr">
        <is>
          <t>Meurthe-et-Moselle</t>
        </is>
      </c>
      <c r="F719" t="inlineStr">
        <is>
          <t>Grand Est</t>
        </is>
      </c>
      <c r="G719" s="3" t="n">
        <v>18955</v>
      </c>
      <c r="H719" t="n">
        <v>42</v>
      </c>
      <c r="I719" t="inlineStr">
        <is>
          <t>47 rue Saint-Barthélémy</t>
        </is>
      </c>
      <c r="J719" t="inlineStr">
        <is>
          <t>54280</t>
        </is>
      </c>
      <c r="K719" t="inlineStr">
        <is>
          <t>Champenoux</t>
        </is>
      </c>
      <c r="L719" t="inlineStr">
        <is>
          <t>03 83 31 74 37</t>
        </is>
      </c>
      <c r="M719" s="4" t="inlineStr">
        <is>
          <t>contact@comcom-sgc.fr</t>
        </is>
      </c>
      <c r="N719" s="4" t="inlineStr">
        <is>
          <t>https://www.comcom-sgc.fr</t>
        </is>
      </c>
      <c r="O719" s="4" t="inlineStr">
        <is>
          <t>https://www.comcom-sgc.fr/contact/</t>
        </is>
      </c>
      <c r="P719" s="4" t="inlineStr">
        <is>
          <t>https://lannuaire.service-public.gouv.fr/grand-est/meurthe-et-moselle/f10be03e-37dd-41fe-a14c-02c3bb7b867a</t>
        </is>
      </c>
      <c r="Q719" t="inlineStr">
        <is>
          <t>Annuaire Service-public.fr</t>
        </is>
      </c>
      <c r="R719" t="inlineStr"/>
      <c r="S719" t="inlineStr"/>
      <c r="T719" t="inlineStr"/>
    </row>
    <row r="720">
      <c r="A720" t="inlineStr">
        <is>
          <t>CC de Vezouze en Piémont</t>
        </is>
      </c>
      <c r="B720" t="inlineStr">
        <is>
          <t>Communauté de communes</t>
        </is>
      </c>
      <c r="C720" t="inlineStr">
        <is>
          <t>200069433</t>
        </is>
      </c>
      <c r="D720" t="inlineStr">
        <is>
          <t>54</t>
        </is>
      </c>
      <c r="E720" t="inlineStr">
        <is>
          <t>Meurthe-et-Moselle</t>
        </is>
      </c>
      <c r="F720" t="inlineStr">
        <is>
          <t>Grand Est</t>
        </is>
      </c>
      <c r="G720" s="3" t="n">
        <v>11483</v>
      </c>
      <c r="H720" t="n">
        <v>51</v>
      </c>
      <c r="I720" t="inlineStr">
        <is>
          <t>38 rue de Voise</t>
        </is>
      </c>
      <c r="J720" t="inlineStr">
        <is>
          <t>54450</t>
        </is>
      </c>
      <c r="K720" t="inlineStr">
        <is>
          <t>Blâmont</t>
        </is>
      </c>
      <c r="L720" t="inlineStr">
        <is>
          <t>03 83 42 46 46</t>
        </is>
      </c>
      <c r="M720" s="4" t="inlineStr">
        <is>
          <t>accueil@ccvp.fr</t>
        </is>
      </c>
      <c r="N720" s="4" t="inlineStr">
        <is>
          <t>https://www.ccvp.fr/</t>
        </is>
      </c>
      <c r="O720" s="4" t="inlineStr">
        <is>
          <t>https://www.ccvp.fr/contact</t>
        </is>
      </c>
      <c r="P720" s="4" t="inlineStr">
        <is>
          <t>https://lannuaire.service-public.gouv.fr/grand-est/meurthe-et-moselle/9f0effba-0636-4253-8a95-a593e4ed9f3d</t>
        </is>
      </c>
      <c r="Q720" t="inlineStr">
        <is>
          <t>Annuaire Service-public.fr</t>
        </is>
      </c>
      <c r="R720" t="inlineStr"/>
      <c r="S720" t="inlineStr"/>
      <c r="T720" t="inlineStr"/>
    </row>
    <row r="721">
      <c r="A721" t="inlineStr">
        <is>
          <t>CC des Pays du Sel et du Vermois</t>
        </is>
      </c>
      <c r="B721" t="inlineStr">
        <is>
          <t>Communauté de communes</t>
        </is>
      </c>
      <c r="C721" t="inlineStr">
        <is>
          <t>245400189</t>
        </is>
      </c>
      <c r="D721" t="inlineStr">
        <is>
          <t>54</t>
        </is>
      </c>
      <c r="E721" t="inlineStr">
        <is>
          <t>Meurthe-et-Moselle</t>
        </is>
      </c>
      <c r="F721" t="inlineStr">
        <is>
          <t>Grand Est</t>
        </is>
      </c>
      <c r="G721" s="3" t="n">
        <v>28698</v>
      </c>
      <c r="H721" t="n">
        <v>16</v>
      </c>
      <c r="I721" t="inlineStr">
        <is>
          <t>3 rue Louis-Majorelle</t>
        </is>
      </c>
      <c r="J721" t="inlineStr">
        <is>
          <t>54110</t>
        </is>
      </c>
      <c r="K721" t="inlineStr">
        <is>
          <t>Dombasle-sur-Meurthe</t>
        </is>
      </c>
      <c r="L721" t="inlineStr">
        <is>
          <t>03 83 45 23 32</t>
        </is>
      </c>
      <c r="M721" s="4" t="inlineStr">
        <is>
          <t>contact@cc-seletvermois.fr</t>
        </is>
      </c>
      <c r="N721" s="4" t="inlineStr">
        <is>
          <t>https://www.cc-seletvermois.fr/</t>
        </is>
      </c>
      <c r="O721" s="4" t="inlineStr">
        <is>
          <t>https://www.cc-seletvermois.fr/contact/</t>
        </is>
      </c>
      <c r="P721" s="4" t="inlineStr">
        <is>
          <t>https://lannuaire.service-public.gouv.fr/grand-est/meurthe-et-moselle/a7379470-cf96-4ff3-99d4-1e023dea790a</t>
        </is>
      </c>
      <c r="Q721" t="inlineStr">
        <is>
          <t>Annuaire Service-public.fr</t>
        </is>
      </c>
      <c r="R721" t="inlineStr"/>
      <c r="S721" t="inlineStr"/>
      <c r="T721" t="inlineStr"/>
    </row>
    <row r="722">
      <c r="A722" t="inlineStr">
        <is>
          <t>CC du Bassin de Pompey</t>
        </is>
      </c>
      <c r="B722" t="inlineStr">
        <is>
          <t>Communauté de communes</t>
        </is>
      </c>
      <c r="C722" t="inlineStr">
        <is>
          <t>245400601</t>
        </is>
      </c>
      <c r="D722" t="inlineStr">
        <is>
          <t>54</t>
        </is>
      </c>
      <c r="E722" t="inlineStr">
        <is>
          <t>Meurthe-et-Moselle</t>
        </is>
      </c>
      <c r="F722" t="inlineStr">
        <is>
          <t>Grand Est</t>
        </is>
      </c>
      <c r="G722" s="3" t="n">
        <v>39626</v>
      </c>
      <c r="H722" t="n">
        <v>13</v>
      </c>
      <c r="I722" t="inlineStr">
        <is>
          <t>Rue des Quatre-Éléments</t>
        </is>
      </c>
      <c r="J722" t="inlineStr">
        <is>
          <t>54300</t>
        </is>
      </c>
      <c r="K722" t="inlineStr">
        <is>
          <t>Pompey</t>
        </is>
      </c>
      <c r="L722" t="inlineStr">
        <is>
          <t>03 83 49 81 81</t>
        </is>
      </c>
      <c r="M722" s="4" t="inlineStr">
        <is>
          <t>accueil@bassinpompey.fr</t>
        </is>
      </c>
      <c r="N722" s="4" t="inlineStr">
        <is>
          <t>https://www.bassinpompey.fr/</t>
        </is>
      </c>
      <c r="O722" s="4" t="inlineStr">
        <is>
          <t>https://www.bassinpompey.fr/informations-pratiques/contact-2</t>
        </is>
      </c>
      <c r="P722" s="4" t="inlineStr">
        <is>
          <t>https://lannuaire.service-public.gouv.fr/grand-est/meurthe-et-moselle/4faa1f4d-e17f-4992-8f74-929d2549f45d</t>
        </is>
      </c>
      <c r="Q722" t="inlineStr">
        <is>
          <t>Annuaire Service-public.fr</t>
        </is>
      </c>
      <c r="R722" t="inlineStr"/>
      <c r="S722" t="inlineStr"/>
      <c r="T722" t="inlineStr"/>
    </row>
    <row r="723">
      <c r="A723" t="inlineStr">
        <is>
          <t>CC du Bassin de Pont-à-Mousson</t>
        </is>
      </c>
      <c r="B723" t="inlineStr">
        <is>
          <t>Communauté de communes</t>
        </is>
      </c>
      <c r="C723" t="inlineStr">
        <is>
          <t>200041515</t>
        </is>
      </c>
      <c r="D723" t="inlineStr">
        <is>
          <t>54</t>
        </is>
      </c>
      <c r="E723" t="inlineStr">
        <is>
          <t>Meurthe-et-Moselle</t>
        </is>
      </c>
      <c r="F723" t="inlineStr">
        <is>
          <t>Grand Est</t>
        </is>
      </c>
      <c r="G723" s="3" t="n">
        <v>40203</v>
      </c>
      <c r="H723" t="n">
        <v>31</v>
      </c>
      <c r="I723" t="inlineStr">
        <is>
          <t>75 Louis-Camille MAILLARD</t>
        </is>
      </c>
      <c r="J723" t="inlineStr">
        <is>
          <t>54700</t>
        </is>
      </c>
      <c r="K723" t="inlineStr">
        <is>
          <t>Pont-à-Mousson</t>
        </is>
      </c>
      <c r="L723" t="inlineStr">
        <is>
          <t>03 83 87 87 00</t>
        </is>
      </c>
      <c r="M723" s="4" t="inlineStr">
        <is>
          <t>info@bassin-pont-a-mousson.fr</t>
        </is>
      </c>
      <c r="N723" s="4" t="inlineStr">
        <is>
          <t>https://www.bassin-pont-a-mousson.fr/</t>
        </is>
      </c>
      <c r="O723" s="4" t="inlineStr">
        <is>
          <t>https://www.bassin-pont-a-mousson.fr/contact.htm</t>
        </is>
      </c>
      <c r="P723" s="4" t="inlineStr">
        <is>
          <t>https://lannuaire.service-public.gouv.fr/grand-est/meurthe-et-moselle/8afc618f-4a1c-41ef-a841-24bb41986e00</t>
        </is>
      </c>
      <c r="Q723" t="inlineStr">
        <is>
          <t>Annuaire Service-public.fr</t>
        </is>
      </c>
      <c r="R723" t="inlineStr"/>
      <c r="S723" t="inlineStr"/>
      <c r="T723" t="inlineStr"/>
    </row>
    <row r="724">
      <c r="A724" t="inlineStr">
        <is>
          <t>CC du Pays du Saintois</t>
        </is>
      </c>
      <c r="B724" t="inlineStr">
        <is>
          <t>Communauté de communes</t>
        </is>
      </c>
      <c r="C724" t="inlineStr">
        <is>
          <t>200035772</t>
        </is>
      </c>
      <c r="D724" t="inlineStr">
        <is>
          <t>54</t>
        </is>
      </c>
      <c r="E724" t="inlineStr">
        <is>
          <t>Meurthe-et-Moselle</t>
        </is>
      </c>
      <c r="F724" t="inlineStr">
        <is>
          <t>Grand Est</t>
        </is>
      </c>
      <c r="G724" s="3" t="n">
        <v>14229</v>
      </c>
      <c r="H724" t="n">
        <v>55</v>
      </c>
      <c r="I724" t="inlineStr">
        <is>
          <t>21 rue de la Gare</t>
        </is>
      </c>
      <c r="J724" t="inlineStr">
        <is>
          <t>54116</t>
        </is>
      </c>
      <c r="K724" t="inlineStr">
        <is>
          <t>Tantonville</t>
        </is>
      </c>
      <c r="L724" t="inlineStr">
        <is>
          <t>03 83 52 47 93</t>
        </is>
      </c>
      <c r="M724" s="4" t="inlineStr">
        <is>
          <t>contact@ccpaysdusaintois.fr</t>
        </is>
      </c>
      <c r="N724" s="4" t="inlineStr">
        <is>
          <t>https://www.ccpaysdusaintois.fr/fr/</t>
        </is>
      </c>
      <c r="O724" s="4" t="inlineStr">
        <is>
          <t>https://www.ccpaysdusaintois.fr/fr/contact.html</t>
        </is>
      </c>
      <c r="P724" s="4" t="inlineStr">
        <is>
          <t>https://lannuaire.service-public.gouv.fr/grand-est/meurthe-et-moselle/e51261a8-162f-4349-bb26-83cd9ba06707</t>
        </is>
      </c>
      <c r="Q724" t="inlineStr">
        <is>
          <t>Annuaire Service-public.fr</t>
        </is>
      </c>
      <c r="R724" t="inlineStr"/>
      <c r="S724" t="inlineStr"/>
      <c r="T724" t="inlineStr"/>
    </row>
    <row r="725">
      <c r="A725" t="inlineStr">
        <is>
          <t>CC du Pays du Sanon</t>
        </is>
      </c>
      <c r="B725" t="inlineStr">
        <is>
          <t>Communauté de communes</t>
        </is>
      </c>
      <c r="C725" t="inlineStr">
        <is>
          <t>245400759</t>
        </is>
      </c>
      <c r="D725" t="inlineStr">
        <is>
          <t>54</t>
        </is>
      </c>
      <c r="E725" t="inlineStr">
        <is>
          <t>Meurthe-et-Moselle</t>
        </is>
      </c>
      <c r="F725" t="inlineStr">
        <is>
          <t>Grand Est</t>
        </is>
      </c>
      <c r="G725" s="3" t="n">
        <v>5795</v>
      </c>
      <c r="H725" t="n">
        <v>28</v>
      </c>
      <c r="I725" t="inlineStr">
        <is>
          <t>7 place de la Fontaine</t>
        </is>
      </c>
      <c r="J725" t="inlineStr">
        <is>
          <t>54370</t>
        </is>
      </c>
      <c r="K725" t="inlineStr">
        <is>
          <t>Einville-au-Jard</t>
        </is>
      </c>
      <c r="L725" t="inlineStr">
        <is>
          <t>03 83 72 05 64</t>
        </is>
      </c>
      <c r="M725" s="4" t="inlineStr">
        <is>
          <t>contact@ccsanon.fr</t>
        </is>
      </c>
      <c r="N725" s="4" t="inlineStr">
        <is>
          <t>https://www.ccsanon.fr/</t>
        </is>
      </c>
      <c r="O725" s="4" t="inlineStr">
        <is>
          <t>https://www.ccsanon.fr/contact-ccs/</t>
        </is>
      </c>
      <c r="P725" s="4" t="inlineStr">
        <is>
          <t>https://lannuaire.service-public.gouv.fr/grand-est/meurthe-et-moselle/a00c2321-ff74-42fe-8cd9-b006dfad469b</t>
        </is>
      </c>
      <c r="Q725" t="inlineStr">
        <is>
          <t>Annuaire Service-public.fr</t>
        </is>
      </c>
      <c r="R725" t="inlineStr"/>
      <c r="S725" t="inlineStr"/>
      <c r="T725" t="inlineStr"/>
    </row>
    <row r="726">
      <c r="A726" t="inlineStr">
        <is>
          <t>CC du Territoire de Lunéville à Baccarat</t>
        </is>
      </c>
      <c r="B726" t="inlineStr">
        <is>
          <t>Communauté de communes</t>
        </is>
      </c>
      <c r="C726" t="inlineStr">
        <is>
          <t>200070324</t>
        </is>
      </c>
      <c r="D726" t="inlineStr">
        <is>
          <t>54</t>
        </is>
      </c>
      <c r="E726" t="inlineStr">
        <is>
          <t>Meurthe-et-Moselle</t>
        </is>
      </c>
      <c r="F726" t="inlineStr">
        <is>
          <t>Grand Est</t>
        </is>
      </c>
      <c r="G726" s="3" t="n">
        <v>40609</v>
      </c>
      <c r="H726" t="n">
        <v>43</v>
      </c>
      <c r="I726" t="inlineStr">
        <is>
          <t>11 avenue de la Libération</t>
        </is>
      </c>
      <c r="J726" t="inlineStr">
        <is>
          <t>54300</t>
        </is>
      </c>
      <c r="K726" t="inlineStr">
        <is>
          <t>Lunéville</t>
        </is>
      </c>
      <c r="L726" t="inlineStr">
        <is>
          <t>03 83 74 05 00</t>
        </is>
      </c>
      <c r="M726" s="4" t="inlineStr">
        <is>
          <t>contact@delunevilleabaccarat.fr</t>
        </is>
      </c>
      <c r="N726" s="4" t="inlineStr">
        <is>
          <t>https://delunevilleabaccarat.fr/</t>
        </is>
      </c>
      <c r="O726" s="4" t="inlineStr">
        <is>
          <t>https://delunevilleabaccarat.fr/contact/</t>
        </is>
      </c>
      <c r="P726" s="4" t="inlineStr">
        <is>
          <t>https://lannuaire.service-public.gouv.fr/grand-est/meurthe-et-moselle/abeb71cc-f38d-4dfa-9975-510825bab533</t>
        </is>
      </c>
      <c r="Q726" t="inlineStr">
        <is>
          <t>Annuaire Service-public.fr</t>
        </is>
      </c>
      <c r="R726" t="inlineStr"/>
      <c r="S726" t="inlineStr"/>
      <c r="T726" t="inlineStr"/>
    </row>
    <row r="727">
      <c r="A727" t="inlineStr">
        <is>
          <t>Métropole du Grand Nancy</t>
        </is>
      </c>
      <c r="B727" t="inlineStr">
        <is>
          <t>Métropole</t>
        </is>
      </c>
      <c r="C727" t="inlineStr">
        <is>
          <t>245400676</t>
        </is>
      </c>
      <c r="D727" t="inlineStr">
        <is>
          <t>54</t>
        </is>
      </c>
      <c r="E727" t="inlineStr">
        <is>
          <t>Meurthe-et-Moselle</t>
        </is>
      </c>
      <c r="F727" t="inlineStr">
        <is>
          <t>Grand Est</t>
        </is>
      </c>
      <c r="G727" s="3" t="n">
        <v>258208</v>
      </c>
      <c r="H727" t="n">
        <v>20</v>
      </c>
      <c r="I727" t="inlineStr">
        <is>
          <t>22-24 viaduc Kennedy</t>
        </is>
      </c>
      <c r="J727" t="inlineStr">
        <is>
          <t>54035</t>
        </is>
      </c>
      <c r="K727" t="inlineStr">
        <is>
          <t>Nancy</t>
        </is>
      </c>
      <c r="L727" t="inlineStr">
        <is>
          <t>03 83 91 83 91</t>
        </is>
      </c>
      <c r="M727" t="inlineStr"/>
      <c r="N727" s="4" t="inlineStr">
        <is>
          <t>https://www.grandnancy.eu/accueil</t>
        </is>
      </c>
      <c r="O727" s="4" t="inlineStr">
        <is>
          <t>https://www.grandnancy.eu/formulaires/guichet-des-formulaires/autre-demande</t>
        </is>
      </c>
      <c r="P727" s="4" t="inlineStr">
        <is>
          <t>https://lannuaire.service-public.gouv.fr/grand-est/meurthe-et-moselle/24b8e3c9-72f4-4724-9d2a-8d247cb910e5</t>
        </is>
      </c>
      <c r="Q727" t="inlineStr">
        <is>
          <t>Annuaire Service-public.fr</t>
        </is>
      </c>
      <c r="R727" t="inlineStr"/>
      <c r="S727" t="inlineStr"/>
      <c r="T727" t="inlineStr"/>
    </row>
    <row r="728">
      <c r="A728" t="inlineStr">
        <is>
          <t>CC Coeur du Pays Haut</t>
        </is>
      </c>
      <c r="B728" t="inlineStr">
        <is>
          <t>Communauté de communes</t>
        </is>
      </c>
      <c r="C728" t="inlineStr">
        <is>
          <t>200070290</t>
        </is>
      </c>
      <c r="D728" t="inlineStr">
        <is>
          <t>54, 55</t>
        </is>
      </c>
      <c r="E728" t="inlineStr">
        <is>
          <t>Meurthe-et-Moselle, Meuse</t>
        </is>
      </c>
      <c r="F728" t="inlineStr">
        <is>
          <t>Grand Est</t>
        </is>
      </c>
      <c r="G728" s="3" t="n">
        <v>23280</v>
      </c>
      <c r="H728" t="n">
        <v>25</v>
      </c>
      <c r="I728" t="inlineStr">
        <is>
          <t>71 route de Briey</t>
        </is>
      </c>
      <c r="J728" t="inlineStr">
        <is>
          <t>54560</t>
        </is>
      </c>
      <c r="K728" t="inlineStr">
        <is>
          <t>Audun-le-Roman</t>
        </is>
      </c>
      <c r="L728" t="inlineStr">
        <is>
          <t>03 82 21 59 00</t>
        </is>
      </c>
      <c r="M728" s="4" t="inlineStr">
        <is>
          <t>secretariat@coeurdupayshaut.fr</t>
        </is>
      </c>
      <c r="N728" s="4" t="inlineStr">
        <is>
          <t>https://coeurdupayshaut.fr/</t>
        </is>
      </c>
      <c r="O728" t="inlineStr"/>
      <c r="P728" s="4" t="inlineStr">
        <is>
          <t>https://lannuaire.service-public.gouv.fr/grand-est/meurthe-et-moselle/61221287-1552-4261-9705-caf4e4ae42e9</t>
        </is>
      </c>
      <c r="Q728" t="inlineStr">
        <is>
          <t>Annuaire Service-public.fr</t>
        </is>
      </c>
      <c r="R728" t="inlineStr"/>
      <c r="S728" t="inlineStr"/>
      <c r="T728" t="inlineStr"/>
    </row>
    <row r="729">
      <c r="A729" t="inlineStr">
        <is>
          <t>CC Mad et Moselle</t>
        </is>
      </c>
      <c r="B729" t="inlineStr">
        <is>
          <t>Communauté de communes</t>
        </is>
      </c>
      <c r="C729" t="inlineStr">
        <is>
          <t>200070738</t>
        </is>
      </c>
      <c r="D729" t="inlineStr">
        <is>
          <t>54, 57</t>
        </is>
      </c>
      <c r="E729" t="inlineStr">
        <is>
          <t>Meurthe-et-Moselle, Moselle</t>
        </is>
      </c>
      <c r="F729" t="inlineStr">
        <is>
          <t>Grand Est</t>
        </is>
      </c>
      <c r="G729" s="3" t="n">
        <v>19144</v>
      </c>
      <c r="H729" t="n">
        <v>47</v>
      </c>
      <c r="I729" t="inlineStr">
        <is>
          <t>2 bis rue Henri-Poulet</t>
        </is>
      </c>
      <c r="J729" t="inlineStr">
        <is>
          <t>54470</t>
        </is>
      </c>
      <c r="K729" t="inlineStr">
        <is>
          <t>Thiaucourt-Regnieville</t>
        </is>
      </c>
      <c r="L729" t="inlineStr">
        <is>
          <t>03 83 81 91 69</t>
        </is>
      </c>
      <c r="M729" s="4" t="inlineStr">
        <is>
          <t>accueil@cc-madetmoselle.fr</t>
        </is>
      </c>
      <c r="N729" s="4" t="inlineStr">
        <is>
          <t>https://www.cc-madetmoselle.fr</t>
        </is>
      </c>
      <c r="O729" s="4" t="inlineStr">
        <is>
          <t>https://www.cc-madetmoselle.fr/fr/contact.html</t>
        </is>
      </c>
      <c r="P729" s="4" t="inlineStr">
        <is>
          <t>https://lannuaire.service-public.gouv.fr/grand-est/meurthe-et-moselle/974be2b6-ee1c-47fa-8246-28bacb55f339</t>
        </is>
      </c>
      <c r="Q729" t="inlineStr">
        <is>
          <t>Annuaire Service-public.fr</t>
        </is>
      </c>
      <c r="R729" t="inlineStr"/>
      <c r="S729" t="inlineStr"/>
      <c r="T729" t="inlineStr"/>
    </row>
    <row r="730">
      <c r="A730" t="inlineStr">
        <is>
          <t>CC du Pays Haut Val d'Alzette</t>
        </is>
      </c>
      <c r="B730" t="inlineStr">
        <is>
          <t>Communauté de communes</t>
        </is>
      </c>
      <c r="C730" t="inlineStr">
        <is>
          <t>245701404</t>
        </is>
      </c>
      <c r="D730" t="inlineStr">
        <is>
          <t>54, 57</t>
        </is>
      </c>
      <c r="E730" t="inlineStr">
        <is>
          <t>Meurthe-et-Moselle, Moselle</t>
        </is>
      </c>
      <c r="F730" t="inlineStr">
        <is>
          <t>Grand Est</t>
        </is>
      </c>
      <c r="G730" s="3" t="n">
        <v>29465</v>
      </c>
      <c r="H730" t="n">
        <v>8</v>
      </c>
      <c r="I730" t="inlineStr">
        <is>
          <t>390 rue du Laboratoire</t>
        </is>
      </c>
      <c r="J730" t="inlineStr">
        <is>
          <t>57390</t>
        </is>
      </c>
      <c r="K730" t="inlineStr">
        <is>
          <t>Audun-le-Tiche</t>
        </is>
      </c>
      <c r="L730" t="inlineStr">
        <is>
          <t>03 82 53 50 01</t>
        </is>
      </c>
      <c r="M730" s="4" t="inlineStr">
        <is>
          <t>contact@ccphva.com</t>
        </is>
      </c>
      <c r="N730" s="4" t="inlineStr">
        <is>
          <t>https://www.ccphva.com/</t>
        </is>
      </c>
      <c r="O730" s="4" t="inlineStr">
        <is>
          <t>https://www.ccphva.com/formulaire/formulaire-de-contact</t>
        </is>
      </c>
      <c r="P730" s="4" t="inlineStr">
        <is>
          <t>https://lannuaire.service-public.gouv.fr/grand-est/moselle/542a9c19-748b-41cf-803d-3beb8c236f33</t>
        </is>
      </c>
      <c r="Q730" t="inlineStr">
        <is>
          <t>Annuaire Service-public.fr</t>
        </is>
      </c>
      <c r="R730" t="inlineStr"/>
      <c r="S730" t="inlineStr"/>
      <c r="T730" t="inlineStr"/>
    </row>
    <row r="731">
      <c r="A731" t="inlineStr">
        <is>
          <t>CA de Saint-Dié-des-Vosges</t>
        </is>
      </c>
      <c r="B731" t="inlineStr">
        <is>
          <t>Communauté d’agglomération</t>
        </is>
      </c>
      <c r="C731" t="inlineStr">
        <is>
          <t>200071066</t>
        </is>
      </c>
      <c r="D731" t="inlineStr">
        <is>
          <t>54, 88</t>
        </is>
      </c>
      <c r="E731" t="inlineStr">
        <is>
          <t>Meurthe-et-Moselle, Vosges</t>
        </is>
      </c>
      <c r="F731" t="inlineStr">
        <is>
          <t>Grand Est</t>
        </is>
      </c>
      <c r="G731" s="3" t="n">
        <v>72973</v>
      </c>
      <c r="H731" t="n">
        <v>77</v>
      </c>
      <c r="I731" t="inlineStr">
        <is>
          <t>7 place Saint-Martin</t>
        </is>
      </c>
      <c r="J731" t="inlineStr">
        <is>
          <t>88100</t>
        </is>
      </c>
      <c r="K731" t="inlineStr">
        <is>
          <t>Saint-Dié-des-Vosges</t>
        </is>
      </c>
      <c r="L731" t="inlineStr">
        <is>
          <t>03 29 52 65 56</t>
        </is>
      </c>
      <c r="M731" s="4" t="inlineStr">
        <is>
          <t>contact@ca-saintdie.fr</t>
        </is>
      </c>
      <c r="N731" s="4" t="inlineStr">
        <is>
          <t>https://www.ca-saintdie.fr</t>
        </is>
      </c>
      <c r="O731" t="inlineStr"/>
      <c r="P731" s="4" t="inlineStr">
        <is>
          <t>https://lannuaire.service-public.gouv.fr/grand-est/vosges/0f92fff0-dd36-484c-8458-a0dd7c72fad5</t>
        </is>
      </c>
      <c r="Q731" t="inlineStr">
        <is>
          <t>Annuaire Service-public.fr</t>
        </is>
      </c>
      <c r="R731" t="inlineStr"/>
      <c r="S731" t="inlineStr"/>
      <c r="T731" t="inlineStr"/>
    </row>
    <row r="732">
      <c r="A732" t="inlineStr">
        <is>
          <t>CC du Pays de Colombey et du Sud Toulois</t>
        </is>
      </c>
      <c r="B732" t="inlineStr">
        <is>
          <t>Communauté de communes</t>
        </is>
      </c>
      <c r="C732" t="inlineStr">
        <is>
          <t>245400510</t>
        </is>
      </c>
      <c r="D732" t="inlineStr">
        <is>
          <t>54, 88</t>
        </is>
      </c>
      <c r="E732" t="inlineStr">
        <is>
          <t>Meurthe-et-Moselle, Vosges</t>
        </is>
      </c>
      <c r="F732" t="inlineStr">
        <is>
          <t>Grand Est</t>
        </is>
      </c>
      <c r="G732" s="3" t="n">
        <v>11235</v>
      </c>
      <c r="H732" t="n">
        <v>38</v>
      </c>
      <c r="I732" t="inlineStr">
        <is>
          <t>5 rue de la Gare</t>
        </is>
      </c>
      <c r="J732" t="inlineStr">
        <is>
          <t>54170</t>
        </is>
      </c>
      <c r="K732" t="inlineStr">
        <is>
          <t>Colombey-les-Belles</t>
        </is>
      </c>
      <c r="L732" t="inlineStr">
        <is>
          <t>03 83 52 08 16</t>
        </is>
      </c>
      <c r="M732" s="4" t="inlineStr">
        <is>
          <t>contact@pays-colombey-sudtoulois.fr</t>
        </is>
      </c>
      <c r="N732" s="4" t="inlineStr">
        <is>
          <t>https://www.pays-colombey-sudtoulois.fr//</t>
        </is>
      </c>
      <c r="O732" t="inlineStr"/>
      <c r="P732" s="4" t="inlineStr">
        <is>
          <t>https://lannuaire.service-public.gouv.fr/grand-est/meurthe-et-moselle/5fc34312-4951-46b3-b55c-3a4b1c4f4b24</t>
        </is>
      </c>
      <c r="Q732" t="inlineStr">
        <is>
          <t>Annuaire Service-public.fr</t>
        </is>
      </c>
      <c r="R732" t="inlineStr"/>
      <c r="S732" t="inlineStr"/>
      <c r="T732" t="inlineStr"/>
    </row>
    <row r="733">
      <c r="A733" t="inlineStr">
        <is>
          <t>CA de Bar-le-Duc - Sud Meuse</t>
        </is>
      </c>
      <c r="B733" t="inlineStr">
        <is>
          <t>Communauté d’agglomération</t>
        </is>
      </c>
      <c r="C733" t="inlineStr">
        <is>
          <t>200033025</t>
        </is>
      </c>
      <c r="D733" t="inlineStr">
        <is>
          <t>55</t>
        </is>
      </c>
      <c r="E733" t="inlineStr">
        <is>
          <t>Meuse</t>
        </is>
      </c>
      <c r="F733" t="inlineStr">
        <is>
          <t>Grand Est</t>
        </is>
      </c>
      <c r="G733" s="3" t="n">
        <v>33485</v>
      </c>
      <c r="H733" t="n">
        <v>33</v>
      </c>
      <c r="I733" t="inlineStr">
        <is>
          <t>12 rue Lapique</t>
        </is>
      </c>
      <c r="J733" t="inlineStr">
        <is>
          <t>55012</t>
        </is>
      </c>
      <c r="K733" t="inlineStr">
        <is>
          <t>Bar-le-Duc</t>
        </is>
      </c>
      <c r="L733" t="inlineStr">
        <is>
          <t>03 29 79 56 00</t>
        </is>
      </c>
      <c r="M733" s="4" t="inlineStr">
        <is>
          <t>contact@meusegrandsud.fr</t>
        </is>
      </c>
      <c r="N733" s="4" t="inlineStr">
        <is>
          <t>https://www.meusegrandsud.fr</t>
        </is>
      </c>
      <c r="O733" s="4" t="inlineStr">
        <is>
          <t>https://www.meusegrandsud.fr/contact</t>
        </is>
      </c>
      <c r="P733" s="4" t="inlineStr">
        <is>
          <t>https://lannuaire.service-public.gouv.fr/grand-est/meuse/557e5b45-102b-475d-b7b1-28ac33db3fd5</t>
        </is>
      </c>
      <c r="Q733" t="inlineStr">
        <is>
          <t>Annuaire Service-public.fr</t>
        </is>
      </c>
      <c r="R733" t="inlineStr"/>
      <c r="S733" t="inlineStr"/>
      <c r="T733" t="inlineStr"/>
    </row>
    <row r="734">
      <c r="A734" t="inlineStr">
        <is>
          <t>CA du Grand Verdun</t>
        </is>
      </c>
      <c r="B734" t="inlineStr">
        <is>
          <t>Communauté d’agglomération</t>
        </is>
      </c>
      <c r="C734" t="inlineStr">
        <is>
          <t>200049187</t>
        </is>
      </c>
      <c r="D734" t="inlineStr">
        <is>
          <t>55</t>
        </is>
      </c>
      <c r="E734" t="inlineStr">
        <is>
          <t>Meuse</t>
        </is>
      </c>
      <c r="F734" t="inlineStr">
        <is>
          <t>Grand Est</t>
        </is>
      </c>
      <c r="G734" s="3" t="n">
        <v>27113</v>
      </c>
      <c r="H734" t="n">
        <v>25</v>
      </c>
      <c r="I734" t="inlineStr">
        <is>
          <t>11 rue du Président-Poincaré, CS 80719</t>
        </is>
      </c>
      <c r="J734" t="inlineStr">
        <is>
          <t>55107</t>
        </is>
      </c>
      <c r="K734" t="inlineStr">
        <is>
          <t>Verdun Cedex</t>
        </is>
      </c>
      <c r="L734" t="inlineStr">
        <is>
          <t>03 29 83 44 22</t>
        </is>
      </c>
      <c r="M734" s="4" t="inlineStr">
        <is>
          <t>contact@grandverdun.fr</t>
        </is>
      </c>
      <c r="N734" s="4" t="inlineStr">
        <is>
          <t>https://www.verdun.fr/</t>
        </is>
      </c>
      <c r="O734" s="4" t="inlineStr">
        <is>
          <t>https://www.verdun.fr/nous-contacter/</t>
        </is>
      </c>
      <c r="P734" s="4" t="inlineStr">
        <is>
          <t>https://lannuaire.service-public.gouv.fr/grand-est/meuse/25550430-c7c1-47bf-a8e7-43e95d4541d8</t>
        </is>
      </c>
      <c r="Q734" t="inlineStr">
        <is>
          <t>Annuaire Service-public.fr</t>
        </is>
      </c>
      <c r="R734" t="inlineStr"/>
      <c r="S734" t="inlineStr"/>
      <c r="T734" t="inlineStr"/>
    </row>
    <row r="735">
      <c r="A735" t="inlineStr">
        <is>
          <t>CC Argonne-Meuse</t>
        </is>
      </c>
      <c r="B735" t="inlineStr">
        <is>
          <t>Communauté de communes</t>
        </is>
      </c>
      <c r="C735" t="inlineStr">
        <is>
          <t>200066116</t>
        </is>
      </c>
      <c r="D735" t="inlineStr">
        <is>
          <t>55</t>
        </is>
      </c>
      <c r="E735" t="inlineStr">
        <is>
          <t>Meuse</t>
        </is>
      </c>
      <c r="F735" t="inlineStr">
        <is>
          <t>Grand Est</t>
        </is>
      </c>
      <c r="G735" s="3" t="n">
        <v>6879</v>
      </c>
      <c r="H735" t="n">
        <v>38</v>
      </c>
      <c r="I735" t="inlineStr">
        <is>
          <t>16 rue Thiers</t>
        </is>
      </c>
      <c r="J735" t="inlineStr">
        <is>
          <t>55120</t>
        </is>
      </c>
      <c r="K735" t="inlineStr">
        <is>
          <t>Clermont-en-Argonne</t>
        </is>
      </c>
      <c r="L735" t="inlineStr">
        <is>
          <t>03 29 87 40 12</t>
        </is>
      </c>
      <c r="M735" s="4" t="inlineStr">
        <is>
          <t>contact@argonne-meuse.fr</t>
        </is>
      </c>
      <c r="N735" s="4" t="inlineStr">
        <is>
          <t>https://argonne-meuse.fr</t>
        </is>
      </c>
      <c r="O735" t="inlineStr"/>
      <c r="P735" s="4" t="inlineStr">
        <is>
          <t>https://lannuaire.service-public.gouv.fr/grand-est/meuse/e6aef79e-d1a5-4cdd-9d21-75b4b81e4e1d</t>
        </is>
      </c>
      <c r="Q735" t="inlineStr">
        <is>
          <t>Annuaire Service-public.fr</t>
        </is>
      </c>
      <c r="R735" t="inlineStr"/>
      <c r="S735" t="inlineStr"/>
      <c r="T735" t="inlineStr"/>
    </row>
    <row r="736">
      <c r="A736" t="inlineStr">
        <is>
          <t>CC Côtes de Meuse Woëvre</t>
        </is>
      </c>
      <c r="B736" t="inlineStr">
        <is>
          <t>Communauté de communes</t>
        </is>
      </c>
      <c r="C736" t="inlineStr">
        <is>
          <t>200034874</t>
        </is>
      </c>
      <c r="D736" t="inlineStr">
        <is>
          <t>55</t>
        </is>
      </c>
      <c r="E736" t="inlineStr">
        <is>
          <t>Meuse</t>
        </is>
      </c>
      <c r="F736" t="inlineStr">
        <is>
          <t>Grand Est</t>
        </is>
      </c>
      <c r="G736" s="3" t="n">
        <v>6011</v>
      </c>
      <c r="H736" t="n">
        <v>25</v>
      </c>
      <c r="I736" t="inlineStr">
        <is>
          <t>22 rue Raymond-Poincaré</t>
        </is>
      </c>
      <c r="J736" t="inlineStr">
        <is>
          <t>55210</t>
        </is>
      </c>
      <c r="K736" t="inlineStr">
        <is>
          <t>Vigneulles-lès-Hattonchâtel</t>
        </is>
      </c>
      <c r="L736" t="inlineStr">
        <is>
          <t>03 29 90 00 60</t>
        </is>
      </c>
      <c r="M736" s="4" t="inlineStr">
        <is>
          <t>accueil@cc-cotesdemeuse-woevre.fr</t>
        </is>
      </c>
      <c r="N736" s="4" t="inlineStr">
        <is>
          <t>http://www.cc-cotesdemeuse-woevre.fr</t>
        </is>
      </c>
      <c r="O736" t="inlineStr"/>
      <c r="P736" s="4" t="inlineStr">
        <is>
          <t>https://lannuaire.service-public.gouv.fr/grand-est/meuse/b8d01b83-d59c-49ee-97cb-f565b9f6b980</t>
        </is>
      </c>
      <c r="Q736" t="inlineStr">
        <is>
          <t>Annuaire Service-public.fr</t>
        </is>
      </c>
      <c r="R736" t="inlineStr"/>
      <c r="S736" t="inlineStr"/>
      <c r="T736" t="inlineStr"/>
    </row>
    <row r="737">
      <c r="A737" t="inlineStr">
        <is>
          <t>CC Val de Meuse - Voie Sacrée</t>
        </is>
      </c>
      <c r="B737" t="inlineStr">
        <is>
          <t>Communauté de communes</t>
        </is>
      </c>
      <c r="C737" t="inlineStr">
        <is>
          <t>200066165</t>
        </is>
      </c>
      <c r="D737" t="inlineStr">
        <is>
          <t>55</t>
        </is>
      </c>
      <c r="E737" t="inlineStr">
        <is>
          <t>Meuse</t>
        </is>
      </c>
      <c r="F737" t="inlineStr">
        <is>
          <t>Grand Est</t>
        </is>
      </c>
      <c r="G737" s="3" t="n">
        <v>8882</v>
      </c>
      <c r="H737" t="n">
        <v>25</v>
      </c>
      <c r="I737" t="inlineStr">
        <is>
          <t>43 rue du Rattentout</t>
        </is>
      </c>
      <c r="J737" t="inlineStr">
        <is>
          <t>55320</t>
        </is>
      </c>
      <c r="K737" t="inlineStr">
        <is>
          <t>Dieue-sur-Meuse</t>
        </is>
      </c>
      <c r="L737" t="inlineStr">
        <is>
          <t>03 29 87 60 75</t>
        </is>
      </c>
      <c r="M737" s="4" t="inlineStr">
        <is>
          <t>secretariat@ccvmvs.fr</t>
        </is>
      </c>
      <c r="N737" s="4" t="inlineStr">
        <is>
          <t>https://www.valdemeusevoiesacree.com/</t>
        </is>
      </c>
      <c r="O737" s="4" t="inlineStr">
        <is>
          <t>https://www.valdemeusevoiesacree.com/contact-acces_fr.html</t>
        </is>
      </c>
      <c r="P737" s="4" t="inlineStr">
        <is>
          <t>https://lannuaire.service-public.gouv.fr/grand-est/meuse/906df6f6-626f-4787-b1bb-7f92daa13159</t>
        </is>
      </c>
      <c r="Q737" t="inlineStr">
        <is>
          <t>Annuaire Service-public.fr</t>
        </is>
      </c>
      <c r="R737" t="inlineStr"/>
      <c r="S737" t="inlineStr"/>
      <c r="T737" t="inlineStr"/>
    </row>
    <row r="738">
      <c r="A738" t="inlineStr">
        <is>
          <t>CC de Commercy - Void - Vaucouleurs</t>
        </is>
      </c>
      <c r="B738" t="inlineStr">
        <is>
          <t>Communauté de communes</t>
        </is>
      </c>
      <c r="C738" t="inlineStr">
        <is>
          <t>200066157</t>
        </is>
      </c>
      <c r="D738" t="inlineStr">
        <is>
          <t>55</t>
        </is>
      </c>
      <c r="E738" t="inlineStr">
        <is>
          <t>Meuse</t>
        </is>
      </c>
      <c r="F738" t="inlineStr">
        <is>
          <t>Grand Est</t>
        </is>
      </c>
      <c r="G738" s="3" t="n">
        <v>21952</v>
      </c>
      <c r="H738" t="n">
        <v>54</v>
      </c>
      <c r="I738" t="inlineStr">
        <is>
          <t>Château Stanislas</t>
        </is>
      </c>
      <c r="J738" t="inlineStr">
        <is>
          <t>55200</t>
        </is>
      </c>
      <c r="K738" t="inlineStr">
        <is>
          <t>Commercy</t>
        </is>
      </c>
      <c r="L738" t="inlineStr">
        <is>
          <t>03 29 91 21 88</t>
        </is>
      </c>
      <c r="M738" s="4" t="inlineStr">
        <is>
          <t>cc-cvv@orange.fr</t>
        </is>
      </c>
      <c r="N738" s="4" t="inlineStr">
        <is>
          <t>https://cc-cvv.fr/</t>
        </is>
      </c>
      <c r="O738" s="4" t="inlineStr">
        <is>
          <t>https://cc-cvv.fr/contact/</t>
        </is>
      </c>
      <c r="P738" s="4" t="inlineStr">
        <is>
          <t>https://lannuaire.service-public.gouv.fr/grand-est/meuse/e94f6b26-37b4-4b56-9ada-5da3878ffd66</t>
        </is>
      </c>
      <c r="Q738" t="inlineStr">
        <is>
          <t>Annuaire Service-public.fr</t>
        </is>
      </c>
      <c r="R738" t="inlineStr"/>
      <c r="S738" t="inlineStr"/>
      <c r="T738" t="inlineStr"/>
    </row>
    <row r="739">
      <c r="A739" t="inlineStr">
        <is>
          <t>CC de Damvillers Spincourt</t>
        </is>
      </c>
      <c r="B739" t="inlineStr">
        <is>
          <t>Communauté de communes</t>
        </is>
      </c>
      <c r="C739" t="inlineStr">
        <is>
          <t>200066173</t>
        </is>
      </c>
      <c r="D739" t="inlineStr">
        <is>
          <t>55</t>
        </is>
      </c>
      <c r="E739" t="inlineStr">
        <is>
          <t>Meuse</t>
        </is>
      </c>
      <c r="F739" t="inlineStr">
        <is>
          <t>Grand Est</t>
        </is>
      </c>
      <c r="G739" s="3" t="n">
        <v>8036</v>
      </c>
      <c r="H739" t="n">
        <v>41</v>
      </c>
      <c r="I739" t="inlineStr">
        <is>
          <t>3 place Louis-Bertrand</t>
        </is>
      </c>
      <c r="J739" t="inlineStr">
        <is>
          <t>55230</t>
        </is>
      </c>
      <c r="K739" t="inlineStr">
        <is>
          <t>Spincourt</t>
        </is>
      </c>
      <c r="L739" t="inlineStr">
        <is>
          <t>03 29 85 95 44</t>
        </is>
      </c>
      <c r="M739" s="4" t="inlineStr">
        <is>
          <t>codecom@damvillers-spincourt.fr</t>
        </is>
      </c>
      <c r="N739" s="4" t="inlineStr">
        <is>
          <t>https://damvillers-spincourt.com/</t>
        </is>
      </c>
      <c r="O739" s="4" t="inlineStr">
        <is>
          <t>https://damvillers-spincourt.com/nous-contacter/</t>
        </is>
      </c>
      <c r="P739" s="4" t="inlineStr">
        <is>
          <t>https://lannuaire.service-public.gouv.fr/grand-est/meuse/9fa3cd2c-c2e0-4c84-a5d8-7b2925067ef5</t>
        </is>
      </c>
      <c r="Q739" t="inlineStr">
        <is>
          <t>Annuaire Service-public.fr</t>
        </is>
      </c>
      <c r="R739" t="inlineStr"/>
      <c r="S739" t="inlineStr"/>
      <c r="T739" t="inlineStr"/>
    </row>
    <row r="740">
      <c r="A740" t="inlineStr">
        <is>
          <t>CC de l'Aire à l'Argonne</t>
        </is>
      </c>
      <c r="B740" t="inlineStr">
        <is>
          <t>Communauté de communes</t>
        </is>
      </c>
      <c r="C740" t="inlineStr">
        <is>
          <t>200066140</t>
        </is>
      </c>
      <c r="D740" t="inlineStr">
        <is>
          <t>55</t>
        </is>
      </c>
      <c r="E740" t="inlineStr">
        <is>
          <t>Meuse</t>
        </is>
      </c>
      <c r="F740" t="inlineStr">
        <is>
          <t>Grand Est</t>
        </is>
      </c>
      <c r="G740" s="3" t="n">
        <v>6382</v>
      </c>
      <c r="H740" t="n">
        <v>47</v>
      </c>
      <c r="I740" t="inlineStr">
        <is>
          <t>42 rue Berne, Maison des services</t>
        </is>
      </c>
      <c r="J740" t="inlineStr">
        <is>
          <t>55250</t>
        </is>
      </c>
      <c r="K740" t="inlineStr">
        <is>
          <t>Beausite</t>
        </is>
      </c>
      <c r="L740" t="inlineStr">
        <is>
          <t>03 29 70 61 17</t>
        </is>
      </c>
      <c r="M740" s="4" t="inlineStr">
        <is>
          <t>contact@cc-aireargonne.fr</t>
        </is>
      </c>
      <c r="N740" s="4" t="inlineStr">
        <is>
          <t>https://www.cc-aireargonne.fr/</t>
        </is>
      </c>
      <c r="O740" s="4" t="inlineStr">
        <is>
          <t>https://www.cc-aireargonne.fr/contact_fr.html</t>
        </is>
      </c>
      <c r="P740" s="4" t="inlineStr">
        <is>
          <t>https://lannuaire.service-public.gouv.fr/grand-est/meuse/f0aaea0f-d2cf-4c85-a1bb-b4358fd56449</t>
        </is>
      </c>
      <c r="Q740" t="inlineStr">
        <is>
          <t>Annuaire Service-public.fr</t>
        </is>
      </c>
      <c r="R740" t="inlineStr"/>
      <c r="S740" t="inlineStr"/>
      <c r="T740" t="inlineStr"/>
    </row>
    <row r="741">
      <c r="A741" t="inlineStr">
        <is>
          <t>CC des Portes de Meuse</t>
        </is>
      </c>
      <c r="B741" t="inlineStr">
        <is>
          <t>Communauté de communes</t>
        </is>
      </c>
      <c r="C741" t="inlineStr">
        <is>
          <t>200066108</t>
        </is>
      </c>
      <c r="D741" t="inlineStr">
        <is>
          <t>55</t>
        </is>
      </c>
      <c r="E741" t="inlineStr">
        <is>
          <t>Meuse</t>
        </is>
      </c>
      <c r="F741" t="inlineStr">
        <is>
          <t>Grand Est</t>
        </is>
      </c>
      <c r="G741" s="3" t="n">
        <v>16003</v>
      </c>
      <c r="H741" t="n">
        <v>51</v>
      </c>
      <c r="I741" t="inlineStr">
        <is>
          <t>1 rue de l'Abbaye-Écurey</t>
        </is>
      </c>
      <c r="J741" t="inlineStr">
        <is>
          <t>55290</t>
        </is>
      </c>
      <c r="K741" t="inlineStr">
        <is>
          <t>Montiers-sur-Saulx</t>
        </is>
      </c>
      <c r="L741" t="inlineStr">
        <is>
          <t>03 29 75 97 40</t>
        </is>
      </c>
      <c r="M741" s="4" t="inlineStr">
        <is>
          <t>contact@portesdemeuse.fr</t>
        </is>
      </c>
      <c r="N741" s="4" t="inlineStr">
        <is>
          <t>https://www.portesdemeuse.fr/</t>
        </is>
      </c>
      <c r="O741" s="4" t="inlineStr">
        <is>
          <t>https://www.portesdemeuse.fr/contact/</t>
        </is>
      </c>
      <c r="P741" s="4" t="inlineStr">
        <is>
          <t>https://lannuaire.service-public.gouv.fr/grand-est/meuse/93b26386-154a-4d24-9525-1e8765253f39</t>
        </is>
      </c>
      <c r="Q741" t="inlineStr">
        <is>
          <t>Annuaire Service-public.fr</t>
        </is>
      </c>
      <c r="R741" t="inlineStr"/>
      <c r="S741" t="inlineStr"/>
      <c r="T741" t="inlineStr"/>
    </row>
    <row r="742">
      <c r="A742" t="inlineStr">
        <is>
          <t>CC du Pays d'Étain</t>
        </is>
      </c>
      <c r="B742" t="inlineStr">
        <is>
          <t>Communauté de communes</t>
        </is>
      </c>
      <c r="C742" t="inlineStr">
        <is>
          <t>245501242</t>
        </is>
      </c>
      <c r="D742" t="inlineStr">
        <is>
          <t>55</t>
        </is>
      </c>
      <c r="E742" t="inlineStr">
        <is>
          <t>Meuse</t>
        </is>
      </c>
      <c r="F742" t="inlineStr">
        <is>
          <t>Grand Est</t>
        </is>
      </c>
      <c r="G742" s="3" t="n">
        <v>7443</v>
      </c>
      <c r="H742" t="n">
        <v>26</v>
      </c>
      <c r="I742" t="inlineStr">
        <is>
          <t>29 allée du Champ-de-Foire</t>
        </is>
      </c>
      <c r="J742" t="inlineStr">
        <is>
          <t>55400</t>
        </is>
      </c>
      <c r="K742" t="inlineStr">
        <is>
          <t>Étain</t>
        </is>
      </c>
      <c r="L742" t="inlineStr">
        <is>
          <t>03 29 87 86 08</t>
        </is>
      </c>
      <c r="M742" s="4" t="inlineStr">
        <is>
          <t>accueil@pays-etain.fr</t>
        </is>
      </c>
      <c r="N742" s="4" t="inlineStr">
        <is>
          <t>https://www.pays-etain.fr/fr/</t>
        </is>
      </c>
      <c r="O742" s="4" t="inlineStr">
        <is>
          <t>https://www.pays-etain.fr/fr/formulaire-de-contact</t>
        </is>
      </c>
      <c r="P742" s="4" t="inlineStr">
        <is>
          <t>https://lannuaire.service-public.gouv.fr/grand-est/meuse/343fab92-29b2-4b61-8243-542aadb234cc</t>
        </is>
      </c>
      <c r="Q742" t="inlineStr">
        <is>
          <t>Annuaire Service-public.fr</t>
        </is>
      </c>
      <c r="R742" t="inlineStr"/>
      <c r="S742" t="inlineStr"/>
      <c r="T742" t="inlineStr"/>
    </row>
    <row r="743">
      <c r="A743" t="inlineStr">
        <is>
          <t>CC du Pays de Montmédy</t>
        </is>
      </c>
      <c r="B743" t="inlineStr">
        <is>
          <t>Communauté de communes</t>
        </is>
      </c>
      <c r="C743" t="inlineStr">
        <is>
          <t>245501259</t>
        </is>
      </c>
      <c r="D743" t="inlineStr">
        <is>
          <t>55</t>
        </is>
      </c>
      <c r="E743" t="inlineStr">
        <is>
          <t>Meuse</t>
        </is>
      </c>
      <c r="F743" t="inlineStr">
        <is>
          <t>Grand Est</t>
        </is>
      </c>
      <c r="G743" s="3" t="n">
        <v>6860</v>
      </c>
      <c r="H743" t="n">
        <v>25</v>
      </c>
      <c r="I743" t="inlineStr">
        <is>
          <t>20 avenue de la Gare</t>
        </is>
      </c>
      <c r="J743" t="inlineStr">
        <is>
          <t>55600</t>
        </is>
      </c>
      <c r="K743" t="inlineStr">
        <is>
          <t>Montmédy</t>
        </is>
      </c>
      <c r="L743" t="inlineStr">
        <is>
          <t>03 29 80 16 44</t>
        </is>
      </c>
      <c r="M743" s="4" t="inlineStr">
        <is>
          <t>contact@codecom-paysdemontmedy.fr</t>
        </is>
      </c>
      <c r="N743" s="4" t="inlineStr">
        <is>
          <t>https://www.codecom-paysdemontmedy.fr/</t>
        </is>
      </c>
      <c r="O743" t="inlineStr"/>
      <c r="P743" s="4" t="inlineStr">
        <is>
          <t>https://lannuaire.service-public.gouv.fr/grand-est/meuse/02b7cd56-40ec-4dc0-8ae1-4fec71f46257</t>
        </is>
      </c>
      <c r="Q743" t="inlineStr">
        <is>
          <t>Annuaire Service-public.fr</t>
        </is>
      </c>
      <c r="R743" t="inlineStr"/>
      <c r="S743" t="inlineStr"/>
      <c r="T743" t="inlineStr"/>
    </row>
    <row r="744">
      <c r="A744" t="inlineStr">
        <is>
          <t>CC du Pays de Revigny-sur-Ornain</t>
        </is>
      </c>
      <c r="B744" t="inlineStr">
        <is>
          <t>Communauté de communes</t>
        </is>
      </c>
      <c r="C744" t="inlineStr">
        <is>
          <t>245501184</t>
        </is>
      </c>
      <c r="D744" t="inlineStr">
        <is>
          <t>55</t>
        </is>
      </c>
      <c r="E744" t="inlineStr">
        <is>
          <t>Meuse</t>
        </is>
      </c>
      <c r="F744" t="inlineStr">
        <is>
          <t>Grand Est</t>
        </is>
      </c>
      <c r="G744" s="3" t="n">
        <v>6821</v>
      </c>
      <c r="H744" t="n">
        <v>16</v>
      </c>
      <c r="I744" t="inlineStr">
        <is>
          <t>5 bis rue du 15eme corps</t>
        </is>
      </c>
      <c r="J744" t="inlineStr">
        <is>
          <t>55800</t>
        </is>
      </c>
      <c r="K744" t="inlineStr">
        <is>
          <t>Revigny-sur-Ornain</t>
        </is>
      </c>
      <c r="L744" t="inlineStr">
        <is>
          <t>03 29 78 75 69</t>
        </is>
      </c>
      <c r="M744" s="4" t="inlineStr">
        <is>
          <t>contact@copary.fr</t>
        </is>
      </c>
      <c r="N744" s="4" t="inlineStr">
        <is>
          <t>https://www.copary.fr/index.php</t>
        </is>
      </c>
      <c r="O744" t="inlineStr"/>
      <c r="P744" s="4" t="inlineStr">
        <is>
          <t>https://lannuaire.service-public.gouv.fr/grand-est/meuse/2c9ed901-1938-47ee-be60-de50ae62facb</t>
        </is>
      </c>
      <c r="Q744" t="inlineStr">
        <is>
          <t>Annuaire Service-public.fr</t>
        </is>
      </c>
      <c r="R744" t="inlineStr"/>
      <c r="S744" t="inlineStr"/>
      <c r="T744" t="inlineStr"/>
    </row>
    <row r="745">
      <c r="A745" t="inlineStr">
        <is>
          <t>CC du Pays de Stenay et du Val Dunois</t>
        </is>
      </c>
      <c r="B745" t="inlineStr">
        <is>
          <t>Communauté de communes</t>
        </is>
      </c>
      <c r="C745" t="inlineStr">
        <is>
          <t>200066132</t>
        </is>
      </c>
      <c r="D745" t="inlineStr">
        <is>
          <t>55</t>
        </is>
      </c>
      <c r="E745" t="inlineStr">
        <is>
          <t>Meuse</t>
        </is>
      </c>
      <c r="F745" t="inlineStr">
        <is>
          <t>Grand Est</t>
        </is>
      </c>
      <c r="G745" s="3" t="n">
        <v>9430</v>
      </c>
      <c r="H745" t="n">
        <v>41</v>
      </c>
      <c r="I745" t="inlineStr">
        <is>
          <t>6D avenue de Verdun</t>
        </is>
      </c>
      <c r="J745" t="inlineStr">
        <is>
          <t>55700</t>
        </is>
      </c>
      <c r="K745" t="inlineStr">
        <is>
          <t>Stenay</t>
        </is>
      </c>
      <c r="L745" t="inlineStr">
        <is>
          <t>03 29 80 31 81</t>
        </is>
      </c>
      <c r="M745" s="4" t="inlineStr">
        <is>
          <t>accueil@ccstenaydun.fr</t>
        </is>
      </c>
      <c r="N745" s="4" t="inlineStr">
        <is>
          <t>http://www.cc-paysdestenay-valdunois.fr</t>
        </is>
      </c>
      <c r="O745" s="4" t="inlineStr">
        <is>
          <t>http://www.cc-paysdestenay-valdunois.fr/fr/nous-contacter</t>
        </is>
      </c>
      <c r="P745" s="4" t="inlineStr">
        <is>
          <t>https://lannuaire.service-public.gouv.fr/grand-est/meuse/dcb74a37-d7d1-418a-8a33-3b0c91ec59d4</t>
        </is>
      </c>
      <c r="Q745" t="inlineStr">
        <is>
          <t>Annuaire Service-public.fr</t>
        </is>
      </c>
      <c r="R745" t="inlineStr"/>
      <c r="S745" t="inlineStr"/>
      <c r="T745" t="inlineStr"/>
    </row>
    <row r="746">
      <c r="A746" t="inlineStr">
        <is>
          <t>CC du Sammiellois</t>
        </is>
      </c>
      <c r="B746" t="inlineStr">
        <is>
          <t>Communauté de communes</t>
        </is>
      </c>
      <c r="C746" t="inlineStr">
        <is>
          <t>245500327</t>
        </is>
      </c>
      <c r="D746" t="inlineStr">
        <is>
          <t>55</t>
        </is>
      </c>
      <c r="E746" t="inlineStr">
        <is>
          <t>Meuse</t>
        </is>
      </c>
      <c r="F746" t="inlineStr">
        <is>
          <t>Grand Est</t>
        </is>
      </c>
      <c r="G746" s="3" t="n">
        <v>8219</v>
      </c>
      <c r="H746" t="n">
        <v>19</v>
      </c>
      <c r="I746" t="inlineStr">
        <is>
          <t>Place des Moines</t>
        </is>
      </c>
      <c r="J746" t="inlineStr">
        <is>
          <t>55300</t>
        </is>
      </c>
      <c r="K746" t="inlineStr">
        <is>
          <t>Saint-Mihiel</t>
        </is>
      </c>
      <c r="L746" t="inlineStr">
        <is>
          <t>03 29 89 19 02</t>
        </is>
      </c>
      <c r="M746" s="4" t="inlineStr">
        <is>
          <t>accueil@cc-sammiellois.fr</t>
        </is>
      </c>
      <c r="N746" s="4" t="inlineStr">
        <is>
          <t>https://www.cc-sammiellois.fr/</t>
        </is>
      </c>
      <c r="O746" t="inlineStr"/>
      <c r="P746" s="4" t="inlineStr">
        <is>
          <t>https://lannuaire.service-public.gouv.fr/grand-est/meuse/8730af67-868f-430d-99f6-ed9257a76937</t>
        </is>
      </c>
      <c r="Q746" t="inlineStr">
        <is>
          <t>Annuaire Service-public.fr</t>
        </is>
      </c>
      <c r="R746" t="inlineStr"/>
      <c r="S746" t="inlineStr"/>
      <c r="T746" t="inlineStr"/>
    </row>
    <row r="747">
      <c r="A747" t="inlineStr">
        <is>
          <t>CC du Territoire de Fresnes-en-Woëvre</t>
        </is>
      </c>
      <c r="B747" t="inlineStr">
        <is>
          <t>Communauté de communes</t>
        </is>
      </c>
      <c r="C747" t="inlineStr">
        <is>
          <t>245501176</t>
        </is>
      </c>
      <c r="D747" t="inlineStr">
        <is>
          <t>55</t>
        </is>
      </c>
      <c r="E747" t="inlineStr">
        <is>
          <t>Meuse</t>
        </is>
      </c>
      <c r="F747" t="inlineStr">
        <is>
          <t>Grand Est</t>
        </is>
      </c>
      <c r="G747" s="3" t="n">
        <v>4801</v>
      </c>
      <c r="H747" t="n">
        <v>32</v>
      </c>
      <c r="I747" t="inlineStr">
        <is>
          <t>5 rue du Château</t>
        </is>
      </c>
      <c r="J747" t="inlineStr">
        <is>
          <t>55160</t>
        </is>
      </c>
      <c r="K747" t="inlineStr">
        <is>
          <t>Fresnes-en-Woëvre</t>
        </is>
      </c>
      <c r="L747" t="inlineStr">
        <is>
          <t>03 29 87 31 29</t>
        </is>
      </c>
      <c r="M747" s="4" t="inlineStr">
        <is>
          <t>contact@codecomfresnes.com</t>
        </is>
      </c>
      <c r="N747" s="4" t="inlineStr">
        <is>
          <t>https://codecom-fresnes.com/</t>
        </is>
      </c>
      <c r="O747" s="4" t="inlineStr">
        <is>
          <t>https://codecom-fresnes.com/formulaire-de-contact/</t>
        </is>
      </c>
      <c r="P747" s="4" t="inlineStr">
        <is>
          <t>https://lannuaire.service-public.gouv.fr/grand-est/meuse/b141ed02-93f8-4c25-a545-5d8b3e465c9b</t>
        </is>
      </c>
      <c r="Q747" t="inlineStr">
        <is>
          <t>Annuaire Service-public.fr</t>
        </is>
      </c>
      <c r="R747" t="inlineStr"/>
      <c r="S747" t="inlineStr"/>
      <c r="T747" t="inlineStr"/>
    </row>
    <row r="748">
      <c r="A748" t="inlineStr">
        <is>
          <t>CA Golfe du Morbihan - Vannes Agglomération</t>
        </is>
      </c>
      <c r="B748" t="inlineStr">
        <is>
          <t>Communauté d’agglomération</t>
        </is>
      </c>
      <c r="C748" t="inlineStr">
        <is>
          <t>200067932</t>
        </is>
      </c>
      <c r="D748" t="inlineStr">
        <is>
          <t>56</t>
        </is>
      </c>
      <c r="E748" t="inlineStr">
        <is>
          <t>Morbihan</t>
        </is>
      </c>
      <c r="F748" t="inlineStr">
        <is>
          <t>Bretagne</t>
        </is>
      </c>
      <c r="G748" s="3" t="n">
        <v>177719</v>
      </c>
      <c r="H748" t="n">
        <v>34</v>
      </c>
      <c r="I748" t="inlineStr">
        <is>
          <t>Parc d'innovation Bretagne-Sud, 30 rue Alfred-Kastler, CS 70206</t>
        </is>
      </c>
      <c r="J748" t="inlineStr">
        <is>
          <t>56006</t>
        </is>
      </c>
      <c r="K748" t="inlineStr">
        <is>
          <t>Vannes Cedex</t>
        </is>
      </c>
      <c r="L748" t="inlineStr">
        <is>
          <t>02 97 68 14 24</t>
        </is>
      </c>
      <c r="M748" s="4" t="inlineStr">
        <is>
          <t>courrier@gmvagglo.bzh</t>
        </is>
      </c>
      <c r="N748" s="4" t="inlineStr">
        <is>
          <t>https://www.golfedumorbihan-vannesagglomeration.bzh/</t>
        </is>
      </c>
      <c r="O748" s="4" t="inlineStr">
        <is>
          <t>https://www.golfedumorbihan-vannesagglomeration.bzh/nous-contacter/</t>
        </is>
      </c>
      <c r="P748" s="4" t="inlineStr">
        <is>
          <t>https://lannuaire.service-public.gouv.fr/bretagne/morbihan/d502f4f3-3e3a-4618-b42b-ed47b9db1bc6</t>
        </is>
      </c>
      <c r="Q748" t="inlineStr">
        <is>
          <t>Annuaire Service-public.fr</t>
        </is>
      </c>
      <c r="R748" t="inlineStr"/>
      <c r="S748" t="inlineStr"/>
      <c r="T748" t="inlineStr"/>
    </row>
    <row r="749">
      <c r="A749" t="inlineStr">
        <is>
          <t>CA Lorient Agglomération</t>
        </is>
      </c>
      <c r="B749" t="inlineStr">
        <is>
          <t>Communauté d’agglomération</t>
        </is>
      </c>
      <c r="C749" t="inlineStr">
        <is>
          <t>200042174</t>
        </is>
      </c>
      <c r="D749" t="inlineStr">
        <is>
          <t>56</t>
        </is>
      </c>
      <c r="E749" t="inlineStr">
        <is>
          <t>Morbihan</t>
        </is>
      </c>
      <c r="F749" t="inlineStr">
        <is>
          <t>Bretagne</t>
        </is>
      </c>
      <c r="G749" s="3" t="n">
        <v>208113</v>
      </c>
      <c r="H749" t="n">
        <v>25</v>
      </c>
      <c r="I749" t="inlineStr">
        <is>
          <t>Esplanade du Péristyle</t>
        </is>
      </c>
      <c r="J749" t="inlineStr">
        <is>
          <t>56100</t>
        </is>
      </c>
      <c r="K749" t="inlineStr">
        <is>
          <t>Lorient</t>
        </is>
      </c>
      <c r="L749" t="inlineStr">
        <is>
          <t>02 90 74 71 00</t>
        </is>
      </c>
      <c r="M749" s="4" t="inlineStr">
        <is>
          <t>contact@agglo-lorient.fr</t>
        </is>
      </c>
      <c r="N749" s="4" t="inlineStr">
        <is>
          <t>https://www.lorient-agglo.bzh/</t>
        </is>
      </c>
      <c r="O749" s="4" t="inlineStr">
        <is>
          <t>https://www.lorient-agglo.bzh/agglo/contact/</t>
        </is>
      </c>
      <c r="P749" s="4" t="inlineStr">
        <is>
          <t>https://lannuaire.service-public.gouv.fr/bretagne/morbihan/abab3da3-4cd6-42f1-ac88-9fa3f1bc4154</t>
        </is>
      </c>
      <c r="Q749" t="inlineStr">
        <is>
          <t>Annuaire Service-public.fr</t>
        </is>
      </c>
      <c r="R749" t="inlineStr"/>
      <c r="S749" t="inlineStr"/>
      <c r="T749" t="inlineStr"/>
    </row>
    <row r="750">
      <c r="A750" t="inlineStr">
        <is>
          <t>CC Arc Sud Bretagne</t>
        </is>
      </c>
      <c r="B750" t="inlineStr">
        <is>
          <t>Communauté de communes</t>
        </is>
      </c>
      <c r="C750" t="inlineStr">
        <is>
          <t>200027027</t>
        </is>
      </c>
      <c r="D750" t="inlineStr">
        <is>
          <t>56</t>
        </is>
      </c>
      <c r="E750" t="inlineStr">
        <is>
          <t>Morbihan</t>
        </is>
      </c>
      <c r="F750" t="inlineStr">
        <is>
          <t>Bretagne</t>
        </is>
      </c>
      <c r="G750" s="3" t="n">
        <v>29113</v>
      </c>
      <c r="H750" t="n">
        <v>12</v>
      </c>
      <c r="I750" t="inlineStr">
        <is>
          <t>Allée Raymond-Le-Duigou</t>
        </is>
      </c>
      <c r="J750" t="inlineStr">
        <is>
          <t>56190</t>
        </is>
      </c>
      <c r="K750" t="inlineStr">
        <is>
          <t>Muzillac</t>
        </is>
      </c>
      <c r="L750" t="inlineStr">
        <is>
          <t>02 97 41 46 26</t>
        </is>
      </c>
      <c r="M750" s="4" t="inlineStr">
        <is>
          <t>contact@arcsudbretagne.fr</t>
        </is>
      </c>
      <c r="N750" s="4" t="inlineStr">
        <is>
          <t>https://www.arc-sud-bretagne.fr/</t>
        </is>
      </c>
      <c r="O750" s="4" t="inlineStr">
        <is>
          <t>https://www.arc-sud-bretagne.fr/nous-contacter/</t>
        </is>
      </c>
      <c r="P750" s="4" t="inlineStr">
        <is>
          <t>https://lannuaire.service-public.gouv.fr/bretagne/morbihan/7c804cca-e793-4551-ada9-129ba8b9ca58</t>
        </is>
      </c>
      <c r="Q750" t="inlineStr">
        <is>
          <t>Annuaire Service-public.fr</t>
        </is>
      </c>
      <c r="R750" t="inlineStr"/>
      <c r="S750" t="inlineStr"/>
      <c r="T750" t="inlineStr"/>
    </row>
    <row r="751">
      <c r="A751" t="inlineStr">
        <is>
          <t>CC Auray Quiberon Terre Atlantique</t>
        </is>
      </c>
      <c r="B751" t="inlineStr">
        <is>
          <t>Communauté de communes</t>
        </is>
      </c>
      <c r="C751" t="inlineStr">
        <is>
          <t>200043123</t>
        </is>
      </c>
      <c r="D751" t="inlineStr">
        <is>
          <t>56</t>
        </is>
      </c>
      <c r="E751" t="inlineStr">
        <is>
          <t>Morbihan</t>
        </is>
      </c>
      <c r="F751" t="inlineStr">
        <is>
          <t>Bretagne</t>
        </is>
      </c>
      <c r="G751" s="3" t="n">
        <v>91034</v>
      </c>
      <c r="H751" t="n">
        <v>24</v>
      </c>
      <c r="I751" t="inlineStr">
        <is>
          <t>40 rue du Danemark</t>
        </is>
      </c>
      <c r="J751" t="inlineStr">
        <is>
          <t>56400</t>
        </is>
      </c>
      <c r="K751" t="inlineStr">
        <is>
          <t>Auray</t>
        </is>
      </c>
      <c r="L751" t="inlineStr">
        <is>
          <t>02 97 29 18 69</t>
        </is>
      </c>
      <c r="M751" s="4" t="inlineStr">
        <is>
          <t>accueil@auray-quiberon.fr</t>
        </is>
      </c>
      <c r="N751" s="4" t="inlineStr">
        <is>
          <t>https://www.auray-quiberon.fr/</t>
        </is>
      </c>
      <c r="O751" s="4" t="inlineStr">
        <is>
          <t>https://www.auray-quiberon.fr/contactez-nous-100.html</t>
        </is>
      </c>
      <c r="P751" s="4" t="inlineStr">
        <is>
          <t>https://lannuaire.service-public.gouv.fr/bretagne/morbihan/30a95b88-408b-4105-b387-5bc8992c0e3d</t>
        </is>
      </c>
      <c r="Q751" t="inlineStr">
        <is>
          <t>Annuaire Service-public.fr</t>
        </is>
      </c>
      <c r="R751" t="inlineStr"/>
      <c r="S751" t="inlineStr"/>
      <c r="T751" t="inlineStr"/>
    </row>
    <row r="752">
      <c r="A752" t="inlineStr">
        <is>
          <t>CC Baud Communauté</t>
        </is>
      </c>
      <c r="B752" t="inlineStr">
        <is>
          <t>Communauté de communes</t>
        </is>
      </c>
      <c r="C752" t="inlineStr">
        <is>
          <t>200096675</t>
        </is>
      </c>
      <c r="D752" t="inlineStr">
        <is>
          <t>56</t>
        </is>
      </c>
      <c r="E752" t="inlineStr">
        <is>
          <t>Morbihan</t>
        </is>
      </c>
      <c r="F752" t="inlineStr">
        <is>
          <t>Bretagne</t>
        </is>
      </c>
      <c r="G752" s="3" t="n">
        <v>16419</v>
      </c>
      <c r="H752" t="n">
        <v>6</v>
      </c>
      <c r="I752" t="inlineStr">
        <is>
          <t>23 avenue des Joncades-Basses</t>
        </is>
      </c>
      <c r="J752" t="inlineStr">
        <is>
          <t>13210</t>
        </is>
      </c>
      <c r="K752" t="inlineStr">
        <is>
          <t>Saint-Remy-de-Provence</t>
        </is>
      </c>
      <c r="L752" t="inlineStr">
        <is>
          <t>04 90 54 54 20</t>
        </is>
      </c>
      <c r="M752" s="4" t="inlineStr">
        <is>
          <t>bienvenue@ccvba.fr</t>
        </is>
      </c>
      <c r="N752" s="4" t="inlineStr">
        <is>
          <t>https://www.vallee-des-baux-alpilles.fr/</t>
        </is>
      </c>
      <c r="O752" s="4" t="inlineStr">
        <is>
          <t>https://www.vallee-des-baux-alpilles.fr/contactez-nous/</t>
        </is>
      </c>
      <c r="P752" s="4" t="inlineStr">
        <is>
          <t>https://lannuaire.service-public.gouv.fr/provence-alpes-cote-d-azur/bouches-du-rhone/73f09749-0063-4339-8369-ee180e77ed85</t>
        </is>
      </c>
      <c r="Q752" t="inlineStr">
        <is>
          <t>Annuaire Service-public.fr</t>
        </is>
      </c>
      <c r="R752" t="inlineStr"/>
      <c r="S752" t="inlineStr"/>
      <c r="T752" t="inlineStr"/>
    </row>
    <row r="753">
      <c r="A753" t="inlineStr">
        <is>
          <t>CC Blavet Bellevue Océan</t>
        </is>
      </c>
      <c r="B753" t="inlineStr">
        <is>
          <t>Communauté de communes</t>
        </is>
      </c>
      <c r="C753" t="inlineStr">
        <is>
          <t>245600440</t>
        </is>
      </c>
      <c r="D753" t="inlineStr">
        <is>
          <t>56</t>
        </is>
      </c>
      <c r="E753" t="inlineStr">
        <is>
          <t>Morbihan</t>
        </is>
      </c>
      <c r="F753" t="inlineStr">
        <is>
          <t>Bretagne</t>
        </is>
      </c>
      <c r="G753" s="3" t="n">
        <v>18567</v>
      </c>
      <c r="H753" t="n">
        <v>5</v>
      </c>
      <c r="I753" t="inlineStr">
        <is>
          <t>Allée de Ti-Neùé</t>
        </is>
      </c>
      <c r="J753" t="inlineStr">
        <is>
          <t>56700</t>
        </is>
      </c>
      <c r="K753" t="inlineStr">
        <is>
          <t>Merlevenez</t>
        </is>
      </c>
      <c r="L753" t="inlineStr">
        <is>
          <t>02 97 65 62 90</t>
        </is>
      </c>
      <c r="M753" s="4" t="inlineStr">
        <is>
          <t>contact@bbo-communaute.bzh</t>
        </is>
      </c>
      <c r="N753" s="4" t="inlineStr">
        <is>
          <t>https://www.bbo-communaute.bzh/</t>
        </is>
      </c>
      <c r="O753" s="4" t="inlineStr">
        <is>
          <t>https://www.bbo-communaute.bzh/contact.html</t>
        </is>
      </c>
      <c r="P753" s="4" t="inlineStr">
        <is>
          <t>https://lannuaire.service-public.gouv.fr/bretagne/morbihan/72e1d606-0458-484a-a47b-ddf8f4335121</t>
        </is>
      </c>
      <c r="Q753" t="inlineStr">
        <is>
          <t>Annuaire Service-public.fr</t>
        </is>
      </c>
      <c r="R753" t="inlineStr"/>
      <c r="S753" t="inlineStr"/>
      <c r="T753" t="inlineStr"/>
    </row>
    <row r="754">
      <c r="A754" t="inlineStr">
        <is>
          <t>CC Centre Morbihan Communauté</t>
        </is>
      </c>
      <c r="B754" t="inlineStr">
        <is>
          <t>Communauté de communes</t>
        </is>
      </c>
      <c r="C754" t="inlineStr">
        <is>
          <t>200096683</t>
        </is>
      </c>
      <c r="D754" t="inlineStr">
        <is>
          <t>56</t>
        </is>
      </c>
      <c r="E754" t="inlineStr">
        <is>
          <t>Morbihan</t>
        </is>
      </c>
      <c r="F754" t="inlineStr">
        <is>
          <t>Bretagne</t>
        </is>
      </c>
      <c r="G754" s="3" t="n">
        <v>27003</v>
      </c>
      <c r="H754" t="n">
        <v>12</v>
      </c>
      <c r="I754" t="inlineStr">
        <is>
          <t>Zone de Kerjean, CS 10369</t>
        </is>
      </c>
      <c r="J754" t="inlineStr">
        <is>
          <t>56500</t>
        </is>
      </c>
      <c r="K754" t="inlineStr">
        <is>
          <t>Locminé</t>
        </is>
      </c>
      <c r="L754" t="inlineStr">
        <is>
          <t>02 97 44 22 58</t>
        </is>
      </c>
      <c r="M754" s="4" t="inlineStr">
        <is>
          <t>accueil@cmc.bzh</t>
        </is>
      </c>
      <c r="N754" s="4" t="inlineStr">
        <is>
          <t>https://www.centremorbihancommunaute.bzh/</t>
        </is>
      </c>
      <c r="O754" s="4" t="inlineStr">
        <is>
          <t>https://www.centremorbihancommunaute.bzh/contact/</t>
        </is>
      </c>
      <c r="P754" s="4" t="inlineStr">
        <is>
          <t>https://lannuaire.service-public.gouv.fr/bretagne/morbihan/3328fc21-cf36-4935-b615-9f71e1bf5aa8</t>
        </is>
      </c>
      <c r="Q754" t="inlineStr">
        <is>
          <t>Annuaire Service-public.fr</t>
        </is>
      </c>
      <c r="R754" t="inlineStr"/>
      <c r="S754" t="inlineStr"/>
      <c r="T754" t="inlineStr"/>
    </row>
    <row r="755">
      <c r="A755" t="inlineStr">
        <is>
          <t>CC Ploërmel Communauté</t>
        </is>
      </c>
      <c r="B755" t="inlineStr">
        <is>
          <t>Communauté de communes</t>
        </is>
      </c>
      <c r="C755" t="inlineStr">
        <is>
          <t>200066777</t>
        </is>
      </c>
      <c r="D755" t="inlineStr">
        <is>
          <t>56</t>
        </is>
      </c>
      <c r="E755" t="inlineStr">
        <is>
          <t>Morbihan</t>
        </is>
      </c>
      <c r="F755" t="inlineStr">
        <is>
          <t>Bretagne</t>
        </is>
      </c>
      <c r="G755" s="3" t="n">
        <v>42842</v>
      </c>
      <c r="H755" t="n">
        <v>30</v>
      </c>
      <c r="I755" t="inlineStr">
        <is>
          <t>Place de l'Hôtel-de-Ville</t>
        </is>
      </c>
      <c r="J755" t="inlineStr">
        <is>
          <t>56800</t>
        </is>
      </c>
      <c r="K755" t="inlineStr">
        <is>
          <t>Ploërmel</t>
        </is>
      </c>
      <c r="L755" t="inlineStr">
        <is>
          <t>02 97 73 20 73</t>
        </is>
      </c>
      <c r="M755" s="4" t="inlineStr">
        <is>
          <t>contact@ploermelcommunaute.bzh</t>
        </is>
      </c>
      <c r="N755" s="4" t="inlineStr">
        <is>
          <t>https://www.ploermelcommunaute.bzh/</t>
        </is>
      </c>
      <c r="O755" s="4" t="inlineStr">
        <is>
          <t>https://www.ploermelcommunaute.bzh/systeme/nous-contacter/</t>
        </is>
      </c>
      <c r="P755" s="4" t="inlineStr">
        <is>
          <t>https://lannuaire.service-public.gouv.fr/bretagne/morbihan/441c1369-1306-460e-bfee-ed44615b4630</t>
        </is>
      </c>
      <c r="Q755" t="inlineStr">
        <is>
          <t>Annuaire Service-public.fr</t>
        </is>
      </c>
      <c r="R755" t="inlineStr"/>
      <c r="S755" t="inlineStr"/>
      <c r="T755" t="inlineStr"/>
    </row>
    <row r="756">
      <c r="A756" t="inlineStr">
        <is>
          <t>CC Questembert Communauté</t>
        </is>
      </c>
      <c r="B756" t="inlineStr">
        <is>
          <t>Communauté de communes</t>
        </is>
      </c>
      <c r="C756" t="inlineStr">
        <is>
          <t>245614383</t>
        </is>
      </c>
      <c r="D756" t="inlineStr">
        <is>
          <t>56</t>
        </is>
      </c>
      <c r="E756" t="inlineStr">
        <is>
          <t>Morbihan</t>
        </is>
      </c>
      <c r="F756" t="inlineStr">
        <is>
          <t>Bretagne</t>
        </is>
      </c>
      <c r="G756" s="3" t="n">
        <v>24396</v>
      </c>
      <c r="H756" t="n">
        <v>13</v>
      </c>
      <c r="I756" t="inlineStr">
        <is>
          <t>8 avenue de la Gare</t>
        </is>
      </c>
      <c r="J756" t="inlineStr">
        <is>
          <t>56230</t>
        </is>
      </c>
      <c r="K756" t="inlineStr">
        <is>
          <t>Questembert</t>
        </is>
      </c>
      <c r="L756" t="inlineStr">
        <is>
          <t>02 97 26 59 51</t>
        </is>
      </c>
      <c r="M756" s="4" t="inlineStr">
        <is>
          <t>contact@questembert-communaute.fr</t>
        </is>
      </c>
      <c r="N756" s="4" t="inlineStr">
        <is>
          <t>https://www.questembert-communaute.fr/</t>
        </is>
      </c>
      <c r="O756" t="inlineStr"/>
      <c r="P756" s="4" t="inlineStr">
        <is>
          <t>https://lannuaire.service-public.gouv.fr/bretagne/morbihan/0f9e48ad-d869-4208-9154-99d15aed4746</t>
        </is>
      </c>
      <c r="Q756" t="inlineStr">
        <is>
          <t>Annuaire Service-public.fr</t>
        </is>
      </c>
      <c r="R756" t="inlineStr"/>
      <c r="S756" t="inlineStr"/>
      <c r="T756" t="inlineStr"/>
    </row>
    <row r="757">
      <c r="A757" t="inlineStr">
        <is>
          <t>CC Roi Morvan Communauté</t>
        </is>
      </c>
      <c r="B757" t="inlineStr">
        <is>
          <t>Communauté de communes</t>
        </is>
      </c>
      <c r="C757" t="inlineStr">
        <is>
          <t>245614417</t>
        </is>
      </c>
      <c r="D757" t="inlineStr">
        <is>
          <t>56</t>
        </is>
      </c>
      <c r="E757" t="inlineStr">
        <is>
          <t>Morbihan</t>
        </is>
      </c>
      <c r="F757" t="inlineStr">
        <is>
          <t>Bretagne</t>
        </is>
      </c>
      <c r="G757" s="3" t="n">
        <v>25059</v>
      </c>
      <c r="H757" t="n">
        <v>21</v>
      </c>
      <c r="I757" t="inlineStr">
        <is>
          <t>13 rue Jacques-Rodallec, Espace du Docteur-Paul-Lohéac, BP 36</t>
        </is>
      </c>
      <c r="J757" t="inlineStr">
        <is>
          <t>56110</t>
        </is>
      </c>
      <c r="K757" t="inlineStr">
        <is>
          <t>Gourin</t>
        </is>
      </c>
      <c r="L757" t="inlineStr">
        <is>
          <t>02 97 23 36 90</t>
        </is>
      </c>
      <c r="M757" s="4" t="inlineStr">
        <is>
          <t>secretariat@rmcom.bzh</t>
        </is>
      </c>
      <c r="N757" s="4" t="inlineStr">
        <is>
          <t>https://rmcom.bzh/</t>
        </is>
      </c>
      <c r="O757" t="inlineStr"/>
      <c r="P757" s="4" t="inlineStr">
        <is>
          <t>https://lannuaire.service-public.gouv.fr/bretagne/morbihan/eae078e1-af98-4718-97bb-27d8f520dde3</t>
        </is>
      </c>
      <c r="Q757" t="inlineStr">
        <is>
          <t>Annuaire Service-public.fr</t>
        </is>
      </c>
      <c r="R757" t="inlineStr"/>
      <c r="S757" t="inlineStr"/>
      <c r="T757" t="inlineStr"/>
    </row>
    <row r="758">
      <c r="A758" t="inlineStr">
        <is>
          <t>CC de Belle Ile en Mer</t>
        </is>
      </c>
      <c r="B758" t="inlineStr">
        <is>
          <t>Communauté de communes</t>
        </is>
      </c>
      <c r="C758" t="inlineStr">
        <is>
          <t>245600465</t>
        </is>
      </c>
      <c r="D758" t="inlineStr">
        <is>
          <t>56</t>
        </is>
      </c>
      <c r="E758" t="inlineStr">
        <is>
          <t>Morbihan</t>
        </is>
      </c>
      <c r="F758" t="inlineStr">
        <is>
          <t>Bretagne</t>
        </is>
      </c>
      <c r="G758" s="3" t="n">
        <v>5594</v>
      </c>
      <c r="H758" t="n">
        <v>4</v>
      </c>
      <c r="I758" t="inlineStr">
        <is>
          <t>56 rue Alexi Danan, Haute-Boulogne</t>
        </is>
      </c>
      <c r="J758" t="inlineStr">
        <is>
          <t>56360</t>
        </is>
      </c>
      <c r="K758" t="inlineStr">
        <is>
          <t>Le Palais</t>
        </is>
      </c>
      <c r="L758" t="inlineStr">
        <is>
          <t>02 97 31 83 04</t>
        </is>
      </c>
      <c r="M758" s="4" t="inlineStr">
        <is>
          <t>ccbi@ccbi.fr</t>
        </is>
      </c>
      <c r="N758" s="4" t="inlineStr">
        <is>
          <t>http://www.ccbi.fr</t>
        </is>
      </c>
      <c r="O758" t="inlineStr"/>
      <c r="P758" s="4" t="inlineStr">
        <is>
          <t>https://lannuaire.service-public.gouv.fr/bretagne/morbihan/0c75e752-0d25-485e-b9a6-433f7a981f15</t>
        </is>
      </c>
      <c r="Q758" t="inlineStr">
        <is>
          <t>Annuaire Service-public.fr</t>
        </is>
      </c>
      <c r="R758" t="inlineStr"/>
      <c r="S758" t="inlineStr"/>
      <c r="T758" t="inlineStr"/>
    </row>
    <row r="759">
      <c r="A759" t="inlineStr">
        <is>
          <t>CC de l'Oust à Brocéliande</t>
        </is>
      </c>
      <c r="B759" t="inlineStr">
        <is>
          <t>Communauté de communes</t>
        </is>
      </c>
      <c r="C759" t="inlineStr">
        <is>
          <t>200066785</t>
        </is>
      </c>
      <c r="D759" t="inlineStr">
        <is>
          <t>56</t>
        </is>
      </c>
      <c r="E759" t="inlineStr">
        <is>
          <t>Morbihan</t>
        </is>
      </c>
      <c r="F759" t="inlineStr">
        <is>
          <t>Bretagne</t>
        </is>
      </c>
      <c r="G759" s="3" t="n">
        <v>39885</v>
      </c>
      <c r="H759" t="n">
        <v>26</v>
      </c>
      <c r="I759" t="inlineStr">
        <is>
          <t>Parc d'activité de Tirten la Paviotaie, CS 80055</t>
        </is>
      </c>
      <c r="J759" t="inlineStr">
        <is>
          <t>56140</t>
        </is>
      </c>
      <c r="K759" t="inlineStr">
        <is>
          <t>Malestroit</t>
        </is>
      </c>
      <c r="L759" t="inlineStr">
        <is>
          <t>02 97 75 01 02</t>
        </is>
      </c>
      <c r="M759" s="4" t="inlineStr">
        <is>
          <t>contact@oust-broceliande.bzh</t>
        </is>
      </c>
      <c r="N759" s="4" t="inlineStr">
        <is>
          <t>https://www.oust-broceliande.bzh/accueil-obc</t>
        </is>
      </c>
      <c r="O759" s="4" t="inlineStr">
        <is>
          <t>https://www.oust-broceliande.bzh/accueil-obc/pied-de-page/contacts</t>
        </is>
      </c>
      <c r="P759" s="4" t="inlineStr">
        <is>
          <t>https://lannuaire.service-public.gouv.fr/bretagne/morbihan/91c14c46-8aac-4265-b2a3-cc280382d41f</t>
        </is>
      </c>
      <c r="Q759" t="inlineStr">
        <is>
          <t>Annuaire Service-public.fr</t>
        </is>
      </c>
      <c r="R759" t="inlineStr"/>
      <c r="S759" t="inlineStr"/>
      <c r="T759" t="inlineStr"/>
    </row>
    <row r="760">
      <c r="A760" t="inlineStr">
        <is>
          <t>CA Portes de France-Thionville</t>
        </is>
      </c>
      <c r="B760" t="inlineStr">
        <is>
          <t>Communauté d’agglomération</t>
        </is>
      </c>
      <c r="C760" t="inlineStr">
        <is>
          <t>245701362</t>
        </is>
      </c>
      <c r="D760" t="inlineStr">
        <is>
          <t>57</t>
        </is>
      </c>
      <c r="E760" t="inlineStr">
        <is>
          <t>Moselle</t>
        </is>
      </c>
      <c r="F760" t="inlineStr">
        <is>
          <t>Grand Est</t>
        </is>
      </c>
      <c r="G760" s="3" t="n">
        <v>84449</v>
      </c>
      <c r="H760" t="n">
        <v>13</v>
      </c>
      <c r="I760" t="inlineStr">
        <is>
          <t>2 Cour Du Chateau</t>
        </is>
      </c>
      <c r="J760" t="inlineStr">
        <is>
          <t>57100</t>
        </is>
      </c>
      <c r="K760" t="inlineStr">
        <is>
          <t>Thionville</t>
        </is>
      </c>
      <c r="L760" t="inlineStr"/>
      <c r="M760" t="inlineStr"/>
      <c r="N760" t="inlineStr"/>
      <c r="O760" t="inlineStr"/>
      <c r="P760" t="inlineStr"/>
      <c r="Q760" t="inlineStr">
        <is>
          <t>SIRENE (siège) : pas de fiche dans l’annuaire</t>
        </is>
      </c>
      <c r="R760" t="inlineStr"/>
      <c r="S760" t="inlineStr"/>
      <c r="T760" t="inlineStr"/>
    </row>
    <row r="761">
      <c r="A761" t="inlineStr">
        <is>
          <t>CA Saint-Avold Synergie</t>
        </is>
      </c>
      <c r="B761" t="inlineStr">
        <is>
          <t>Communauté d’agglomération</t>
        </is>
      </c>
      <c r="C761" t="inlineStr">
        <is>
          <t>200067502</t>
        </is>
      </c>
      <c r="D761" t="inlineStr">
        <is>
          <t>57</t>
        </is>
      </c>
      <c r="E761" t="inlineStr">
        <is>
          <t>Moselle</t>
        </is>
      </c>
      <c r="F761" t="inlineStr">
        <is>
          <t>Grand Est</t>
        </is>
      </c>
      <c r="G761" s="3" t="n">
        <v>51750</v>
      </c>
      <c r="H761" t="n">
        <v>41</v>
      </c>
      <c r="I761" t="inlineStr">
        <is>
          <t>10-12 rue du Général-de-Gaulle</t>
        </is>
      </c>
      <c r="J761" t="inlineStr">
        <is>
          <t>57500</t>
        </is>
      </c>
      <c r="K761" t="inlineStr">
        <is>
          <t>Saint-Avold</t>
        </is>
      </c>
      <c r="L761" t="inlineStr">
        <is>
          <t>03 87 92 84 76</t>
        </is>
      </c>
      <c r="M761" s="4" t="inlineStr">
        <is>
          <t>communaute@casas57.fr</t>
        </is>
      </c>
      <c r="N761" s="4" t="inlineStr">
        <is>
          <t>https://casas57.fr/</t>
        </is>
      </c>
      <c r="O761" s="4" t="inlineStr">
        <is>
          <t>https://casas57.fr/contact/</t>
        </is>
      </c>
      <c r="P761" s="4" t="inlineStr">
        <is>
          <t>https://lannuaire.service-public.gouv.fr/grand-est/moselle/e7737507-fb39-46c0-b954-4277d5463282</t>
        </is>
      </c>
      <c r="Q761" t="inlineStr">
        <is>
          <t>Annuaire Service-public.fr</t>
        </is>
      </c>
      <c r="R761" t="inlineStr"/>
      <c r="S761" t="inlineStr"/>
      <c r="T761" t="inlineStr"/>
    </row>
    <row r="762">
      <c r="A762" t="inlineStr">
        <is>
          <t>CA de Forbach Porte de France</t>
        </is>
      </c>
      <c r="B762" t="inlineStr">
        <is>
          <t>Communauté d’agglomération</t>
        </is>
      </c>
      <c r="C762" t="inlineStr">
        <is>
          <t>245700372</t>
        </is>
      </c>
      <c r="D762" t="inlineStr">
        <is>
          <t>57</t>
        </is>
      </c>
      <c r="E762" t="inlineStr">
        <is>
          <t>Moselle</t>
        </is>
      </c>
      <c r="F762" t="inlineStr">
        <is>
          <t>Grand Est</t>
        </is>
      </c>
      <c r="G762" s="3" t="n">
        <v>75399</v>
      </c>
      <c r="H762" t="n">
        <v>21</v>
      </c>
      <c r="I762" t="inlineStr">
        <is>
          <t>110 rue des Moulins</t>
        </is>
      </c>
      <c r="J762" t="inlineStr">
        <is>
          <t>57608</t>
        </is>
      </c>
      <c r="K762" t="inlineStr">
        <is>
          <t>Forbach</t>
        </is>
      </c>
      <c r="L762" t="inlineStr">
        <is>
          <t>03 87 85 55 00</t>
        </is>
      </c>
      <c r="M762" s="4" t="inlineStr">
        <is>
          <t>courrier@agglo-forbach.fr</t>
        </is>
      </c>
      <c r="N762" s="4" t="inlineStr">
        <is>
          <t>https://www.agglo-forbach.fr/</t>
        </is>
      </c>
      <c r="O762" s="4" t="inlineStr">
        <is>
          <t>https://www.agglo-forbach.fr/fr/contact.html</t>
        </is>
      </c>
      <c r="P762" s="4" t="inlineStr">
        <is>
          <t>https://lannuaire.service-public.gouv.fr/grand-est/moselle/084856a4-4202-44f2-8641-0b807290f752</t>
        </is>
      </c>
      <c r="Q762" t="inlineStr">
        <is>
          <t>Annuaire Service-public.fr</t>
        </is>
      </c>
      <c r="R762" t="inlineStr"/>
      <c r="S762" t="inlineStr"/>
      <c r="T762" t="inlineStr"/>
    </row>
    <row r="763">
      <c r="A763" t="inlineStr">
        <is>
          <t>CA du Val de Fensch</t>
        </is>
      </c>
      <c r="B763" t="inlineStr">
        <is>
          <t>Communauté d’agglomération</t>
        </is>
      </c>
      <c r="C763" t="inlineStr">
        <is>
          <t>245701222</t>
        </is>
      </c>
      <c r="D763" t="inlineStr">
        <is>
          <t>57</t>
        </is>
      </c>
      <c r="E763" t="inlineStr">
        <is>
          <t>Moselle</t>
        </is>
      </c>
      <c r="F763" t="inlineStr">
        <is>
          <t>Grand Est</t>
        </is>
      </c>
      <c r="G763" s="3" t="n">
        <v>70898</v>
      </c>
      <c r="H763" t="n">
        <v>10</v>
      </c>
      <c r="I763" t="inlineStr">
        <is>
          <t>10 Rue De Wendel</t>
        </is>
      </c>
      <c r="J763" t="inlineStr">
        <is>
          <t>57700</t>
        </is>
      </c>
      <c r="K763" t="inlineStr">
        <is>
          <t>Hayange</t>
        </is>
      </c>
      <c r="L763" t="inlineStr"/>
      <c r="M763" t="inlineStr"/>
      <c r="N763" t="inlineStr"/>
      <c r="O763" t="inlineStr"/>
      <c r="P763" t="inlineStr"/>
      <c r="Q763" t="inlineStr">
        <is>
          <t>SIRENE (siège) : pas de fiche dans l’annuaire</t>
        </is>
      </c>
      <c r="R763" t="inlineStr"/>
      <c r="S763" t="inlineStr"/>
      <c r="T763" t="inlineStr"/>
    </row>
    <row r="764">
      <c r="A764" t="inlineStr">
        <is>
          <t>CC Bouzonvillois-Trois Frontières</t>
        </is>
      </c>
      <c r="B764" t="inlineStr">
        <is>
          <t>Communauté de communes</t>
        </is>
      </c>
      <c r="C764" t="inlineStr">
        <is>
          <t>200067486</t>
        </is>
      </c>
      <c r="D764" t="inlineStr">
        <is>
          <t>57</t>
        </is>
      </c>
      <c r="E764" t="inlineStr">
        <is>
          <t>Moselle</t>
        </is>
      </c>
      <c r="F764" t="inlineStr">
        <is>
          <t>Grand Est</t>
        </is>
      </c>
      <c r="G764" s="3" t="n">
        <v>24154</v>
      </c>
      <c r="H764" t="n">
        <v>40</v>
      </c>
      <c r="I764" t="inlineStr">
        <is>
          <t>3 bis rue de France, BP 90019</t>
        </is>
      </c>
      <c r="J764" t="inlineStr">
        <is>
          <t>57320</t>
        </is>
      </c>
      <c r="K764" t="inlineStr">
        <is>
          <t>Bouzonville</t>
        </is>
      </c>
      <c r="L764" t="inlineStr">
        <is>
          <t>03 87 21 00 99</t>
        </is>
      </c>
      <c r="M764" s="4" t="inlineStr">
        <is>
          <t>contact@ccb3f.fr</t>
        </is>
      </c>
      <c r="N764" s="4" t="inlineStr">
        <is>
          <t>https://www.ccb3f.fr/</t>
        </is>
      </c>
      <c r="O764" t="inlineStr"/>
      <c r="P764" s="4" t="inlineStr">
        <is>
          <t>https://lannuaire.service-public.gouv.fr/grand-est/moselle/7f135c86-09b1-46fe-a546-a0d0a426e051</t>
        </is>
      </c>
      <c r="Q764" t="inlineStr">
        <is>
          <t>Annuaire Service-public.fr</t>
        </is>
      </c>
      <c r="R764" t="inlineStr"/>
      <c r="S764" t="inlineStr"/>
      <c r="T764" t="inlineStr"/>
    </row>
    <row r="765">
      <c r="A765" t="inlineStr">
        <is>
          <t>CC Haut Chemin - Pays de Pange</t>
        </is>
      </c>
      <c r="B765" t="inlineStr">
        <is>
          <t>Communauté de communes</t>
        </is>
      </c>
      <c r="C765" t="inlineStr">
        <is>
          <t>200067957</t>
        </is>
      </c>
      <c r="D765" t="inlineStr">
        <is>
          <t>57</t>
        </is>
      </c>
      <c r="E765" t="inlineStr">
        <is>
          <t>Moselle</t>
        </is>
      </c>
      <c r="F765" t="inlineStr">
        <is>
          <t>Grand Est</t>
        </is>
      </c>
      <c r="G765" s="3" t="n">
        <v>19286</v>
      </c>
      <c r="H765" t="n">
        <v>28</v>
      </c>
      <c r="I765" t="inlineStr">
        <is>
          <t>1 bis route de Metz</t>
        </is>
      </c>
      <c r="J765" t="inlineStr">
        <is>
          <t>57530</t>
        </is>
      </c>
      <c r="K765" t="inlineStr">
        <is>
          <t>Pange</t>
        </is>
      </c>
      <c r="L765" t="inlineStr">
        <is>
          <t>03 87 64 10 63</t>
        </is>
      </c>
      <c r="M765" s="4" t="inlineStr">
        <is>
          <t>accueil@cchcpp.fr</t>
        </is>
      </c>
      <c r="N765" s="4" t="inlineStr">
        <is>
          <t>https://www.cchcpp.fr</t>
        </is>
      </c>
      <c r="O765" s="4" t="inlineStr">
        <is>
          <t>https://www.cchcpp.fr/fr/contact.html</t>
        </is>
      </c>
      <c r="P765" s="4" t="inlineStr">
        <is>
          <t>https://lannuaire.service-public.gouv.fr/grand-est/moselle/56d46523-f3ce-4737-a970-9376d2bcfb1f</t>
        </is>
      </c>
      <c r="Q765" t="inlineStr">
        <is>
          <t>Annuaire Service-public.fr</t>
        </is>
      </c>
      <c r="R765" t="inlineStr"/>
      <c r="S765" t="inlineStr"/>
      <c r="T765" t="inlineStr"/>
    </row>
    <row r="766">
      <c r="A766" t="inlineStr">
        <is>
          <t>CC Houve - Pays Boulageois</t>
        </is>
      </c>
      <c r="B766" t="inlineStr">
        <is>
          <t>Communauté de communes</t>
        </is>
      </c>
      <c r="C766" t="inlineStr">
        <is>
          <t>200067650</t>
        </is>
      </c>
      <c r="D766" t="inlineStr">
        <is>
          <t>57</t>
        </is>
      </c>
      <c r="E766" t="inlineStr">
        <is>
          <t>Moselle</t>
        </is>
      </c>
      <c r="F766" t="inlineStr">
        <is>
          <t>Grand Est</t>
        </is>
      </c>
      <c r="G766" s="3" t="n">
        <v>22769</v>
      </c>
      <c r="H766" t="n">
        <v>37</v>
      </c>
      <c r="I766" t="inlineStr">
        <is>
          <t>29 A rue de Sarrelouis</t>
        </is>
      </c>
      <c r="J766" t="inlineStr">
        <is>
          <t>57220</t>
        </is>
      </c>
      <c r="K766" t="inlineStr">
        <is>
          <t>Boulay-Moselle</t>
        </is>
      </c>
      <c r="L766" t="inlineStr">
        <is>
          <t>03 87 79 52 90</t>
        </is>
      </c>
      <c r="M766" s="4" t="inlineStr">
        <is>
          <t>contact@cchpb.net</t>
        </is>
      </c>
      <c r="N766" s="4" t="inlineStr">
        <is>
          <t>https://www.paysboulageois.fr/</t>
        </is>
      </c>
      <c r="O766" t="inlineStr"/>
      <c r="P766" s="4" t="inlineStr">
        <is>
          <t>https://lannuaire.service-public.gouv.fr/grand-est/moselle/2c18293c-0e9a-47c4-bb5d-937c691402d4</t>
        </is>
      </c>
      <c r="Q766" t="inlineStr">
        <is>
          <t>Annuaire Service-public.fr</t>
        </is>
      </c>
      <c r="R766" t="inlineStr"/>
      <c r="S766" t="inlineStr"/>
      <c r="T766" t="inlineStr"/>
    </row>
    <row r="767">
      <c r="A767" t="inlineStr">
        <is>
          <t>CC Rives de Moselle</t>
        </is>
      </c>
      <c r="B767" t="inlineStr">
        <is>
          <t>Communauté de communes</t>
        </is>
      </c>
      <c r="C767" t="inlineStr">
        <is>
          <t>200039949</t>
        </is>
      </c>
      <c r="D767" t="inlineStr">
        <is>
          <t>57</t>
        </is>
      </c>
      <c r="E767" t="inlineStr">
        <is>
          <t>Moselle</t>
        </is>
      </c>
      <c r="F767" t="inlineStr">
        <is>
          <t>Grand Est</t>
        </is>
      </c>
      <c r="G767" s="3" t="n">
        <v>53122</v>
      </c>
      <c r="H767" t="n">
        <v>20</v>
      </c>
      <c r="I767" t="inlineStr">
        <is>
          <t>1 place de la Gare</t>
        </is>
      </c>
      <c r="J767" t="inlineStr">
        <is>
          <t>57280</t>
        </is>
      </c>
      <c r="K767" t="inlineStr">
        <is>
          <t>Maizières-lès-Metz</t>
        </is>
      </c>
      <c r="L767" t="inlineStr">
        <is>
          <t>03 87 51 77 02</t>
        </is>
      </c>
      <c r="M767" s="4" t="inlineStr">
        <is>
          <t>accueil@rivesdemoselle.fr</t>
        </is>
      </c>
      <c r="N767" s="4" t="inlineStr">
        <is>
          <t>https://www.rivesdemoselle.fr/</t>
        </is>
      </c>
      <c r="O767" s="4" t="inlineStr">
        <is>
          <t>https://www.rivesdemoselle.fr/sinformer-participer/#unequestionuneidee</t>
        </is>
      </c>
      <c r="P767" s="4" t="inlineStr">
        <is>
          <t>https://lannuaire.service-public.gouv.fr/grand-est/moselle/b034bb97-c514-47ca-9f2f-8c4abfffc64f</t>
        </is>
      </c>
      <c r="Q767" t="inlineStr">
        <is>
          <t>Annuaire Service-public.fr</t>
        </is>
      </c>
      <c r="R767" t="inlineStr"/>
      <c r="S767" t="inlineStr"/>
      <c r="T767" t="inlineStr"/>
    </row>
    <row r="768">
      <c r="A768" t="inlineStr">
        <is>
          <t>CC Sarrebourg Moselle Sud</t>
        </is>
      </c>
      <c r="B768" t="inlineStr">
        <is>
          <t>Communauté de communes</t>
        </is>
      </c>
      <c r="C768" t="inlineStr">
        <is>
          <t>200068146</t>
        </is>
      </c>
      <c r="D768" t="inlineStr">
        <is>
          <t>57</t>
        </is>
      </c>
      <c r="E768" t="inlineStr">
        <is>
          <t>Moselle</t>
        </is>
      </c>
      <c r="F768" t="inlineStr">
        <is>
          <t>Grand Est</t>
        </is>
      </c>
      <c r="G768" s="3" t="n">
        <v>45143</v>
      </c>
      <c r="H768" t="n">
        <v>76</v>
      </c>
      <c r="I768" t="inlineStr">
        <is>
          <t>3 terrasse Normandie, ZAC des Terrasses-de-la-Sarre, BP 50157</t>
        </is>
      </c>
      <c r="J768" t="inlineStr">
        <is>
          <t>57403</t>
        </is>
      </c>
      <c r="K768" t="inlineStr">
        <is>
          <t>Sarrebourg Cedex</t>
        </is>
      </c>
      <c r="L768" t="inlineStr">
        <is>
          <t>03 87 03 05 16</t>
        </is>
      </c>
      <c r="M768" s="4" t="inlineStr">
        <is>
          <t>contact@cc-sms.fr</t>
        </is>
      </c>
      <c r="N768" s="4" t="inlineStr">
        <is>
          <t>https://www.cc-sms.fr/</t>
        </is>
      </c>
      <c r="O768" s="4" t="inlineStr">
        <is>
          <t>https://www.cc-sms.fr/contact/</t>
        </is>
      </c>
      <c r="P768" s="4" t="inlineStr">
        <is>
          <t>https://lannuaire.service-public.gouv.fr/grand-est/moselle/7619a292-81e4-4723-9550-39a048bce78c</t>
        </is>
      </c>
      <c r="Q768" t="inlineStr">
        <is>
          <t>Annuaire Service-public.fr</t>
        </is>
      </c>
      <c r="R768" t="inlineStr"/>
      <c r="S768" t="inlineStr"/>
      <c r="T768" t="inlineStr"/>
    </row>
    <row r="769">
      <c r="A769" t="inlineStr">
        <is>
          <t>CC de Cattenom et Environs</t>
        </is>
      </c>
      <c r="B769" t="inlineStr">
        <is>
          <t>Communauté de communes</t>
        </is>
      </c>
      <c r="C769" t="inlineStr">
        <is>
          <t>245700695</t>
        </is>
      </c>
      <c r="D769" t="inlineStr">
        <is>
          <t>57</t>
        </is>
      </c>
      <c r="E769" t="inlineStr">
        <is>
          <t>Moselle</t>
        </is>
      </c>
      <c r="F769" t="inlineStr">
        <is>
          <t>Grand Est</t>
        </is>
      </c>
      <c r="G769" s="3" t="n">
        <v>27687</v>
      </c>
      <c r="H769" t="n">
        <v>22</v>
      </c>
      <c r="I769" t="inlineStr">
        <is>
          <t>2 avenue du Général-de-Gaulle</t>
        </is>
      </c>
      <c r="J769" t="inlineStr">
        <is>
          <t>57570</t>
        </is>
      </c>
      <c r="K769" t="inlineStr">
        <is>
          <t>Cattenom</t>
        </is>
      </c>
      <c r="L769" t="inlineStr">
        <is>
          <t>03 82 82 05 60</t>
        </is>
      </c>
      <c r="M769" s="4" t="inlineStr">
        <is>
          <t>accueil@cc-ce.com</t>
        </is>
      </c>
      <c r="N769" s="4" t="inlineStr">
        <is>
          <t>https://www.ccce.fr</t>
        </is>
      </c>
      <c r="O769" s="4" t="inlineStr">
        <is>
          <t>https://www.ccce.fr/contact-ccce</t>
        </is>
      </c>
      <c r="P769" s="4" t="inlineStr">
        <is>
          <t>https://lannuaire.service-public.gouv.fr/grand-est/moselle/0550a892-efd8-44a6-8d9a-462b245dc85f</t>
        </is>
      </c>
      <c r="Q769" t="inlineStr">
        <is>
          <t>Annuaire Service-public.fr</t>
        </is>
      </c>
      <c r="R769" t="inlineStr"/>
      <c r="S769" t="inlineStr"/>
      <c r="T769" t="inlineStr"/>
    </row>
    <row r="770">
      <c r="A770" t="inlineStr">
        <is>
          <t>CC de Freyming-Merlebach</t>
        </is>
      </c>
      <c r="B770" t="inlineStr">
        <is>
          <t>Communauté de communes</t>
        </is>
      </c>
      <c r="C770" t="inlineStr">
        <is>
          <t>245700398</t>
        </is>
      </c>
      <c r="D770" t="inlineStr">
        <is>
          <t>57</t>
        </is>
      </c>
      <c r="E770" t="inlineStr">
        <is>
          <t>Moselle</t>
        </is>
      </c>
      <c r="F770" t="inlineStr">
        <is>
          <t>Grand Est</t>
        </is>
      </c>
      <c r="G770" s="3" t="n">
        <v>31361</v>
      </c>
      <c r="H770" t="n">
        <v>11</v>
      </c>
      <c r="I770" t="inlineStr">
        <is>
          <t>2 rue de Savoie, Hôtel communautaire Reumaux</t>
        </is>
      </c>
      <c r="J770" t="inlineStr">
        <is>
          <t>57800</t>
        </is>
      </c>
      <c r="K770" t="inlineStr">
        <is>
          <t>Freyming-Merlebach</t>
        </is>
      </c>
      <c r="L770" t="inlineStr">
        <is>
          <t>03 87 00 21 50</t>
        </is>
      </c>
      <c r="M770" s="4" t="inlineStr">
        <is>
          <t>ccfm@cc-freyming-merlebach.fr</t>
        </is>
      </c>
      <c r="N770" s="4" t="inlineStr">
        <is>
          <t>https://www.cc-freyming-merlebach.fr/</t>
        </is>
      </c>
      <c r="O770" s="4" t="inlineStr">
        <is>
          <t>https://www.cc-freyming-merlebach.fr/contact/</t>
        </is>
      </c>
      <c r="P770" s="4" t="inlineStr">
        <is>
          <t>https://lannuaire.service-public.gouv.fr/grand-est/moselle/2f374a73-9df8-4cb5-b28d-b21c29ac066b</t>
        </is>
      </c>
      <c r="Q770" t="inlineStr">
        <is>
          <t>Annuaire Service-public.fr</t>
        </is>
      </c>
      <c r="R770" t="inlineStr"/>
      <c r="S770" t="inlineStr"/>
      <c r="T770" t="inlineStr"/>
    </row>
    <row r="771">
      <c r="A771" t="inlineStr">
        <is>
          <t>CC de l'Arc Mosellan</t>
        </is>
      </c>
      <c r="B771" t="inlineStr">
        <is>
          <t>Communauté de communes</t>
        </is>
      </c>
      <c r="C771" t="inlineStr">
        <is>
          <t>245701354</t>
        </is>
      </c>
      <c r="D771" t="inlineStr">
        <is>
          <t>57</t>
        </is>
      </c>
      <c r="E771" t="inlineStr">
        <is>
          <t>Moselle</t>
        </is>
      </c>
      <c r="F771" t="inlineStr">
        <is>
          <t>Grand Est</t>
        </is>
      </c>
      <c r="G771" s="3" t="n">
        <v>35812</v>
      </c>
      <c r="H771" t="n">
        <v>26</v>
      </c>
      <c r="I771" t="inlineStr">
        <is>
          <t>8 rue du Moulin</t>
        </is>
      </c>
      <c r="J771" t="inlineStr">
        <is>
          <t>57920</t>
        </is>
      </c>
      <c r="K771" t="inlineStr">
        <is>
          <t>Buding</t>
        </is>
      </c>
      <c r="L771" t="inlineStr">
        <is>
          <t>03 82 83 21 57</t>
        </is>
      </c>
      <c r="M771" s="4" t="inlineStr">
        <is>
          <t>contact@arcmosellan.fr</t>
        </is>
      </c>
      <c r="N771" s="4" t="inlineStr">
        <is>
          <t>https://www.arcmosellan.fr/</t>
        </is>
      </c>
      <c r="O771" s="4" t="inlineStr">
        <is>
          <t>https://www.arcmosellan.fr/formulaire-de-contact/</t>
        </is>
      </c>
      <c r="P771" s="4" t="inlineStr">
        <is>
          <t>https://lannuaire.service-public.gouv.fr/grand-est/moselle/d29bf394-63df-48f6-ba0e-ab716fa9be71</t>
        </is>
      </c>
      <c r="Q771" t="inlineStr">
        <is>
          <t>Annuaire Service-public.fr</t>
        </is>
      </c>
      <c r="R771" t="inlineStr"/>
      <c r="S771" t="inlineStr"/>
      <c r="T771" t="inlineStr"/>
    </row>
    <row r="772">
      <c r="A772" t="inlineStr">
        <is>
          <t>CC du District Urbain de Faulquemont (DUF)</t>
        </is>
      </c>
      <c r="B772" t="inlineStr">
        <is>
          <t>Communauté de communes</t>
        </is>
      </c>
      <c r="C772" t="inlineStr">
        <is>
          <t>245700133</t>
        </is>
      </c>
      <c r="D772" t="inlineStr">
        <is>
          <t>57</t>
        </is>
      </c>
      <c r="E772" t="inlineStr">
        <is>
          <t>Moselle</t>
        </is>
      </c>
      <c r="F772" t="inlineStr">
        <is>
          <t>Grand Est</t>
        </is>
      </c>
      <c r="G772" s="3" t="n">
        <v>24038</v>
      </c>
      <c r="H772" t="n">
        <v>33</v>
      </c>
      <c r="I772" t="inlineStr">
        <is>
          <t>1 allée René-Cassin</t>
        </is>
      </c>
      <c r="J772" t="inlineStr">
        <is>
          <t>57380</t>
        </is>
      </c>
      <c r="K772" t="inlineStr">
        <is>
          <t>Faulquemont</t>
        </is>
      </c>
      <c r="L772" t="inlineStr">
        <is>
          <t>03 87 29 83 50</t>
        </is>
      </c>
      <c r="M772" s="4" t="inlineStr">
        <is>
          <t>dg@dufcc.com</t>
        </is>
      </c>
      <c r="N772" s="4" t="inlineStr">
        <is>
          <t>https://www.dufcc.com/fr/</t>
        </is>
      </c>
      <c r="O772" s="4" t="inlineStr">
        <is>
          <t>https://www.dufcc.com/fr/contact.html</t>
        </is>
      </c>
      <c r="P772" s="4" t="inlineStr">
        <is>
          <t>https://lannuaire.service-public.gouv.fr/grand-est/moselle/57d94f9d-1513-46c3-a479-3cde6484daaa</t>
        </is>
      </c>
      <c r="Q772" t="inlineStr">
        <is>
          <t>Annuaire Service-public.fr</t>
        </is>
      </c>
      <c r="R772" t="inlineStr"/>
      <c r="S772" t="inlineStr"/>
      <c r="T772" t="inlineStr"/>
    </row>
    <row r="773">
      <c r="A773" t="inlineStr">
        <is>
          <t>CC du Pays Orne Moselle</t>
        </is>
      </c>
      <c r="B773" t="inlineStr">
        <is>
          <t>Communauté de communes</t>
        </is>
      </c>
      <c r="C773" t="inlineStr">
        <is>
          <t>245701271</t>
        </is>
      </c>
      <c r="D773" t="inlineStr">
        <is>
          <t>57</t>
        </is>
      </c>
      <c r="E773" t="inlineStr">
        <is>
          <t>Moselle</t>
        </is>
      </c>
      <c r="F773" t="inlineStr">
        <is>
          <t>Grand Est</t>
        </is>
      </c>
      <c r="G773" s="3" t="n">
        <v>52783</v>
      </c>
      <c r="H773" t="n">
        <v>12</v>
      </c>
      <c r="I773" t="inlineStr">
        <is>
          <t>1 rue Alexandrine</t>
        </is>
      </c>
      <c r="J773" t="inlineStr">
        <is>
          <t>57120</t>
        </is>
      </c>
      <c r="K773" t="inlineStr">
        <is>
          <t>Rombas</t>
        </is>
      </c>
      <c r="L773" t="inlineStr">
        <is>
          <t>03 87 58 32 32</t>
        </is>
      </c>
      <c r="M773" s="4" t="inlineStr">
        <is>
          <t>ccpom@ccpom.fr</t>
        </is>
      </c>
      <c r="N773" s="4" t="inlineStr">
        <is>
          <t>https://www.ccpom.fr/</t>
        </is>
      </c>
      <c r="O773" s="4" t="inlineStr">
        <is>
          <t>https://www.ccpom.fr/contact/</t>
        </is>
      </c>
      <c r="P773" s="4" t="inlineStr">
        <is>
          <t>https://lannuaire.service-public.gouv.fr/grand-est/moselle/c9029905-ce17-4084-b836-f041b384a9c5</t>
        </is>
      </c>
      <c r="Q773" t="inlineStr">
        <is>
          <t>Annuaire Service-public.fr</t>
        </is>
      </c>
      <c r="R773" t="inlineStr"/>
      <c r="S773" t="inlineStr"/>
      <c r="T773" t="inlineStr"/>
    </row>
    <row r="774">
      <c r="A774" t="inlineStr">
        <is>
          <t>CC du Pays de Bitche</t>
        </is>
      </c>
      <c r="B774" t="inlineStr">
        <is>
          <t>Communauté de communes</t>
        </is>
      </c>
      <c r="C774" t="inlineStr">
        <is>
          <t>200069441</t>
        </is>
      </c>
      <c r="D774" t="inlineStr">
        <is>
          <t>57</t>
        </is>
      </c>
      <c r="E774" t="inlineStr">
        <is>
          <t>Moselle</t>
        </is>
      </c>
      <c r="F774" t="inlineStr">
        <is>
          <t>Grand Est</t>
        </is>
      </c>
      <c r="G774" s="3" t="n">
        <v>33184</v>
      </c>
      <c r="H774" t="n">
        <v>46</v>
      </c>
      <c r="I774" t="inlineStr">
        <is>
          <t>4 rue du Général-Stuhl</t>
        </is>
      </c>
      <c r="J774" t="inlineStr">
        <is>
          <t>57232</t>
        </is>
      </c>
      <c r="K774" t="inlineStr">
        <is>
          <t>Bitche</t>
        </is>
      </c>
      <c r="L774" t="inlineStr">
        <is>
          <t>03 87 96 99 45</t>
        </is>
      </c>
      <c r="M774" s="4" t="inlineStr">
        <is>
          <t>contact@cc-paysdebitche.fr</t>
        </is>
      </c>
      <c r="N774" s="4" t="inlineStr">
        <is>
          <t>https://www.cc-paysdebitche.fr</t>
        </is>
      </c>
      <c r="O774" s="4" t="inlineStr">
        <is>
          <t>https://www.cc-paysdebitche.fr/contact/</t>
        </is>
      </c>
      <c r="P774" s="4" t="inlineStr">
        <is>
          <t>https://lannuaire.service-public.gouv.fr/grand-est/moselle/9d8dd5f1-8778-4127-a359-b7680296bf07</t>
        </is>
      </c>
      <c r="Q774" t="inlineStr">
        <is>
          <t>Annuaire Service-public.fr</t>
        </is>
      </c>
      <c r="R774" t="inlineStr"/>
      <c r="S774" t="inlineStr"/>
      <c r="T774" t="inlineStr"/>
    </row>
    <row r="775">
      <c r="A775" t="inlineStr">
        <is>
          <t>CC du Pays de Phalsbourg</t>
        </is>
      </c>
      <c r="B775" t="inlineStr">
        <is>
          <t>Communauté de communes</t>
        </is>
      </c>
      <c r="C775" t="inlineStr">
        <is>
          <t>245700950</t>
        </is>
      </c>
      <c r="D775" t="inlineStr">
        <is>
          <t>57</t>
        </is>
      </c>
      <c r="E775" t="inlineStr">
        <is>
          <t>Moselle</t>
        </is>
      </c>
      <c r="F775" t="inlineStr">
        <is>
          <t>Grand Est</t>
        </is>
      </c>
      <c r="G775" s="3" t="n">
        <v>17096</v>
      </c>
      <c r="H775" t="n">
        <v>26</v>
      </c>
      <c r="I775" t="inlineStr">
        <is>
          <t>18 rue de Sarrebourg</t>
        </is>
      </c>
      <c r="J775" t="inlineStr">
        <is>
          <t>57370</t>
        </is>
      </c>
      <c r="K775" t="inlineStr">
        <is>
          <t>Mittelbronn</t>
        </is>
      </c>
      <c r="L775" t="inlineStr">
        <is>
          <t>03 87 24 40 40</t>
        </is>
      </c>
      <c r="M775" s="4" t="inlineStr">
        <is>
          <t>contact@paysdephalsbourg.fr</t>
        </is>
      </c>
      <c r="N775" s="4" t="inlineStr">
        <is>
          <t>https://www.paysdephalsbourg.fr/</t>
        </is>
      </c>
      <c r="O775" s="4" t="inlineStr">
        <is>
          <t>https://www.paysdephalsbourg.fr/nous-contacter/</t>
        </is>
      </c>
      <c r="P775" s="4" t="inlineStr">
        <is>
          <t>https://lannuaire.service-public.gouv.fr/grand-est/moselle/80d4e481-5e60-4c99-a458-9f0994c23525</t>
        </is>
      </c>
      <c r="Q775" t="inlineStr">
        <is>
          <t>Annuaire Service-public.fr</t>
        </is>
      </c>
      <c r="R775" t="inlineStr"/>
      <c r="S775" t="inlineStr"/>
      <c r="T775" t="inlineStr"/>
    </row>
    <row r="776">
      <c r="A776" t="inlineStr">
        <is>
          <t>CC du Saulnois</t>
        </is>
      </c>
      <c r="B776" t="inlineStr">
        <is>
          <t>Communauté de communes</t>
        </is>
      </c>
      <c r="C776" t="inlineStr">
        <is>
          <t>245701206</t>
        </is>
      </c>
      <c r="D776" t="inlineStr">
        <is>
          <t>57</t>
        </is>
      </c>
      <c r="E776" t="inlineStr">
        <is>
          <t>Moselle</t>
        </is>
      </c>
      <c r="F776" t="inlineStr">
        <is>
          <t>Grand Est</t>
        </is>
      </c>
      <c r="G776" s="3" t="n">
        <v>28102</v>
      </c>
      <c r="H776" t="n">
        <v>128</v>
      </c>
      <c r="I776" t="inlineStr">
        <is>
          <t>14 ter place de la Saline</t>
        </is>
      </c>
      <c r="J776" t="inlineStr">
        <is>
          <t>57170</t>
        </is>
      </c>
      <c r="K776" t="inlineStr">
        <is>
          <t>Château-Salins</t>
        </is>
      </c>
      <c r="L776" t="inlineStr">
        <is>
          <t>03 87 05 11 11</t>
        </is>
      </c>
      <c r="M776" s="4" t="inlineStr">
        <is>
          <t>administration@cc-saulnois.fr</t>
        </is>
      </c>
      <c r="N776" s="4" t="inlineStr">
        <is>
          <t>https://www.cc-saulnois.fr/</t>
        </is>
      </c>
      <c r="O776" s="4" t="inlineStr">
        <is>
          <t>https://www.cc-saulnois.fr/contact/</t>
        </is>
      </c>
      <c r="P776" s="4" t="inlineStr">
        <is>
          <t>https://lannuaire.service-public.gouv.fr/grand-est/moselle/5d57decc-912d-4a28-a443-9caac5d1dc4c</t>
        </is>
      </c>
      <c r="Q776" t="inlineStr">
        <is>
          <t>Annuaire Service-public.fr</t>
        </is>
      </c>
      <c r="R776" t="inlineStr"/>
      <c r="S776" t="inlineStr"/>
      <c r="T776" t="inlineStr"/>
    </row>
    <row r="777">
      <c r="A777" t="inlineStr">
        <is>
          <t>CC du Sud Messin</t>
        </is>
      </c>
      <c r="B777" t="inlineStr">
        <is>
          <t>Communauté de communes</t>
        </is>
      </c>
      <c r="C777" t="inlineStr">
        <is>
          <t>200039907</t>
        </is>
      </c>
      <c r="D777" t="inlineStr">
        <is>
          <t>57</t>
        </is>
      </c>
      <c r="E777" t="inlineStr">
        <is>
          <t>Moselle</t>
        </is>
      </c>
      <c r="F777" t="inlineStr">
        <is>
          <t>Grand Est</t>
        </is>
      </c>
      <c r="G777" s="3" t="n">
        <v>17033</v>
      </c>
      <c r="H777" t="n">
        <v>34</v>
      </c>
      <c r="I777" t="inlineStr">
        <is>
          <t>2 rue Pilâtre-de-Rozier</t>
        </is>
      </c>
      <c r="J777" t="inlineStr">
        <is>
          <t>57420</t>
        </is>
      </c>
      <c r="K777" t="inlineStr">
        <is>
          <t>Goin</t>
        </is>
      </c>
      <c r="L777" t="inlineStr">
        <is>
          <t>03 87 38 04 10</t>
        </is>
      </c>
      <c r="M777" s="4" t="inlineStr">
        <is>
          <t>contact@sudmessin.fr</t>
        </is>
      </c>
      <c r="N777" s="4" t="inlineStr">
        <is>
          <t>http://www.sudmessin.fr</t>
        </is>
      </c>
      <c r="O777" t="inlineStr"/>
      <c r="P777" s="4" t="inlineStr">
        <is>
          <t>https://lannuaire.service-public.gouv.fr/grand-est/moselle/0b68ef3d-0ef6-44dc-8d61-e4e736ed811c</t>
        </is>
      </c>
      <c r="Q777" t="inlineStr">
        <is>
          <t>Annuaire Service-public.fr</t>
        </is>
      </c>
      <c r="R777" t="inlineStr"/>
      <c r="S777" t="inlineStr"/>
      <c r="T777" t="inlineStr"/>
    </row>
    <row r="778">
      <c r="A778" t="inlineStr">
        <is>
          <t>CC du Warndt</t>
        </is>
      </c>
      <c r="B778" t="inlineStr">
        <is>
          <t>Communauté de communes</t>
        </is>
      </c>
      <c r="C778" t="inlineStr">
        <is>
          <t>245701164</t>
        </is>
      </c>
      <c r="D778" t="inlineStr">
        <is>
          <t>57</t>
        </is>
      </c>
      <c r="E778" t="inlineStr">
        <is>
          <t>Moselle</t>
        </is>
      </c>
      <c r="F778" t="inlineStr">
        <is>
          <t>Grand Est</t>
        </is>
      </c>
      <c r="G778" s="3" t="n">
        <v>17369</v>
      </c>
      <c r="H778" t="n">
        <v>5</v>
      </c>
      <c r="I778" t="inlineStr">
        <is>
          <t>1 allée Léonard-de-Vinci</t>
        </is>
      </c>
      <c r="J778" t="inlineStr">
        <is>
          <t>57150</t>
        </is>
      </c>
      <c r="K778" t="inlineStr">
        <is>
          <t>Creutzwald</t>
        </is>
      </c>
      <c r="L778" t="inlineStr">
        <is>
          <t>03 57 85 02 20</t>
        </is>
      </c>
      <c r="M778" s="4" t="inlineStr">
        <is>
          <t>contact@ccwarndt.fr</t>
        </is>
      </c>
      <c r="N778" s="4" t="inlineStr">
        <is>
          <t>https://ccwarndt.fr/</t>
        </is>
      </c>
      <c r="O778" t="inlineStr"/>
      <c r="P778" s="4" t="inlineStr">
        <is>
          <t>https://lannuaire.service-public.gouv.fr/grand-est/moselle/e40a6cda-2c12-4e00-93c9-68bb810dbfbd</t>
        </is>
      </c>
      <c r="Q778" t="inlineStr">
        <is>
          <t>Annuaire Service-public.fr</t>
        </is>
      </c>
      <c r="R778" t="inlineStr"/>
      <c r="S778" t="inlineStr"/>
      <c r="T778" t="inlineStr"/>
    </row>
    <row r="779">
      <c r="A779" t="inlineStr">
        <is>
          <t>Metz Métropole</t>
        </is>
      </c>
      <c r="B779" t="inlineStr">
        <is>
          <t>Métropole</t>
        </is>
      </c>
      <c r="C779" t="inlineStr">
        <is>
          <t>200039865</t>
        </is>
      </c>
      <c r="D779" t="inlineStr">
        <is>
          <t>57</t>
        </is>
      </c>
      <c r="E779" t="inlineStr">
        <is>
          <t>Moselle</t>
        </is>
      </c>
      <c r="F779" t="inlineStr">
        <is>
          <t>Grand Est</t>
        </is>
      </c>
      <c r="G779" s="3" t="n">
        <v>230314</v>
      </c>
      <c r="H779" t="n">
        <v>46</v>
      </c>
      <c r="I779" t="inlineStr">
        <is>
          <t>1 place du Parlement-de-Metz</t>
        </is>
      </c>
      <c r="J779" t="inlineStr">
        <is>
          <t>57000</t>
        </is>
      </c>
      <c r="K779" t="inlineStr">
        <is>
          <t>Metz</t>
        </is>
      </c>
      <c r="L779" t="inlineStr">
        <is>
          <t>03 87 20 10 00</t>
        </is>
      </c>
      <c r="M779" s="4" t="inlineStr">
        <is>
          <t>accueilsiege@eurometropolemetz.eu</t>
        </is>
      </c>
      <c r="N779" s="4" t="inlineStr">
        <is>
          <t>https://www.eurometropolemetz.eu/</t>
        </is>
      </c>
      <c r="O779" s="4" t="inlineStr">
        <is>
          <t>https://demarches.services.eurometropolemetz.eu/metz-metropole/formulaire-de-contact-mm/</t>
        </is>
      </c>
      <c r="P779" s="4" t="inlineStr">
        <is>
          <t>https://lannuaire.service-public.gouv.fr/grand-est/moselle/5faa58c0-5de6-4b10-9de2-42c4323cbe61</t>
        </is>
      </c>
      <c r="Q779" t="inlineStr">
        <is>
          <t>Annuaire Service-public.fr</t>
        </is>
      </c>
      <c r="R779" t="inlineStr"/>
      <c r="S779" t="inlineStr"/>
      <c r="T779" t="inlineStr"/>
    </row>
    <row r="780">
      <c r="A780" t="inlineStr">
        <is>
          <t>CA Sarreguemines Confluences</t>
        </is>
      </c>
      <c r="B780" t="inlineStr">
        <is>
          <t>Communauté d’agglomération</t>
        </is>
      </c>
      <c r="C780" t="inlineStr">
        <is>
          <t>200070746</t>
        </is>
      </c>
      <c r="D780" t="inlineStr">
        <is>
          <t>57, 67</t>
        </is>
      </c>
      <c r="E780" t="inlineStr">
        <is>
          <t>Moselle, Bas-Rhin</t>
        </is>
      </c>
      <c r="F780" t="inlineStr">
        <is>
          <t>Grand Est</t>
        </is>
      </c>
      <c r="G780" s="3" t="n">
        <v>63122</v>
      </c>
      <c r="H780" t="n">
        <v>38</v>
      </c>
      <c r="I780" t="inlineStr">
        <is>
          <t>99 rue du Maréchal-Foch, Hôtel de la communauté</t>
        </is>
      </c>
      <c r="J780" t="inlineStr">
        <is>
          <t>57200</t>
        </is>
      </c>
      <c r="K780" t="inlineStr">
        <is>
          <t>Sarreguemines</t>
        </is>
      </c>
      <c r="L780" t="inlineStr">
        <is>
          <t>03 87 28 30 30</t>
        </is>
      </c>
      <c r="M780" s="4" t="inlineStr">
        <is>
          <t>contact@agglo-sarreguemines.fr</t>
        </is>
      </c>
      <c r="N780" s="4" t="inlineStr">
        <is>
          <t>https://www.agglo-sarreguemines.fr/</t>
        </is>
      </c>
      <c r="O780" s="4" t="inlineStr">
        <is>
          <t>https://www.agglo-sarreguemines.fr/contact/</t>
        </is>
      </c>
      <c r="P780" s="4" t="inlineStr">
        <is>
          <t>https://lannuaire.service-public.gouv.fr/grand-est/moselle/bba7e4ed-8a2f-4ccd-9e12-acd13415c418</t>
        </is>
      </c>
      <c r="Q780" t="inlineStr">
        <is>
          <t>Annuaire Service-public.fr</t>
        </is>
      </c>
      <c r="R780" t="inlineStr"/>
      <c r="S780" t="inlineStr"/>
      <c r="T780" t="inlineStr"/>
    </row>
    <row r="781">
      <c r="A781" t="inlineStr">
        <is>
          <t>CA de Nevers</t>
        </is>
      </c>
      <c r="B781" t="inlineStr">
        <is>
          <t>Communauté d’agglomération</t>
        </is>
      </c>
      <c r="C781" t="inlineStr">
        <is>
          <t>245804406</t>
        </is>
      </c>
      <c r="D781" t="inlineStr">
        <is>
          <t>58</t>
        </is>
      </c>
      <c r="E781" t="inlineStr">
        <is>
          <t>Nièvre</t>
        </is>
      </c>
      <c r="F781" t="inlineStr">
        <is>
          <t>Bourgogne-Franche-Comté</t>
        </is>
      </c>
      <c r="G781" s="3" t="n">
        <v>67408</v>
      </c>
      <c r="H781" t="n">
        <v>14</v>
      </c>
      <c r="I781" t="inlineStr">
        <is>
          <t>124 route de Marzy, CS 90041</t>
        </is>
      </c>
      <c r="J781" t="inlineStr">
        <is>
          <t>58027</t>
        </is>
      </c>
      <c r="K781" t="inlineStr">
        <is>
          <t>Nevers Cedex</t>
        </is>
      </c>
      <c r="L781" t="inlineStr">
        <is>
          <t>03 86 61 81 60</t>
        </is>
      </c>
      <c r="M781" s="4" t="inlineStr">
        <is>
          <t>contact@agglo-nevers.fr</t>
        </is>
      </c>
      <c r="N781" s="4" t="inlineStr">
        <is>
          <t>https://www.agglo-nevers.net/</t>
        </is>
      </c>
      <c r="O781" t="inlineStr"/>
      <c r="P781" s="4" t="inlineStr">
        <is>
          <t>https://lannuaire.service-public.gouv.fr/bourgogne-franche-comte/nievre/18336d96-68cb-4ef1-baa8-ad9539e44501</t>
        </is>
      </c>
      <c r="Q781" t="inlineStr">
        <is>
          <t>Annuaire Service-public.fr</t>
        </is>
      </c>
      <c r="R781" t="inlineStr"/>
      <c r="S781" t="inlineStr"/>
      <c r="T781" t="inlineStr"/>
    </row>
    <row r="782">
      <c r="A782" t="inlineStr">
        <is>
          <t>CC Amognes Coeur du Nivernais</t>
        </is>
      </c>
      <c r="B782" t="inlineStr">
        <is>
          <t>Communauté de communes</t>
        </is>
      </c>
      <c r="C782" t="inlineStr">
        <is>
          <t>200067908</t>
        </is>
      </c>
      <c r="D782" t="inlineStr">
        <is>
          <t>58</t>
        </is>
      </c>
      <c r="E782" t="inlineStr">
        <is>
          <t>Nièvre</t>
        </is>
      </c>
      <c r="F782" t="inlineStr">
        <is>
          <t>Bourgogne-Franche-Comté</t>
        </is>
      </c>
      <c r="G782" s="3" t="n">
        <v>8527</v>
      </c>
      <c r="H782" t="n">
        <v>28</v>
      </c>
      <c r="I782" t="inlineStr">
        <is>
          <t>1 place de la République</t>
        </is>
      </c>
      <c r="J782" t="inlineStr">
        <is>
          <t>58270</t>
        </is>
      </c>
      <c r="K782" t="inlineStr">
        <is>
          <t>Saint-Benin-d'Azy</t>
        </is>
      </c>
      <c r="L782" t="inlineStr">
        <is>
          <t>03 86 58 46 22</t>
        </is>
      </c>
      <c r="M782" s="4" t="inlineStr">
        <is>
          <t>contact@ccacn.fr</t>
        </is>
      </c>
      <c r="N782" s="4" t="inlineStr">
        <is>
          <t>https://cc-amognescoeurdunivernais.fr/</t>
        </is>
      </c>
      <c r="O782" t="inlineStr"/>
      <c r="P782" s="4" t="inlineStr">
        <is>
          <t>https://lannuaire.service-public.gouv.fr/bourgogne-franche-comte/nievre/dd0926c6-1e1c-44d8-bb75-d14c2527ada0</t>
        </is>
      </c>
      <c r="Q782" t="inlineStr">
        <is>
          <t>Annuaire Service-public.fr</t>
        </is>
      </c>
      <c r="R782" t="inlineStr"/>
      <c r="S782" t="inlineStr"/>
      <c r="T782" t="inlineStr"/>
    </row>
    <row r="783">
      <c r="A783" t="inlineStr">
        <is>
          <t>CC Bazois Loire Morvan</t>
        </is>
      </c>
      <c r="B783" t="inlineStr">
        <is>
          <t>Communauté de communes</t>
        </is>
      </c>
      <c r="C783" t="inlineStr">
        <is>
          <t>200067882</t>
        </is>
      </c>
      <c r="D783" t="inlineStr">
        <is>
          <t>58</t>
        </is>
      </c>
      <c r="E783" t="inlineStr">
        <is>
          <t>Nièvre</t>
        </is>
      </c>
      <c r="F783" t="inlineStr">
        <is>
          <t>Bourgogne-Franche-Comté</t>
        </is>
      </c>
      <c r="G783" s="3" t="n">
        <v>15029</v>
      </c>
      <c r="H783" t="n">
        <v>46</v>
      </c>
      <c r="I783" t="inlineStr">
        <is>
          <t>11 place Lafayette</t>
        </is>
      </c>
      <c r="J783" t="inlineStr">
        <is>
          <t>58290</t>
        </is>
      </c>
      <c r="K783" t="inlineStr">
        <is>
          <t>Moulins-Engilbert</t>
        </is>
      </c>
      <c r="L783" t="inlineStr">
        <is>
          <t>03 86 84 33 55</t>
        </is>
      </c>
      <c r="M783" s="4" t="inlineStr">
        <is>
          <t>contact@bazoisloiremorvan.fr</t>
        </is>
      </c>
      <c r="N783" s="4" t="inlineStr">
        <is>
          <t>https://www.bazoisloiremorvan.fr/</t>
        </is>
      </c>
      <c r="O783" s="4" t="inlineStr">
        <is>
          <t>https://www.bazoisloiremorvan.fr/contactez-nous/</t>
        </is>
      </c>
      <c r="P783" s="4" t="inlineStr">
        <is>
          <t>https://lannuaire.service-public.gouv.fr/bourgogne-franche-comte/nievre/e0e23cd0-c8e6-4c25-8b74-66a8f7ce2bff</t>
        </is>
      </c>
      <c r="Q783" t="inlineStr">
        <is>
          <t>Annuaire Service-public.fr</t>
        </is>
      </c>
      <c r="R783" t="inlineStr"/>
      <c r="S783" t="inlineStr"/>
      <c r="T783" t="inlineStr"/>
    </row>
    <row r="784">
      <c r="A784" t="inlineStr">
        <is>
          <t>CC Coeur de Loire</t>
        </is>
      </c>
      <c r="B784" t="inlineStr">
        <is>
          <t>Communauté de communes</t>
        </is>
      </c>
      <c r="C784" t="inlineStr">
        <is>
          <t>200067916</t>
        </is>
      </c>
      <c r="D784" t="inlineStr">
        <is>
          <t>58</t>
        </is>
      </c>
      <c r="E784" t="inlineStr">
        <is>
          <t>Nièvre</t>
        </is>
      </c>
      <c r="F784" t="inlineStr">
        <is>
          <t>Bourgogne-Franche-Comté</t>
        </is>
      </c>
      <c r="G784" s="3" t="n">
        <v>25204</v>
      </c>
      <c r="H784" t="n">
        <v>30</v>
      </c>
      <c r="I784" t="inlineStr">
        <is>
          <t>4 place Georges-Clemenceau, BP 70</t>
        </is>
      </c>
      <c r="J784" t="inlineStr">
        <is>
          <t>58203</t>
        </is>
      </c>
      <c r="K784" t="inlineStr">
        <is>
          <t>Cosne-Cours-sur-Loire Cedex</t>
        </is>
      </c>
      <c r="L784" t="inlineStr">
        <is>
          <t>03 86 28 92 92</t>
        </is>
      </c>
      <c r="M784" s="4" t="inlineStr">
        <is>
          <t>contact@coeurdeloire.fr</t>
        </is>
      </c>
      <c r="N784" s="4" t="inlineStr">
        <is>
          <t>https://www.coeurdeloire.fr/</t>
        </is>
      </c>
      <c r="O784" s="4" t="inlineStr">
        <is>
          <t>https://www.coeurdeloire.fr/contact/</t>
        </is>
      </c>
      <c r="P784" s="4" t="inlineStr">
        <is>
          <t>https://lannuaire.service-public.gouv.fr/bourgogne-franche-comte/nievre/49ec768b-c110-4a94-9e77-3b52dddeccbe</t>
        </is>
      </c>
      <c r="Q784" t="inlineStr">
        <is>
          <t>Annuaire Service-public.fr</t>
        </is>
      </c>
      <c r="R784" t="inlineStr"/>
      <c r="S784" t="inlineStr"/>
      <c r="T784" t="inlineStr"/>
    </row>
    <row r="785">
      <c r="A785" t="inlineStr">
        <is>
          <t>CC Loire et Allier</t>
        </is>
      </c>
      <c r="B785" t="inlineStr">
        <is>
          <t>Communauté de communes</t>
        </is>
      </c>
      <c r="C785" t="inlineStr">
        <is>
          <t>245801063</t>
        </is>
      </c>
      <c r="D785" t="inlineStr">
        <is>
          <t>58</t>
        </is>
      </c>
      <c r="E785" t="inlineStr">
        <is>
          <t>Nièvre</t>
        </is>
      </c>
      <c r="F785" t="inlineStr">
        <is>
          <t>Bourgogne-Franche-Comté</t>
        </is>
      </c>
      <c r="G785" s="3" t="n">
        <v>4978</v>
      </c>
      <c r="H785" t="n">
        <v>5</v>
      </c>
      <c r="I785" t="inlineStr">
        <is>
          <t>Avenue de la Mairie</t>
        </is>
      </c>
      <c r="J785" t="inlineStr">
        <is>
          <t>58490</t>
        </is>
      </c>
      <c r="K785" t="inlineStr">
        <is>
          <t>Saint-Parize-le-Châtel</t>
        </is>
      </c>
      <c r="L785" t="inlineStr">
        <is>
          <t>03 86 21 08 49</t>
        </is>
      </c>
      <c r="M785" s="4" t="inlineStr">
        <is>
          <t>administratif@cc-loire-allier.fr</t>
        </is>
      </c>
      <c r="N785" s="4" t="inlineStr">
        <is>
          <t>http://www.cc-loire-allier.fr</t>
        </is>
      </c>
      <c r="O785" t="inlineStr"/>
      <c r="P785" s="4" t="inlineStr">
        <is>
          <t>https://lannuaire.service-public.gouv.fr/bourgogne-franche-comte/nievre/08e97c1c-a502-4d5c-b2be-da20653ad377</t>
        </is>
      </c>
      <c r="Q785" t="inlineStr">
        <is>
          <t>Annuaire Service-public.fr</t>
        </is>
      </c>
      <c r="R785" t="inlineStr"/>
      <c r="S785" t="inlineStr"/>
      <c r="T785" t="inlineStr"/>
    </row>
    <row r="786">
      <c r="A786" t="inlineStr">
        <is>
          <t>CC Morvan Sommets et Grands Lacs</t>
        </is>
      </c>
      <c r="B786" t="inlineStr">
        <is>
          <t>Communauté de communes</t>
        </is>
      </c>
      <c r="C786" t="inlineStr">
        <is>
          <t>200067890</t>
        </is>
      </c>
      <c r="D786" t="inlineStr">
        <is>
          <t>58</t>
        </is>
      </c>
      <c r="E786" t="inlineStr">
        <is>
          <t>Nièvre</t>
        </is>
      </c>
      <c r="F786" t="inlineStr">
        <is>
          <t>Bourgogne-Franche-Comté</t>
        </is>
      </c>
      <c r="G786" s="3" t="n">
        <v>12039</v>
      </c>
      <c r="H786" t="n">
        <v>34</v>
      </c>
      <c r="I786" t="inlineStr">
        <is>
          <t>Place François-Mitterrand</t>
        </is>
      </c>
      <c r="J786" t="inlineStr">
        <is>
          <t>58120</t>
        </is>
      </c>
      <c r="K786" t="inlineStr">
        <is>
          <t>Château-Chinon</t>
        </is>
      </c>
      <c r="L786" t="inlineStr">
        <is>
          <t>03 86 79 43 99</t>
        </is>
      </c>
      <c r="M786" s="4" t="inlineStr">
        <is>
          <t>contact@ccmorvan.fr</t>
        </is>
      </c>
      <c r="N786" s="4" t="inlineStr">
        <is>
          <t>https://www.ccmorvan.fr/</t>
        </is>
      </c>
      <c r="O786" t="inlineStr"/>
      <c r="P786" s="4" t="inlineStr">
        <is>
          <t>https://lannuaire.service-public.gouv.fr/bourgogne-franche-comte/nievre/fbce022e-eaaa-4119-a3ee-6338966b2e1c</t>
        </is>
      </c>
      <c r="Q786" t="inlineStr">
        <is>
          <t>Annuaire Service-public.fr</t>
        </is>
      </c>
      <c r="R786" t="inlineStr"/>
      <c r="S786" t="inlineStr"/>
      <c r="T786" t="inlineStr"/>
    </row>
    <row r="787">
      <c r="A787" t="inlineStr">
        <is>
          <t>CC Sud Nivernais</t>
        </is>
      </c>
      <c r="B787" t="inlineStr">
        <is>
          <t>Communauté de communes</t>
        </is>
      </c>
      <c r="C787" t="inlineStr">
        <is>
          <t>200067700</t>
        </is>
      </c>
      <c r="D787" t="inlineStr">
        <is>
          <t>58</t>
        </is>
      </c>
      <c r="E787" t="inlineStr">
        <is>
          <t>Nièvre</t>
        </is>
      </c>
      <c r="F787" t="inlineStr">
        <is>
          <t>Bourgogne-Franche-Comté</t>
        </is>
      </c>
      <c r="G787" s="3" t="n">
        <v>19771</v>
      </c>
      <c r="H787" t="n">
        <v>20</v>
      </c>
      <c r="I787" t="inlineStr">
        <is>
          <t>2 rue du Port de la Jonction</t>
        </is>
      </c>
      <c r="J787" t="inlineStr">
        <is>
          <t>58300</t>
        </is>
      </c>
      <c r="K787" t="inlineStr">
        <is>
          <t>Decize</t>
        </is>
      </c>
      <c r="L787" t="inlineStr">
        <is>
          <t>03 86 77 09 45</t>
        </is>
      </c>
      <c r="M787" s="4" t="inlineStr">
        <is>
          <t>accueil@ccsn.fr</t>
        </is>
      </c>
      <c r="N787" s="4" t="inlineStr">
        <is>
          <t>https://www.sud-nivernais-communaute.fr/</t>
        </is>
      </c>
      <c r="O787" s="4" t="inlineStr">
        <is>
          <t>https://www.sud-nivernais-communaute.fr/systeme/nous-contacter/</t>
        </is>
      </c>
      <c r="P787" s="4" t="inlineStr">
        <is>
          <t>https://lannuaire.service-public.gouv.fr/bourgogne-franche-comte/nievre/2306bbfa-0f13-45a2-ba72-4ba73f452f12</t>
        </is>
      </c>
      <c r="Q787" t="inlineStr">
        <is>
          <t>Annuaire Service-public.fr</t>
        </is>
      </c>
      <c r="R787" t="inlineStr"/>
      <c r="S787" t="inlineStr"/>
      <c r="T787" t="inlineStr"/>
    </row>
    <row r="788">
      <c r="A788" t="inlineStr">
        <is>
          <t>CC Tannay-Brinon-Corbigny</t>
        </is>
      </c>
      <c r="B788" t="inlineStr">
        <is>
          <t>Communauté de communes</t>
        </is>
      </c>
      <c r="C788" t="inlineStr">
        <is>
          <t>200067692</t>
        </is>
      </c>
      <c r="D788" t="inlineStr">
        <is>
          <t>58</t>
        </is>
      </c>
      <c r="E788" t="inlineStr">
        <is>
          <t>Nièvre</t>
        </is>
      </c>
      <c r="F788" t="inlineStr">
        <is>
          <t>Bourgogne-Franche-Comté</t>
        </is>
      </c>
      <c r="G788" s="3" t="n">
        <v>9394</v>
      </c>
      <c r="H788" t="n">
        <v>58</v>
      </c>
      <c r="I788" t="inlineStr">
        <is>
          <t>3 Grande rue</t>
        </is>
      </c>
      <c r="J788" t="inlineStr">
        <is>
          <t>58800</t>
        </is>
      </c>
      <c r="K788" t="inlineStr">
        <is>
          <t>Corbigny</t>
        </is>
      </c>
      <c r="L788" t="inlineStr">
        <is>
          <t>03 86 20 22 03</t>
        </is>
      </c>
      <c r="M788" s="4" t="inlineStr">
        <is>
          <t>accueil@cctbc.fr</t>
        </is>
      </c>
      <c r="N788" s="4" t="inlineStr">
        <is>
          <t>https://www.tannay-brinon-corbigny.fr</t>
        </is>
      </c>
      <c r="O788" s="4" t="inlineStr">
        <is>
          <t>https://www.tannay-brinon-corbigny.fr/contact/</t>
        </is>
      </c>
      <c r="P788" s="4" t="inlineStr">
        <is>
          <t>https://lannuaire.service-public.gouv.fr/bourgogne-franche-comte/nievre/fd3f40ff-96ea-4c52-b637-2ff65e1269eb</t>
        </is>
      </c>
      <c r="Q788" t="inlineStr">
        <is>
          <t>Annuaire Service-public.fr</t>
        </is>
      </c>
      <c r="R788" t="inlineStr"/>
      <c r="S788" t="inlineStr"/>
      <c r="T788" t="inlineStr"/>
    </row>
    <row r="789">
      <c r="A789" t="inlineStr">
        <is>
          <t>CC du Nivernais Bourbonnais</t>
        </is>
      </c>
      <c r="B789" t="inlineStr">
        <is>
          <t>Communauté de communes</t>
        </is>
      </c>
      <c r="C789" t="inlineStr">
        <is>
          <t>245804497</t>
        </is>
      </c>
      <c r="D789" t="inlineStr">
        <is>
          <t>58</t>
        </is>
      </c>
      <c r="E789" t="inlineStr">
        <is>
          <t>Nièvre</t>
        </is>
      </c>
      <c r="F789" t="inlineStr">
        <is>
          <t>Bourgogne-Franche-Comté</t>
        </is>
      </c>
      <c r="G789" s="3" t="n">
        <v>5176</v>
      </c>
      <c r="H789" t="n">
        <v>9</v>
      </c>
      <c r="I789" t="inlineStr">
        <is>
          <t>2 rue Lieutenant-Paul-Theurier</t>
        </is>
      </c>
      <c r="J789" t="inlineStr">
        <is>
          <t>58240</t>
        </is>
      </c>
      <c r="K789" t="inlineStr">
        <is>
          <t>Saint-Pierre-le-Moûtier</t>
        </is>
      </c>
      <c r="L789" t="inlineStr">
        <is>
          <t>03 86 90 80 76</t>
        </is>
      </c>
      <c r="M789" s="4" t="inlineStr">
        <is>
          <t>accueilccnb@orange.fr</t>
        </is>
      </c>
      <c r="N789" s="4" t="inlineStr">
        <is>
          <t>https://www.nivernais-bourbonnais.com/</t>
        </is>
      </c>
      <c r="O789" s="4" t="inlineStr">
        <is>
          <t>https://www.nivernais-bourbonnais.com/contact/</t>
        </is>
      </c>
      <c r="P789" s="4" t="inlineStr">
        <is>
          <t>https://lannuaire.service-public.gouv.fr/bourgogne-franche-comte/nievre/be5b7e77-a409-488b-a809-bcd89f4035c9</t>
        </is>
      </c>
      <c r="Q789" t="inlineStr">
        <is>
          <t>Annuaire Service-public.fr</t>
        </is>
      </c>
      <c r="R789" t="inlineStr"/>
      <c r="S789" t="inlineStr"/>
      <c r="T789" t="inlineStr"/>
    </row>
    <row r="790">
      <c r="A790" t="inlineStr">
        <is>
          <t>CC Haut Nivernais - Val d'Yonne</t>
        </is>
      </c>
      <c r="B790" t="inlineStr">
        <is>
          <t>Communauté de communes</t>
        </is>
      </c>
      <c r="C790" t="inlineStr">
        <is>
          <t>200067429</t>
        </is>
      </c>
      <c r="D790" t="inlineStr">
        <is>
          <t>58, 89</t>
        </is>
      </c>
      <c r="E790" t="inlineStr">
        <is>
          <t>Nièvre, Yonne</t>
        </is>
      </c>
      <c r="F790" t="inlineStr">
        <is>
          <t>Bourgogne-Franche-Comté</t>
        </is>
      </c>
      <c r="G790" s="3" t="n">
        <v>11845</v>
      </c>
      <c r="H790" t="n">
        <v>30</v>
      </c>
      <c r="I790" t="inlineStr">
        <is>
          <t>35 avenue de la République</t>
        </is>
      </c>
      <c r="J790" t="inlineStr">
        <is>
          <t>58500</t>
        </is>
      </c>
      <c r="K790" t="inlineStr">
        <is>
          <t>Clamecy</t>
        </is>
      </c>
      <c r="L790" t="inlineStr">
        <is>
          <t>03 86 27 12 65</t>
        </is>
      </c>
      <c r="M790" s="4" t="inlineStr">
        <is>
          <t>contact@cchnvy.fr</t>
        </is>
      </c>
      <c r="N790" s="4" t="inlineStr">
        <is>
          <t>https://www.cchnvy.fr/</t>
        </is>
      </c>
      <c r="O790" s="4" t="inlineStr">
        <is>
          <t>https://www.cchnvy.fr/contact/</t>
        </is>
      </c>
      <c r="P790" s="4" t="inlineStr">
        <is>
          <t>https://lannuaire.service-public.gouv.fr/bourgogne-franche-comte/nievre/d00b025f-6f16-415a-8c89-d643ee483ed2</t>
        </is>
      </c>
      <c r="Q790" t="inlineStr">
        <is>
          <t>Annuaire Service-public.fr</t>
        </is>
      </c>
      <c r="R790" t="inlineStr"/>
      <c r="S790" t="inlineStr"/>
      <c r="T790" t="inlineStr"/>
    </row>
    <row r="791">
      <c r="A791" t="inlineStr">
        <is>
          <t>CC de Puisaye-Forterre</t>
        </is>
      </c>
      <c r="B791" t="inlineStr">
        <is>
          <t>Communauté de communes</t>
        </is>
      </c>
      <c r="C791" t="inlineStr">
        <is>
          <t>200067130</t>
        </is>
      </c>
      <c r="D791" t="inlineStr">
        <is>
          <t>58, 89</t>
        </is>
      </c>
      <c r="E791" t="inlineStr">
        <is>
          <t>Nièvre, Yonne</t>
        </is>
      </c>
      <c r="F791" t="inlineStr">
        <is>
          <t>Bourgogne-Franche-Comté</t>
        </is>
      </c>
      <c r="G791" s="3" t="n">
        <v>33562</v>
      </c>
      <c r="H791" t="n">
        <v>57</v>
      </c>
      <c r="I791" t="inlineStr">
        <is>
          <t>4 avenue du Général-Leclerc</t>
        </is>
      </c>
      <c r="J791" t="inlineStr">
        <is>
          <t>89170</t>
        </is>
      </c>
      <c r="K791" t="inlineStr">
        <is>
          <t>Saint-Fargeau</t>
        </is>
      </c>
      <c r="L791" t="inlineStr">
        <is>
          <t>03 86 44 23 50</t>
        </is>
      </c>
      <c r="M791" s="4" t="inlineStr">
        <is>
          <t>contact@cc-puisayeforterre.fr</t>
        </is>
      </c>
      <c r="N791" s="4" t="inlineStr">
        <is>
          <t>https://www.puisaye-forterre.com/</t>
        </is>
      </c>
      <c r="O791" t="inlineStr"/>
      <c r="P791" s="4" t="inlineStr">
        <is>
          <t>https://lannuaire.service-public.gouv.fr/bourgogne-franche-comte/yonne/455c3c62-1a45-4707-8b9c-533e18a31108</t>
        </is>
      </c>
      <c r="Q791" t="inlineStr">
        <is>
          <t>Annuaire Service-public.fr</t>
        </is>
      </c>
      <c r="R791" t="inlineStr"/>
      <c r="S791" t="inlineStr"/>
      <c r="T791" t="inlineStr"/>
    </row>
    <row r="792">
      <c r="A792" t="inlineStr">
        <is>
          <t>CA Coeur d'Ostrevent</t>
        </is>
      </c>
      <c r="B792" t="inlineStr">
        <is>
          <t>Communauté d’agglomération</t>
        </is>
      </c>
      <c r="C792" t="inlineStr">
        <is>
          <t>245901152</t>
        </is>
      </c>
      <c r="D792" t="inlineStr">
        <is>
          <t>59</t>
        </is>
      </c>
      <c r="E792" t="inlineStr">
        <is>
          <t>Nord</t>
        </is>
      </c>
      <c r="F792" t="inlineStr">
        <is>
          <t>Hauts-de-France</t>
        </is>
      </c>
      <c r="G792" s="3" t="n">
        <v>70247</v>
      </c>
      <c r="H792" t="n">
        <v>20</v>
      </c>
      <c r="I792" t="inlineStr">
        <is>
          <t>Avenue du Bois</t>
        </is>
      </c>
      <c r="J792" t="inlineStr">
        <is>
          <t>59280</t>
        </is>
      </c>
      <c r="K792" t="inlineStr">
        <is>
          <t>Lewarde</t>
        </is>
      </c>
      <c r="L792" t="inlineStr">
        <is>
          <t>03 27 71 37 37</t>
        </is>
      </c>
      <c r="M792" s="4" t="inlineStr">
        <is>
          <t>contact@coeurdostreventagglo.fr</t>
        </is>
      </c>
      <c r="N792" s="4" t="inlineStr">
        <is>
          <t>https://coeurdostrevent.fr/</t>
        </is>
      </c>
      <c r="O792" s="4" t="inlineStr">
        <is>
          <t>https://coeurdostrevent.fr/nous-contacter/</t>
        </is>
      </c>
      <c r="P792" s="4" t="inlineStr">
        <is>
          <t>https://lannuaire.service-public.gouv.fr/hauts-de-france/nord/19325ac3-de97-4764-b8bf-02bdbeff871e</t>
        </is>
      </c>
      <c r="Q792" t="inlineStr">
        <is>
          <t>Annuaire Service-public.fr</t>
        </is>
      </c>
      <c r="R792" t="inlineStr"/>
      <c r="S792" t="inlineStr"/>
      <c r="T792" t="inlineStr"/>
    </row>
    <row r="793">
      <c r="A793" t="inlineStr">
        <is>
          <t>CA Coeur de Flandre</t>
        </is>
      </c>
      <c r="B793" t="inlineStr">
        <is>
          <t>Communauté d’agglomération</t>
        </is>
      </c>
      <c r="C793" t="inlineStr">
        <is>
          <t>200040947</t>
        </is>
      </c>
      <c r="D793" t="inlineStr">
        <is>
          <t>59</t>
        </is>
      </c>
      <c r="E793" t="inlineStr">
        <is>
          <t>Nord</t>
        </is>
      </c>
      <c r="F793" t="inlineStr">
        <is>
          <t>Hauts-de-France</t>
        </is>
      </c>
      <c r="G793" s="3" t="n">
        <v>102562</v>
      </c>
      <c r="H793" t="n">
        <v>50</v>
      </c>
      <c r="I793" t="inlineStr">
        <is>
          <t>222 bis rue de Vieux-Berquin</t>
        </is>
      </c>
      <c r="J793" t="inlineStr">
        <is>
          <t>59190</t>
        </is>
      </c>
      <c r="K793" t="inlineStr">
        <is>
          <t>Hazebrouck</t>
        </is>
      </c>
      <c r="L793" t="inlineStr">
        <is>
          <t>03 74 54 00 59</t>
        </is>
      </c>
      <c r="M793" s="4" t="inlineStr">
        <is>
          <t>mailccom@cc-flandreinterieure.fr</t>
        </is>
      </c>
      <c r="N793" s="4" t="inlineStr">
        <is>
          <t>https://ca-coeurdeflandre.fr/</t>
        </is>
      </c>
      <c r="O793" t="inlineStr"/>
      <c r="P793" s="4" t="inlineStr">
        <is>
          <t>https://lannuaire.service-public.gouv.fr/hauts-de-france/nord/7eac9709-b2db-4f4b-be38-c2570faf8b70</t>
        </is>
      </c>
      <c r="Q793" t="inlineStr">
        <is>
          <t>Annuaire Service-public.fr</t>
        </is>
      </c>
      <c r="R793" t="inlineStr"/>
      <c r="S793" t="inlineStr"/>
      <c r="T793" t="inlineStr"/>
    </row>
    <row r="794">
      <c r="A794" t="inlineStr">
        <is>
          <t>CA Douaisis Agglo</t>
        </is>
      </c>
      <c r="B794" t="inlineStr">
        <is>
          <t>Communauté d’agglomération</t>
        </is>
      </c>
      <c r="C794" t="inlineStr">
        <is>
          <t>200044618</t>
        </is>
      </c>
      <c r="D794" t="inlineStr">
        <is>
          <t>59</t>
        </is>
      </c>
      <c r="E794" t="inlineStr">
        <is>
          <t>Nord</t>
        </is>
      </c>
      <c r="F794" t="inlineStr">
        <is>
          <t>Hauts-de-France</t>
        </is>
      </c>
      <c r="G794" s="3" t="n">
        <v>148901</v>
      </c>
      <c r="H794" t="n">
        <v>35</v>
      </c>
      <c r="I794" t="inlineStr">
        <is>
          <t>746 rue Jean-Perrin, Parc d'activité de Dorignies</t>
        </is>
      </c>
      <c r="J794" t="inlineStr">
        <is>
          <t>59500</t>
        </is>
      </c>
      <c r="K794" t="inlineStr">
        <is>
          <t>Douai</t>
        </is>
      </c>
      <c r="L794" t="inlineStr">
        <is>
          <t>03 27 99 89 89</t>
        </is>
      </c>
      <c r="M794" s="4" t="inlineStr">
        <is>
          <t>contact@douaisis-agglo.com</t>
        </is>
      </c>
      <c r="N794" s="4" t="inlineStr">
        <is>
          <t>https://www.douaisis-agglo.com/</t>
        </is>
      </c>
      <c r="O794" s="4" t="inlineStr">
        <is>
          <t>https://www.douaisis-agglo.com/contacter-un-service-de-douaisis-agglo</t>
        </is>
      </c>
      <c r="P794" s="4" t="inlineStr">
        <is>
          <t>https://lannuaire.service-public.gouv.fr/hauts-de-france/nord/be8bfe3b-cd29-4558-94b7-416e62525ef4</t>
        </is>
      </c>
      <c r="Q794" t="inlineStr">
        <is>
          <t>Annuaire Service-public.fr</t>
        </is>
      </c>
      <c r="R794" t="inlineStr"/>
      <c r="S794" t="inlineStr"/>
      <c r="T794" t="inlineStr"/>
    </row>
    <row r="795">
      <c r="A795" t="inlineStr">
        <is>
          <t>CA Maubeuge Val de Sambre</t>
        </is>
      </c>
      <c r="B795" t="inlineStr">
        <is>
          <t>Communauté d’agglomération</t>
        </is>
      </c>
      <c r="C795" t="inlineStr">
        <is>
          <t>200043396</t>
        </is>
      </c>
      <c r="D795" t="inlineStr">
        <is>
          <t>59</t>
        </is>
      </c>
      <c r="E795" t="inlineStr">
        <is>
          <t>Nord</t>
        </is>
      </c>
      <c r="F795" t="inlineStr">
        <is>
          <t>Hauts-de-France</t>
        </is>
      </c>
      <c r="G795" s="3" t="n">
        <v>122909</v>
      </c>
      <c r="H795" t="n">
        <v>43</v>
      </c>
      <c r="I795" t="inlineStr">
        <is>
          <t>18 rue du 145e-Régiment-d'Infanterie</t>
        </is>
      </c>
      <c r="J795" t="inlineStr">
        <is>
          <t>59600</t>
        </is>
      </c>
      <c r="K795" t="inlineStr">
        <is>
          <t>Maubeuge</t>
        </is>
      </c>
      <c r="L795" t="inlineStr">
        <is>
          <t>03 27 53 01 00</t>
        </is>
      </c>
      <c r="M795" s="4" t="inlineStr">
        <is>
          <t>amvs@amvs.fr</t>
        </is>
      </c>
      <c r="N795" s="4" t="inlineStr">
        <is>
          <t>https://agglo-maubeugevaldesambre.fr/</t>
        </is>
      </c>
      <c r="O795" s="4" t="inlineStr">
        <is>
          <t>https://agglo-maubeugevaldesambre.fr/contact/</t>
        </is>
      </c>
      <c r="P795" s="4" t="inlineStr">
        <is>
          <t>https://lannuaire.service-public.gouv.fr/hauts-de-france/nord/0a98fa2b-758f-4dcb-92a5-33b0191c81f9</t>
        </is>
      </c>
      <c r="Q795" t="inlineStr">
        <is>
          <t>Annuaire Service-public.fr</t>
        </is>
      </c>
      <c r="R795" t="inlineStr"/>
      <c r="S795" t="inlineStr"/>
      <c r="T795" t="inlineStr"/>
    </row>
    <row r="796">
      <c r="A796" t="inlineStr">
        <is>
          <t>CA Valenciennes Métropole</t>
        </is>
      </c>
      <c r="B796" t="inlineStr">
        <is>
          <t>Communauté d’agglomération</t>
        </is>
      </c>
      <c r="C796" t="inlineStr">
        <is>
          <t>245901160</t>
        </is>
      </c>
      <c r="D796" t="inlineStr">
        <is>
          <t>59</t>
        </is>
      </c>
      <c r="E796" t="inlineStr">
        <is>
          <t>Nord</t>
        </is>
      </c>
      <c r="F796" t="inlineStr">
        <is>
          <t>Hauts-de-France</t>
        </is>
      </c>
      <c r="G796" s="3" t="n">
        <v>191885</v>
      </c>
      <c r="H796" t="n">
        <v>35</v>
      </c>
      <c r="I796" t="inlineStr">
        <is>
          <t>2 place de l'Hôpital-Général</t>
        </is>
      </c>
      <c r="J796" t="inlineStr">
        <is>
          <t>59305</t>
        </is>
      </c>
      <c r="K796" t="inlineStr">
        <is>
          <t>Valenciennes</t>
        </is>
      </c>
      <c r="L796" t="inlineStr">
        <is>
          <t>03 27 09 60 96</t>
        </is>
      </c>
      <c r="M796" s="4" t="inlineStr">
        <is>
          <t>communication.cavm@valenciennes-metropole.fr</t>
        </is>
      </c>
      <c r="N796" s="4" t="inlineStr">
        <is>
          <t>https://www.valenciennes-metropole.fr/</t>
        </is>
      </c>
      <c r="O796" s="4" t="inlineStr">
        <is>
          <t>https://www.valenciennes-metropole.fr/contact/</t>
        </is>
      </c>
      <c r="P796" s="4" t="inlineStr">
        <is>
          <t>https://lannuaire.service-public.gouv.fr/hauts-de-france/nord/3440f7da-c14d-489e-9a85-05ffa3dfde2d</t>
        </is>
      </c>
      <c r="Q796" t="inlineStr">
        <is>
          <t>Annuaire Service-public.fr</t>
        </is>
      </c>
      <c r="R796" t="inlineStr"/>
      <c r="S796" t="inlineStr"/>
      <c r="T796" t="inlineStr"/>
    </row>
    <row r="797">
      <c r="A797" t="inlineStr">
        <is>
          <t>CA de Cambrai</t>
        </is>
      </c>
      <c r="B797" t="inlineStr">
        <is>
          <t>Communauté d’agglomération</t>
        </is>
      </c>
      <c r="C797" t="inlineStr">
        <is>
          <t>200068500</t>
        </is>
      </c>
      <c r="D797" t="inlineStr">
        <is>
          <t>59</t>
        </is>
      </c>
      <c r="E797" t="inlineStr">
        <is>
          <t>Nord</t>
        </is>
      </c>
      <c r="F797" t="inlineStr">
        <is>
          <t>Hauts-de-France</t>
        </is>
      </c>
      <c r="G797" s="3" t="n">
        <v>80469</v>
      </c>
      <c r="H797" t="n">
        <v>55</v>
      </c>
      <c r="I797" t="inlineStr">
        <is>
          <t>14 rue Neuve, BP 375</t>
        </is>
      </c>
      <c r="J797" t="inlineStr">
        <is>
          <t>59407</t>
        </is>
      </c>
      <c r="K797" t="inlineStr">
        <is>
          <t>Cambrai Cedex</t>
        </is>
      </c>
      <c r="L797" t="inlineStr">
        <is>
          <t>03 27 72 40 00</t>
        </is>
      </c>
      <c r="M797" s="4" t="inlineStr">
        <is>
          <t>contact@agglo-cambrai.fr</t>
        </is>
      </c>
      <c r="N797" s="4" t="inlineStr">
        <is>
          <t>https://www.agglo-cambrai.fr/</t>
        </is>
      </c>
      <c r="O797" t="inlineStr"/>
      <c r="P797" s="4" t="inlineStr">
        <is>
          <t>https://lannuaire.service-public.gouv.fr/hauts-de-france/nord/12093c70-ef1c-49e4-b89c-38d85e8e2f32</t>
        </is>
      </c>
      <c r="Q797" t="inlineStr">
        <is>
          <t>Annuaire Service-public.fr</t>
        </is>
      </c>
      <c r="R797" t="inlineStr"/>
      <c r="S797" t="inlineStr"/>
      <c r="T797" t="inlineStr"/>
    </row>
    <row r="798">
      <c r="A798" t="inlineStr">
        <is>
          <t>CA de la Porte du Hainaut</t>
        </is>
      </c>
      <c r="B798" t="inlineStr">
        <is>
          <t>Communauté d’agglomération</t>
        </is>
      </c>
      <c r="C798" t="inlineStr">
        <is>
          <t>200042190</t>
        </is>
      </c>
      <c r="D798" t="inlineStr">
        <is>
          <t>59</t>
        </is>
      </c>
      <c r="E798" t="inlineStr">
        <is>
          <t>Nord</t>
        </is>
      </c>
      <c r="F798" t="inlineStr">
        <is>
          <t>Hauts-de-France</t>
        </is>
      </c>
      <c r="G798" s="3" t="n">
        <v>158351</v>
      </c>
      <c r="H798" t="n">
        <v>47</v>
      </c>
      <c r="I798" t="inlineStr">
        <is>
          <t>Rue Michel-Rondet, Site minier de Wallers-Arenberg</t>
        </is>
      </c>
      <c r="J798" t="inlineStr">
        <is>
          <t>59135</t>
        </is>
      </c>
      <c r="K798" t="inlineStr">
        <is>
          <t>Wallers-Arenberg</t>
        </is>
      </c>
      <c r="L798" t="inlineStr">
        <is>
          <t>03 27 09 05 05</t>
        </is>
      </c>
      <c r="M798" s="4" t="inlineStr">
        <is>
          <t>contact@agglo-porteduhainaut.fr</t>
        </is>
      </c>
      <c r="N798" s="4" t="inlineStr">
        <is>
          <t>https://www.agglo-porteduhainaut.fr/</t>
        </is>
      </c>
      <c r="O798" t="inlineStr"/>
      <c r="P798" s="4" t="inlineStr">
        <is>
          <t>https://lannuaire.service-public.gouv.fr/hauts-de-france/nord/2cd6860d-259b-4d53-8d32-273a3a42bf99</t>
        </is>
      </c>
      <c r="Q798" t="inlineStr">
        <is>
          <t>Annuaire Service-public.fr</t>
        </is>
      </c>
      <c r="R798" t="inlineStr"/>
      <c r="S798" t="inlineStr"/>
      <c r="T798" t="inlineStr"/>
    </row>
    <row r="799">
      <c r="A799" t="inlineStr">
        <is>
          <t>CA du Caudrésis et du Catésis</t>
        </is>
      </c>
      <c r="B799" t="inlineStr">
        <is>
          <t>Communauté d’agglomération</t>
        </is>
      </c>
      <c r="C799" t="inlineStr">
        <is>
          <t>200030633</t>
        </is>
      </c>
      <c r="D799" t="inlineStr">
        <is>
          <t>59</t>
        </is>
      </c>
      <c r="E799" t="inlineStr">
        <is>
          <t>Nord</t>
        </is>
      </c>
      <c r="F799" t="inlineStr">
        <is>
          <t>Hauts-de-France</t>
        </is>
      </c>
      <c r="G799" s="3" t="n">
        <v>63265</v>
      </c>
      <c r="H799" t="n">
        <v>46</v>
      </c>
      <c r="I799" t="inlineStr">
        <is>
          <t>Route départementale 643, ZA des Bouts-des-19</t>
        </is>
      </c>
      <c r="J799" t="inlineStr">
        <is>
          <t>59157</t>
        </is>
      </c>
      <c r="K799" t="inlineStr">
        <is>
          <t>Beauvois-en-Cis</t>
        </is>
      </c>
      <c r="L799" t="inlineStr">
        <is>
          <t>03 27 75 84 79</t>
        </is>
      </c>
      <c r="M799" s="4" t="inlineStr">
        <is>
          <t>secretariat@caudresis-catesis.fr</t>
        </is>
      </c>
      <c r="N799" s="4" t="inlineStr">
        <is>
          <t>https://www.caudresis-catesis.fr/</t>
        </is>
      </c>
      <c r="O799" s="4" t="inlineStr">
        <is>
          <t>https://www.caudresis-catesis.fr/contact.html</t>
        </is>
      </c>
      <c r="P799" s="4" t="inlineStr">
        <is>
          <t>https://lannuaire.service-public.gouv.fr/hauts-de-france/nord/eff253d1-b5bb-4b73-8c09-3cdb35ccdd60</t>
        </is>
      </c>
      <c r="Q799" t="inlineStr">
        <is>
          <t>Annuaire Service-public.fr</t>
        </is>
      </c>
      <c r="R799" t="inlineStr"/>
      <c r="S799" t="inlineStr"/>
      <c r="T799" t="inlineStr"/>
    </row>
    <row r="800">
      <c r="A800" t="inlineStr">
        <is>
          <t>CC Coeur de l'Avesnois</t>
        </is>
      </c>
      <c r="B800" t="inlineStr">
        <is>
          <t>Communauté de communes</t>
        </is>
      </c>
      <c r="C800" t="inlineStr">
        <is>
          <t>200043263</t>
        </is>
      </c>
      <c r="D800" t="inlineStr">
        <is>
          <t>59</t>
        </is>
      </c>
      <c r="E800" t="inlineStr">
        <is>
          <t>Nord</t>
        </is>
      </c>
      <c r="F800" t="inlineStr">
        <is>
          <t>Hauts-de-France</t>
        </is>
      </c>
      <c r="G800" s="3" t="n">
        <v>28870</v>
      </c>
      <c r="H800" t="n">
        <v>43</v>
      </c>
      <c r="I800" t="inlineStr">
        <is>
          <t>43 rue Cambrésienne</t>
        </is>
      </c>
      <c r="J800" t="inlineStr">
        <is>
          <t>59362</t>
        </is>
      </c>
      <c r="K800" t="inlineStr">
        <is>
          <t>Avesnes-sur-Helpe</t>
        </is>
      </c>
      <c r="L800" t="inlineStr">
        <is>
          <t>03 27 56 11 80</t>
        </is>
      </c>
      <c r="M800" s="4" t="inlineStr">
        <is>
          <t>accueil@coeur-avesnois.fr</t>
        </is>
      </c>
      <c r="N800" s="4" t="inlineStr">
        <is>
          <t>https://www.coeur-avesnois.fr/</t>
        </is>
      </c>
      <c r="O800" s="4" t="inlineStr">
        <is>
          <t>https://www.coeur-avesnois.fr/contact</t>
        </is>
      </c>
      <c r="P800" s="4" t="inlineStr">
        <is>
          <t>https://lannuaire.service-public.gouv.fr/hauts-de-france/nord/ac272ca6-77f2-47c9-8118-7d490c7a2f20</t>
        </is>
      </c>
      <c r="Q800" t="inlineStr">
        <is>
          <t>Annuaire Service-public.fr</t>
        </is>
      </c>
      <c r="R800" t="inlineStr"/>
      <c r="S800" t="inlineStr"/>
      <c r="T800" t="inlineStr"/>
    </row>
    <row r="801">
      <c r="A801" t="inlineStr">
        <is>
          <t>CC Pévèle-Carembault</t>
        </is>
      </c>
      <c r="B801" t="inlineStr">
        <is>
          <t>Communauté de communes</t>
        </is>
      </c>
      <c r="C801" t="inlineStr">
        <is>
          <t>200041960</t>
        </is>
      </c>
      <c r="D801" t="inlineStr">
        <is>
          <t>59</t>
        </is>
      </c>
      <c r="E801" t="inlineStr">
        <is>
          <t>Nord</t>
        </is>
      </c>
      <c r="F801" t="inlineStr">
        <is>
          <t>Hauts-de-France</t>
        </is>
      </c>
      <c r="G801" s="3" t="n">
        <v>98918</v>
      </c>
      <c r="H801" t="n">
        <v>38</v>
      </c>
      <c r="I801" t="inlineStr">
        <is>
          <t>47 Avenue du Général de Gaulle</t>
        </is>
      </c>
      <c r="J801" t="inlineStr">
        <is>
          <t>59710</t>
        </is>
      </c>
      <c r="K801" t="inlineStr">
        <is>
          <t>Pont-à-Marcq</t>
        </is>
      </c>
      <c r="L801" t="inlineStr">
        <is>
          <t>03 20 79 20 80</t>
        </is>
      </c>
      <c r="M801" s="4" t="inlineStr">
        <is>
          <t>contact@pevelecarembault.fr</t>
        </is>
      </c>
      <c r="N801" s="4" t="inlineStr">
        <is>
          <t>https://www.pevelecarembault.fr/</t>
        </is>
      </c>
      <c r="O801" s="4" t="inlineStr">
        <is>
          <t>https://demarches.pevelecarembault.fr/user/login?destination=/formulaire/contacter-un-service-de-la-pevel</t>
        </is>
      </c>
      <c r="P801" s="4" t="inlineStr">
        <is>
          <t>https://lannuaire.service-public.gouv.fr/hauts-de-france/nord/d6113487-2ac1-404a-a53e-c0f4b43d075a</t>
        </is>
      </c>
      <c r="Q801" t="inlineStr">
        <is>
          <t>Annuaire Service-public.fr</t>
        </is>
      </c>
      <c r="R801" t="inlineStr"/>
      <c r="S801" t="inlineStr"/>
      <c r="T801" t="inlineStr"/>
    </row>
    <row r="802">
      <c r="A802" t="inlineStr">
        <is>
          <t>CC des Hauts de Flandre</t>
        </is>
      </c>
      <c r="B802" t="inlineStr">
        <is>
          <t>Communauté de communes</t>
        </is>
      </c>
      <c r="C802" t="inlineStr">
        <is>
          <t>200040954</t>
        </is>
      </c>
      <c r="D802" t="inlineStr">
        <is>
          <t>59</t>
        </is>
      </c>
      <c r="E802" t="inlineStr">
        <is>
          <t>Nord</t>
        </is>
      </c>
      <c r="F802" t="inlineStr">
        <is>
          <t>Hauts-de-France</t>
        </is>
      </c>
      <c r="G802" s="3" t="n">
        <v>53525</v>
      </c>
      <c r="H802" t="n">
        <v>40</v>
      </c>
      <c r="I802" t="inlineStr">
        <is>
          <t>468 rue de la Couronne-de-Bierne</t>
        </is>
      </c>
      <c r="J802" t="inlineStr">
        <is>
          <t>59380</t>
        </is>
      </c>
      <c r="K802" t="inlineStr">
        <is>
          <t>Bergues</t>
        </is>
      </c>
      <c r="L802" t="inlineStr">
        <is>
          <t>03 28 29 09 99</t>
        </is>
      </c>
      <c r="M802" s="4" t="inlineStr">
        <is>
          <t>contact@cchf.fr</t>
        </is>
      </c>
      <c r="N802" s="4" t="inlineStr">
        <is>
          <t>https://www.cchf.fr/</t>
        </is>
      </c>
      <c r="O802" s="4" t="inlineStr">
        <is>
          <t>https://www.facebook.com/cchf.fr/</t>
        </is>
      </c>
      <c r="P802" s="4" t="inlineStr">
        <is>
          <t>https://lannuaire.service-public.gouv.fr/hauts-de-france/nord/68860c19-0e63-4a48-959c-74fd133efb9f</t>
        </is>
      </c>
      <c r="Q802" t="inlineStr">
        <is>
          <t>Annuaire Service-public.fr</t>
        </is>
      </c>
      <c r="R802" t="inlineStr"/>
      <c r="S802" t="inlineStr"/>
      <c r="T802" t="inlineStr"/>
    </row>
    <row r="803">
      <c r="A803" t="inlineStr">
        <is>
          <t>CC du Pays Solesmois</t>
        </is>
      </c>
      <c r="B803" t="inlineStr">
        <is>
          <t>Communauté de communes</t>
        </is>
      </c>
      <c r="C803" t="inlineStr">
        <is>
          <t>245901038</t>
        </is>
      </c>
      <c r="D803" t="inlineStr">
        <is>
          <t>59</t>
        </is>
      </c>
      <c r="E803" t="inlineStr">
        <is>
          <t>Nord</t>
        </is>
      </c>
      <c r="F803" t="inlineStr">
        <is>
          <t>Hauts-de-France</t>
        </is>
      </c>
      <c r="G803" s="3" t="n">
        <v>14568</v>
      </c>
      <c r="H803" t="n">
        <v>15</v>
      </c>
      <c r="I803" t="inlineStr">
        <is>
          <t>ZAE du Pigeon-Blanc, CS 60063</t>
        </is>
      </c>
      <c r="J803" t="inlineStr">
        <is>
          <t>59730</t>
        </is>
      </c>
      <c r="K803" t="inlineStr">
        <is>
          <t>Solesmes</t>
        </is>
      </c>
      <c r="L803" t="inlineStr">
        <is>
          <t>03 27 70 74 30</t>
        </is>
      </c>
      <c r="M803" s="4" t="inlineStr">
        <is>
          <t>contact@ccpays-solesmois.fr</t>
        </is>
      </c>
      <c r="N803" s="4" t="inlineStr">
        <is>
          <t>https://www.ccpays-solesmois.fr/</t>
        </is>
      </c>
      <c r="O803" s="4" t="inlineStr">
        <is>
          <t>https://www.ccpays-solesmois.fr/contact-forms/</t>
        </is>
      </c>
      <c r="P803" s="4" t="inlineStr">
        <is>
          <t>https://lannuaire.service-public.gouv.fr/hauts-de-france/nord/b8d35482-1ecd-4814-934d-9d84ed0ad758</t>
        </is>
      </c>
      <c r="Q803" t="inlineStr">
        <is>
          <t>Annuaire Service-public.fr</t>
        </is>
      </c>
      <c r="R803" t="inlineStr"/>
      <c r="S803" t="inlineStr"/>
      <c r="T803" t="inlineStr"/>
    </row>
    <row r="804">
      <c r="A804" t="inlineStr">
        <is>
          <t>CC du Pays de Mormal</t>
        </is>
      </c>
      <c r="B804" t="inlineStr">
        <is>
          <t>Communauté de communes</t>
        </is>
      </c>
      <c r="C804" t="inlineStr">
        <is>
          <t>200043321</t>
        </is>
      </c>
      <c r="D804" t="inlineStr">
        <is>
          <t>59</t>
        </is>
      </c>
      <c r="E804" t="inlineStr">
        <is>
          <t>Nord</t>
        </is>
      </c>
      <c r="F804" t="inlineStr">
        <is>
          <t>Hauts-de-France</t>
        </is>
      </c>
      <c r="G804" s="3" t="n">
        <v>48132</v>
      </c>
      <c r="H804" t="n">
        <v>52</v>
      </c>
      <c r="I804" t="inlineStr">
        <is>
          <t>18 rue Chevray</t>
        </is>
      </c>
      <c r="J804" t="inlineStr">
        <is>
          <t>59530</t>
        </is>
      </c>
      <c r="K804" t="inlineStr">
        <is>
          <t>Le Quesnoy</t>
        </is>
      </c>
      <c r="L804" t="inlineStr">
        <is>
          <t>03 27 09 04 60</t>
        </is>
      </c>
      <c r="M804" s="4" t="inlineStr">
        <is>
          <t>contact@cc-paysdemormal.fr</t>
        </is>
      </c>
      <c r="N804" s="4" t="inlineStr">
        <is>
          <t>https://www.cc-paysdemormal.fr/</t>
        </is>
      </c>
      <c r="O804" s="4" t="inlineStr">
        <is>
          <t>https://www.cc-paysdemormal.fr/nous-contacter/</t>
        </is>
      </c>
      <c r="P804" s="4" t="inlineStr">
        <is>
          <t>https://lannuaire.service-public.gouv.fr/hauts-de-france/nord/0ff65e15-439f-4e26-a457-fe0c7c73bd87</t>
        </is>
      </c>
      <c r="Q804" t="inlineStr">
        <is>
          <t>Annuaire Service-public.fr</t>
        </is>
      </c>
      <c r="R804" t="inlineStr"/>
      <c r="S804" t="inlineStr"/>
      <c r="T804" t="inlineStr"/>
    </row>
    <row r="805">
      <c r="A805" t="inlineStr">
        <is>
          <t>CC du Sud Avesnois</t>
        </is>
      </c>
      <c r="B805" t="inlineStr">
        <is>
          <t>Communauté de communes</t>
        </is>
      </c>
      <c r="C805" t="inlineStr">
        <is>
          <t>200043404</t>
        </is>
      </c>
      <c r="D805" t="inlineStr">
        <is>
          <t>59</t>
        </is>
      </c>
      <c r="E805" t="inlineStr">
        <is>
          <t>Nord</t>
        </is>
      </c>
      <c r="F805" t="inlineStr">
        <is>
          <t>Hauts-de-France</t>
        </is>
      </c>
      <c r="G805" s="3" t="n">
        <v>24414</v>
      </c>
      <c r="H805" t="n">
        <v>12</v>
      </c>
      <c r="I805" t="inlineStr">
        <is>
          <t>2 rue du Général-Raymond-Chaumel</t>
        </is>
      </c>
      <c r="J805" t="inlineStr">
        <is>
          <t>59610</t>
        </is>
      </c>
      <c r="K805" t="inlineStr">
        <is>
          <t>Fourmies</t>
        </is>
      </c>
      <c r="L805" t="inlineStr">
        <is>
          <t>03 27 60 65 24</t>
        </is>
      </c>
      <c r="M805" s="4" t="inlineStr">
        <is>
          <t>contact@cc-sudavesnois.fr</t>
        </is>
      </c>
      <c r="N805" s="4" t="inlineStr">
        <is>
          <t>https://cc-sudavesnois.fr/</t>
        </is>
      </c>
      <c r="O805" s="4" t="inlineStr">
        <is>
          <t>https://cc-sudavesnois.fr/</t>
        </is>
      </c>
      <c r="P805" s="4" t="inlineStr">
        <is>
          <t>https://lannuaire.service-public.gouv.fr/hauts-de-france/nord/d9b3db90-127a-4248-b94b-f073a9d61cba</t>
        </is>
      </c>
      <c r="Q805" t="inlineStr">
        <is>
          <t>Annuaire Service-public.fr</t>
        </is>
      </c>
      <c r="R805" t="inlineStr"/>
      <c r="S805" t="inlineStr"/>
      <c r="T805" t="inlineStr"/>
    </row>
    <row r="806">
      <c r="A806" t="inlineStr">
        <is>
          <t>CU de Dunkerque</t>
        </is>
      </c>
      <c r="B806" t="inlineStr">
        <is>
          <t>Communauté urbaine</t>
        </is>
      </c>
      <c r="C806" t="inlineStr">
        <is>
          <t>245900428</t>
        </is>
      </c>
      <c r="D806" t="inlineStr">
        <is>
          <t>59</t>
        </is>
      </c>
      <c r="E806" t="inlineStr">
        <is>
          <t>Nord</t>
        </is>
      </c>
      <c r="F806" t="inlineStr">
        <is>
          <t>Hauts-de-France</t>
        </is>
      </c>
      <c r="G806" s="3" t="n">
        <v>192635</v>
      </c>
      <c r="H806" t="n">
        <v>17</v>
      </c>
      <c r="I806" t="inlineStr">
        <is>
          <t>Pertuis de la Marine</t>
        </is>
      </c>
      <c r="J806" t="inlineStr">
        <is>
          <t>59386</t>
        </is>
      </c>
      <c r="K806" t="inlineStr">
        <is>
          <t>Dunkerque</t>
        </is>
      </c>
      <c r="L806" t="inlineStr">
        <is>
          <t>03 28 62 70 00</t>
        </is>
      </c>
      <c r="M806" s="4" t="inlineStr">
        <is>
          <t>contact@ville-dunkerque.fr</t>
        </is>
      </c>
      <c r="N806" s="4" t="inlineStr">
        <is>
          <t>https://www.communaute-urbaine-dunkerque.fr/</t>
        </is>
      </c>
      <c r="O806" s="4" t="inlineStr">
        <is>
          <t>https://demarches.cud.fr/demarche/DPO?form=site&amp;id=6a636d382ea6e05f020d182f&amp;trackcode=BAY74Y6C33</t>
        </is>
      </c>
      <c r="P806" s="4" t="inlineStr">
        <is>
          <t>https://lannuaire.service-public.gouv.fr/hauts-de-france/nord/b5ca3353-de16-4003-ac42-2199d77e2884</t>
        </is>
      </c>
      <c r="Q806" t="inlineStr">
        <is>
          <t>Annuaire Service-public.fr</t>
        </is>
      </c>
      <c r="R806" t="inlineStr"/>
      <c r="S806" t="inlineStr"/>
      <c r="T806" t="inlineStr"/>
    </row>
    <row r="807">
      <c r="A807" t="inlineStr">
        <is>
          <t>Métropole Européenne de Lille</t>
        </is>
      </c>
      <c r="B807" t="inlineStr">
        <is>
          <t>Métropole</t>
        </is>
      </c>
      <c r="C807" t="inlineStr">
        <is>
          <t>200093201</t>
        </is>
      </c>
      <c r="D807" t="inlineStr">
        <is>
          <t>59</t>
        </is>
      </c>
      <c r="E807" t="inlineStr">
        <is>
          <t>Nord</t>
        </is>
      </c>
      <c r="F807" t="inlineStr">
        <is>
          <t>Hauts-de-France</t>
        </is>
      </c>
      <c r="G807" s="3" t="n">
        <v>1194040</v>
      </c>
      <c r="H807" t="n">
        <v>95</v>
      </c>
      <c r="I807" t="inlineStr">
        <is>
          <t>2 boulevard des Citées-Unies</t>
        </is>
      </c>
      <c r="J807" t="inlineStr">
        <is>
          <t>59000</t>
        </is>
      </c>
      <c r="K807" t="inlineStr">
        <is>
          <t>Lille</t>
        </is>
      </c>
      <c r="L807" t="inlineStr">
        <is>
          <t>03 20 21 22 23</t>
        </is>
      </c>
      <c r="M807" s="4" t="inlineStr">
        <is>
          <t>contact@lillemetropole.fr</t>
        </is>
      </c>
      <c r="N807" s="4" t="inlineStr">
        <is>
          <t>https://www.lillemetropole.fr/</t>
        </is>
      </c>
      <c r="O807" t="inlineStr"/>
      <c r="P807" s="4" t="inlineStr">
        <is>
          <t>https://lannuaire.service-public.gouv.fr/hauts-de-france/nord/11205853-0de1-4cd7-8410-c7cf6f498a3e</t>
        </is>
      </c>
      <c r="Q807" t="inlineStr">
        <is>
          <t>Annuaire Service-public.fr</t>
        </is>
      </c>
      <c r="R807" t="inlineStr"/>
      <c r="S807" t="inlineStr"/>
      <c r="T807" t="inlineStr"/>
    </row>
    <row r="808">
      <c r="A808" t="inlineStr">
        <is>
          <t>CC Flandre Lys</t>
        </is>
      </c>
      <c r="B808" t="inlineStr">
        <is>
          <t>Communauté de communes</t>
        </is>
      </c>
      <c r="C808" t="inlineStr">
        <is>
          <t>245900758</t>
        </is>
      </c>
      <c r="D808" t="inlineStr">
        <is>
          <t>59, 62</t>
        </is>
      </c>
      <c r="E808" t="inlineStr">
        <is>
          <t>Nord, Pas-de-Calais</t>
        </is>
      </c>
      <c r="F808" t="inlineStr">
        <is>
          <t>Hauts-de-France</t>
        </is>
      </c>
      <c r="G808" s="3" t="n">
        <v>40142</v>
      </c>
      <c r="H808" t="n">
        <v>8</v>
      </c>
      <c r="I808" t="inlineStr">
        <is>
          <t>500 rue de la Lys</t>
        </is>
      </c>
      <c r="J808" t="inlineStr">
        <is>
          <t>59253</t>
        </is>
      </c>
      <c r="K808" t="inlineStr">
        <is>
          <t>La Gorgue</t>
        </is>
      </c>
      <c r="L808" t="inlineStr">
        <is>
          <t>03 28 50 14 90</t>
        </is>
      </c>
      <c r="M808" s="4" t="inlineStr">
        <is>
          <t>contact@cc-flandrelys.fr</t>
        </is>
      </c>
      <c r="N808" s="4" t="inlineStr">
        <is>
          <t>https://www.cc-flandrelys.fr/</t>
        </is>
      </c>
      <c r="O808" s="4" t="inlineStr">
        <is>
          <t>https://www.cc-flandrelys.fr/formulaire-de-contact</t>
        </is>
      </c>
      <c r="P808" s="4" t="inlineStr">
        <is>
          <t>https://lannuaire.service-public.gouv.fr/hauts-de-france/nord/33c65e51-e674-4c01-9b45-19716dd23b2d</t>
        </is>
      </c>
      <c r="Q808" t="inlineStr">
        <is>
          <t>Annuaire Service-public.fr</t>
        </is>
      </c>
      <c r="R808" t="inlineStr"/>
      <c r="S808" t="inlineStr"/>
      <c r="T808" t="inlineStr"/>
    </row>
    <row r="809">
      <c r="A809" t="inlineStr">
        <is>
          <t>CA Creil Sud Oise</t>
        </is>
      </c>
      <c r="B809" t="inlineStr">
        <is>
          <t>Communauté d’agglomération</t>
        </is>
      </c>
      <c r="C809" t="inlineStr">
        <is>
          <t>200068047</t>
        </is>
      </c>
      <c r="D809" t="inlineStr">
        <is>
          <t>60</t>
        </is>
      </c>
      <c r="E809" t="inlineStr">
        <is>
          <t>Oise</t>
        </is>
      </c>
      <c r="F809" t="inlineStr">
        <is>
          <t>Hauts-de-France</t>
        </is>
      </c>
      <c r="G809" s="3" t="n">
        <v>89897</v>
      </c>
      <c r="H809" t="n">
        <v>11</v>
      </c>
      <c r="I809" t="inlineStr">
        <is>
          <t>24 rue de la Villageoise</t>
        </is>
      </c>
      <c r="J809" t="inlineStr">
        <is>
          <t>60100</t>
        </is>
      </c>
      <c r="K809" t="inlineStr">
        <is>
          <t>Creil</t>
        </is>
      </c>
      <c r="L809" t="inlineStr">
        <is>
          <t>03 44 64 74 74</t>
        </is>
      </c>
      <c r="M809" s="4" t="inlineStr">
        <is>
          <t>contact@creilsudoise.fr</t>
        </is>
      </c>
      <c r="N809" s="4" t="inlineStr">
        <is>
          <t>https://www.creilsudoise.fr/</t>
        </is>
      </c>
      <c r="O809" s="4" t="inlineStr">
        <is>
          <t>https://www.creilsudoise.fr/mon-actu/contact/</t>
        </is>
      </c>
      <c r="P809" s="4" t="inlineStr">
        <is>
          <t>https://lannuaire.service-public.gouv.fr/hauts-de-france/oise/2162ab3b-c15e-4994-9fc6-da4872fab180</t>
        </is>
      </c>
      <c r="Q809" t="inlineStr">
        <is>
          <t>Annuaire Service-public.fr</t>
        </is>
      </c>
      <c r="R809" t="inlineStr"/>
      <c r="S809" t="inlineStr"/>
      <c r="T809" t="inlineStr"/>
    </row>
    <row r="810">
      <c r="A810" t="inlineStr">
        <is>
          <t>CA de la Région de Compiègne et de la Basse Automne</t>
        </is>
      </c>
      <c r="B810" t="inlineStr">
        <is>
          <t>Communauté d’agglomération</t>
        </is>
      </c>
      <c r="C810" t="inlineStr">
        <is>
          <t>200067965</t>
        </is>
      </c>
      <c r="D810" t="inlineStr">
        <is>
          <t>60</t>
        </is>
      </c>
      <c r="E810" t="inlineStr">
        <is>
          <t>Oise</t>
        </is>
      </c>
      <c r="F810" t="inlineStr">
        <is>
          <t>Hauts-de-France</t>
        </is>
      </c>
      <c r="G810" s="3" t="n">
        <v>83708</v>
      </c>
      <c r="H810" t="n">
        <v>22</v>
      </c>
      <c r="I810" t="inlineStr">
        <is>
          <t>Place de l'Hôtel-de-Ville</t>
        </is>
      </c>
      <c r="J810" t="inlineStr">
        <is>
          <t>60320</t>
        </is>
      </c>
      <c r="K810" t="inlineStr">
        <is>
          <t>Compiègne</t>
        </is>
      </c>
      <c r="L810" t="inlineStr">
        <is>
          <t>03 44 40 76 00</t>
        </is>
      </c>
      <c r="M810" s="4" t="inlineStr">
        <is>
          <t>accueil@agglo-compiegne.fr</t>
        </is>
      </c>
      <c r="N810" s="4" t="inlineStr">
        <is>
          <t>https://www.agglo-compiegne.fr/</t>
        </is>
      </c>
      <c r="O810" s="4" t="inlineStr">
        <is>
          <t>https://www.agglo-compiegne.fr/nous-contacter</t>
        </is>
      </c>
      <c r="P810" s="4" t="inlineStr">
        <is>
          <t>https://lannuaire.service-public.gouv.fr/hauts-de-france/oise/aa07aa46-9b6a-4d03-8493-0dee4f481374</t>
        </is>
      </c>
      <c r="Q810" t="inlineStr">
        <is>
          <t>Annuaire Service-public.fr</t>
        </is>
      </c>
      <c r="R810" t="inlineStr"/>
      <c r="S810" t="inlineStr"/>
      <c r="T810" t="inlineStr"/>
    </row>
    <row r="811">
      <c r="A811" t="inlineStr">
        <is>
          <t>CA du Beauvaisis</t>
        </is>
      </c>
      <c r="B811" t="inlineStr">
        <is>
          <t>Communauté d’agglomération</t>
        </is>
      </c>
      <c r="C811" t="inlineStr">
        <is>
          <t>200067999</t>
        </is>
      </c>
      <c r="D811" t="inlineStr">
        <is>
          <t>60</t>
        </is>
      </c>
      <c r="E811" t="inlineStr">
        <is>
          <t>Oise</t>
        </is>
      </c>
      <c r="F811" t="inlineStr">
        <is>
          <t>Hauts-de-France</t>
        </is>
      </c>
      <c r="G811" s="3" t="n">
        <v>103404</v>
      </c>
      <c r="H811" t="n">
        <v>53</v>
      </c>
      <c r="I811" t="inlineStr">
        <is>
          <t>48 rue Desgroux, BP 90508</t>
        </is>
      </c>
      <c r="J811" t="inlineStr">
        <is>
          <t>60005</t>
        </is>
      </c>
      <c r="K811" t="inlineStr">
        <is>
          <t>Beauvais Cedex 5</t>
        </is>
      </c>
      <c r="L811" t="inlineStr">
        <is>
          <t>03 44 15 68 00</t>
        </is>
      </c>
      <c r="M811" s="4" t="inlineStr">
        <is>
          <t>contact@beauvaisis.fr</t>
        </is>
      </c>
      <c r="N811" s="4" t="inlineStr">
        <is>
          <t>https://www.beauvaisis.fr/</t>
        </is>
      </c>
      <c r="O811" s="4" t="inlineStr">
        <is>
          <t>http://www.beauvaisis.fr/communaute-agglomeration/nous-contacter.html</t>
        </is>
      </c>
      <c r="P811" s="4" t="inlineStr">
        <is>
          <t>https://lannuaire.service-public.gouv.fr/hauts-de-france/oise/556c0aac-f6fc-487c-96cd-e1bf24db6acc</t>
        </is>
      </c>
      <c r="Q811" t="inlineStr">
        <is>
          <t>Annuaire Service-public.fr</t>
        </is>
      </c>
      <c r="R811" t="inlineStr"/>
      <c r="S811" t="inlineStr"/>
      <c r="T811" t="inlineStr"/>
    </row>
    <row r="812">
      <c r="A812" t="inlineStr">
        <is>
          <t>CC Senlis Sud Oise</t>
        </is>
      </c>
      <c r="B812" t="inlineStr">
        <is>
          <t>Communauté de communes</t>
        </is>
      </c>
      <c r="C812" t="inlineStr">
        <is>
          <t>200066975</t>
        </is>
      </c>
      <c r="D812" t="inlineStr">
        <is>
          <t>60</t>
        </is>
      </c>
      <c r="E812" t="inlineStr">
        <is>
          <t>Oise</t>
        </is>
      </c>
      <c r="F812" t="inlineStr">
        <is>
          <t>Hauts-de-France</t>
        </is>
      </c>
      <c r="G812" s="3" t="n">
        <v>25012</v>
      </c>
      <c r="H812" t="n">
        <v>17</v>
      </c>
      <c r="I812" t="inlineStr">
        <is>
          <t>30 avenue Eugène-Gazeau</t>
        </is>
      </c>
      <c r="J812" t="inlineStr">
        <is>
          <t>60300</t>
        </is>
      </c>
      <c r="K812" t="inlineStr">
        <is>
          <t>Senlis</t>
        </is>
      </c>
      <c r="L812" t="inlineStr">
        <is>
          <t>03 44 99 08 60</t>
        </is>
      </c>
      <c r="M812" s="4" t="inlineStr">
        <is>
          <t>accueil@ccsso.fr</t>
        </is>
      </c>
      <c r="N812" s="4" t="inlineStr">
        <is>
          <t>https://www.ccsso.fr/</t>
        </is>
      </c>
      <c r="O812" s="4" t="inlineStr">
        <is>
          <t>https://www.ccsso.fr/contact</t>
        </is>
      </c>
      <c r="P812" s="4" t="inlineStr">
        <is>
          <t>https://lannuaire.service-public.gouv.fr/hauts-de-france/oise/7562730a-b4b1-466b-a68c-ac949ae32822</t>
        </is>
      </c>
      <c r="Q812" t="inlineStr">
        <is>
          <t>Annuaire Service-public.fr</t>
        </is>
      </c>
      <c r="R812" t="inlineStr"/>
      <c r="S812" t="inlineStr"/>
      <c r="T812" t="inlineStr"/>
    </row>
    <row r="813">
      <c r="A813" t="inlineStr">
        <is>
          <t>CC Thelloise</t>
        </is>
      </c>
      <c r="B813" t="inlineStr">
        <is>
          <t>Communauté de communes</t>
        </is>
      </c>
      <c r="C813" t="inlineStr">
        <is>
          <t>200067973</t>
        </is>
      </c>
      <c r="D813" t="inlineStr">
        <is>
          <t>60</t>
        </is>
      </c>
      <c r="E813" t="inlineStr">
        <is>
          <t>Oise</t>
        </is>
      </c>
      <c r="F813" t="inlineStr">
        <is>
          <t>Hauts-de-France</t>
        </is>
      </c>
      <c r="G813" s="3" t="n">
        <v>61730</v>
      </c>
      <c r="H813" t="n">
        <v>41</v>
      </c>
      <c r="I813" t="inlineStr">
        <is>
          <t>7 avenue de l'Europe</t>
        </is>
      </c>
      <c r="J813" t="inlineStr">
        <is>
          <t>60530</t>
        </is>
      </c>
      <c r="K813" t="inlineStr">
        <is>
          <t>Neuilly-en-Thelle</t>
        </is>
      </c>
      <c r="L813" t="inlineStr">
        <is>
          <t>03 44 26 99 50</t>
        </is>
      </c>
      <c r="M813" s="4" t="inlineStr">
        <is>
          <t>contact@thelloise.fr</t>
        </is>
      </c>
      <c r="N813" s="4" t="inlineStr">
        <is>
          <t>https://www.thelloise.fr/</t>
        </is>
      </c>
      <c r="O813" s="4" t="inlineStr">
        <is>
          <t>https://www.thelloise.fr/contact-general#sp-main-body</t>
        </is>
      </c>
      <c r="P813" s="4" t="inlineStr">
        <is>
          <t>https://lannuaire.service-public.gouv.fr/hauts-de-france/oise/c2db65b0-ce21-46cc-a21d-8c2b903ac8d4</t>
        </is>
      </c>
      <c r="Q813" t="inlineStr">
        <is>
          <t>Annuaire Service-public.fr</t>
        </is>
      </c>
      <c r="R813" t="inlineStr"/>
      <c r="S813" t="inlineStr"/>
      <c r="T813" t="inlineStr"/>
    </row>
    <row r="814">
      <c r="A814" t="inlineStr">
        <is>
          <t>CC de l'Aire Cantilienne</t>
        </is>
      </c>
      <c r="B814" t="inlineStr">
        <is>
          <t>Communauté de communes</t>
        </is>
      </c>
      <c r="C814" t="inlineStr">
        <is>
          <t>246000764</t>
        </is>
      </c>
      <c r="D814" t="inlineStr">
        <is>
          <t>60</t>
        </is>
      </c>
      <c r="E814" t="inlineStr">
        <is>
          <t>Oise</t>
        </is>
      </c>
      <c r="F814" t="inlineStr">
        <is>
          <t>Hauts-de-France</t>
        </is>
      </c>
      <c r="G814" s="3" t="n">
        <v>44820</v>
      </c>
      <c r="H814" t="n">
        <v>11</v>
      </c>
      <c r="I814" t="inlineStr">
        <is>
          <t>17 bis rue Guilleminot</t>
        </is>
      </c>
      <c r="J814" t="inlineStr">
        <is>
          <t>60500</t>
        </is>
      </c>
      <c r="K814" t="inlineStr">
        <is>
          <t>Chantilly</t>
        </is>
      </c>
      <c r="L814" t="inlineStr">
        <is>
          <t>03 44 62 46 60</t>
        </is>
      </c>
      <c r="M814" s="4" t="inlineStr">
        <is>
          <t>contact@ccac.fr</t>
        </is>
      </c>
      <c r="N814" s="4" t="inlineStr">
        <is>
          <t>https://www.ccac.fr/</t>
        </is>
      </c>
      <c r="O814" s="4" t="inlineStr">
        <is>
          <t>https://www.ccac.fr/nous-contacter/</t>
        </is>
      </c>
      <c r="P814" s="4" t="inlineStr">
        <is>
          <t>https://lannuaire.service-public.gouv.fr/hauts-de-france/oise/5e6f1785-ff26-4783-94c3-bca4a970c690</t>
        </is>
      </c>
      <c r="Q814" t="inlineStr">
        <is>
          <t>Annuaire Service-public.fr</t>
        </is>
      </c>
      <c r="R814" t="inlineStr"/>
      <c r="S814" t="inlineStr"/>
      <c r="T814" t="inlineStr"/>
    </row>
    <row r="815">
      <c r="A815" t="inlineStr">
        <is>
          <t>CC de l'Oise Picarde</t>
        </is>
      </c>
      <c r="B815" t="inlineStr">
        <is>
          <t>Communauté de communes</t>
        </is>
      </c>
      <c r="C815" t="inlineStr">
        <is>
          <t>200068005</t>
        </is>
      </c>
      <c r="D815" t="inlineStr">
        <is>
          <t>60</t>
        </is>
      </c>
      <c r="E815" t="inlineStr">
        <is>
          <t>Oise</t>
        </is>
      </c>
      <c r="F815" t="inlineStr">
        <is>
          <t>Hauts-de-France</t>
        </is>
      </c>
      <c r="G815" s="3" t="n">
        <v>20939</v>
      </c>
      <c r="H815" t="n">
        <v>52</v>
      </c>
      <c r="I815" t="inlineStr">
        <is>
          <t>5 rue Tassart</t>
        </is>
      </c>
      <c r="J815" t="inlineStr">
        <is>
          <t>60120</t>
        </is>
      </c>
      <c r="K815" t="inlineStr">
        <is>
          <t>Breteuil-sur-Noye</t>
        </is>
      </c>
      <c r="L815" t="inlineStr">
        <is>
          <t>03 44 80 84 01</t>
        </is>
      </c>
      <c r="M815" s="4" t="inlineStr">
        <is>
          <t>contact@cc-oisepicarde.fr</t>
        </is>
      </c>
      <c r="N815" s="4" t="inlineStr">
        <is>
          <t>https://cc-oisepicarde.fr/fr/</t>
        </is>
      </c>
      <c r="O815" s="4" t="inlineStr">
        <is>
          <t>https://www.facebook.com/ccoisepicarde/</t>
        </is>
      </c>
      <c r="P815" s="4" t="inlineStr">
        <is>
          <t>https://lannuaire.service-public.gouv.fr/hauts-de-france/oise/b86c6d6f-c564-486f-8cd8-9b7b94f271b7</t>
        </is>
      </c>
      <c r="Q815" t="inlineStr">
        <is>
          <t>Annuaire Service-public.fr</t>
        </is>
      </c>
      <c r="R815" t="inlineStr"/>
      <c r="S815" t="inlineStr"/>
      <c r="T815" t="inlineStr"/>
    </row>
    <row r="816">
      <c r="A816" t="inlineStr">
        <is>
          <t>CC de la Picardie Verte</t>
        </is>
      </c>
      <c r="B816" t="inlineStr">
        <is>
          <t>Communauté de communes</t>
        </is>
      </c>
      <c r="C816" t="inlineStr">
        <is>
          <t>246000848</t>
        </is>
      </c>
      <c r="D816" t="inlineStr">
        <is>
          <t>60</t>
        </is>
      </c>
      <c r="E816" t="inlineStr">
        <is>
          <t>Oise</t>
        </is>
      </c>
      <c r="F816" t="inlineStr">
        <is>
          <t>Hauts-de-France</t>
        </is>
      </c>
      <c r="G816" s="3" t="n">
        <v>32134</v>
      </c>
      <c r="H816" t="n">
        <v>88</v>
      </c>
      <c r="I816" t="inlineStr">
        <is>
          <t>3 rue de Grumesnil</t>
        </is>
      </c>
      <c r="J816" t="inlineStr">
        <is>
          <t>60220</t>
        </is>
      </c>
      <c r="K816" t="inlineStr">
        <is>
          <t>Formerie</t>
        </is>
      </c>
      <c r="L816" t="inlineStr">
        <is>
          <t>03 44 04 53 90</t>
        </is>
      </c>
      <c r="M816" s="4" t="inlineStr">
        <is>
          <t>ccpv@ccpv.fr</t>
        </is>
      </c>
      <c r="N816" s="4" t="inlineStr">
        <is>
          <t>https://www.picardieverte.com</t>
        </is>
      </c>
      <c r="O816" t="inlineStr"/>
      <c r="P816" s="4" t="inlineStr">
        <is>
          <t>https://lannuaire.service-public.gouv.fr/hauts-de-france/oise/31d99002-a90d-44b8-a1c6-e1e80ab15561</t>
        </is>
      </c>
      <c r="Q816" t="inlineStr">
        <is>
          <t>Annuaire Service-public.fr</t>
        </is>
      </c>
      <c r="R816" t="inlineStr"/>
      <c r="S816" t="inlineStr"/>
      <c r="T816" t="inlineStr"/>
    </row>
    <row r="817">
      <c r="A817" t="inlineStr">
        <is>
          <t>CC de la Plaine d'Estrées</t>
        </is>
      </c>
      <c r="B817" t="inlineStr">
        <is>
          <t>Communauté de communes</t>
        </is>
      </c>
      <c r="C817" t="inlineStr">
        <is>
          <t>246000897</t>
        </is>
      </c>
      <c r="D817" t="inlineStr">
        <is>
          <t>60</t>
        </is>
      </c>
      <c r="E817" t="inlineStr">
        <is>
          <t>Oise</t>
        </is>
      </c>
      <c r="F817" t="inlineStr">
        <is>
          <t>Hauts-de-France</t>
        </is>
      </c>
      <c r="G817" s="3" t="n">
        <v>18167</v>
      </c>
      <c r="H817" t="n">
        <v>19</v>
      </c>
      <c r="I817" t="inlineStr">
        <is>
          <t>1 rue de la Plaine</t>
        </is>
      </c>
      <c r="J817" t="inlineStr">
        <is>
          <t>60190</t>
        </is>
      </c>
      <c r="K817" t="inlineStr">
        <is>
          <t>Estrées-Saint-Denis</t>
        </is>
      </c>
      <c r="L817" t="inlineStr">
        <is>
          <t>03 44 41 31 43</t>
        </is>
      </c>
      <c r="M817" s="4" t="inlineStr">
        <is>
          <t>contact@cc-pe.fr</t>
        </is>
      </c>
      <c r="N817" s="4" t="inlineStr">
        <is>
          <t>https://www.ccplaine-estrees.com/</t>
        </is>
      </c>
      <c r="O817" s="4" t="inlineStr">
        <is>
          <t>https://www.ccplaine-estrees.com/nous-contacter/</t>
        </is>
      </c>
      <c r="P817" s="4" t="inlineStr">
        <is>
          <t>https://lannuaire.service-public.gouv.fr/hauts-de-france/oise/3275e90b-ba7c-4b26-b4e8-c7a155b2fa52</t>
        </is>
      </c>
      <c r="Q817" t="inlineStr">
        <is>
          <t>Annuaire Service-public.fr</t>
        </is>
      </c>
      <c r="R817" t="inlineStr"/>
      <c r="S817" t="inlineStr"/>
      <c r="T817" t="inlineStr"/>
    </row>
    <row r="818">
      <c r="A818" t="inlineStr">
        <is>
          <t>CC des Deux Vallées</t>
        </is>
      </c>
      <c r="B818" t="inlineStr">
        <is>
          <t>Communauté de communes</t>
        </is>
      </c>
      <c r="C818" t="inlineStr">
        <is>
          <t>246000772</t>
        </is>
      </c>
      <c r="D818" t="inlineStr">
        <is>
          <t>60</t>
        </is>
      </c>
      <c r="E818" t="inlineStr">
        <is>
          <t>Oise</t>
        </is>
      </c>
      <c r="F818" t="inlineStr">
        <is>
          <t>Hauts-de-France</t>
        </is>
      </c>
      <c r="G818" s="3" t="n">
        <v>22569</v>
      </c>
      <c r="H818" t="n">
        <v>16</v>
      </c>
      <c r="I818" t="inlineStr">
        <is>
          <t>9 rue du Maréchal-Juin</t>
        </is>
      </c>
      <c r="J818" t="inlineStr">
        <is>
          <t>60150</t>
        </is>
      </c>
      <c r="K818" t="inlineStr">
        <is>
          <t>Thourotte</t>
        </is>
      </c>
      <c r="L818" t="inlineStr">
        <is>
          <t>03 44 96 31 00</t>
        </is>
      </c>
      <c r="M818" s="4" t="inlineStr">
        <is>
          <t>contact@cc2v.fr</t>
        </is>
      </c>
      <c r="N818" s="4" t="inlineStr">
        <is>
          <t>https://www.deuxvallees.fr/</t>
        </is>
      </c>
      <c r="O818" s="4" t="inlineStr">
        <is>
          <t>https://www.deuxvallees.fr/contact</t>
        </is>
      </c>
      <c r="P818" s="4" t="inlineStr">
        <is>
          <t>https://lannuaire.service-public.gouv.fr/hauts-de-france/oise/ae90e5d4-5a57-467c-967f-9398aa76270b</t>
        </is>
      </c>
      <c r="Q818" t="inlineStr">
        <is>
          <t>Annuaire Service-public.fr</t>
        </is>
      </c>
      <c r="R818" t="inlineStr"/>
      <c r="S818" t="inlineStr"/>
      <c r="T818" t="inlineStr"/>
    </row>
    <row r="819">
      <c r="A819" t="inlineStr">
        <is>
          <t>CC des Lisières de l'Oise</t>
        </is>
      </c>
      <c r="B819" t="inlineStr">
        <is>
          <t>Communauté de communes</t>
        </is>
      </c>
      <c r="C819" t="inlineStr">
        <is>
          <t>246000749</t>
        </is>
      </c>
      <c r="D819" t="inlineStr">
        <is>
          <t>60</t>
        </is>
      </c>
      <c r="E819" t="inlineStr">
        <is>
          <t>Oise</t>
        </is>
      </c>
      <c r="F819" t="inlineStr">
        <is>
          <t>Hauts-de-France</t>
        </is>
      </c>
      <c r="G819" s="3" t="n">
        <v>15940</v>
      </c>
      <c r="H819" t="n">
        <v>20</v>
      </c>
      <c r="I819" t="inlineStr">
        <is>
          <t>4 voie Industrielle, ZI Les Surcens</t>
        </is>
      </c>
      <c r="J819" t="inlineStr">
        <is>
          <t>60350</t>
        </is>
      </c>
      <c r="K819" t="inlineStr">
        <is>
          <t>Attichy</t>
        </is>
      </c>
      <c r="L819" t="inlineStr">
        <is>
          <t>03 44 42 72 25</t>
        </is>
      </c>
      <c r="M819" s="4" t="inlineStr">
        <is>
          <t>contact@ccloise.com</t>
        </is>
      </c>
      <c r="N819" s="4" t="inlineStr">
        <is>
          <t>https://ccloise.com/</t>
        </is>
      </c>
      <c r="O819" s="4" t="inlineStr">
        <is>
          <t>https://ccloise.com/contacts/formulaire-de-demande/</t>
        </is>
      </c>
      <c r="P819" s="4" t="inlineStr">
        <is>
          <t>https://lannuaire.service-public.gouv.fr/hauts-de-france/oise/1c21fc62-913a-4a0a-bef7-1cf4c45a9a15</t>
        </is>
      </c>
      <c r="Q819" t="inlineStr">
        <is>
          <t>Annuaire Service-public.fr</t>
        </is>
      </c>
      <c r="R819" t="inlineStr"/>
      <c r="S819" t="inlineStr"/>
      <c r="T819" t="inlineStr"/>
    </row>
    <row r="820">
      <c r="A820" t="inlineStr">
        <is>
          <t>CC des Pays d'Oise et d'Halatte</t>
        </is>
      </c>
      <c r="B820" t="inlineStr">
        <is>
          <t>Communauté de communes</t>
        </is>
      </c>
      <c r="C820" t="inlineStr">
        <is>
          <t>246000921</t>
        </is>
      </c>
      <c r="D820" t="inlineStr">
        <is>
          <t>60</t>
        </is>
      </c>
      <c r="E820" t="inlineStr">
        <is>
          <t>Oise</t>
        </is>
      </c>
      <c r="F820" t="inlineStr">
        <is>
          <t>Hauts-de-France</t>
        </is>
      </c>
      <c r="G820" s="3" t="n">
        <v>34438</v>
      </c>
      <c r="H820" t="n">
        <v>17</v>
      </c>
      <c r="I820" t="inlineStr">
        <is>
          <t>1 rue d'Halatte</t>
        </is>
      </c>
      <c r="J820" t="inlineStr">
        <is>
          <t>60700</t>
        </is>
      </c>
      <c r="K820" t="inlineStr">
        <is>
          <t>Pont-Sainte-Maxence</t>
        </is>
      </c>
      <c r="L820" t="inlineStr">
        <is>
          <t>03 44 70 04 01</t>
        </is>
      </c>
      <c r="M820" s="4" t="inlineStr">
        <is>
          <t>secretariat@ccpoh.fr</t>
        </is>
      </c>
      <c r="N820" s="4" t="inlineStr">
        <is>
          <t>https://www.ccpoh.fr/</t>
        </is>
      </c>
      <c r="O820" s="4" t="inlineStr">
        <is>
          <t>https://www.ccpoh.fr/informations-pratiques/contact</t>
        </is>
      </c>
      <c r="P820" s="4" t="inlineStr">
        <is>
          <t>https://lannuaire.service-public.gouv.fr/hauts-de-france/oise/ff90b36d-f513-49b0-8733-ce2bdb3b9785</t>
        </is>
      </c>
      <c r="Q820" t="inlineStr">
        <is>
          <t>Annuaire Service-public.fr</t>
        </is>
      </c>
      <c r="R820" t="inlineStr"/>
      <c r="S820" t="inlineStr"/>
      <c r="T820" t="inlineStr"/>
    </row>
    <row r="821">
      <c r="A821" t="inlineStr">
        <is>
          <t>CC des Sablons</t>
        </is>
      </c>
      <c r="B821" t="inlineStr">
        <is>
          <t>Communauté de communes</t>
        </is>
      </c>
      <c r="C821" t="inlineStr">
        <is>
          <t>246000582</t>
        </is>
      </c>
      <c r="D821" t="inlineStr">
        <is>
          <t>60</t>
        </is>
      </c>
      <c r="E821" t="inlineStr">
        <is>
          <t>Oise</t>
        </is>
      </c>
      <c r="F821" t="inlineStr">
        <is>
          <t>Hauts-de-France</t>
        </is>
      </c>
      <c r="G821" s="3" t="n">
        <v>38502</v>
      </c>
      <c r="H821" t="n">
        <v>21</v>
      </c>
      <c r="I821" t="inlineStr">
        <is>
          <t>2 rue de Méru</t>
        </is>
      </c>
      <c r="J821" t="inlineStr">
        <is>
          <t>60175</t>
        </is>
      </c>
      <c r="K821" t="inlineStr">
        <is>
          <t>Villeneuve-les-Sablons</t>
        </is>
      </c>
      <c r="L821" t="inlineStr">
        <is>
          <t>03 44 22 01 60</t>
        </is>
      </c>
      <c r="M821" s="4" t="inlineStr">
        <is>
          <t>contact@cc-sablons.fr</t>
        </is>
      </c>
      <c r="N821" s="4" t="inlineStr">
        <is>
          <t>https://cc-sablons.com/</t>
        </is>
      </c>
      <c r="O821" t="inlineStr"/>
      <c r="P821" s="4" t="inlineStr">
        <is>
          <t>https://lannuaire.service-public.gouv.fr/hauts-de-france/oise/1874b9dc-c3b6-4552-9926-54d9ee6c6db5</t>
        </is>
      </c>
      <c r="Q821" t="inlineStr">
        <is>
          <t>Annuaire Service-public.fr</t>
        </is>
      </c>
      <c r="R821" t="inlineStr"/>
      <c r="S821" t="inlineStr"/>
      <c r="T821" t="inlineStr"/>
    </row>
    <row r="822">
      <c r="A822" t="inlineStr">
        <is>
          <t>CC du Clermontois</t>
        </is>
      </c>
      <c r="B822" t="inlineStr">
        <is>
          <t>Communauté de communes</t>
        </is>
      </c>
      <c r="C822" t="inlineStr">
        <is>
          <t>246000376</t>
        </is>
      </c>
      <c r="D822" t="inlineStr">
        <is>
          <t>60</t>
        </is>
      </c>
      <c r="E822" t="inlineStr">
        <is>
          <t>Oise</t>
        </is>
      </c>
      <c r="F822" t="inlineStr">
        <is>
          <t>Hauts-de-France</t>
        </is>
      </c>
      <c r="G822" s="3" t="n">
        <v>37784</v>
      </c>
      <c r="H822" t="n">
        <v>18</v>
      </c>
      <c r="I822" t="inlineStr">
        <is>
          <t>9 rue Henri-Breuil</t>
        </is>
      </c>
      <c r="J822" t="inlineStr">
        <is>
          <t>60600</t>
        </is>
      </c>
      <c r="K822" t="inlineStr">
        <is>
          <t>Clermont</t>
        </is>
      </c>
      <c r="L822" t="inlineStr">
        <is>
          <t>03 44 50 85 00</t>
        </is>
      </c>
      <c r="M822" s="4" t="inlineStr">
        <is>
          <t>accueil@pays-clermontois.fr</t>
        </is>
      </c>
      <c r="N822" s="4" t="inlineStr">
        <is>
          <t>https://pays-clermontois.fr/</t>
        </is>
      </c>
      <c r="O822" s="4" t="inlineStr">
        <is>
          <t>https://pays-clermontois.fr/nous-contacter/</t>
        </is>
      </c>
      <c r="P822" s="4" t="inlineStr">
        <is>
          <t>https://lannuaire.service-public.gouv.fr/hauts-de-france/oise/b55df963-8412-458e-bc22-a47934ede6d0</t>
        </is>
      </c>
      <c r="Q822" t="inlineStr">
        <is>
          <t>Annuaire Service-public.fr</t>
        </is>
      </c>
      <c r="R822" t="inlineStr"/>
      <c r="S822" t="inlineStr"/>
      <c r="T822" t="inlineStr"/>
    </row>
    <row r="823">
      <c r="A823" t="inlineStr">
        <is>
          <t>CC du Liancourtois</t>
        </is>
      </c>
      <c r="B823" t="inlineStr">
        <is>
          <t>Communauté de communes</t>
        </is>
      </c>
      <c r="C823" t="inlineStr">
        <is>
          <t>246000129</t>
        </is>
      </c>
      <c r="D823" t="inlineStr">
        <is>
          <t>60</t>
        </is>
      </c>
      <c r="E823" t="inlineStr">
        <is>
          <t>Oise</t>
        </is>
      </c>
      <c r="F823" t="inlineStr">
        <is>
          <t>Hauts-de-France</t>
        </is>
      </c>
      <c r="G823" s="3" t="n">
        <v>23878</v>
      </c>
      <c r="H823" t="n">
        <v>10</v>
      </c>
      <c r="I823" t="inlineStr">
        <is>
          <t>1 rue de Nogent</t>
        </is>
      </c>
      <c r="J823" t="inlineStr">
        <is>
          <t>60290</t>
        </is>
      </c>
      <c r="K823" t="inlineStr">
        <is>
          <t>Laigneville</t>
        </is>
      </c>
      <c r="L823" t="inlineStr">
        <is>
          <t>03 44 73 89 10</t>
        </is>
      </c>
      <c r="M823" s="4" t="inlineStr">
        <is>
          <t>contact@ccl-valleedoree.fr</t>
        </is>
      </c>
      <c r="N823" s="4" t="inlineStr">
        <is>
          <t>https://www.ccl-valleedoree.fr/</t>
        </is>
      </c>
      <c r="O823" s="4" t="inlineStr">
        <is>
          <t>https://www.ccl-valleedoree.fr/nous-contacter</t>
        </is>
      </c>
      <c r="P823" s="4" t="inlineStr">
        <is>
          <t>https://lannuaire.service-public.gouv.fr/hauts-de-france/oise/a385ab00-2dec-4154-a21e-a696d195fdc7</t>
        </is>
      </c>
      <c r="Q823" t="inlineStr">
        <is>
          <t>Annuaire Service-public.fr</t>
        </is>
      </c>
      <c r="R823" t="inlineStr"/>
      <c r="S823" t="inlineStr"/>
      <c r="T823" t="inlineStr"/>
    </row>
    <row r="824">
      <c r="A824" t="inlineStr">
        <is>
          <t>CC du Pays Noyonnais</t>
        </is>
      </c>
      <c r="B824" t="inlineStr">
        <is>
          <t>Communauté de communes</t>
        </is>
      </c>
      <c r="C824" t="inlineStr">
        <is>
          <t>246000756</t>
        </is>
      </c>
      <c r="D824" t="inlineStr">
        <is>
          <t>60</t>
        </is>
      </c>
      <c r="E824" t="inlineStr">
        <is>
          <t>Oise</t>
        </is>
      </c>
      <c r="F824" t="inlineStr">
        <is>
          <t>Hauts-de-France</t>
        </is>
      </c>
      <c r="G824" s="3" t="n">
        <v>31879</v>
      </c>
      <c r="H824" t="n">
        <v>42</v>
      </c>
      <c r="I824" t="inlineStr">
        <is>
          <t>Espace Inovia, Bâtiment 9, 1435 boulevard Cambronne</t>
        </is>
      </c>
      <c r="J824" t="inlineStr">
        <is>
          <t>60400</t>
        </is>
      </c>
      <c r="K824" t="inlineStr">
        <is>
          <t>Noyon</t>
        </is>
      </c>
      <c r="L824" t="inlineStr">
        <is>
          <t>03 44 09 60 40</t>
        </is>
      </c>
      <c r="M824" s="4" t="inlineStr">
        <is>
          <t>courrier@paysnoyonnais.fr</t>
        </is>
      </c>
      <c r="N824" s="4" t="inlineStr">
        <is>
          <t>https://www.paysnoyonnais.fr/</t>
        </is>
      </c>
      <c r="O824" s="4" t="inlineStr">
        <is>
          <t>https://www.paysnoyonnais.fr/Contactez-nous.html</t>
        </is>
      </c>
      <c r="P824" s="4" t="inlineStr">
        <is>
          <t>https://lannuaire.service-public.gouv.fr/hauts-de-france/oise/666ac10a-2d02-4fcf-9060-65c0df850a13</t>
        </is>
      </c>
      <c r="Q824" t="inlineStr">
        <is>
          <t>Annuaire Service-public.fr</t>
        </is>
      </c>
      <c r="R824" t="inlineStr"/>
      <c r="S824" t="inlineStr"/>
      <c r="T824" t="inlineStr"/>
    </row>
    <row r="825">
      <c r="A825" t="inlineStr">
        <is>
          <t>CC du Pays de Bray</t>
        </is>
      </c>
      <c r="B825" t="inlineStr">
        <is>
          <t>Communauté de communes</t>
        </is>
      </c>
      <c r="C825" t="inlineStr">
        <is>
          <t>246000913</t>
        </is>
      </c>
      <c r="D825" t="inlineStr">
        <is>
          <t>60</t>
        </is>
      </c>
      <c r="E825" t="inlineStr">
        <is>
          <t>Oise</t>
        </is>
      </c>
      <c r="F825" t="inlineStr">
        <is>
          <t>Hauts-de-France</t>
        </is>
      </c>
      <c r="G825" s="3" t="n">
        <v>18144</v>
      </c>
      <c r="H825" t="n">
        <v>23</v>
      </c>
      <c r="I825" t="inlineStr">
        <is>
          <t>2 rue d'Hodenc</t>
        </is>
      </c>
      <c r="J825" t="inlineStr">
        <is>
          <t>60650</t>
        </is>
      </c>
      <c r="K825" t="inlineStr">
        <is>
          <t>Lachapelle-aux-Pots</t>
        </is>
      </c>
      <c r="L825" t="inlineStr">
        <is>
          <t>03 44 81 35 20</t>
        </is>
      </c>
      <c r="M825" s="4" t="inlineStr">
        <is>
          <t>contact@cc-paysdebray.fr</t>
        </is>
      </c>
      <c r="N825" s="4" t="inlineStr">
        <is>
          <t>https://cc-paysdebray.com/</t>
        </is>
      </c>
      <c r="O825" s="4" t="inlineStr">
        <is>
          <t>https://cc-paysdebray.com/contact</t>
        </is>
      </c>
      <c r="P825" s="4" t="inlineStr">
        <is>
          <t>https://lannuaire.service-public.gouv.fr/hauts-de-france/oise/b88f5193-ba6e-4354-86e4-18bb93181bb6</t>
        </is>
      </c>
      <c r="Q825" t="inlineStr">
        <is>
          <t>Annuaire Service-public.fr</t>
        </is>
      </c>
      <c r="R825" t="inlineStr"/>
      <c r="S825" t="inlineStr"/>
      <c r="T825" t="inlineStr"/>
    </row>
    <row r="826">
      <c r="A826" t="inlineStr">
        <is>
          <t>CC du Pays de Valois</t>
        </is>
      </c>
      <c r="B826" t="inlineStr">
        <is>
          <t>Communauté de communes</t>
        </is>
      </c>
      <c r="C826" t="inlineStr">
        <is>
          <t>246000871</t>
        </is>
      </c>
      <c r="D826" t="inlineStr">
        <is>
          <t>60</t>
        </is>
      </c>
      <c r="E826" t="inlineStr">
        <is>
          <t>Oise</t>
        </is>
      </c>
      <c r="F826" t="inlineStr">
        <is>
          <t>Hauts-de-France</t>
        </is>
      </c>
      <c r="G826" s="3" t="n">
        <v>55394</v>
      </c>
      <c r="H826" t="n">
        <v>62</v>
      </c>
      <c r="I826" t="inlineStr">
        <is>
          <t>62 rue de Soissons</t>
        </is>
      </c>
      <c r="J826" t="inlineStr">
        <is>
          <t>60800</t>
        </is>
      </c>
      <c r="K826" t="inlineStr">
        <is>
          <t>Crépy-en-Valois</t>
        </is>
      </c>
      <c r="L826" t="inlineStr">
        <is>
          <t>03 44 88 05 09</t>
        </is>
      </c>
      <c r="M826" s="4" t="inlineStr">
        <is>
          <t>info@cc-paysdevalois.fr</t>
        </is>
      </c>
      <c r="N826" s="4" t="inlineStr">
        <is>
          <t>https://www.cc-paysdevalois.fr/</t>
        </is>
      </c>
      <c r="O826" t="inlineStr"/>
      <c r="P826" s="4" t="inlineStr">
        <is>
          <t>https://lannuaire.service-public.gouv.fr/hauts-de-france/oise/0f4e5bc8-96c2-4faa-a8b6-6b07baaf3bd6</t>
        </is>
      </c>
      <c r="Q826" t="inlineStr">
        <is>
          <t>Annuaire Service-public.fr</t>
        </is>
      </c>
      <c r="R826" t="inlineStr"/>
      <c r="S826" t="inlineStr"/>
      <c r="T826" t="inlineStr"/>
    </row>
    <row r="827">
      <c r="A827" t="inlineStr">
        <is>
          <t>CC du Pays des Sources</t>
        </is>
      </c>
      <c r="B827" t="inlineStr">
        <is>
          <t>Communauté de communes</t>
        </is>
      </c>
      <c r="C827" t="inlineStr">
        <is>
          <t>246000855</t>
        </is>
      </c>
      <c r="D827" t="inlineStr">
        <is>
          <t>60</t>
        </is>
      </c>
      <c r="E827" t="inlineStr">
        <is>
          <t>Oise</t>
        </is>
      </c>
      <c r="F827" t="inlineStr">
        <is>
          <t>Hauts-de-France</t>
        </is>
      </c>
      <c r="G827" s="3" t="n">
        <v>22141</v>
      </c>
      <c r="H827" t="n">
        <v>48</v>
      </c>
      <c r="I827" t="inlineStr">
        <is>
          <t>408 rue Georges-Latapie</t>
        </is>
      </c>
      <c r="J827" t="inlineStr">
        <is>
          <t>60490</t>
        </is>
      </c>
      <c r="K827" t="inlineStr">
        <is>
          <t>Ressons-sur-Matz</t>
        </is>
      </c>
      <c r="L827" t="inlineStr">
        <is>
          <t>03 44 43 09 57</t>
        </is>
      </c>
      <c r="M827" s="4" t="inlineStr">
        <is>
          <t>contact@cc-pays-sources.org</t>
        </is>
      </c>
      <c r="N827" s="4" t="inlineStr">
        <is>
          <t>https://www.cc-pays-sources.fr/</t>
        </is>
      </c>
      <c r="O827" s="4" t="inlineStr">
        <is>
          <t>https://www.cc-pays-sources.fr/le-pays-des-sources/nous-contacter/</t>
        </is>
      </c>
      <c r="P827" s="4" t="inlineStr">
        <is>
          <t>https://lannuaire.service-public.gouv.fr/hauts-de-france/oise/a0a0a649-6b70-4e9a-9fc9-8097c3610b1e</t>
        </is>
      </c>
      <c r="Q827" t="inlineStr">
        <is>
          <t>Annuaire Service-public.fr</t>
        </is>
      </c>
      <c r="R827" t="inlineStr"/>
      <c r="S827" t="inlineStr"/>
      <c r="T827" t="inlineStr"/>
    </row>
    <row r="828">
      <c r="A828" t="inlineStr">
        <is>
          <t>CC du Plateau Picard</t>
        </is>
      </c>
      <c r="B828" t="inlineStr">
        <is>
          <t>Communauté de communes</t>
        </is>
      </c>
      <c r="C828" t="inlineStr">
        <is>
          <t>246000566</t>
        </is>
      </c>
      <c r="D828" t="inlineStr">
        <is>
          <t>60</t>
        </is>
      </c>
      <c r="E828" t="inlineStr">
        <is>
          <t>Oise</t>
        </is>
      </c>
      <c r="F828" t="inlineStr">
        <is>
          <t>Hauts-de-France</t>
        </is>
      </c>
      <c r="G828" s="3" t="n">
        <v>29684</v>
      </c>
      <c r="H828" t="n">
        <v>52</v>
      </c>
      <c r="I828" t="inlineStr">
        <is>
          <t>Espace de Baynast, 140 rue Verte</t>
        </is>
      </c>
      <c r="J828" t="inlineStr">
        <is>
          <t>60130</t>
        </is>
      </c>
      <c r="K828" t="inlineStr">
        <is>
          <t>Le Plessier-sur-Saint-Just</t>
        </is>
      </c>
      <c r="L828" t="inlineStr">
        <is>
          <t>03 44 78 70 02</t>
        </is>
      </c>
      <c r="M828" s="4" t="inlineStr">
        <is>
          <t>accueil@cc-plateaupicard.fr</t>
        </is>
      </c>
      <c r="N828" s="4" t="inlineStr">
        <is>
          <t>https://www.plateaupicard.fr/</t>
        </is>
      </c>
      <c r="O828" s="4" t="inlineStr">
        <is>
          <t>https://www.plateaupicard.fr/formulaire-de-contact</t>
        </is>
      </c>
      <c r="P828" s="4" t="inlineStr">
        <is>
          <t>https://lannuaire.service-public.gouv.fr/hauts-de-france/oise/c119919a-73fe-45be-8f04-2b78cb6d20f7</t>
        </is>
      </c>
      <c r="Q828" t="inlineStr">
        <is>
          <t>Annuaire Service-public.fr</t>
        </is>
      </c>
      <c r="R828" t="inlineStr"/>
      <c r="S828" t="inlineStr"/>
      <c r="T828" t="inlineStr"/>
    </row>
    <row r="829">
      <c r="A829" t="inlineStr">
        <is>
          <t>CC du Vexin-Thelle</t>
        </is>
      </c>
      <c r="B829" t="inlineStr">
        <is>
          <t>Communauté de communes</t>
        </is>
      </c>
      <c r="C829" t="inlineStr">
        <is>
          <t>246000707</t>
        </is>
      </c>
      <c r="D829" t="inlineStr">
        <is>
          <t>60</t>
        </is>
      </c>
      <c r="E829" t="inlineStr">
        <is>
          <t>Oise</t>
        </is>
      </c>
      <c r="F829" t="inlineStr">
        <is>
          <t>Hauts-de-France</t>
        </is>
      </c>
      <c r="G829" s="3" t="n">
        <v>20561</v>
      </c>
      <c r="H829" t="n">
        <v>37</v>
      </c>
      <c r="I829" t="inlineStr">
        <is>
          <t>6 rue Bertinot-Juel, 5 espace Vexin-Thelle</t>
        </is>
      </c>
      <c r="J829" t="inlineStr">
        <is>
          <t>60240</t>
        </is>
      </c>
      <c r="K829" t="inlineStr">
        <is>
          <t>Chaumont-en-Vexin</t>
        </is>
      </c>
      <c r="L829" t="inlineStr">
        <is>
          <t>03 44 49 15 15</t>
        </is>
      </c>
      <c r="M829" s="4" t="inlineStr">
        <is>
          <t>accueil@vexinthelle.com</t>
        </is>
      </c>
      <c r="N829" s="4" t="inlineStr">
        <is>
          <t>https://www.vexinthelle.fr/</t>
        </is>
      </c>
      <c r="O829" s="4" t="inlineStr">
        <is>
          <t>https://www.vexinthelle.fr/</t>
        </is>
      </c>
      <c r="P829" s="4" t="inlineStr">
        <is>
          <t>https://lannuaire.service-public.gouv.fr/hauts-de-france/oise/ad98507a-2b0d-4018-97cb-f24b78446f93</t>
        </is>
      </c>
      <c r="Q829" t="inlineStr">
        <is>
          <t>Annuaire Service-public.fr</t>
        </is>
      </c>
      <c r="R829" t="inlineStr"/>
      <c r="S829" t="inlineStr"/>
      <c r="T829" t="inlineStr"/>
    </row>
    <row r="830">
      <c r="A830" t="inlineStr">
        <is>
          <t>CA Flers Agglo</t>
        </is>
      </c>
      <c r="B830" t="inlineStr">
        <is>
          <t>Communauté d’agglomération</t>
        </is>
      </c>
      <c r="C830" t="inlineStr">
        <is>
          <t>200035814</t>
        </is>
      </c>
      <c r="D830" t="inlineStr">
        <is>
          <t>61</t>
        </is>
      </c>
      <c r="E830" t="inlineStr">
        <is>
          <t>Orne</t>
        </is>
      </c>
      <c r="F830" t="inlineStr">
        <is>
          <t>Normandie</t>
        </is>
      </c>
      <c r="G830" s="3" t="n">
        <v>52509</v>
      </c>
      <c r="H830" t="n">
        <v>42</v>
      </c>
      <c r="I830" t="inlineStr">
        <is>
          <t>41 rue de la Boule</t>
        </is>
      </c>
      <c r="J830" t="inlineStr">
        <is>
          <t>61100</t>
        </is>
      </c>
      <c r="K830" t="inlineStr">
        <is>
          <t>Flers</t>
        </is>
      </c>
      <c r="L830" t="inlineStr">
        <is>
          <t>02 33 64 66 00</t>
        </is>
      </c>
      <c r="M830" s="4" t="inlineStr">
        <is>
          <t>accueil@flers-agglo.fr</t>
        </is>
      </c>
      <c r="N830" s="4" t="inlineStr">
        <is>
          <t>https://www.flers-agglo.fr/</t>
        </is>
      </c>
      <c r="O830" s="4" t="inlineStr">
        <is>
          <t>https://www.flers-agglo.fr/nous-contacter/</t>
        </is>
      </c>
      <c r="P830" s="4" t="inlineStr">
        <is>
          <t>https://lannuaire.service-public.gouv.fr/normandie/orne/49558ef4-24ad-444c-b343-a655e03e15fb</t>
        </is>
      </c>
      <c r="Q830" t="inlineStr">
        <is>
          <t>Annuaire Service-public.fr</t>
        </is>
      </c>
      <c r="R830" t="inlineStr"/>
      <c r="S830" t="inlineStr"/>
      <c r="T830" t="inlineStr"/>
    </row>
    <row r="831">
      <c r="A831" t="inlineStr">
        <is>
          <t>CC Andaine - Passais</t>
        </is>
      </c>
      <c r="B831" t="inlineStr">
        <is>
          <t>Communauté de communes</t>
        </is>
      </c>
      <c r="C831" t="inlineStr">
        <is>
          <t>200068443</t>
        </is>
      </c>
      <c r="D831" t="inlineStr">
        <is>
          <t>61</t>
        </is>
      </c>
      <c r="E831" t="inlineStr">
        <is>
          <t>Orne</t>
        </is>
      </c>
      <c r="F831" t="inlineStr">
        <is>
          <t>Normandie</t>
        </is>
      </c>
      <c r="G831" s="3" t="n">
        <v>12837</v>
      </c>
      <c r="H831" t="n">
        <v>12</v>
      </c>
      <c r="I831" t="inlineStr">
        <is>
          <t>26 avenue Léopold-Barré</t>
        </is>
      </c>
      <c r="J831" t="inlineStr">
        <is>
          <t>61140</t>
        </is>
      </c>
      <c r="K831" t="inlineStr">
        <is>
          <t>Juvigny-Val-d'Andaine</t>
        </is>
      </c>
      <c r="L831" t="inlineStr">
        <is>
          <t>02 33 37 95 15</t>
        </is>
      </c>
      <c r="M831" s="4" t="inlineStr">
        <is>
          <t>accueilsiege@ccandainepassais.fr</t>
        </is>
      </c>
      <c r="N831" s="4" t="inlineStr">
        <is>
          <t>https://ccandainepassais.org/</t>
        </is>
      </c>
      <c r="O831" s="4" t="inlineStr">
        <is>
          <t>https://ccandainepassais.org/contact/</t>
        </is>
      </c>
      <c r="P831" s="4" t="inlineStr">
        <is>
          <t>https://lannuaire.service-public.gouv.fr/normandie/orne/76398fc4-3c1a-49dd-b9c3-3aab4be48eff</t>
        </is>
      </c>
      <c r="Q831" t="inlineStr">
        <is>
          <t>Annuaire Service-public.fr</t>
        </is>
      </c>
      <c r="R831" t="inlineStr"/>
      <c r="S831" t="inlineStr"/>
      <c r="T831" t="inlineStr"/>
    </row>
    <row r="832">
      <c r="A832" t="inlineStr">
        <is>
          <t>CC Coeur du Perche</t>
        </is>
      </c>
      <c r="B832" t="inlineStr">
        <is>
          <t>Communauté de communes</t>
        </is>
      </c>
      <c r="C832" t="inlineStr">
        <is>
          <t>200068435</t>
        </is>
      </c>
      <c r="D832" t="inlineStr">
        <is>
          <t>61</t>
        </is>
      </c>
      <c r="E832" t="inlineStr">
        <is>
          <t>Orne</t>
        </is>
      </c>
      <c r="F832" t="inlineStr">
        <is>
          <t>Normandie</t>
        </is>
      </c>
      <c r="G832" s="3" t="n">
        <v>11057</v>
      </c>
      <c r="H832" t="n">
        <v>12</v>
      </c>
      <c r="I832" t="inlineStr">
        <is>
          <t>ZA Saint-Marc-Ouest</t>
        </is>
      </c>
      <c r="J832" t="inlineStr">
        <is>
          <t>61110</t>
        </is>
      </c>
      <c r="K832" t="inlineStr">
        <is>
          <t>Rémalard-en-Perche</t>
        </is>
      </c>
      <c r="L832" t="inlineStr">
        <is>
          <t>02 33 25 44 85</t>
        </is>
      </c>
      <c r="M832" s="4" t="inlineStr">
        <is>
          <t>administration@coeurduperche.fr</t>
        </is>
      </c>
      <c r="N832" s="4" t="inlineStr">
        <is>
          <t>https://www.coeurduperche.com/</t>
        </is>
      </c>
      <c r="O832" s="4" t="inlineStr">
        <is>
          <t>https://www.coeurduperche.com/contacts</t>
        </is>
      </c>
      <c r="P832" s="4" t="inlineStr">
        <is>
          <t>https://lannuaire.service-public.gouv.fr/normandie/orne/fedbab45-8bca-4b94-91bc-c6e04c01cf98</t>
        </is>
      </c>
      <c r="Q832" t="inlineStr">
        <is>
          <t>Annuaire Service-public.fr</t>
        </is>
      </c>
      <c r="R832" t="inlineStr"/>
      <c r="S832" t="inlineStr"/>
      <c r="T832" t="inlineStr"/>
    </row>
    <row r="833">
      <c r="A833" t="inlineStr">
        <is>
          <t>CC Domfront Tinchebray Interco</t>
        </is>
      </c>
      <c r="B833" t="inlineStr">
        <is>
          <t>Communauté de communes</t>
        </is>
      </c>
      <c r="C833" t="inlineStr">
        <is>
          <t>200071520</t>
        </is>
      </c>
      <c r="D833" t="inlineStr">
        <is>
          <t>61</t>
        </is>
      </c>
      <c r="E833" t="inlineStr">
        <is>
          <t>Orne</t>
        </is>
      </c>
      <c r="F833" t="inlineStr">
        <is>
          <t>Normandie</t>
        </is>
      </c>
      <c r="G833" s="3" t="n">
        <v>15782</v>
      </c>
      <c r="H833" t="n">
        <v>15</v>
      </c>
      <c r="I833" t="inlineStr">
        <is>
          <t>1 place du Général-Leclerc, Tinchebray</t>
        </is>
      </c>
      <c r="J833" t="inlineStr">
        <is>
          <t>61800</t>
        </is>
      </c>
      <c r="K833" t="inlineStr">
        <is>
          <t>Tinchebray-Bocage</t>
        </is>
      </c>
      <c r="L833" t="inlineStr">
        <is>
          <t>02 33 64 25 52</t>
        </is>
      </c>
      <c r="M833" s="4" t="inlineStr">
        <is>
          <t>mairie@tinchebray.fr</t>
        </is>
      </c>
      <c r="N833" s="4" t="inlineStr">
        <is>
          <t>http://www.domfront-tinchebray-interco.fr</t>
        </is>
      </c>
      <c r="O833" s="4" t="inlineStr">
        <is>
          <t>http://www.domfront-tinchebray-interco.fr/fr/contact</t>
        </is>
      </c>
      <c r="P833" s="4" t="inlineStr">
        <is>
          <t>https://lannuaire.service-public.gouv.fr/normandie/orne/9db14464-b333-43dd-b99c-ecf5b0c91085</t>
        </is>
      </c>
      <c r="Q833" t="inlineStr">
        <is>
          <t>Annuaire Service-public.fr</t>
        </is>
      </c>
      <c r="R833" t="inlineStr"/>
      <c r="S833" t="inlineStr"/>
      <c r="T833" t="inlineStr"/>
    </row>
    <row r="834">
      <c r="A834" t="inlineStr">
        <is>
          <t>CC Terres d'Argentan Interco</t>
        </is>
      </c>
      <c r="B834" t="inlineStr">
        <is>
          <t>Communauté de communes</t>
        </is>
      </c>
      <c r="C834" t="inlineStr">
        <is>
          <t>200068450</t>
        </is>
      </c>
      <c r="D834" t="inlineStr">
        <is>
          <t>61</t>
        </is>
      </c>
      <c r="E834" t="inlineStr">
        <is>
          <t>Orne</t>
        </is>
      </c>
      <c r="F834" t="inlineStr">
        <is>
          <t>Normandie</t>
        </is>
      </c>
      <c r="G834" s="3" t="n">
        <v>33374</v>
      </c>
      <c r="H834" t="n">
        <v>49</v>
      </c>
      <c r="I834" t="inlineStr">
        <is>
          <t>12 route de Sées</t>
        </is>
      </c>
      <c r="J834" t="inlineStr">
        <is>
          <t>61200</t>
        </is>
      </c>
      <c r="K834" t="inlineStr">
        <is>
          <t>Argentan</t>
        </is>
      </c>
      <c r="L834" t="inlineStr">
        <is>
          <t>02 33 12 25 25</t>
        </is>
      </c>
      <c r="M834" s="4" t="inlineStr">
        <is>
          <t>informations@terresdargentan.fr</t>
        </is>
      </c>
      <c r="N834" s="4" t="inlineStr">
        <is>
          <t>https://terresdargentan.fr/</t>
        </is>
      </c>
      <c r="O834" s="4" t="inlineStr">
        <is>
          <t>https://terresdargentan.fr/contact/</t>
        </is>
      </c>
      <c r="P834" s="4" t="inlineStr">
        <is>
          <t>https://lannuaire.service-public.gouv.fr/normandie/orne/934eec5b-e7ad-42f3-a3d6-2f19541b7694</t>
        </is>
      </c>
      <c r="Q834" t="inlineStr">
        <is>
          <t>Annuaire Service-public.fr</t>
        </is>
      </c>
      <c r="R834" t="inlineStr"/>
      <c r="S834" t="inlineStr"/>
      <c r="T834" t="inlineStr"/>
    </row>
    <row r="835">
      <c r="A835" t="inlineStr">
        <is>
          <t>CC de la Vallée de la Haute Sarthe</t>
        </is>
      </c>
      <c r="B835" t="inlineStr">
        <is>
          <t>Communauté de communes</t>
        </is>
      </c>
      <c r="C835" t="inlineStr">
        <is>
          <t>200035103</t>
        </is>
      </c>
      <c r="D835" t="inlineStr">
        <is>
          <t>61</t>
        </is>
      </c>
      <c r="E835" t="inlineStr">
        <is>
          <t>Orne</t>
        </is>
      </c>
      <c r="F835" t="inlineStr">
        <is>
          <t>Normandie</t>
        </is>
      </c>
      <c r="G835" s="3" t="n">
        <v>7531</v>
      </c>
      <c r="H835" t="n">
        <v>31</v>
      </c>
      <c r="I835" t="inlineStr">
        <is>
          <t>21 avenue de Falkenstein</t>
        </is>
      </c>
      <c r="J835" t="inlineStr">
        <is>
          <t>61170</t>
        </is>
      </c>
      <c r="K835" t="inlineStr">
        <is>
          <t>Le Mêle-sur-Sarthe</t>
        </is>
      </c>
      <c r="L835" t="inlineStr">
        <is>
          <t>02 33 27 61 02</t>
        </is>
      </c>
      <c r="M835" s="4" t="inlineStr">
        <is>
          <t>accueil@ccvhs.fr</t>
        </is>
      </c>
      <c r="N835" s="4" t="inlineStr">
        <is>
          <t>http://www.ccvhs.fr</t>
        </is>
      </c>
      <c r="O835" s="4" t="inlineStr">
        <is>
          <t>http://ccvhs.fr/</t>
        </is>
      </c>
      <c r="P835" s="4" t="inlineStr">
        <is>
          <t>https://lannuaire.service-public.gouv.fr/normandie/orne/d819105e-f4d0-4a9b-a871-5bdf375b87f8</t>
        </is>
      </c>
      <c r="Q835" t="inlineStr">
        <is>
          <t>Annuaire Service-public.fr</t>
        </is>
      </c>
      <c r="R835" t="inlineStr"/>
      <c r="S835" t="inlineStr"/>
      <c r="T835" t="inlineStr"/>
    </row>
    <row r="836">
      <c r="A836" t="inlineStr">
        <is>
          <t>CC des Collines du Perche Normand</t>
        </is>
      </c>
      <c r="B836" t="inlineStr">
        <is>
          <t>Communauté de communes</t>
        </is>
      </c>
      <c r="C836" t="inlineStr">
        <is>
          <t>200071504</t>
        </is>
      </c>
      <c r="D836" t="inlineStr">
        <is>
          <t>61</t>
        </is>
      </c>
      <c r="E836" t="inlineStr">
        <is>
          <t>Orne</t>
        </is>
      </c>
      <c r="F836" t="inlineStr">
        <is>
          <t>Normandie</t>
        </is>
      </c>
      <c r="G836" s="3" t="n">
        <v>11894</v>
      </c>
      <c r="H836" t="n">
        <v>16</v>
      </c>
      <c r="I836" t="inlineStr">
        <is>
          <t>3 rue de la Cidrerie, Le Theil-sur-Huisne</t>
        </is>
      </c>
      <c r="J836" t="inlineStr">
        <is>
          <t>61260</t>
        </is>
      </c>
      <c r="K836" t="inlineStr">
        <is>
          <t>Val-au-Perche</t>
        </is>
      </c>
      <c r="L836" t="inlineStr">
        <is>
          <t>02 37 49 63 51</t>
        </is>
      </c>
      <c r="M836" s="4" t="inlineStr">
        <is>
          <t>accueil@perchenormand.fr</t>
        </is>
      </c>
      <c r="N836" s="4" t="inlineStr">
        <is>
          <t>https://www.perchenormand.fr/</t>
        </is>
      </c>
      <c r="O836" t="inlineStr"/>
      <c r="P836" s="4" t="inlineStr">
        <is>
          <t>https://lannuaire.service-public.gouv.fr/normandie/orne/abf1985f-437a-4e73-8bea-9b97ae695e74</t>
        </is>
      </c>
      <c r="Q836" t="inlineStr">
        <is>
          <t>Annuaire Service-public.fr</t>
        </is>
      </c>
      <c r="R836" t="inlineStr"/>
      <c r="S836" t="inlineStr"/>
      <c r="T836" t="inlineStr"/>
    </row>
    <row r="837">
      <c r="A837" t="inlineStr">
        <is>
          <t>CC des Hauts du Perche</t>
        </is>
      </c>
      <c r="B837" t="inlineStr">
        <is>
          <t>Communauté de communes</t>
        </is>
      </c>
      <c r="C837" t="inlineStr">
        <is>
          <t>200068856</t>
        </is>
      </c>
      <c r="D837" t="inlineStr">
        <is>
          <t>61</t>
        </is>
      </c>
      <c r="E837" t="inlineStr">
        <is>
          <t>Orne</t>
        </is>
      </c>
      <c r="F837" t="inlineStr">
        <is>
          <t>Normandie</t>
        </is>
      </c>
      <c r="G837" s="3" t="n">
        <v>7882</v>
      </c>
      <c r="H837" t="n">
        <v>10</v>
      </c>
      <c r="I837" t="inlineStr">
        <is>
          <t>2 rue du Vieux-Moulin, Longny-au-Perche</t>
        </is>
      </c>
      <c r="J837" t="inlineStr">
        <is>
          <t>61290</t>
        </is>
      </c>
      <c r="K837" t="inlineStr">
        <is>
          <t>Longny les Villages</t>
        </is>
      </c>
      <c r="L837" t="inlineStr">
        <is>
          <t>02 33 25 56 00</t>
        </is>
      </c>
      <c r="M837" s="4" t="inlineStr">
        <is>
          <t>accueil@cdchautsperche.fr</t>
        </is>
      </c>
      <c r="N837" s="4" t="inlineStr">
        <is>
          <t>https://www.leshautsduperche.fr</t>
        </is>
      </c>
      <c r="O837" s="4" t="inlineStr">
        <is>
          <t>https://www.leshautsduperche.fr/systeme/contact/</t>
        </is>
      </c>
      <c r="P837" s="4" t="inlineStr">
        <is>
          <t>https://lannuaire.service-public.gouv.fr/normandie/orne/127a9782-bb2f-4b56-9301-e2aa2a9057b6</t>
        </is>
      </c>
      <c r="Q837" t="inlineStr">
        <is>
          <t>Annuaire Service-public.fr</t>
        </is>
      </c>
      <c r="R837" t="inlineStr"/>
      <c r="S837" t="inlineStr"/>
      <c r="T837" t="inlineStr"/>
    </row>
    <row r="838">
      <c r="A838" t="inlineStr">
        <is>
          <t>CC des Pays de L'Aigle</t>
        </is>
      </c>
      <c r="B838" t="inlineStr">
        <is>
          <t>Communauté de communes</t>
        </is>
      </c>
      <c r="C838" t="inlineStr">
        <is>
          <t>200068468</t>
        </is>
      </c>
      <c r="D838" t="inlineStr">
        <is>
          <t>61</t>
        </is>
      </c>
      <c r="E838" t="inlineStr">
        <is>
          <t>Orne</t>
        </is>
      </c>
      <c r="F838" t="inlineStr">
        <is>
          <t>Normandie</t>
        </is>
      </c>
      <c r="G838" s="3" t="n">
        <v>24985</v>
      </c>
      <c r="H838" t="n">
        <v>32</v>
      </c>
      <c r="I838" t="inlineStr">
        <is>
          <t>5 place du Parc, Pôle administratif</t>
        </is>
      </c>
      <c r="J838" t="inlineStr">
        <is>
          <t>61300</t>
        </is>
      </c>
      <c r="K838" t="inlineStr">
        <is>
          <t>L'Aigle</t>
        </is>
      </c>
      <c r="L838" t="inlineStr">
        <is>
          <t>02 33 84 50 40</t>
        </is>
      </c>
      <c r="M838" s="4" t="inlineStr">
        <is>
          <t>cdc@paysdelaigle.fr</t>
        </is>
      </c>
      <c r="N838" s="4" t="inlineStr">
        <is>
          <t>https://www.paysdelaigle.com</t>
        </is>
      </c>
      <c r="O838" t="inlineStr"/>
      <c r="P838" s="4" t="inlineStr">
        <is>
          <t>https://lannuaire.service-public.gouv.fr/normandie/orne/0973b541-2971-4317-b59f-f3e049edc38c</t>
        </is>
      </c>
      <c r="Q838" t="inlineStr">
        <is>
          <t>Annuaire Service-public.fr</t>
        </is>
      </c>
      <c r="R838" t="inlineStr"/>
      <c r="S838" t="inlineStr"/>
      <c r="T838" t="inlineStr"/>
    </row>
    <row r="839">
      <c r="A839" t="inlineStr">
        <is>
          <t>CC des Sources de l'Orne</t>
        </is>
      </c>
      <c r="B839" t="inlineStr">
        <is>
          <t>Communauté de communes</t>
        </is>
      </c>
      <c r="C839" t="inlineStr">
        <is>
          <t>200035111</t>
        </is>
      </c>
      <c r="D839" t="inlineStr">
        <is>
          <t>61</t>
        </is>
      </c>
      <c r="E839" t="inlineStr">
        <is>
          <t>Orne</t>
        </is>
      </c>
      <c r="F839" t="inlineStr">
        <is>
          <t>Normandie</t>
        </is>
      </c>
      <c r="G839" s="3" t="n">
        <v>11960</v>
      </c>
      <c r="H839" t="n">
        <v>23</v>
      </c>
      <c r="I839" t="inlineStr">
        <is>
          <t>2 rue Auguste-Loutreuil</t>
        </is>
      </c>
      <c r="J839" t="inlineStr">
        <is>
          <t>61500</t>
        </is>
      </c>
      <c r="K839" t="inlineStr">
        <is>
          <t>Sées</t>
        </is>
      </c>
      <c r="L839" t="inlineStr">
        <is>
          <t>02 33 28 88 87</t>
        </is>
      </c>
      <c r="M839" s="4" t="inlineStr">
        <is>
          <t>cc-sourcesdelorne@orange.fr</t>
        </is>
      </c>
      <c r="N839" s="4" t="inlineStr">
        <is>
          <t>https://www.cdc-sourcesdelorne.fr/</t>
        </is>
      </c>
      <c r="O839" s="4" t="inlineStr">
        <is>
          <t>https://www.cdc-sourcesdelorne.fr/contact/</t>
        </is>
      </c>
      <c r="P839" s="4" t="inlineStr">
        <is>
          <t>https://lannuaire.service-public.gouv.fr/normandie/orne/339a5951-0f25-4dba-9516-c2a0828b6932</t>
        </is>
      </c>
      <c r="Q839" t="inlineStr">
        <is>
          <t>Annuaire Service-public.fr</t>
        </is>
      </c>
      <c r="R839" t="inlineStr"/>
      <c r="S839" t="inlineStr"/>
      <c r="T839" t="inlineStr"/>
    </row>
    <row r="840">
      <c r="A840" t="inlineStr">
        <is>
          <t>CC des Vallées d'Auge et du Merlerault</t>
        </is>
      </c>
      <c r="B840" t="inlineStr">
        <is>
          <t>Communauté de communes</t>
        </is>
      </c>
      <c r="C840" t="inlineStr">
        <is>
          <t>200069458</t>
        </is>
      </c>
      <c r="D840" t="inlineStr">
        <is>
          <t>61</t>
        </is>
      </c>
      <c r="E840" t="inlineStr">
        <is>
          <t>Orne</t>
        </is>
      </c>
      <c r="F840" t="inlineStr">
        <is>
          <t>Normandie</t>
        </is>
      </c>
      <c r="G840" s="3" t="n">
        <v>14184</v>
      </c>
      <c r="H840" t="n">
        <v>42</v>
      </c>
      <c r="I840" t="inlineStr">
        <is>
          <t>15 rue Pernelle, BP 98</t>
        </is>
      </c>
      <c r="J840" t="inlineStr">
        <is>
          <t>61120</t>
        </is>
      </c>
      <c r="K840" t="inlineStr">
        <is>
          <t>Vimoutiers</t>
        </is>
      </c>
      <c r="L840" t="inlineStr">
        <is>
          <t>02 33 67 54 85</t>
        </is>
      </c>
      <c r="M840" s="4" t="inlineStr">
        <is>
          <t>contact@cdcvam.fr</t>
        </is>
      </c>
      <c r="N840" s="4" t="inlineStr">
        <is>
          <t>https://www.cdcvam.fr/</t>
        </is>
      </c>
      <c r="O840" s="4" t="inlineStr">
        <is>
          <t>https://www.cdcvam.fr/contact</t>
        </is>
      </c>
      <c r="P840" s="4" t="inlineStr">
        <is>
          <t>https://lannuaire.service-public.gouv.fr/normandie/orne/968ff783-cf5c-4f09-88e3-c4aa47517444</t>
        </is>
      </c>
      <c r="Q840" t="inlineStr">
        <is>
          <t>Annuaire Service-public.fr</t>
        </is>
      </c>
      <c r="R840" t="inlineStr"/>
      <c r="S840" t="inlineStr"/>
      <c r="T840" t="inlineStr"/>
    </row>
    <row r="841">
      <c r="A841" t="inlineStr">
        <is>
          <t>CC du Pays Fertois et du Bocage Carrougien</t>
        </is>
      </c>
      <c r="B841" t="inlineStr">
        <is>
          <t>Communauté de communes</t>
        </is>
      </c>
      <c r="C841" t="inlineStr">
        <is>
          <t>200071652</t>
        </is>
      </c>
      <c r="D841" t="inlineStr">
        <is>
          <t>61</t>
        </is>
      </c>
      <c r="E841" t="inlineStr">
        <is>
          <t>Orne</t>
        </is>
      </c>
      <c r="F841" t="inlineStr">
        <is>
          <t>Normandie</t>
        </is>
      </c>
      <c r="G841" s="3" t="n">
        <v>4822</v>
      </c>
      <c r="H841" t="n">
        <v>19</v>
      </c>
      <c r="I841" t="inlineStr">
        <is>
          <t>1 rue Auguste-Durand</t>
        </is>
      </c>
      <c r="J841" t="inlineStr">
        <is>
          <t>61600</t>
        </is>
      </c>
      <c r="K841" t="inlineStr">
        <is>
          <t>Magny-le-Désert</t>
        </is>
      </c>
      <c r="L841" t="inlineStr">
        <is>
          <t>02 33 30 65 40</t>
        </is>
      </c>
      <c r="M841" s="4" t="inlineStr">
        <is>
          <t>contact@ccpfbc.fr</t>
        </is>
      </c>
      <c r="N841" s="4" t="inlineStr">
        <is>
          <t>https://www.ccpfbc.fr/</t>
        </is>
      </c>
      <c r="O841" t="inlineStr"/>
      <c r="P841" s="4" t="inlineStr">
        <is>
          <t>https://lannuaire.service-public.gouv.fr/normandie/orne/76aea0fc-84a0-4d31-9b51-27b7d1d3c1f2</t>
        </is>
      </c>
      <c r="Q841" t="inlineStr">
        <is>
          <t>Annuaire Service-public.fr</t>
        </is>
      </c>
      <c r="R841" t="inlineStr"/>
      <c r="S841" t="inlineStr"/>
      <c r="T841" t="inlineStr"/>
    </row>
    <row r="842">
      <c r="A842" t="inlineStr">
        <is>
          <t>CC du Pays de Mortagne-au-Perche</t>
        </is>
      </c>
      <c r="B842" t="inlineStr">
        <is>
          <t>Communauté de communes</t>
        </is>
      </c>
      <c r="C842" t="inlineStr">
        <is>
          <t>200036069</t>
        </is>
      </c>
      <c r="D842" t="inlineStr">
        <is>
          <t>61</t>
        </is>
      </c>
      <c r="E842" t="inlineStr">
        <is>
          <t>Orne</t>
        </is>
      </c>
      <c r="F842" t="inlineStr">
        <is>
          <t>Normandie</t>
        </is>
      </c>
      <c r="G842" s="3" t="n">
        <v>13515</v>
      </c>
      <c r="H842" t="n">
        <v>33</v>
      </c>
      <c r="I842" t="inlineStr">
        <is>
          <t>4 Z.I de la Grippe, Maison des Territoire</t>
        </is>
      </c>
      <c r="J842" t="inlineStr">
        <is>
          <t>61400</t>
        </is>
      </c>
      <c r="K842" t="inlineStr">
        <is>
          <t>Mortagne-au-Perche</t>
        </is>
      </c>
      <c r="L842" t="inlineStr">
        <is>
          <t>02 33 85 35 80</t>
        </is>
      </c>
      <c r="M842" s="4" t="inlineStr">
        <is>
          <t>info@cdc-mortagne-au-perche.com</t>
        </is>
      </c>
      <c r="N842" s="4" t="inlineStr">
        <is>
          <t>https://www.cdc-mortagne-au-perche.com/</t>
        </is>
      </c>
      <c r="O842" s="4" t="inlineStr">
        <is>
          <t>https://www.cdc-mortagne-au-perche.com/contact/</t>
        </is>
      </c>
      <c r="P842" s="4" t="inlineStr">
        <is>
          <t>https://lannuaire.service-public.gouv.fr/normandie/orne/e5927e20-d264-497b-a162-09da08984453</t>
        </is>
      </c>
      <c r="Q842" t="inlineStr">
        <is>
          <t>Annuaire Service-public.fr</t>
        </is>
      </c>
      <c r="R842" t="inlineStr"/>
      <c r="S842" t="inlineStr"/>
      <c r="T842" t="inlineStr"/>
    </row>
    <row r="843">
      <c r="A843" t="inlineStr">
        <is>
          <t>CC du Val d'Orne</t>
        </is>
      </c>
      <c r="B843" t="inlineStr">
        <is>
          <t>Communauté de communes</t>
        </is>
      </c>
      <c r="C843" t="inlineStr">
        <is>
          <t>246100390</t>
        </is>
      </c>
      <c r="D843" t="inlineStr">
        <is>
          <t>61</t>
        </is>
      </c>
      <c r="E843" t="inlineStr">
        <is>
          <t>Orne</t>
        </is>
      </c>
      <c r="F843" t="inlineStr">
        <is>
          <t>Normandie</t>
        </is>
      </c>
      <c r="G843" s="3" t="n">
        <v>5618</v>
      </c>
      <c r="H843" t="n">
        <v>17</v>
      </c>
      <c r="I843" t="inlineStr">
        <is>
          <t>12 Place de l'Hotel de Ville</t>
        </is>
      </c>
      <c r="J843" t="inlineStr">
        <is>
          <t>61210</t>
        </is>
      </c>
      <c r="K843" t="inlineStr">
        <is>
          <t>Putanges-le-Lac</t>
        </is>
      </c>
      <c r="L843" t="inlineStr">
        <is>
          <t>02 33 36 93 73</t>
        </is>
      </c>
      <c r="M843" s="4" t="inlineStr">
        <is>
          <t>cdc@cdcvaldorne.fr</t>
        </is>
      </c>
      <c r="N843" s="4" t="inlineStr">
        <is>
          <t>https://www.cc-valdorne.fr/</t>
        </is>
      </c>
      <c r="O843" t="inlineStr"/>
      <c r="P843" s="4" t="inlineStr">
        <is>
          <t>https://lannuaire.service-public.gouv.fr/normandie/orne/1bd7e340-0ea8-4f98-b1e3-a6d5f9b5246c</t>
        </is>
      </c>
      <c r="Q843" t="inlineStr">
        <is>
          <t>Annuaire Service-public.fr</t>
        </is>
      </c>
      <c r="R843" t="inlineStr"/>
      <c r="S843" t="inlineStr"/>
      <c r="T843" t="inlineStr"/>
    </row>
    <row r="844">
      <c r="A844" t="inlineStr">
        <is>
          <t>CC Maine Saosnois</t>
        </is>
      </c>
      <c r="B844" t="inlineStr">
        <is>
          <t>Communauté de communes</t>
        </is>
      </c>
      <c r="C844" t="inlineStr">
        <is>
          <t>200072676</t>
        </is>
      </c>
      <c r="D844" t="inlineStr">
        <is>
          <t>61, 72</t>
        </is>
      </c>
      <c r="E844" t="inlineStr">
        <is>
          <t>Orne, Sarthe</t>
        </is>
      </c>
      <c r="F844" t="inlineStr">
        <is>
          <t>Normandie, Pays de la Loire</t>
        </is>
      </c>
      <c r="G844" s="3" t="n">
        <v>27476</v>
      </c>
      <c r="H844" t="n">
        <v>51</v>
      </c>
      <c r="I844" t="inlineStr">
        <is>
          <t>7 place Henri-Coutard</t>
        </is>
      </c>
      <c r="J844" t="inlineStr">
        <is>
          <t>72260</t>
        </is>
      </c>
      <c r="K844" t="inlineStr">
        <is>
          <t>Marolles-les-Braults</t>
        </is>
      </c>
      <c r="L844" t="inlineStr">
        <is>
          <t>02 43 34 16 48</t>
        </is>
      </c>
      <c r="M844" s="4" t="inlineStr">
        <is>
          <t>accueil@mainesaosnois.fr</t>
        </is>
      </c>
      <c r="N844" s="4" t="inlineStr">
        <is>
          <t>https://www.mainesaosnois.fr/</t>
        </is>
      </c>
      <c r="O844" s="4" t="inlineStr">
        <is>
          <t>https://www.mainesaosnois.fr/contact/</t>
        </is>
      </c>
      <c r="P844" s="4" t="inlineStr">
        <is>
          <t>https://lannuaire.service-public.gouv.fr/pays-de-la-loire/sarthe/c313440c-0bb4-45f1-85e5-014cec6e50df</t>
        </is>
      </c>
      <c r="Q844" t="inlineStr">
        <is>
          <t>Annuaire Service-public.fr</t>
        </is>
      </c>
      <c r="R844" t="inlineStr"/>
      <c r="S844" t="inlineStr"/>
      <c r="T844" t="inlineStr"/>
    </row>
    <row r="845">
      <c r="A845" t="inlineStr">
        <is>
          <t>CU d'Alençon</t>
        </is>
      </c>
      <c r="B845" t="inlineStr">
        <is>
          <t>Communauté urbaine</t>
        </is>
      </c>
      <c r="C845" t="inlineStr">
        <is>
          <t>246100663</t>
        </is>
      </c>
      <c r="D845" t="inlineStr">
        <is>
          <t>61, 72</t>
        </is>
      </c>
      <c r="E845" t="inlineStr">
        <is>
          <t>Orne, Sarthe</t>
        </is>
      </c>
      <c r="F845" t="inlineStr">
        <is>
          <t>Normandie, Pays de la Loire</t>
        </is>
      </c>
      <c r="G845" s="3" t="n">
        <v>55405</v>
      </c>
      <c r="H845" t="n">
        <v>31</v>
      </c>
      <c r="I845" t="inlineStr">
        <is>
          <t>Place du Maréchal-Foch, BP 362</t>
        </is>
      </c>
      <c r="J845" t="inlineStr">
        <is>
          <t>61014</t>
        </is>
      </c>
      <c r="K845" t="inlineStr">
        <is>
          <t>Alençon Cedex</t>
        </is>
      </c>
      <c r="L845" t="inlineStr">
        <is>
          <t>02 33 32 40 00</t>
        </is>
      </c>
      <c r="M845" s="4" t="inlineStr">
        <is>
          <t>cabinet@cu-alencon.fr</t>
        </is>
      </c>
      <c r="N845" s="4" t="inlineStr">
        <is>
          <t>https://www.cu-alencon.fr/</t>
        </is>
      </c>
      <c r="O845" s="4" t="inlineStr">
        <is>
          <t>https://www.cu-alencon.fr/contact/</t>
        </is>
      </c>
      <c r="P845" s="4" t="inlineStr">
        <is>
          <t>https://lannuaire.service-public.gouv.fr/normandie/orne/813f7994-06aa-4369-96f8-8a81dc707c24</t>
        </is>
      </c>
      <c r="Q845" t="inlineStr">
        <is>
          <t>Annuaire Service-public.fr</t>
        </is>
      </c>
      <c r="R845" t="inlineStr"/>
      <c r="S845" t="inlineStr"/>
      <c r="T845" t="inlineStr"/>
    </row>
    <row r="846">
      <c r="A846" t="inlineStr">
        <is>
          <t>CA Grand Calais Terres et Mers</t>
        </is>
      </c>
      <c r="B846" t="inlineStr">
        <is>
          <t>Communauté d’agglomération</t>
        </is>
      </c>
      <c r="C846" t="inlineStr">
        <is>
          <t>200090751</t>
        </is>
      </c>
      <c r="D846" t="inlineStr">
        <is>
          <t>62</t>
        </is>
      </c>
      <c r="E846" t="inlineStr">
        <is>
          <t>Pas-de-Calais</t>
        </is>
      </c>
      <c r="F846" t="inlineStr">
        <is>
          <t>Hauts-de-France</t>
        </is>
      </c>
      <c r="G846" s="3" t="n">
        <v>98913</v>
      </c>
      <c r="H846" t="n">
        <v>14</v>
      </c>
      <c r="I846" t="inlineStr">
        <is>
          <t>76 boulevard Gambetta</t>
        </is>
      </c>
      <c r="J846" t="inlineStr">
        <is>
          <t>62100</t>
        </is>
      </c>
      <c r="K846" t="inlineStr">
        <is>
          <t>Calais</t>
        </is>
      </c>
      <c r="L846" t="inlineStr">
        <is>
          <t>03 21 19 55 00</t>
        </is>
      </c>
      <c r="M846" s="4" t="inlineStr">
        <is>
          <t>info@grandcalais.fr</t>
        </is>
      </c>
      <c r="N846" s="4" t="inlineStr">
        <is>
          <t>https://www.grandcalais.fr/</t>
        </is>
      </c>
      <c r="O846" s="4" t="inlineStr">
        <is>
          <t>https://www.grandcalais.fr/linstitution-2/nous-contacter/</t>
        </is>
      </c>
      <c r="P846" s="4" t="inlineStr">
        <is>
          <t>https://lannuaire.service-public.gouv.fr/hauts-de-france/pas-de-calais/6957769e-da94-45fb-afac-29ec81b879bd</t>
        </is>
      </c>
      <c r="Q846" t="inlineStr">
        <is>
          <t>Annuaire Service-public.fr</t>
        </is>
      </c>
      <c r="R846" t="inlineStr"/>
      <c r="S846" t="inlineStr"/>
      <c r="T846" t="inlineStr"/>
    </row>
    <row r="847">
      <c r="A847" t="inlineStr">
        <is>
          <t>CA d'Hénin-Carvin</t>
        </is>
      </c>
      <c r="B847" t="inlineStr">
        <is>
          <t>Communauté d’agglomération</t>
        </is>
      </c>
      <c r="C847" t="inlineStr">
        <is>
          <t>246200299</t>
        </is>
      </c>
      <c r="D847" t="inlineStr">
        <is>
          <t>62</t>
        </is>
      </c>
      <c r="E847" t="inlineStr">
        <is>
          <t>Pas-de-Calais</t>
        </is>
      </c>
      <c r="F847" t="inlineStr">
        <is>
          <t>Hauts-de-France</t>
        </is>
      </c>
      <c r="G847" s="3" t="n">
        <v>126133</v>
      </c>
      <c r="H847" t="n">
        <v>14</v>
      </c>
      <c r="I847" t="inlineStr">
        <is>
          <t>242 boulevard Albert-Schweitzer</t>
        </is>
      </c>
      <c r="J847" t="inlineStr">
        <is>
          <t>62250</t>
        </is>
      </c>
      <c r="K847" t="inlineStr">
        <is>
          <t>Hénin-Beaumont</t>
        </is>
      </c>
      <c r="L847" t="inlineStr">
        <is>
          <t>03 21 79 13 79</t>
        </is>
      </c>
      <c r="M847" s="4" t="inlineStr">
        <is>
          <t>communication@agglo-henincarvin.fr</t>
        </is>
      </c>
      <c r="N847" s="4" t="inlineStr">
        <is>
          <t>https://www.agglo-henincarvin.fr/</t>
        </is>
      </c>
      <c r="O847" s="4" t="inlineStr">
        <is>
          <t>https://www.agglo-henincarvin.fr/Nous-contacter</t>
        </is>
      </c>
      <c r="P847" s="4" t="inlineStr">
        <is>
          <t>https://lannuaire.service-public.gouv.fr/hauts-de-france/pas-de-calais/1814283b-94c6-42b8-a0be-48ac94a2dae3</t>
        </is>
      </c>
      <c r="Q847" t="inlineStr">
        <is>
          <t>Annuaire Service-public.fr</t>
        </is>
      </c>
      <c r="R847" t="inlineStr"/>
      <c r="S847" t="inlineStr"/>
      <c r="T847" t="inlineStr"/>
    </row>
    <row r="848">
      <c r="A848" t="inlineStr">
        <is>
          <t>CA de Béthune-Bruay, Artois-Lys Romane</t>
        </is>
      </c>
      <c r="B848" t="inlineStr">
        <is>
          <t>Communauté d’agglomération</t>
        </is>
      </c>
      <c r="C848" t="inlineStr">
        <is>
          <t>200072460</t>
        </is>
      </c>
      <c r="D848" t="inlineStr">
        <is>
          <t>62</t>
        </is>
      </c>
      <c r="E848" t="inlineStr">
        <is>
          <t>Pas-de-Calais</t>
        </is>
      </c>
      <c r="F848" t="inlineStr">
        <is>
          <t>Hauts-de-France</t>
        </is>
      </c>
      <c r="G848" s="3" t="n">
        <v>275736</v>
      </c>
      <c r="H848" t="n">
        <v>100</v>
      </c>
      <c r="I848" t="inlineStr">
        <is>
          <t>100 avenue de Londres</t>
        </is>
      </c>
      <c r="J848" t="inlineStr">
        <is>
          <t>62400</t>
        </is>
      </c>
      <c r="K848" t="inlineStr">
        <is>
          <t>Béthune</t>
        </is>
      </c>
      <c r="L848" t="inlineStr">
        <is>
          <t>03 21 61 50 00</t>
        </is>
      </c>
      <c r="M848" s="4" t="inlineStr">
        <is>
          <t>contact@bethunebruay.fr</t>
        </is>
      </c>
      <c r="N848" s="4" t="inlineStr">
        <is>
          <t>https://www.bethunebruay.fr/</t>
        </is>
      </c>
      <c r="O848" s="4" t="inlineStr">
        <is>
          <t>https://formulaires.demarches.bethunebruay.fr/contact/demande-generale/</t>
        </is>
      </c>
      <c r="P848" s="4" t="inlineStr">
        <is>
          <t>https://lannuaire.service-public.gouv.fr/hauts-de-france/pas-de-calais/ec3fce83-3fd8-45da-8906-d4f515c839e9</t>
        </is>
      </c>
      <c r="Q848" t="inlineStr">
        <is>
          <t>Annuaire Service-public.fr</t>
        </is>
      </c>
      <c r="R848" t="inlineStr"/>
      <c r="S848" t="inlineStr"/>
      <c r="T848" t="inlineStr"/>
    </row>
    <row r="849">
      <c r="A849" t="inlineStr">
        <is>
          <t>CA de Lens - Liévin</t>
        </is>
      </c>
      <c r="B849" t="inlineStr">
        <is>
          <t>Communauté d’agglomération</t>
        </is>
      </c>
      <c r="C849" t="inlineStr">
        <is>
          <t>246200364</t>
        </is>
      </c>
      <c r="D849" t="inlineStr">
        <is>
          <t>62</t>
        </is>
      </c>
      <c r="E849" t="inlineStr">
        <is>
          <t>Pas-de-Calais</t>
        </is>
      </c>
      <c r="F849" t="inlineStr">
        <is>
          <t>Hauts-de-France</t>
        </is>
      </c>
      <c r="G849" s="3" t="n">
        <v>242591</v>
      </c>
      <c r="H849" t="n">
        <v>36</v>
      </c>
      <c r="I849" t="inlineStr">
        <is>
          <t>21 rue Marcel-Sembat</t>
        </is>
      </c>
      <c r="J849" t="inlineStr">
        <is>
          <t>62300</t>
        </is>
      </c>
      <c r="K849" t="inlineStr">
        <is>
          <t>Lens</t>
        </is>
      </c>
      <c r="L849" t="inlineStr">
        <is>
          <t>03 21 79 07 90</t>
        </is>
      </c>
      <c r="M849" s="4" t="inlineStr">
        <is>
          <t>contact@agglo-lenslievin.fr</t>
        </is>
      </c>
      <c r="N849" s="4" t="inlineStr">
        <is>
          <t>https://www.agglo-lenslievin.fr/</t>
        </is>
      </c>
      <c r="O849" s="4" t="inlineStr">
        <is>
          <t>https://www.agglo-lenslievin.fr/lagglomeration-pratique/contact/</t>
        </is>
      </c>
      <c r="P849" s="4" t="inlineStr">
        <is>
          <t>https://lannuaire.service-public.gouv.fr/hauts-de-france/pas-de-calais/5544c465-ec24-4b32-a967-adbc5943fca6</t>
        </is>
      </c>
      <c r="Q849" t="inlineStr">
        <is>
          <t>Annuaire Service-public.fr</t>
        </is>
      </c>
      <c r="R849" t="inlineStr"/>
      <c r="S849" t="inlineStr"/>
      <c r="T849" t="inlineStr"/>
    </row>
    <row r="850">
      <c r="A850" t="inlineStr">
        <is>
          <t>CA des Deux Baies en Montreuillois</t>
        </is>
      </c>
      <c r="B850" t="inlineStr">
        <is>
          <t>Communauté d’agglomération</t>
        </is>
      </c>
      <c r="C850" t="inlineStr">
        <is>
          <t>200069029</t>
        </is>
      </c>
      <c r="D850" t="inlineStr">
        <is>
          <t>62</t>
        </is>
      </c>
      <c r="E850" t="inlineStr">
        <is>
          <t>Pas-de-Calais</t>
        </is>
      </c>
      <c r="F850" t="inlineStr">
        <is>
          <t>Hauts-de-France</t>
        </is>
      </c>
      <c r="G850" s="3" t="n">
        <v>65084</v>
      </c>
      <c r="H850" t="n">
        <v>46</v>
      </c>
      <c r="I850" t="inlineStr">
        <is>
          <t>11-13 place Gambetta</t>
        </is>
      </c>
      <c r="J850" t="inlineStr">
        <is>
          <t>62170</t>
        </is>
      </c>
      <c r="K850" t="inlineStr">
        <is>
          <t>Montreuil</t>
        </is>
      </c>
      <c r="L850" t="inlineStr">
        <is>
          <t>03 21 06 66 66</t>
        </is>
      </c>
      <c r="M850" s="4" t="inlineStr">
        <is>
          <t>contact@ca2bm.fr</t>
        </is>
      </c>
      <c r="N850" s="4" t="inlineStr">
        <is>
          <t>https://www.ca2bm.fr/</t>
        </is>
      </c>
      <c r="O850" t="inlineStr"/>
      <c r="P850" s="4" t="inlineStr">
        <is>
          <t>https://lannuaire.service-public.gouv.fr/hauts-de-france/pas-de-calais/ca25a1bc-da52-4f3c-aaa6-e9d6b4e0cbba</t>
        </is>
      </c>
      <c r="Q850" t="inlineStr">
        <is>
          <t>Annuaire Service-public.fr</t>
        </is>
      </c>
      <c r="R850" t="inlineStr"/>
      <c r="S850" t="inlineStr"/>
      <c r="T850" t="inlineStr"/>
    </row>
    <row r="851">
      <c r="A851" t="inlineStr">
        <is>
          <t>CA du Boulonnais</t>
        </is>
      </c>
      <c r="B851" t="inlineStr">
        <is>
          <t>Communauté d’agglomération</t>
        </is>
      </c>
      <c r="C851" t="inlineStr">
        <is>
          <t>246200729</t>
        </is>
      </c>
      <c r="D851" t="inlineStr">
        <is>
          <t>62</t>
        </is>
      </c>
      <c r="E851" t="inlineStr">
        <is>
          <t>Pas-de-Calais</t>
        </is>
      </c>
      <c r="F851" t="inlineStr">
        <is>
          <t>Hauts-de-France</t>
        </is>
      </c>
      <c r="G851" s="3" t="n">
        <v>112463</v>
      </c>
      <c r="H851" t="n">
        <v>22</v>
      </c>
      <c r="I851" t="inlineStr">
        <is>
          <t>1 boulevard du Bassin-Napoléon</t>
        </is>
      </c>
      <c r="J851" t="inlineStr">
        <is>
          <t>62200</t>
        </is>
      </c>
      <c r="K851" t="inlineStr">
        <is>
          <t>Boulogne-sur-Mer</t>
        </is>
      </c>
      <c r="L851" t="inlineStr">
        <is>
          <t>03 21 10 36 36</t>
        </is>
      </c>
      <c r="M851" s="4" t="inlineStr">
        <is>
          <t>contact@agglo-boulonnais.fr</t>
        </is>
      </c>
      <c r="N851" s="4" t="inlineStr">
        <is>
          <t>https://www.agglo-boulonnais.fr/</t>
        </is>
      </c>
      <c r="O851" s="4" t="inlineStr">
        <is>
          <t>https://www.agglo-boulonnais.fr/pages-pratiques/contact</t>
        </is>
      </c>
      <c r="P851" s="4" t="inlineStr">
        <is>
          <t>https://lannuaire.service-public.gouv.fr/hauts-de-france/pas-de-calais/d2d3c836-791d-4cff-a90f-da130f5f4283</t>
        </is>
      </c>
      <c r="Q851" t="inlineStr">
        <is>
          <t>Annuaire Service-public.fr</t>
        </is>
      </c>
      <c r="R851" t="inlineStr"/>
      <c r="S851" t="inlineStr"/>
      <c r="T851" t="inlineStr"/>
    </row>
    <row r="852">
      <c r="A852" t="inlineStr">
        <is>
          <t>CA du Pays de Saint-Omer</t>
        </is>
      </c>
      <c r="B852" t="inlineStr">
        <is>
          <t>Communauté d’agglomération</t>
        </is>
      </c>
      <c r="C852" t="inlineStr">
        <is>
          <t>200069037</t>
        </is>
      </c>
      <c r="D852" t="inlineStr">
        <is>
          <t>62</t>
        </is>
      </c>
      <c r="E852" t="inlineStr">
        <is>
          <t>Pas-de-Calais</t>
        </is>
      </c>
      <c r="F852" t="inlineStr">
        <is>
          <t>Hauts-de-France</t>
        </is>
      </c>
      <c r="G852" s="3" t="n">
        <v>104320</v>
      </c>
      <c r="H852" t="n">
        <v>53</v>
      </c>
      <c r="I852" t="inlineStr">
        <is>
          <t>2 rue Albert-Camus</t>
        </is>
      </c>
      <c r="J852" t="inlineStr">
        <is>
          <t>62219</t>
        </is>
      </c>
      <c r="K852" t="inlineStr">
        <is>
          <t>Longuenesse</t>
        </is>
      </c>
      <c r="L852" t="inlineStr">
        <is>
          <t>03 74 18 20 00</t>
        </is>
      </c>
      <c r="M852" s="4" t="inlineStr">
        <is>
          <t>contact@ca-pso.fr</t>
        </is>
      </c>
      <c r="N852" s="4" t="inlineStr">
        <is>
          <t>https://www.ca-pso.fr</t>
        </is>
      </c>
      <c r="O852" s="4" t="inlineStr">
        <is>
          <t>https://www.ca-pso.fr/contact/</t>
        </is>
      </c>
      <c r="P852" s="4" t="inlineStr">
        <is>
          <t>https://lannuaire.service-public.gouv.fr/hauts-de-france/pas-de-calais/fdff0965-fc8c-44ea-bec7-9e15e37c9387</t>
        </is>
      </c>
      <c r="Q852" t="inlineStr">
        <is>
          <t>Annuaire Service-public.fr</t>
        </is>
      </c>
      <c r="R852" t="inlineStr"/>
      <c r="S852" t="inlineStr"/>
      <c r="T852" t="inlineStr"/>
    </row>
    <row r="853">
      <c r="A853" t="inlineStr">
        <is>
          <t>CC Osartis Marquion</t>
        </is>
      </c>
      <c r="B853" t="inlineStr">
        <is>
          <t>Communauté de communes</t>
        </is>
      </c>
      <c r="C853" t="inlineStr">
        <is>
          <t>200044048</t>
        </is>
      </c>
      <c r="D853" t="inlineStr">
        <is>
          <t>62</t>
        </is>
      </c>
      <c r="E853" t="inlineStr">
        <is>
          <t>Pas-de-Calais</t>
        </is>
      </c>
      <c r="F853" t="inlineStr">
        <is>
          <t>Hauts-de-France</t>
        </is>
      </c>
      <c r="G853" s="3" t="n">
        <v>42814</v>
      </c>
      <c r="H853" t="n">
        <v>49</v>
      </c>
      <c r="I853" t="inlineStr">
        <is>
          <t>Rue Jean-Monet</t>
        </is>
      </c>
      <c r="J853" t="inlineStr">
        <is>
          <t>62490</t>
        </is>
      </c>
      <c r="K853" t="inlineStr">
        <is>
          <t>Vitry-en-Artois</t>
        </is>
      </c>
      <c r="L853" t="inlineStr">
        <is>
          <t>03 21 60 06 00</t>
        </is>
      </c>
      <c r="M853" s="4" t="inlineStr">
        <is>
          <t>administration@cc-osartis.com</t>
        </is>
      </c>
      <c r="N853" s="4" t="inlineStr">
        <is>
          <t>https://www.cc-osartis.com/</t>
        </is>
      </c>
      <c r="O853" s="4" t="inlineStr">
        <is>
          <t>https://www.cc-osartis.com/nous-contacter</t>
        </is>
      </c>
      <c r="P853" s="4" t="inlineStr">
        <is>
          <t>https://lannuaire.service-public.gouv.fr/hauts-de-france/pas-de-calais/ade1c496-6ff3-400b-8c42-d7cd85e9ba5a</t>
        </is>
      </c>
      <c r="Q853" t="inlineStr">
        <is>
          <t>Annuaire Service-public.fr</t>
        </is>
      </c>
      <c r="R853" t="inlineStr"/>
      <c r="S853" t="inlineStr"/>
      <c r="T853" t="inlineStr"/>
    </row>
    <row r="854">
      <c r="A854" t="inlineStr">
        <is>
          <t>CC Pays d'Opale</t>
        </is>
      </c>
      <c r="B854" t="inlineStr">
        <is>
          <t>Communauté de communes</t>
        </is>
      </c>
      <c r="C854" t="inlineStr">
        <is>
          <t>200072478</t>
        </is>
      </c>
      <c r="D854" t="inlineStr">
        <is>
          <t>62</t>
        </is>
      </c>
      <c r="E854" t="inlineStr">
        <is>
          <t>Pas-de-Calais</t>
        </is>
      </c>
      <c r="F854" t="inlineStr">
        <is>
          <t>Hauts-de-France</t>
        </is>
      </c>
      <c r="G854" s="3" t="n">
        <v>25182</v>
      </c>
      <c r="H854" t="n">
        <v>23</v>
      </c>
      <c r="I854" t="inlineStr">
        <is>
          <t>9 avenue de la Libération</t>
        </is>
      </c>
      <c r="J854" t="inlineStr">
        <is>
          <t>62340</t>
        </is>
      </c>
      <c r="K854" t="inlineStr">
        <is>
          <t>Guines</t>
        </is>
      </c>
      <c r="L854" t="inlineStr">
        <is>
          <t>03 21 00 83 33</t>
        </is>
      </c>
      <c r="M854" s="4" t="inlineStr">
        <is>
          <t>administration@paysdopale.fr</t>
        </is>
      </c>
      <c r="N854" s="4" t="inlineStr">
        <is>
          <t>https://paysdopale.fr/</t>
        </is>
      </c>
      <c r="O854" s="4" t="inlineStr">
        <is>
          <t>https://www.facebook.com/ccpaysdopale</t>
        </is>
      </c>
      <c r="P854" s="4" t="inlineStr">
        <is>
          <t>https://lannuaire.service-public.gouv.fr/hauts-de-france/pas-de-calais/85518671-a32c-45b8-96f4-f16a29f8dbb6</t>
        </is>
      </c>
      <c r="Q854" t="inlineStr">
        <is>
          <t>Annuaire Service-public.fr</t>
        </is>
      </c>
      <c r="R854" t="inlineStr"/>
      <c r="S854" t="inlineStr"/>
      <c r="T854" t="inlineStr"/>
    </row>
    <row r="855">
      <c r="A855" t="inlineStr">
        <is>
          <t>CC de Desvres-Samer</t>
        </is>
      </c>
      <c r="B855" t="inlineStr">
        <is>
          <t>Communauté de communes</t>
        </is>
      </c>
      <c r="C855" t="inlineStr">
        <is>
          <t>200018083</t>
        </is>
      </c>
      <c r="D855" t="inlineStr">
        <is>
          <t>62</t>
        </is>
      </c>
      <c r="E855" t="inlineStr">
        <is>
          <t>Pas-de-Calais</t>
        </is>
      </c>
      <c r="F855" t="inlineStr">
        <is>
          <t>Hauts-de-France</t>
        </is>
      </c>
      <c r="G855" s="3" t="n">
        <v>23138</v>
      </c>
      <c r="H855" t="n">
        <v>31</v>
      </c>
      <c r="I855" t="inlineStr">
        <is>
          <t>41 rue des Potiers</t>
        </is>
      </c>
      <c r="J855" t="inlineStr">
        <is>
          <t>62240</t>
        </is>
      </c>
      <c r="K855" t="inlineStr">
        <is>
          <t>Desvres</t>
        </is>
      </c>
      <c r="L855" t="inlineStr">
        <is>
          <t>03 21 92 07 20</t>
        </is>
      </c>
      <c r="M855" s="4" t="inlineStr">
        <is>
          <t>com.com@cc-desvressamer.fr</t>
        </is>
      </c>
      <c r="N855" s="4" t="inlineStr">
        <is>
          <t>https://www.cc-desvressamer.fr/</t>
        </is>
      </c>
      <c r="O855" s="4" t="inlineStr">
        <is>
          <t>https://www.cc-desvressamer.fr/contact/</t>
        </is>
      </c>
      <c r="P855" s="4" t="inlineStr">
        <is>
          <t>https://lannuaire.service-public.gouv.fr/hauts-de-france/pas-de-calais/93b98aba-84a3-4ebc-8940-7d46b8343cdd</t>
        </is>
      </c>
      <c r="Q855" t="inlineStr">
        <is>
          <t>Annuaire Service-public.fr</t>
        </is>
      </c>
      <c r="R855" t="inlineStr"/>
      <c r="S855" t="inlineStr"/>
      <c r="T855" t="inlineStr"/>
    </row>
    <row r="856">
      <c r="A856" t="inlineStr">
        <is>
          <t>CC de la Région d'Audruicq</t>
        </is>
      </c>
      <c r="B856" t="inlineStr">
        <is>
          <t>Communauté de communes</t>
        </is>
      </c>
      <c r="C856" t="inlineStr">
        <is>
          <t>246200844</t>
        </is>
      </c>
      <c r="D856" t="inlineStr">
        <is>
          <t>62</t>
        </is>
      </c>
      <c r="E856" t="inlineStr">
        <is>
          <t>Pas-de-Calais</t>
        </is>
      </c>
      <c r="F856" t="inlineStr">
        <is>
          <t>Hauts-de-France</t>
        </is>
      </c>
      <c r="G856" s="3" t="n">
        <v>28187</v>
      </c>
      <c r="H856" t="n">
        <v>15</v>
      </c>
      <c r="I856" t="inlineStr">
        <is>
          <t>66 place du Général-de-Gaulle</t>
        </is>
      </c>
      <c r="J856" t="inlineStr">
        <is>
          <t>62370</t>
        </is>
      </c>
      <c r="K856" t="inlineStr">
        <is>
          <t>Audruicq</t>
        </is>
      </c>
      <c r="L856" t="inlineStr">
        <is>
          <t>03 21 00 83 83</t>
        </is>
      </c>
      <c r="M856" s="4" t="inlineStr">
        <is>
          <t>communaute-reg-audruicq@ccra.fr</t>
        </is>
      </c>
      <c r="N856" s="4" t="inlineStr">
        <is>
          <t>https://www.ccra.fr/</t>
        </is>
      </c>
      <c r="O856" s="4" t="inlineStr">
        <is>
          <t>https://www.ccra.fr/Contact/10/</t>
        </is>
      </c>
      <c r="P856" s="4" t="inlineStr">
        <is>
          <t>https://lannuaire.service-public.gouv.fr/hauts-de-france/pas-de-calais/c80d6338-573e-474b-8661-49170a59e820</t>
        </is>
      </c>
      <c r="Q856" t="inlineStr">
        <is>
          <t>Annuaire Service-public.fr</t>
        </is>
      </c>
      <c r="R856" t="inlineStr"/>
      <c r="S856" t="inlineStr"/>
      <c r="T856" t="inlineStr"/>
    </row>
    <row r="857">
      <c r="A857" t="inlineStr">
        <is>
          <t>CC de la Terre des Deux Caps</t>
        </is>
      </c>
      <c r="B857" t="inlineStr">
        <is>
          <t>Communauté de communes</t>
        </is>
      </c>
      <c r="C857" t="inlineStr">
        <is>
          <t>246200380</t>
        </is>
      </c>
      <c r="D857" t="inlineStr">
        <is>
          <t>62</t>
        </is>
      </c>
      <c r="E857" t="inlineStr">
        <is>
          <t>Pas-de-Calais</t>
        </is>
      </c>
      <c r="F857" t="inlineStr">
        <is>
          <t>Hauts-de-France</t>
        </is>
      </c>
      <c r="G857" s="3" t="n">
        <v>22375</v>
      </c>
      <c r="H857" t="n">
        <v>21</v>
      </c>
      <c r="I857" t="inlineStr">
        <is>
          <t>Le Cardo</t>
        </is>
      </c>
      <c r="J857" t="inlineStr">
        <is>
          <t>62250</t>
        </is>
      </c>
      <c r="K857" t="inlineStr">
        <is>
          <t>Marquise</t>
        </is>
      </c>
      <c r="L857" t="inlineStr">
        <is>
          <t>03 21 87 57 57</t>
        </is>
      </c>
      <c r="M857" s="4" t="inlineStr">
        <is>
          <t>contact@terredes2caps.com</t>
        </is>
      </c>
      <c r="N857" s="4" t="inlineStr">
        <is>
          <t>https://www.terredes2caps.fr/</t>
        </is>
      </c>
      <c r="O857" s="4" t="inlineStr">
        <is>
          <t>https://www.terredes2caps.fr/nous-contacter</t>
        </is>
      </c>
      <c r="P857" s="4" t="inlineStr">
        <is>
          <t>https://lannuaire.service-public.gouv.fr/hauts-de-france/pas-de-calais/00f5bbfd-f0d5-49bd-9b33-abda3aa5aab3</t>
        </is>
      </c>
      <c r="Q857" t="inlineStr">
        <is>
          <t>Annuaire Service-public.fr</t>
        </is>
      </c>
      <c r="R857" t="inlineStr"/>
      <c r="S857" t="inlineStr"/>
      <c r="T857" t="inlineStr"/>
    </row>
    <row r="858">
      <c r="A858" t="inlineStr">
        <is>
          <t>CC des 7 Vallées</t>
        </is>
      </c>
      <c r="B858" t="inlineStr">
        <is>
          <t>Communauté de communes</t>
        </is>
      </c>
      <c r="C858" t="inlineStr">
        <is>
          <t>200044030</t>
        </is>
      </c>
      <c r="D858" t="inlineStr">
        <is>
          <t>62</t>
        </is>
      </c>
      <c r="E858" t="inlineStr">
        <is>
          <t>Pas-de-Calais</t>
        </is>
      </c>
      <c r="F858" t="inlineStr">
        <is>
          <t>Hauts-de-France</t>
        </is>
      </c>
      <c r="G858" s="3" t="n">
        <v>29425</v>
      </c>
      <c r="H858" t="n">
        <v>66</v>
      </c>
      <c r="I858" t="inlineStr">
        <is>
          <t>6 rue du Général-Daullé</t>
        </is>
      </c>
      <c r="J858" t="inlineStr">
        <is>
          <t>62140</t>
        </is>
      </c>
      <c r="K858" t="inlineStr">
        <is>
          <t>Hesdin</t>
        </is>
      </c>
      <c r="L858" t="inlineStr">
        <is>
          <t>03 21 90 42 68</t>
        </is>
      </c>
      <c r="M858" s="4" t="inlineStr">
        <is>
          <t>contact@7vallees.fr</t>
        </is>
      </c>
      <c r="N858" s="4" t="inlineStr">
        <is>
          <t>https://7vallees.fr/</t>
        </is>
      </c>
      <c r="O858" t="inlineStr"/>
      <c r="P858" s="4" t="inlineStr">
        <is>
          <t>https://lannuaire.service-public.gouv.fr/hauts-de-france/pas-de-calais/b1cee102-37ed-4453-92f2-7dbbeda780bc</t>
        </is>
      </c>
      <c r="Q858" t="inlineStr">
        <is>
          <t>Annuaire Service-public.fr</t>
        </is>
      </c>
      <c r="R858" t="inlineStr"/>
      <c r="S858" t="inlineStr"/>
      <c r="T858" t="inlineStr"/>
    </row>
    <row r="859">
      <c r="A859" t="inlineStr">
        <is>
          <t>CC des Campagnes de l'Artois</t>
        </is>
      </c>
      <c r="B859" t="inlineStr">
        <is>
          <t>Communauté de communes</t>
        </is>
      </c>
      <c r="C859" t="inlineStr">
        <is>
          <t>200069482</t>
        </is>
      </c>
      <c r="D859" t="inlineStr">
        <is>
          <t>62</t>
        </is>
      </c>
      <c r="E859" t="inlineStr">
        <is>
          <t>Pas-de-Calais</t>
        </is>
      </c>
      <c r="F859" t="inlineStr">
        <is>
          <t>Hauts-de-France</t>
        </is>
      </c>
      <c r="G859" s="3" t="n">
        <v>33290</v>
      </c>
      <c r="H859" t="n">
        <v>96</v>
      </c>
      <c r="I859" t="inlineStr">
        <is>
          <t>1050 avenue François-Mitterrand</t>
        </is>
      </c>
      <c r="J859" t="inlineStr">
        <is>
          <t>62810</t>
        </is>
      </c>
      <c r="K859" t="inlineStr">
        <is>
          <t>Avesnes-le-Comte</t>
        </is>
      </c>
      <c r="L859" t="inlineStr">
        <is>
          <t>03 21 22 02 00</t>
        </is>
      </c>
      <c r="M859" s="4" t="inlineStr">
        <is>
          <t>accueil@campagnesartois.fr</t>
        </is>
      </c>
      <c r="N859" s="4" t="inlineStr">
        <is>
          <t>https://campagnesartois.fr/</t>
        </is>
      </c>
      <c r="O859" t="inlineStr"/>
      <c r="P859" s="4" t="inlineStr">
        <is>
          <t>https://lannuaire.service-public.gouv.fr/hauts-de-france/pas-de-calais/4268f613-775f-427b-84b8-f4f2ffca273c</t>
        </is>
      </c>
      <c r="Q859" t="inlineStr">
        <is>
          <t>Annuaire Service-public.fr</t>
        </is>
      </c>
      <c r="R859" t="inlineStr"/>
      <c r="S859" t="inlineStr"/>
      <c r="T859" t="inlineStr"/>
    </row>
    <row r="860">
      <c r="A860" t="inlineStr">
        <is>
          <t>CC du Haut Pays du Montreuillois</t>
        </is>
      </c>
      <c r="B860" t="inlineStr">
        <is>
          <t>Communauté de communes</t>
        </is>
      </c>
      <c r="C860" t="inlineStr">
        <is>
          <t>200069235</t>
        </is>
      </c>
      <c r="D860" t="inlineStr">
        <is>
          <t>62</t>
        </is>
      </c>
      <c r="E860" t="inlineStr">
        <is>
          <t>Pas-de-Calais</t>
        </is>
      </c>
      <c r="F860" t="inlineStr">
        <is>
          <t>Hauts-de-France</t>
        </is>
      </c>
      <c r="G860" s="3" t="n">
        <v>15742</v>
      </c>
      <c r="H860" t="n">
        <v>49</v>
      </c>
      <c r="I860" t="inlineStr">
        <is>
          <t>15 ter rue du Marais</t>
        </is>
      </c>
      <c r="J860" t="inlineStr">
        <is>
          <t>62310</t>
        </is>
      </c>
      <c r="K860" t="inlineStr">
        <is>
          <t>Fruges</t>
        </is>
      </c>
      <c r="L860" t="inlineStr">
        <is>
          <t>03 61 52 80 05</t>
        </is>
      </c>
      <c r="M860" s="4" t="inlineStr">
        <is>
          <t>accueil@cchpm.fr</t>
        </is>
      </c>
      <c r="N860" s="4" t="inlineStr">
        <is>
          <t>https://www.cchpm.fr/</t>
        </is>
      </c>
      <c r="O860" s="4" t="inlineStr">
        <is>
          <t>https://www.cchpm.fr/contactez-nous</t>
        </is>
      </c>
      <c r="P860" s="4" t="inlineStr">
        <is>
          <t>https://lannuaire.service-public.gouv.fr/hauts-de-france/pas-de-calais/27f1f922-2092-4b1f-8817-5569845d538e</t>
        </is>
      </c>
      <c r="Q860" t="inlineStr">
        <is>
          <t>Annuaire Service-public.fr</t>
        </is>
      </c>
      <c r="R860" t="inlineStr"/>
      <c r="S860" t="inlineStr"/>
      <c r="T860" t="inlineStr"/>
    </row>
    <row r="861">
      <c r="A861" t="inlineStr">
        <is>
          <t>CC du Pays de Lumbres</t>
        </is>
      </c>
      <c r="B861" t="inlineStr">
        <is>
          <t>Communauté de communes</t>
        </is>
      </c>
      <c r="C861" t="inlineStr">
        <is>
          <t>246201016</t>
        </is>
      </c>
      <c r="D861" t="inlineStr">
        <is>
          <t>62</t>
        </is>
      </c>
      <c r="E861" t="inlineStr">
        <is>
          <t>Pas-de-Calais</t>
        </is>
      </c>
      <c r="F861" t="inlineStr">
        <is>
          <t>Hauts-de-France</t>
        </is>
      </c>
      <c r="G861" s="3" t="n">
        <v>24135</v>
      </c>
      <c r="H861" t="n">
        <v>36</v>
      </c>
      <c r="I861" t="inlineStr">
        <is>
          <t>1 chemin du Pressart</t>
        </is>
      </c>
      <c r="J861" t="inlineStr">
        <is>
          <t>62380</t>
        </is>
      </c>
      <c r="K861" t="inlineStr">
        <is>
          <t>Lumbres</t>
        </is>
      </c>
      <c r="L861" t="inlineStr">
        <is>
          <t>03 21 12 94 94</t>
        </is>
      </c>
      <c r="M861" s="4" t="inlineStr">
        <is>
          <t>accueil@ccplumbres.fr</t>
        </is>
      </c>
      <c r="N861" s="4" t="inlineStr">
        <is>
          <t>https://cc-paysdelumbres.fr/fr</t>
        </is>
      </c>
      <c r="O861" s="4" t="inlineStr">
        <is>
          <t>https://cc-paysdelumbres.fr/fr/contact</t>
        </is>
      </c>
      <c r="P861" s="4" t="inlineStr">
        <is>
          <t>https://lannuaire.service-public.gouv.fr/hauts-de-france/pas-de-calais/e99bd3f4-8102-4840-b8b6-9acc3b2bd26b</t>
        </is>
      </c>
      <c r="Q861" t="inlineStr">
        <is>
          <t>Annuaire Service-public.fr</t>
        </is>
      </c>
      <c r="R861" t="inlineStr"/>
      <c r="S861" t="inlineStr"/>
      <c r="T861" t="inlineStr"/>
    </row>
    <row r="862">
      <c r="A862" t="inlineStr">
        <is>
          <t>CC du Sud Artois</t>
        </is>
      </c>
      <c r="B862" t="inlineStr">
        <is>
          <t>Communauté de communes</t>
        </is>
      </c>
      <c r="C862" t="inlineStr">
        <is>
          <t>200035442</t>
        </is>
      </c>
      <c r="D862" t="inlineStr">
        <is>
          <t>62</t>
        </is>
      </c>
      <c r="E862" t="inlineStr">
        <is>
          <t>Pas-de-Calais</t>
        </is>
      </c>
      <c r="F862" t="inlineStr">
        <is>
          <t>Hauts-de-France</t>
        </is>
      </c>
      <c r="G862" s="3" t="n">
        <v>26936</v>
      </c>
      <c r="H862" t="n">
        <v>64</v>
      </c>
      <c r="I862" t="inlineStr">
        <is>
          <t>5 rue Neuve, CS 30002</t>
        </is>
      </c>
      <c r="J862" t="inlineStr">
        <is>
          <t>62452</t>
        </is>
      </c>
      <c r="K862" t="inlineStr">
        <is>
          <t>Bapaume Cedex</t>
        </is>
      </c>
      <c r="L862" t="inlineStr">
        <is>
          <t>03 21 59 17 17</t>
        </is>
      </c>
      <c r="M862" s="4" t="inlineStr">
        <is>
          <t>accueil@cc-sudartois.fr</t>
        </is>
      </c>
      <c r="N862" s="4" t="inlineStr">
        <is>
          <t>https://www.cc-sudartois.fr/</t>
        </is>
      </c>
      <c r="O862" s="4" t="inlineStr">
        <is>
          <t>https://www.cc-sudartois.fr/contact</t>
        </is>
      </c>
      <c r="P862" s="4" t="inlineStr">
        <is>
          <t>https://lannuaire.service-public.gouv.fr/hauts-de-france/pas-de-calais/b9631fd2-a208-4cf6-ae43-5ed454aedea3</t>
        </is>
      </c>
      <c r="Q862" t="inlineStr">
        <is>
          <t>Annuaire Service-public.fr</t>
        </is>
      </c>
      <c r="R862" t="inlineStr"/>
      <c r="S862" t="inlineStr"/>
      <c r="T862" t="inlineStr"/>
    </row>
    <row r="863">
      <c r="A863" t="inlineStr">
        <is>
          <t>CU d'Arras</t>
        </is>
      </c>
      <c r="B863" t="inlineStr">
        <is>
          <t>Communauté urbaine</t>
        </is>
      </c>
      <c r="C863" t="inlineStr">
        <is>
          <t>200033579</t>
        </is>
      </c>
      <c r="D863" t="inlineStr">
        <is>
          <t>62</t>
        </is>
      </c>
      <c r="E863" t="inlineStr">
        <is>
          <t>Pas-de-Calais</t>
        </is>
      </c>
      <c r="F863" t="inlineStr">
        <is>
          <t>Hauts-de-France</t>
        </is>
      </c>
      <c r="G863" s="3" t="n">
        <v>109781</v>
      </c>
      <c r="H863" t="n">
        <v>46</v>
      </c>
      <c r="I863" t="inlineStr">
        <is>
          <t>146 allée du Bastion-de-la-Reine, La Citadelle</t>
        </is>
      </c>
      <c r="J863" t="inlineStr">
        <is>
          <t>62000</t>
        </is>
      </c>
      <c r="K863" t="inlineStr">
        <is>
          <t>Arras</t>
        </is>
      </c>
      <c r="L863" t="inlineStr">
        <is>
          <t>03 21 21 87 00</t>
        </is>
      </c>
      <c r="M863" s="4" t="inlineStr">
        <is>
          <t>contact@cu-arras.org</t>
        </is>
      </c>
      <c r="N863" s="4" t="inlineStr">
        <is>
          <t>https://www.cu-arras.fr/</t>
        </is>
      </c>
      <c r="O863" s="4" t="inlineStr">
        <is>
          <t>https://www.cu-arras.fr/</t>
        </is>
      </c>
      <c r="P863" s="4" t="inlineStr">
        <is>
          <t>https://lannuaire.service-public.gouv.fr/hauts-de-france/pas-de-calais/2c22fe9e-f835-48fd-a1a9-edbfb18c2276</t>
        </is>
      </c>
      <c r="Q863" t="inlineStr">
        <is>
          <t>Annuaire Service-public.fr</t>
        </is>
      </c>
      <c r="R863" t="inlineStr"/>
      <c r="S863" t="inlineStr"/>
      <c r="T863" t="inlineStr"/>
    </row>
    <row r="864">
      <c r="A864" t="inlineStr">
        <is>
          <t>CC du Ternois</t>
        </is>
      </c>
      <c r="B864" t="inlineStr">
        <is>
          <t>Communauté de communes</t>
        </is>
      </c>
      <c r="C864" t="inlineStr">
        <is>
          <t>200069672</t>
        </is>
      </c>
      <c r="D864" t="inlineStr">
        <is>
          <t>62, 80</t>
        </is>
      </c>
      <c r="E864" t="inlineStr">
        <is>
          <t>Pas-de-Calais, Somme</t>
        </is>
      </c>
      <c r="F864" t="inlineStr">
        <is>
          <t>Hauts-de-France</t>
        </is>
      </c>
      <c r="G864" s="3" t="n">
        <v>37150</v>
      </c>
      <c r="H864" t="n">
        <v>103</v>
      </c>
      <c r="I864" t="inlineStr">
        <is>
          <t>400 rue de Maisnil, ZA Parc des Moulins</t>
        </is>
      </c>
      <c r="J864" t="inlineStr">
        <is>
          <t>62130</t>
        </is>
      </c>
      <c r="K864" t="inlineStr">
        <is>
          <t>Herlin-le-Sec</t>
        </is>
      </c>
      <c r="L864" t="inlineStr">
        <is>
          <t>03 21 41 98 45</t>
        </is>
      </c>
      <c r="M864" s="4" t="inlineStr">
        <is>
          <t>contact@ternoiscom.fr</t>
        </is>
      </c>
      <c r="N864" s="4" t="inlineStr">
        <is>
          <t>https://www.ternoiscom.fr/</t>
        </is>
      </c>
      <c r="O864" s="4" t="inlineStr">
        <is>
          <t>https://www.ternoiscom.fr/index.php/contact/</t>
        </is>
      </c>
      <c r="P864" s="4" t="inlineStr">
        <is>
          <t>https://lannuaire.service-public.gouv.fr/hauts-de-france/pas-de-calais/6d5b147c-ce39-4f5a-9551-956077075200</t>
        </is>
      </c>
      <c r="Q864" t="inlineStr">
        <is>
          <t>Annuaire Service-public.fr</t>
        </is>
      </c>
      <c r="R864" t="inlineStr"/>
      <c r="S864" t="inlineStr"/>
      <c r="T864" t="inlineStr"/>
    </row>
    <row r="865">
      <c r="A865" t="inlineStr">
        <is>
          <t>CA Agglo Pays d'Issoire</t>
        </is>
      </c>
      <c r="B865" t="inlineStr">
        <is>
          <t>Communauté d’agglomération</t>
        </is>
      </c>
      <c r="C865" t="inlineStr">
        <is>
          <t>200070407</t>
        </is>
      </c>
      <c r="D865" t="inlineStr">
        <is>
          <t>63</t>
        </is>
      </c>
      <c r="E865" t="inlineStr">
        <is>
          <t>Puy-de-Dôme</t>
        </is>
      </c>
      <c r="F865" t="inlineStr">
        <is>
          <t>Auvergne-Rhône-Alpes</t>
        </is>
      </c>
      <c r="G865" s="3" t="n">
        <v>56681</v>
      </c>
      <c r="H865" t="n">
        <v>87</v>
      </c>
      <c r="I865" t="inlineStr">
        <is>
          <t>20 rue de la Liberté</t>
        </is>
      </c>
      <c r="J865" t="inlineStr">
        <is>
          <t>63504</t>
        </is>
      </c>
      <c r="K865" t="inlineStr">
        <is>
          <t>Issoire</t>
        </is>
      </c>
      <c r="L865" t="inlineStr">
        <is>
          <t>04 15 62 20 00</t>
        </is>
      </c>
      <c r="M865" s="4" t="inlineStr">
        <is>
          <t>acceuil@capissoire.fr</t>
        </is>
      </c>
      <c r="N865" s="4" t="inlineStr">
        <is>
          <t>https://www.capissoire.fr/</t>
        </is>
      </c>
      <c r="O865" s="4" t="inlineStr">
        <is>
          <t>https://www.capissoire.fr/nous-contacter/</t>
        </is>
      </c>
      <c r="P865" s="4" t="inlineStr">
        <is>
          <t>https://lannuaire.service-public.gouv.fr/auvergne-rhone-alpes/puy-de-dome/b9295536-d66a-45ad-8952-bb5d549d01d9</t>
        </is>
      </c>
      <c r="Q865" t="inlineStr">
        <is>
          <t>Annuaire Service-public.fr</t>
        </is>
      </c>
      <c r="R865" t="inlineStr"/>
      <c r="S865" t="inlineStr"/>
      <c r="T865" t="inlineStr"/>
    </row>
    <row r="866">
      <c r="A866" t="inlineStr">
        <is>
          <t>CA Riom Limagne et Volcans</t>
        </is>
      </c>
      <c r="B866" t="inlineStr">
        <is>
          <t>Communauté d’agglomération</t>
        </is>
      </c>
      <c r="C866" t="inlineStr">
        <is>
          <t>200070753</t>
        </is>
      </c>
      <c r="D866" t="inlineStr">
        <is>
          <t>63</t>
        </is>
      </c>
      <c r="E866" t="inlineStr">
        <is>
          <t>Puy-de-Dôme</t>
        </is>
      </c>
      <c r="F866" t="inlineStr">
        <is>
          <t>Auvergne-Rhône-Alpes</t>
        </is>
      </c>
      <c r="G866" s="3" t="n">
        <v>68319</v>
      </c>
      <c r="H866" t="n">
        <v>31</v>
      </c>
      <c r="I866" t="inlineStr">
        <is>
          <t>8 rue Grégoire-de-Tours</t>
        </is>
      </c>
      <c r="J866" t="inlineStr">
        <is>
          <t>63200</t>
        </is>
      </c>
      <c r="K866" t="inlineStr">
        <is>
          <t>Riom</t>
        </is>
      </c>
      <c r="L866" t="inlineStr">
        <is>
          <t>04 73 67 11 00</t>
        </is>
      </c>
      <c r="M866" s="4" t="inlineStr">
        <is>
          <t>contact@rlv.eu</t>
        </is>
      </c>
      <c r="N866" s="4" t="inlineStr">
        <is>
          <t>https://www.rlv.eu/</t>
        </is>
      </c>
      <c r="O866" s="4" t="inlineStr">
        <is>
          <t>https://www.rlv.eu/contact</t>
        </is>
      </c>
      <c r="P866" s="4" t="inlineStr">
        <is>
          <t>https://lannuaire.service-public.gouv.fr/auvergne-rhone-alpes/puy-de-dome/84828004-7159-47b0-85c4-068e20244355</t>
        </is>
      </c>
      <c r="Q866" t="inlineStr">
        <is>
          <t>Annuaire Service-public.fr</t>
        </is>
      </c>
      <c r="R866" t="inlineStr"/>
      <c r="S866" t="inlineStr"/>
      <c r="T866" t="inlineStr"/>
    </row>
    <row r="867">
      <c r="A867" t="inlineStr">
        <is>
          <t>CC Ambert Livradois Forez</t>
        </is>
      </c>
      <c r="B867" t="inlineStr">
        <is>
          <t>Communauté de communes</t>
        </is>
      </c>
      <c r="C867" t="inlineStr">
        <is>
          <t>200070761</t>
        </is>
      </c>
      <c r="D867" t="inlineStr">
        <is>
          <t>63</t>
        </is>
      </c>
      <c r="E867" t="inlineStr">
        <is>
          <t>Puy-de-Dôme</t>
        </is>
      </c>
      <c r="F867" t="inlineStr">
        <is>
          <t>Auvergne-Rhône-Alpes</t>
        </is>
      </c>
      <c r="G867" s="3" t="n">
        <v>27596</v>
      </c>
      <c r="H867" t="n">
        <v>58</v>
      </c>
      <c r="I867" t="inlineStr">
        <is>
          <t>15 avenue du 11-Novembre</t>
        </is>
      </c>
      <c r="J867" t="inlineStr">
        <is>
          <t>63600</t>
        </is>
      </c>
      <c r="K867" t="inlineStr">
        <is>
          <t>Ambert</t>
        </is>
      </c>
      <c r="L867" t="inlineStr">
        <is>
          <t>04 73 72 71 40</t>
        </is>
      </c>
      <c r="M867" s="4" t="inlineStr">
        <is>
          <t>accueil@ambertlivradoisforez.fr</t>
        </is>
      </c>
      <c r="N867" s="4" t="inlineStr">
        <is>
          <t>https://www.ambertlivradoisforez.fr</t>
        </is>
      </c>
      <c r="O867" t="inlineStr"/>
      <c r="P867" s="4" t="inlineStr">
        <is>
          <t>https://lannuaire.service-public.gouv.fr/auvergne-rhone-alpes/puy-de-dome/ee25d5f9-e709-4454-8f5c-45d4b974855b</t>
        </is>
      </c>
      <c r="Q867" t="inlineStr">
        <is>
          <t>Annuaire Service-public.fr</t>
        </is>
      </c>
      <c r="R867" t="inlineStr"/>
      <c r="S867" t="inlineStr"/>
      <c r="T867" t="inlineStr"/>
    </row>
    <row r="868">
      <c r="A868" t="inlineStr">
        <is>
          <t>CC Billom Communauté</t>
        </is>
      </c>
      <c r="B868" t="inlineStr">
        <is>
          <t>Communauté de communes</t>
        </is>
      </c>
      <c r="C868" t="inlineStr">
        <is>
          <t>200067627</t>
        </is>
      </c>
      <c r="D868" t="inlineStr">
        <is>
          <t>63</t>
        </is>
      </c>
      <c r="E868" t="inlineStr">
        <is>
          <t>Puy-de-Dôme</t>
        </is>
      </c>
      <c r="F868" t="inlineStr">
        <is>
          <t>Auvergne-Rhône-Alpes</t>
        </is>
      </c>
      <c r="G868" s="3" t="n">
        <v>26098</v>
      </c>
      <c r="H868" t="n">
        <v>25</v>
      </c>
      <c r="I868" t="inlineStr">
        <is>
          <t>35 avenue de la Gare</t>
        </is>
      </c>
      <c r="J868" t="inlineStr">
        <is>
          <t>63160</t>
        </is>
      </c>
      <c r="K868" t="inlineStr">
        <is>
          <t>Billom</t>
        </is>
      </c>
      <c r="L868" t="inlineStr">
        <is>
          <t>04 73 73 43 24</t>
        </is>
      </c>
      <c r="M868" s="4" t="inlineStr">
        <is>
          <t>contact@billomcommunaute.fr</t>
        </is>
      </c>
      <c r="N868" s="4" t="inlineStr">
        <is>
          <t>https://billomcommunaute.fr</t>
        </is>
      </c>
      <c r="O868" s="4" t="inlineStr">
        <is>
          <t>https://billomcommunaute.fr/contact/</t>
        </is>
      </c>
      <c r="P868" s="4" t="inlineStr">
        <is>
          <t>https://lannuaire.service-public.gouv.fr/auvergne-rhone-alpes/puy-de-dome/fdd94983-958c-4f40-a991-2934a9d31df3</t>
        </is>
      </c>
      <c r="Q868" t="inlineStr">
        <is>
          <t>Annuaire Service-public.fr</t>
        </is>
      </c>
      <c r="R868" t="inlineStr"/>
      <c r="S868" t="inlineStr"/>
      <c r="T868" t="inlineStr"/>
    </row>
    <row r="869">
      <c r="A869" t="inlineStr">
        <is>
          <t>CC Chavanon Combrailles et Volcans</t>
        </is>
      </c>
      <c r="B869" t="inlineStr">
        <is>
          <t>Communauté de communes</t>
        </is>
      </c>
      <c r="C869" t="inlineStr">
        <is>
          <t>200071215</t>
        </is>
      </c>
      <c r="D869" t="inlineStr">
        <is>
          <t>63</t>
        </is>
      </c>
      <c r="E869" t="inlineStr">
        <is>
          <t>Puy-de-Dôme</t>
        </is>
      </c>
      <c r="F869" t="inlineStr">
        <is>
          <t>Auvergne-Rhône-Alpes</t>
        </is>
      </c>
      <c r="G869" s="3" t="n">
        <v>12657</v>
      </c>
      <c r="H869" t="n">
        <v>36</v>
      </c>
      <c r="I869" t="inlineStr">
        <is>
          <t>6 avenue du Marronnier</t>
        </is>
      </c>
      <c r="J869" t="inlineStr">
        <is>
          <t>63380</t>
        </is>
      </c>
      <c r="K869" t="inlineStr">
        <is>
          <t>Pontaumur</t>
        </is>
      </c>
      <c r="L869" t="inlineStr">
        <is>
          <t>04 73 79 70 70</t>
        </is>
      </c>
      <c r="M869" s="4" t="inlineStr">
        <is>
          <t>contact@ccvcommunaute.fr</t>
        </is>
      </c>
      <c r="N869" s="4" t="inlineStr">
        <is>
          <t>https://www.ccvcommunaute.fr</t>
        </is>
      </c>
      <c r="O869" s="4" t="inlineStr">
        <is>
          <t>https://www.ccvcommunaute.fr/nos-horaires/</t>
        </is>
      </c>
      <c r="P869" s="4" t="inlineStr">
        <is>
          <t>https://lannuaire.service-public.gouv.fr/auvergne-rhone-alpes/puy-de-dome/d216b03a-a8fe-46e1-8987-c249f8c1609d</t>
        </is>
      </c>
      <c r="Q869" t="inlineStr">
        <is>
          <t>Annuaire Service-public.fr</t>
        </is>
      </c>
      <c r="R869" t="inlineStr"/>
      <c r="S869" t="inlineStr"/>
      <c r="T869" t="inlineStr"/>
    </row>
    <row r="870">
      <c r="A870" t="inlineStr">
        <is>
          <t>CC Combrailles Sioule et Morge</t>
        </is>
      </c>
      <c r="B870" t="inlineStr">
        <is>
          <t>Communauté de communes</t>
        </is>
      </c>
      <c r="C870" t="inlineStr">
        <is>
          <t>200072098</t>
        </is>
      </c>
      <c r="D870" t="inlineStr">
        <is>
          <t>63</t>
        </is>
      </c>
      <c r="E870" t="inlineStr">
        <is>
          <t>Puy-de-Dôme</t>
        </is>
      </c>
      <c r="F870" t="inlineStr">
        <is>
          <t>Auvergne-Rhône-Alpes</t>
        </is>
      </c>
      <c r="G870" s="3" t="n">
        <v>19861</v>
      </c>
      <c r="H870" t="n">
        <v>29</v>
      </c>
      <c r="I870" t="inlineStr">
        <is>
          <t>21-23 rue Victor-Mazuel</t>
        </is>
      </c>
      <c r="J870" t="inlineStr">
        <is>
          <t>63410</t>
        </is>
      </c>
      <c r="K870" t="inlineStr">
        <is>
          <t>Manzat</t>
        </is>
      </c>
      <c r="L870" t="inlineStr">
        <is>
          <t>04 73 86 99 19</t>
        </is>
      </c>
      <c r="M870" s="4" t="inlineStr">
        <is>
          <t>secretariat-general@comcom-csm.fr</t>
        </is>
      </c>
      <c r="N870" s="4" t="inlineStr">
        <is>
          <t>https://www.combrailles-sioule-morge.fr/</t>
        </is>
      </c>
      <c r="O870" s="4" t="inlineStr">
        <is>
          <t>https://www.combrailles-sioule-morge.fr/</t>
        </is>
      </c>
      <c r="P870" s="4" t="inlineStr">
        <is>
          <t>https://lannuaire.service-public.gouv.fr/auvergne-rhone-alpes/puy-de-dome/fd3dce84-07b3-4547-9ed1-49c5b60f4e64</t>
        </is>
      </c>
      <c r="Q870" t="inlineStr">
        <is>
          <t>Annuaire Service-public.fr</t>
        </is>
      </c>
      <c r="R870" t="inlineStr"/>
      <c r="S870" t="inlineStr"/>
      <c r="T870" t="inlineStr"/>
    </row>
    <row r="871">
      <c r="A871" t="inlineStr">
        <is>
          <t>CC Dômes Sancy Artense</t>
        </is>
      </c>
      <c r="B871" t="inlineStr">
        <is>
          <t>Communauté de communes</t>
        </is>
      </c>
      <c r="C871" t="inlineStr">
        <is>
          <t>200069169</t>
        </is>
      </c>
      <c r="D871" t="inlineStr">
        <is>
          <t>63</t>
        </is>
      </c>
      <c r="E871" t="inlineStr">
        <is>
          <t>Puy-de-Dôme</t>
        </is>
      </c>
      <c r="F871" t="inlineStr">
        <is>
          <t>Auvergne-Rhône-Alpes</t>
        </is>
      </c>
      <c r="G871" s="3" t="n">
        <v>12591</v>
      </c>
      <c r="H871" t="n">
        <v>27</v>
      </c>
      <c r="I871" t="inlineStr">
        <is>
          <t>23 route de Clermont</t>
        </is>
      </c>
      <c r="J871" t="inlineStr">
        <is>
          <t>63210</t>
        </is>
      </c>
      <c r="K871" t="inlineStr">
        <is>
          <t>Rochefort-Montagne</t>
        </is>
      </c>
      <c r="L871" t="inlineStr">
        <is>
          <t>04 73 65 87 63</t>
        </is>
      </c>
      <c r="M871" s="4" t="inlineStr">
        <is>
          <t>accueil@domes-sancyartense.fr</t>
        </is>
      </c>
      <c r="N871" s="4" t="inlineStr">
        <is>
          <t>https://www.domes-sancyartense.fr/</t>
        </is>
      </c>
      <c r="O871" t="inlineStr"/>
      <c r="P871" s="4" t="inlineStr">
        <is>
          <t>https://lannuaire.service-public.gouv.fr/auvergne-rhone-alpes/puy-de-dome/0cf5db2f-b352-4259-81ce-9522e85443be</t>
        </is>
      </c>
      <c r="Q871" t="inlineStr">
        <is>
          <t>Annuaire Service-public.fr</t>
        </is>
      </c>
      <c r="R871" t="inlineStr"/>
      <c r="S871" t="inlineStr"/>
      <c r="T871" t="inlineStr"/>
    </row>
    <row r="872">
      <c r="A872" t="inlineStr">
        <is>
          <t>CC Entre Dore et Allier</t>
        </is>
      </c>
      <c r="B872" t="inlineStr">
        <is>
          <t>Communauté de communes</t>
        </is>
      </c>
      <c r="C872" t="inlineStr">
        <is>
          <t>246301097</t>
        </is>
      </c>
      <c r="D872" t="inlineStr">
        <is>
          <t>63</t>
        </is>
      </c>
      <c r="E872" t="inlineStr">
        <is>
          <t>Puy-de-Dôme</t>
        </is>
      </c>
      <c r="F872" t="inlineStr">
        <is>
          <t>Auvergne-Rhône-Alpes</t>
        </is>
      </c>
      <c r="G872" s="3" t="n">
        <v>19687</v>
      </c>
      <c r="H872" t="n">
        <v>14</v>
      </c>
      <c r="I872" t="inlineStr">
        <is>
          <t>29 avenue de Verdun</t>
        </is>
      </c>
      <c r="J872" t="inlineStr">
        <is>
          <t>63190</t>
        </is>
      </c>
      <c r="K872" t="inlineStr">
        <is>
          <t>Lezoux</t>
        </is>
      </c>
      <c r="L872" t="inlineStr">
        <is>
          <t>04 73 73 95 10</t>
        </is>
      </c>
      <c r="M872" s="4" t="inlineStr">
        <is>
          <t>contact@ccdoreallier.fr</t>
        </is>
      </c>
      <c r="N872" s="4" t="inlineStr">
        <is>
          <t>http://www.ccdoreallier.fr</t>
        </is>
      </c>
      <c r="O872" s="4" t="inlineStr">
        <is>
          <t>http://www.ccdoreallier.fr/contact/</t>
        </is>
      </c>
      <c r="P872" s="4" t="inlineStr">
        <is>
          <t>https://lannuaire.service-public.gouv.fr/auvergne-rhone-alpes/puy-de-dome/c109728b-d82b-403c-86cb-754d6965039e</t>
        </is>
      </c>
      <c r="Q872" t="inlineStr">
        <is>
          <t>Annuaire Service-public.fr</t>
        </is>
      </c>
      <c r="R872" t="inlineStr"/>
      <c r="S872" t="inlineStr"/>
      <c r="T872" t="inlineStr"/>
    </row>
    <row r="873">
      <c r="A873" t="inlineStr">
        <is>
          <t>CC Mond'Arverne Communauté</t>
        </is>
      </c>
      <c r="B873" t="inlineStr">
        <is>
          <t>Communauté de communes</t>
        </is>
      </c>
      <c r="C873" t="inlineStr">
        <is>
          <t>200069177</t>
        </is>
      </c>
      <c r="D873" t="inlineStr">
        <is>
          <t>63</t>
        </is>
      </c>
      <c r="E873" t="inlineStr">
        <is>
          <t>Puy-de-Dôme</t>
        </is>
      </c>
      <c r="F873" t="inlineStr">
        <is>
          <t>Auvergne-Rhône-Alpes</t>
        </is>
      </c>
      <c r="G873" s="3" t="n">
        <v>41032</v>
      </c>
      <c r="H873" t="n">
        <v>27</v>
      </c>
      <c r="I873" t="inlineStr">
        <is>
          <t>ZA Le Pra-de-Serre</t>
        </is>
      </c>
      <c r="J873" t="inlineStr">
        <is>
          <t>63960</t>
        </is>
      </c>
      <c r="K873" t="inlineStr">
        <is>
          <t>Veyre-Monton</t>
        </is>
      </c>
      <c r="L873" t="inlineStr">
        <is>
          <t>04 73 39 62 00</t>
        </is>
      </c>
      <c r="M873" s="4" t="inlineStr">
        <is>
          <t>contact@mond-arverne.fr</t>
        </is>
      </c>
      <c r="N873" s="4" t="inlineStr">
        <is>
          <t>https://www.mond-arverne.fr/</t>
        </is>
      </c>
      <c r="O873" s="4" t="inlineStr">
        <is>
          <t>https://www.mond-arverne.fr/</t>
        </is>
      </c>
      <c r="P873" s="4" t="inlineStr">
        <is>
          <t>https://lannuaire.service-public.gouv.fr/auvergne-rhone-alpes/puy-de-dome/90d0cc8d-8259-438f-86c6-fda5baba8eee</t>
        </is>
      </c>
      <c r="Q873" t="inlineStr">
        <is>
          <t>Annuaire Service-public.fr</t>
        </is>
      </c>
      <c r="R873" t="inlineStr"/>
      <c r="S873" t="inlineStr"/>
      <c r="T873" t="inlineStr"/>
    </row>
    <row r="874">
      <c r="A874" t="inlineStr">
        <is>
          <t>CC Plaine Limagne</t>
        </is>
      </c>
      <c r="B874" t="inlineStr">
        <is>
          <t>Communauté de communes</t>
        </is>
      </c>
      <c r="C874" t="inlineStr">
        <is>
          <t>200071199</t>
        </is>
      </c>
      <c r="D874" t="inlineStr">
        <is>
          <t>63</t>
        </is>
      </c>
      <c r="E874" t="inlineStr">
        <is>
          <t>Puy-de-Dôme</t>
        </is>
      </c>
      <c r="F874" t="inlineStr">
        <is>
          <t>Auvergne-Rhône-Alpes</t>
        </is>
      </c>
      <c r="G874" s="3" t="n">
        <v>21410</v>
      </c>
      <c r="H874" t="n">
        <v>25</v>
      </c>
      <c r="I874" t="inlineStr">
        <is>
          <t>158 Grande rue</t>
        </is>
      </c>
      <c r="J874" t="inlineStr">
        <is>
          <t>63260</t>
        </is>
      </c>
      <c r="K874" t="inlineStr">
        <is>
          <t>Aigueperse</t>
        </is>
      </c>
      <c r="L874" t="inlineStr">
        <is>
          <t>04 73 86 89 80</t>
        </is>
      </c>
      <c r="M874" s="4" t="inlineStr">
        <is>
          <t>contact@plainelimagne.fr</t>
        </is>
      </c>
      <c r="N874" s="4" t="inlineStr">
        <is>
          <t>https://www.plainelimagne.com/</t>
        </is>
      </c>
      <c r="O874" s="4" t="inlineStr">
        <is>
          <t>https://www.plainelimagne.com/</t>
        </is>
      </c>
      <c r="P874" s="4" t="inlineStr">
        <is>
          <t>https://lannuaire.service-public.gouv.fr/auvergne-rhone-alpes/puy-de-dome/6837692d-1e5b-49e8-88ee-ef8483598bb5</t>
        </is>
      </c>
      <c r="Q874" t="inlineStr">
        <is>
          <t>Annuaire Service-public.fr</t>
        </is>
      </c>
      <c r="R874" t="inlineStr"/>
      <c r="S874" t="inlineStr"/>
      <c r="T874" t="inlineStr"/>
    </row>
    <row r="875">
      <c r="A875" t="inlineStr">
        <is>
          <t>CC Thiers Dore et Montagne</t>
        </is>
      </c>
      <c r="B875" t="inlineStr">
        <is>
          <t>Communauté de communes</t>
        </is>
      </c>
      <c r="C875" t="inlineStr">
        <is>
          <t>200070712</t>
        </is>
      </c>
      <c r="D875" t="inlineStr">
        <is>
          <t>63</t>
        </is>
      </c>
      <c r="E875" t="inlineStr">
        <is>
          <t>Puy-de-Dôme</t>
        </is>
      </c>
      <c r="F875" t="inlineStr">
        <is>
          <t>Auvergne-Rhône-Alpes</t>
        </is>
      </c>
      <c r="G875" s="3" t="n">
        <v>36767</v>
      </c>
      <c r="H875" t="n">
        <v>30</v>
      </c>
      <c r="I875" t="inlineStr">
        <is>
          <t>47 avenue du Général-de-Gaulle</t>
        </is>
      </c>
      <c r="J875" t="inlineStr">
        <is>
          <t>63300</t>
        </is>
      </c>
      <c r="K875" t="inlineStr">
        <is>
          <t>Thiers</t>
        </is>
      </c>
      <c r="L875" t="inlineStr">
        <is>
          <t>04 73 53 24 71</t>
        </is>
      </c>
      <c r="M875" s="4" t="inlineStr">
        <is>
          <t>contact@cctdm.fr</t>
        </is>
      </c>
      <c r="N875" s="4" t="inlineStr">
        <is>
          <t>https://www.cctdm.fr/</t>
        </is>
      </c>
      <c r="O875" s="4" t="inlineStr">
        <is>
          <t>https://www.cctdm.fr/contact</t>
        </is>
      </c>
      <c r="P875" s="4" t="inlineStr">
        <is>
          <t>https://lannuaire.service-public.gouv.fr/auvergne-rhone-alpes/puy-de-dome/9beda32a-fe8d-4785-a934-3036869e54b6</t>
        </is>
      </c>
      <c r="Q875" t="inlineStr">
        <is>
          <t>Annuaire Service-public.fr</t>
        </is>
      </c>
      <c r="R875" t="inlineStr"/>
      <c r="S875" t="inlineStr"/>
      <c r="T875" t="inlineStr"/>
    </row>
    <row r="876">
      <c r="A876" t="inlineStr">
        <is>
          <t>CC du Pays de Saint-Eloy</t>
        </is>
      </c>
      <c r="B876" t="inlineStr">
        <is>
          <t>Communauté de communes</t>
        </is>
      </c>
      <c r="C876" t="inlineStr">
        <is>
          <t>200072080</t>
        </is>
      </c>
      <c r="D876" t="inlineStr">
        <is>
          <t>63</t>
        </is>
      </c>
      <c r="E876" t="inlineStr">
        <is>
          <t>Puy-de-Dôme</t>
        </is>
      </c>
      <c r="F876" t="inlineStr">
        <is>
          <t>Auvergne-Rhône-Alpes</t>
        </is>
      </c>
      <c r="G876" s="3" t="n">
        <v>15464</v>
      </c>
      <c r="H876" t="n">
        <v>34</v>
      </c>
      <c r="I876" t="inlineStr">
        <is>
          <t>Rue du Puits-Saint-Joseph</t>
        </is>
      </c>
      <c r="J876" t="inlineStr">
        <is>
          <t>63700</t>
        </is>
      </c>
      <c r="K876" t="inlineStr">
        <is>
          <t>Saint-Eloy-les-Mines</t>
        </is>
      </c>
      <c r="L876" t="inlineStr">
        <is>
          <t>04 73 52 72 72</t>
        </is>
      </c>
      <c r="M876" s="4" t="inlineStr">
        <is>
          <t>accueil@paysdesainteloy.fr</t>
        </is>
      </c>
      <c r="N876" s="4" t="inlineStr">
        <is>
          <t>https://www.paysdesainteloy.fr</t>
        </is>
      </c>
      <c r="O876" t="inlineStr"/>
      <c r="P876" s="4" t="inlineStr">
        <is>
          <t>https://lannuaire.service-public.gouv.fr/auvergne-rhone-alpes/puy-de-dome/a21980d3-e074-467c-88aa-b01ca0366097</t>
        </is>
      </c>
      <c r="Q876" t="inlineStr">
        <is>
          <t>Annuaire Service-public.fr</t>
        </is>
      </c>
      <c r="R876" t="inlineStr"/>
      <c r="S876" t="inlineStr"/>
      <c r="T876" t="inlineStr"/>
    </row>
    <row r="877">
      <c r="A877" t="inlineStr">
        <is>
          <t>Clermont Auvergne Métropole</t>
        </is>
      </c>
      <c r="B877" t="inlineStr">
        <is>
          <t>Métropole</t>
        </is>
      </c>
      <c r="C877" t="inlineStr">
        <is>
          <t>246300701</t>
        </is>
      </c>
      <c r="D877" t="inlineStr">
        <is>
          <t>63</t>
        </is>
      </c>
      <c r="E877" t="inlineStr">
        <is>
          <t>Puy-de-Dôme</t>
        </is>
      </c>
      <c r="F877" t="inlineStr">
        <is>
          <t>Auvergne-Rhône-Alpes</t>
        </is>
      </c>
      <c r="G877" s="3" t="n">
        <v>296677</v>
      </c>
      <c r="H877" t="n">
        <v>21</v>
      </c>
      <c r="I877" t="inlineStr">
        <is>
          <t>64-66 avenue de l'Union-Soviétique, BP 231</t>
        </is>
      </c>
      <c r="J877" t="inlineStr">
        <is>
          <t>63007</t>
        </is>
      </c>
      <c r="K877" t="inlineStr">
        <is>
          <t>Clermont-Ferrand Cedex 1</t>
        </is>
      </c>
      <c r="L877" t="inlineStr">
        <is>
          <t>04 73 98 34 00</t>
        </is>
      </c>
      <c r="M877" s="4" t="inlineStr">
        <is>
          <t>communication@clermontmetropole.eu</t>
        </is>
      </c>
      <c r="N877" s="4" t="inlineStr">
        <is>
          <t>http://www.clermontmetropole.fr</t>
        </is>
      </c>
      <c r="O877" t="inlineStr"/>
      <c r="P877" s="4" t="inlineStr">
        <is>
          <t>https://lannuaire.service-public.gouv.fr/auvergne-rhone-alpes/puy-de-dome/0e9015bf-78dd-46d4-afbe-96b556e74cde</t>
        </is>
      </c>
      <c r="Q877" t="inlineStr">
        <is>
          <t>Annuaire Service-public.fr</t>
        </is>
      </c>
      <c r="R877" t="inlineStr"/>
      <c r="S877" t="inlineStr"/>
      <c r="T877" t="inlineStr"/>
    </row>
    <row r="878">
      <c r="A878" t="inlineStr">
        <is>
          <t>CA Pau Béarn Pyrénées</t>
        </is>
      </c>
      <c r="B878" t="inlineStr">
        <is>
          <t>Communauté d’agglomération</t>
        </is>
      </c>
      <c r="C878" t="inlineStr">
        <is>
          <t>200067254</t>
        </is>
      </c>
      <c r="D878" t="inlineStr">
        <is>
          <t>64</t>
        </is>
      </c>
      <c r="E878" t="inlineStr">
        <is>
          <t>Pyrénées-Atlantiques</t>
        </is>
      </c>
      <c r="F878" t="inlineStr">
        <is>
          <t>Nouvelle-Aquitaine</t>
        </is>
      </c>
      <c r="G878" s="3" t="n">
        <v>166794</v>
      </c>
      <c r="H878" t="n">
        <v>31</v>
      </c>
      <c r="I878" t="inlineStr">
        <is>
          <t>2 bis place Royale</t>
        </is>
      </c>
      <c r="J878" t="inlineStr">
        <is>
          <t>64000</t>
        </is>
      </c>
      <c r="K878" t="inlineStr">
        <is>
          <t>Pau</t>
        </is>
      </c>
      <c r="L878" t="inlineStr">
        <is>
          <t>05 59 27 85 80</t>
        </is>
      </c>
      <c r="M878" s="4" t="inlineStr">
        <is>
          <t>courrier@ville-pau.fr</t>
        </is>
      </c>
      <c r="N878" s="4" t="inlineStr">
        <is>
          <t>https://www.pau.fr/</t>
        </is>
      </c>
      <c r="O878" t="inlineStr"/>
      <c r="P878" s="4" t="inlineStr">
        <is>
          <t>https://lannuaire.service-public.gouv.fr/nouvelle-aquitaine/pyrenees-atlantiques/dd849c87-29f9-4599-a837-14ef15a92858</t>
        </is>
      </c>
      <c r="Q878" t="inlineStr">
        <is>
          <t>Annuaire Service-public.fr</t>
        </is>
      </c>
      <c r="R878" t="inlineStr"/>
      <c r="S878" t="inlineStr"/>
      <c r="T878" t="inlineStr"/>
    </row>
    <row r="879">
      <c r="A879" t="inlineStr">
        <is>
          <t>CA du Pays Basque</t>
        </is>
      </c>
      <c r="B879" t="inlineStr">
        <is>
          <t>Communauté d’agglomération</t>
        </is>
      </c>
      <c r="C879" t="inlineStr">
        <is>
          <t>200067106</t>
        </is>
      </c>
      <c r="D879" t="inlineStr">
        <is>
          <t>64</t>
        </is>
      </c>
      <c r="E879" t="inlineStr">
        <is>
          <t>Pyrénées-Atlantiques</t>
        </is>
      </c>
      <c r="F879" t="inlineStr">
        <is>
          <t>Nouvelle-Aquitaine</t>
        </is>
      </c>
      <c r="G879" s="3" t="n">
        <v>325721</v>
      </c>
      <c r="H879" t="n">
        <v>158</v>
      </c>
      <c r="I879" t="inlineStr">
        <is>
          <t>15 avenue du Maréchal-Foch, CS 88507</t>
        </is>
      </c>
      <c r="J879" t="inlineStr">
        <is>
          <t>64185</t>
        </is>
      </c>
      <c r="K879" t="inlineStr">
        <is>
          <t>Bayonne Cedex</t>
        </is>
      </c>
      <c r="L879" t="inlineStr">
        <is>
          <t>05 59 44 72 72</t>
        </is>
      </c>
      <c r="M879" s="4" t="inlineStr">
        <is>
          <t>contact@communaute-paysbasque.fr</t>
        </is>
      </c>
      <c r="N879" s="4" t="inlineStr">
        <is>
          <t>https://www.communaute-paysbasque.fr/</t>
        </is>
      </c>
      <c r="O879" s="4" t="inlineStr">
        <is>
          <t>https://www.communaute-paysbasque.fr/mes-demarches/demarches/contacter-les-services-de-la-communaute-pays-basque</t>
        </is>
      </c>
      <c r="P879" s="4" t="inlineStr">
        <is>
          <t>https://lannuaire.service-public.gouv.fr/nouvelle-aquitaine/pyrenees-atlantiques/c4d86624-1bd8-485a-b767-b338e6964dc3</t>
        </is>
      </c>
      <c r="Q879" t="inlineStr">
        <is>
          <t>Annuaire Service-public.fr</t>
        </is>
      </c>
      <c r="R879" t="inlineStr"/>
      <c r="S879" t="inlineStr"/>
      <c r="T879" t="inlineStr"/>
    </row>
    <row r="880">
      <c r="A880" t="inlineStr">
        <is>
          <t>CC de Lacq-Orthez</t>
        </is>
      </c>
      <c r="B880" t="inlineStr">
        <is>
          <t>Communauté de communes</t>
        </is>
      </c>
      <c r="C880" t="inlineStr">
        <is>
          <t>200039204</t>
        </is>
      </c>
      <c r="D880" t="inlineStr">
        <is>
          <t>64</t>
        </is>
      </c>
      <c r="E880" t="inlineStr">
        <is>
          <t>Pyrénées-Atlantiques</t>
        </is>
      </c>
      <c r="F880" t="inlineStr">
        <is>
          <t>Nouvelle-Aquitaine</t>
        </is>
      </c>
      <c r="G880" s="3" t="n">
        <v>52957</v>
      </c>
      <c r="H880" t="n">
        <v>60</v>
      </c>
      <c r="I880" t="inlineStr">
        <is>
          <t>Rond-point des Chênes</t>
        </is>
      </c>
      <c r="J880" t="inlineStr">
        <is>
          <t>64150</t>
        </is>
      </c>
      <c r="K880" t="inlineStr">
        <is>
          <t>Mourenx</t>
        </is>
      </c>
      <c r="L880" t="inlineStr">
        <is>
          <t>05 59 60 03 46</t>
        </is>
      </c>
      <c r="M880" s="4" t="inlineStr">
        <is>
          <t>contact@cc-lacqorthez.fr</t>
        </is>
      </c>
      <c r="N880" s="4" t="inlineStr">
        <is>
          <t>https://www.cc-lacqorthez.fr/</t>
        </is>
      </c>
      <c r="O880" s="4" t="inlineStr">
        <is>
          <t>https://www.cc-lacqorthez.fr/contactez-nous</t>
        </is>
      </c>
      <c r="P880" s="4" t="inlineStr">
        <is>
          <t>https://lannuaire.service-public.gouv.fr/nouvelle-aquitaine/pyrenees-atlantiques/061530ab-d7e6-4ec2-a484-6008ffb58f03</t>
        </is>
      </c>
      <c r="Q880" t="inlineStr">
        <is>
          <t>Annuaire Service-public.fr</t>
        </is>
      </c>
      <c r="R880" t="inlineStr"/>
      <c r="S880" t="inlineStr"/>
      <c r="T880" t="inlineStr"/>
    </row>
    <row r="881">
      <c r="A881" t="inlineStr">
        <is>
          <t>CC de la Vallée d'Ossau</t>
        </is>
      </c>
      <c r="B881" t="inlineStr">
        <is>
          <t>Communauté de communes</t>
        </is>
      </c>
      <c r="C881" t="inlineStr">
        <is>
          <t>246400337</t>
        </is>
      </c>
      <c r="D881" t="inlineStr">
        <is>
          <t>64</t>
        </is>
      </c>
      <c r="E881" t="inlineStr">
        <is>
          <t>Pyrénées-Atlantiques</t>
        </is>
      </c>
      <c r="F881" t="inlineStr">
        <is>
          <t>Nouvelle-Aquitaine</t>
        </is>
      </c>
      <c r="G881" s="3" t="n">
        <v>9728</v>
      </c>
      <c r="H881" t="n">
        <v>18</v>
      </c>
      <c r="I881" t="inlineStr">
        <is>
          <t>1 avenue des Pyrénées</t>
        </is>
      </c>
      <c r="J881" t="inlineStr">
        <is>
          <t>64260</t>
        </is>
      </c>
      <c r="K881" t="inlineStr">
        <is>
          <t>Arudy</t>
        </is>
      </c>
      <c r="L881" t="inlineStr">
        <is>
          <t>05 59 05 66 77</t>
        </is>
      </c>
      <c r="M881" s="4" t="inlineStr">
        <is>
          <t>ccvo@cc-ossau.fr</t>
        </is>
      </c>
      <c r="N881" s="4" t="inlineStr">
        <is>
          <t>https://cc-ossau.fr/</t>
        </is>
      </c>
      <c r="O881" t="inlineStr"/>
      <c r="P881" s="4" t="inlineStr">
        <is>
          <t>https://lannuaire.service-public.gouv.fr/nouvelle-aquitaine/pyrenees-atlantiques/50595a6f-3069-4b86-9b1c-0e1ce110fa9a</t>
        </is>
      </c>
      <c r="Q881" t="inlineStr">
        <is>
          <t>Annuaire Service-public.fr</t>
        </is>
      </c>
      <c r="R881" t="inlineStr"/>
      <c r="S881" t="inlineStr"/>
      <c r="T881" t="inlineStr"/>
    </row>
    <row r="882">
      <c r="A882" t="inlineStr">
        <is>
          <t>CC des Luys en Béarn</t>
        </is>
      </c>
      <c r="B882" t="inlineStr">
        <is>
          <t>Communauté de communes</t>
        </is>
      </c>
      <c r="C882" t="inlineStr">
        <is>
          <t>200067239</t>
        </is>
      </c>
      <c r="D882" t="inlineStr">
        <is>
          <t>64</t>
        </is>
      </c>
      <c r="E882" t="inlineStr">
        <is>
          <t>Pyrénées-Atlantiques</t>
        </is>
      </c>
      <c r="F882" t="inlineStr">
        <is>
          <t>Nouvelle-Aquitaine</t>
        </is>
      </c>
      <c r="G882" s="3" t="n">
        <v>29307</v>
      </c>
      <c r="H882" t="n">
        <v>66</v>
      </c>
      <c r="I882" t="inlineStr">
        <is>
          <t>68 chemin de Pau</t>
        </is>
      </c>
      <c r="J882" t="inlineStr">
        <is>
          <t>64121</t>
        </is>
      </c>
      <c r="K882" t="inlineStr">
        <is>
          <t>Serres-Castet</t>
        </is>
      </c>
      <c r="L882" t="inlineStr">
        <is>
          <t>05 59 33 72 34</t>
        </is>
      </c>
      <c r="M882" s="4" t="inlineStr">
        <is>
          <t>contact@cclb64.fr</t>
        </is>
      </c>
      <c r="N882" s="4" t="inlineStr">
        <is>
          <t>https://www.cclb64.fr/</t>
        </is>
      </c>
      <c r="O882" t="inlineStr"/>
      <c r="P882" s="4" t="inlineStr">
        <is>
          <t>https://lannuaire.service-public.gouv.fr/nouvelle-aquitaine/pyrenees-atlantiques/2fd23b93-30af-4a9c-a125-aa44d04b3db8</t>
        </is>
      </c>
      <c r="Q882" t="inlineStr">
        <is>
          <t>Annuaire Service-public.fr</t>
        </is>
      </c>
      <c r="R882" t="inlineStr"/>
      <c r="S882" t="inlineStr"/>
      <c r="T882" t="inlineStr"/>
    </row>
    <row r="883">
      <c r="A883" t="inlineStr">
        <is>
          <t>CC du Béarn des Gaves</t>
        </is>
      </c>
      <c r="B883" t="inlineStr">
        <is>
          <t>Communauté de communes</t>
        </is>
      </c>
      <c r="C883" t="inlineStr">
        <is>
          <t>200067288</t>
        </is>
      </c>
      <c r="D883" t="inlineStr">
        <is>
          <t>64</t>
        </is>
      </c>
      <c r="E883" t="inlineStr">
        <is>
          <t>Pyrénées-Atlantiques</t>
        </is>
      </c>
      <c r="F883" t="inlineStr">
        <is>
          <t>Nouvelle-Aquitaine</t>
        </is>
      </c>
      <c r="G883" s="3" t="n">
        <v>17547</v>
      </c>
      <c r="H883" t="n">
        <v>53</v>
      </c>
      <c r="I883" t="inlineStr">
        <is>
          <t>289 route d'Orthez</t>
        </is>
      </c>
      <c r="J883" t="inlineStr">
        <is>
          <t>64270</t>
        </is>
      </c>
      <c r="K883" t="inlineStr">
        <is>
          <t>Salies-de-Béarn</t>
        </is>
      </c>
      <c r="L883" t="inlineStr">
        <is>
          <t>05 59 38 30 46</t>
        </is>
      </c>
      <c r="M883" s="4" t="inlineStr">
        <is>
          <t>accueil@ccbearndesgaves.fr</t>
        </is>
      </c>
      <c r="N883" s="4" t="inlineStr">
        <is>
          <t>https://www.ccbearndesgaves.fr/</t>
        </is>
      </c>
      <c r="O883" s="4" t="inlineStr">
        <is>
          <t>https://www.ccbearndesgaves.fr/contact</t>
        </is>
      </c>
      <c r="P883" s="4" t="inlineStr">
        <is>
          <t>https://lannuaire.service-public.gouv.fr/nouvelle-aquitaine/pyrenees-atlantiques/8cff5c4b-0be2-417e-b596-001faf3d66bf</t>
        </is>
      </c>
      <c r="Q883" t="inlineStr">
        <is>
          <t>Annuaire Service-public.fr</t>
        </is>
      </c>
      <c r="R883" t="inlineStr"/>
      <c r="S883" t="inlineStr"/>
      <c r="T883" t="inlineStr"/>
    </row>
    <row r="884">
      <c r="A884" t="inlineStr">
        <is>
          <t>CC du Haut Béarn</t>
        </is>
      </c>
      <c r="B884" t="inlineStr">
        <is>
          <t>Communauté de communes</t>
        </is>
      </c>
      <c r="C884" t="inlineStr">
        <is>
          <t>200067262</t>
        </is>
      </c>
      <c r="D884" t="inlineStr">
        <is>
          <t>64</t>
        </is>
      </c>
      <c r="E884" t="inlineStr">
        <is>
          <t>Pyrénées-Atlantiques</t>
        </is>
      </c>
      <c r="F884" t="inlineStr">
        <is>
          <t>Nouvelle-Aquitaine</t>
        </is>
      </c>
      <c r="G884" s="3" t="n">
        <v>32038</v>
      </c>
      <c r="H884" t="n">
        <v>48</v>
      </c>
      <c r="I884" t="inlineStr">
        <is>
          <t>12 place de Jaca, CS 20067</t>
        </is>
      </c>
      <c r="J884" t="inlineStr">
        <is>
          <t>64402</t>
        </is>
      </c>
      <c r="K884" t="inlineStr">
        <is>
          <t>Oloron-Sainte-Marie Cedex</t>
        </is>
      </c>
      <c r="L884" t="inlineStr">
        <is>
          <t>05 59 10 35 70</t>
        </is>
      </c>
      <c r="M884" s="4" t="inlineStr">
        <is>
          <t>dgs@hautbearn.fr</t>
        </is>
      </c>
      <c r="N884" s="4" t="inlineStr">
        <is>
          <t>https://www.hautbearn.fr</t>
        </is>
      </c>
      <c r="O884" s="4" t="inlineStr">
        <is>
          <t>https://www.hautbearn.fr/contactez-nous</t>
        </is>
      </c>
      <c r="P884" s="4" t="inlineStr">
        <is>
          <t>https://lannuaire.service-public.gouv.fr/nouvelle-aquitaine/pyrenees-atlantiques/46574109-cb84-4fb6-b9d1-641e7de8cdf6</t>
        </is>
      </c>
      <c r="Q884" t="inlineStr">
        <is>
          <t>Annuaire Service-public.fr</t>
        </is>
      </c>
      <c r="R884" t="inlineStr"/>
      <c r="S884" t="inlineStr"/>
      <c r="T884" t="inlineStr"/>
    </row>
    <row r="885">
      <c r="A885" t="inlineStr">
        <is>
          <t>CC du Nord Est Béarn</t>
        </is>
      </c>
      <c r="B885" t="inlineStr">
        <is>
          <t>Communauté de communes</t>
        </is>
      </c>
      <c r="C885" t="inlineStr">
        <is>
          <t>200067296</t>
        </is>
      </c>
      <c r="D885" t="inlineStr">
        <is>
          <t>64</t>
        </is>
      </c>
      <c r="E885" t="inlineStr">
        <is>
          <t>Pyrénées-Atlantiques</t>
        </is>
      </c>
      <c r="F885" t="inlineStr">
        <is>
          <t>Nouvelle-Aquitaine</t>
        </is>
      </c>
      <c r="G885" s="3" t="n">
        <v>34830</v>
      </c>
      <c r="H885" t="n">
        <v>73</v>
      </c>
      <c r="I885" t="inlineStr">
        <is>
          <t>1 rue Saint-Exupéry</t>
        </is>
      </c>
      <c r="J885" t="inlineStr">
        <is>
          <t>64160</t>
        </is>
      </c>
      <c r="K885" t="inlineStr">
        <is>
          <t>Morlaàs</t>
        </is>
      </c>
      <c r="L885" t="inlineStr">
        <is>
          <t>05 59 33 46 10</t>
        </is>
      </c>
      <c r="M885" s="4" t="inlineStr">
        <is>
          <t>contact@cc-nordestbearn.fr</t>
        </is>
      </c>
      <c r="N885" s="4" t="inlineStr">
        <is>
          <t>https://www.cc-nordestbearn.fr/</t>
        </is>
      </c>
      <c r="O885" s="4" t="inlineStr">
        <is>
          <t>https://www.cc-nordestbearn.fr/formulaire-de-contact</t>
        </is>
      </c>
      <c r="P885" s="4" t="inlineStr">
        <is>
          <t>https://lannuaire.service-public.gouv.fr/nouvelle-aquitaine/pyrenees-atlantiques/8dd94f32-51f0-4ca0-8d51-b7e792903eda</t>
        </is>
      </c>
      <c r="Q885" t="inlineStr">
        <is>
          <t>Annuaire Service-public.fr</t>
        </is>
      </c>
      <c r="R885" t="inlineStr"/>
      <c r="S885" t="inlineStr"/>
      <c r="T885" t="inlineStr"/>
    </row>
    <row r="886">
      <c r="A886" t="inlineStr">
        <is>
          <t>CC Adour Madiran</t>
        </is>
      </c>
      <c r="B886" t="inlineStr">
        <is>
          <t>Communauté de communes</t>
        </is>
      </c>
      <c r="C886" t="inlineStr">
        <is>
          <t>200072106</t>
        </is>
      </c>
      <c r="D886" t="inlineStr">
        <is>
          <t>64, 65</t>
        </is>
      </c>
      <c r="E886" t="inlineStr">
        <is>
          <t>Pyrénées-Atlantiques, Hautes-Pyrénées</t>
        </is>
      </c>
      <c r="F886" t="inlineStr">
        <is>
          <t>Nouvelle-Aquitaine, Occitanie</t>
        </is>
      </c>
      <c r="G886" s="3" t="n">
        <v>23958</v>
      </c>
      <c r="H886" t="n">
        <v>72</v>
      </c>
      <c r="I886" t="inlineStr">
        <is>
          <t>21 place du Corps-Franc-Pommiès</t>
        </is>
      </c>
      <c r="J886" t="inlineStr">
        <is>
          <t>65500</t>
        </is>
      </c>
      <c r="K886" t="inlineStr">
        <is>
          <t>Vic-en-Bigorre</t>
        </is>
      </c>
      <c r="L886" t="inlineStr">
        <is>
          <t>05 62 31 68 84</t>
        </is>
      </c>
      <c r="M886" s="4" t="inlineStr">
        <is>
          <t>contact@adour-madiran.fr</t>
        </is>
      </c>
      <c r="N886" s="4" t="inlineStr">
        <is>
          <t>https://www.adour-madiran.fr/</t>
        </is>
      </c>
      <c r="O886" s="4" t="inlineStr">
        <is>
          <t>https://www.adour-madiran.fr/systeme/nous-contacter/</t>
        </is>
      </c>
      <c r="P886" s="4" t="inlineStr">
        <is>
          <t>https://lannuaire.service-public.gouv.fr/occitanie/hautes-pyrenees/1a85d3a4-75fb-4d31-aacc-41c33033086f</t>
        </is>
      </c>
      <c r="Q886" t="inlineStr">
        <is>
          <t>Annuaire Service-public.fr</t>
        </is>
      </c>
      <c r="R886" t="inlineStr"/>
      <c r="S886" t="inlineStr"/>
      <c r="T886" t="inlineStr"/>
    </row>
    <row r="887">
      <c r="A887" t="inlineStr">
        <is>
          <t>CC Pays de Nay</t>
        </is>
      </c>
      <c r="B887" t="inlineStr">
        <is>
          <t>Communauté de communes</t>
        </is>
      </c>
      <c r="C887" t="inlineStr">
        <is>
          <t>246401756</t>
        </is>
      </c>
      <c r="D887" t="inlineStr">
        <is>
          <t>64, 65</t>
        </is>
      </c>
      <c r="E887" t="inlineStr">
        <is>
          <t>Pyrénées-Atlantiques, Hautes-Pyrénées</t>
        </is>
      </c>
      <c r="F887" t="inlineStr">
        <is>
          <t>Nouvelle-Aquitaine, Occitanie</t>
        </is>
      </c>
      <c r="G887" s="3" t="n">
        <v>28877</v>
      </c>
      <c r="H887" t="n">
        <v>29</v>
      </c>
      <c r="I887" t="inlineStr">
        <is>
          <t>12 rue Montplaisir, Parc d'activités économiques Montplaisir</t>
        </is>
      </c>
      <c r="J887" t="inlineStr">
        <is>
          <t>64800</t>
        </is>
      </c>
      <c r="K887" t="inlineStr">
        <is>
          <t>Bénéjacq</t>
        </is>
      </c>
      <c r="L887" t="inlineStr">
        <is>
          <t>05 59 61 11 82</t>
        </is>
      </c>
      <c r="M887" s="4" t="inlineStr">
        <is>
          <t>contact@paysdenay.fr</t>
        </is>
      </c>
      <c r="N887" s="4" t="inlineStr">
        <is>
          <t>https://www.paysdenay.fr/</t>
        </is>
      </c>
      <c r="O887" s="4" t="inlineStr">
        <is>
          <t>https://www.paysdenay.fr/contact</t>
        </is>
      </c>
      <c r="P887" s="4" t="inlineStr">
        <is>
          <t>https://lannuaire.service-public.gouv.fr/nouvelle-aquitaine/pyrenees-atlantiques/78b4775a-2dbe-4281-a0df-c7c2e191969b</t>
        </is>
      </c>
      <c r="Q887" t="inlineStr">
        <is>
          <t>Annuaire Service-public.fr</t>
        </is>
      </c>
      <c r="R887" t="inlineStr"/>
      <c r="S887" t="inlineStr"/>
      <c r="T887" t="inlineStr"/>
    </row>
    <row r="888">
      <c r="A888" t="inlineStr">
        <is>
          <t>CA Tarbes-Lourdes-Pyrénées</t>
        </is>
      </c>
      <c r="B888" t="inlineStr">
        <is>
          <t>Communauté d’agglomération</t>
        </is>
      </c>
      <c r="C888" t="inlineStr">
        <is>
          <t>200069300</t>
        </is>
      </c>
      <c r="D888" t="inlineStr">
        <is>
          <t>65</t>
        </is>
      </c>
      <c r="E888" t="inlineStr">
        <is>
          <t>Hautes-Pyrénées</t>
        </is>
      </c>
      <c r="F888" t="inlineStr">
        <is>
          <t>Occitanie</t>
        </is>
      </c>
      <c r="G888" s="3" t="n">
        <v>127612</v>
      </c>
      <c r="H888" t="n">
        <v>86</v>
      </c>
      <c r="I888" t="inlineStr">
        <is>
          <t>Zone tertiaire Pyrène-Aéro-Pôle, Téléport 1</t>
        </is>
      </c>
      <c r="J888" t="inlineStr">
        <is>
          <t>65000</t>
        </is>
      </c>
      <c r="K888" t="inlineStr">
        <is>
          <t>Tarbes</t>
        </is>
      </c>
      <c r="L888" t="inlineStr">
        <is>
          <t>05 62 32 98 85</t>
        </is>
      </c>
      <c r="M888" t="inlineStr"/>
      <c r="N888" s="4" t="inlineStr">
        <is>
          <t>https://www.agglo-tlp.fr/</t>
        </is>
      </c>
      <c r="O888" s="4" t="inlineStr">
        <is>
          <t>https://www.agglo-tlp.fr/page/contact</t>
        </is>
      </c>
      <c r="P888" s="4" t="inlineStr">
        <is>
          <t>https://lannuaire.service-public.gouv.fr/occitanie/hautes-pyrenees/75a170b6-528b-456c-aec0-fe339a3a01df</t>
        </is>
      </c>
      <c r="Q888" t="inlineStr">
        <is>
          <t>Annuaire Service-public.fr</t>
        </is>
      </c>
      <c r="R888" t="inlineStr"/>
      <c r="S888" t="inlineStr"/>
      <c r="T888" t="inlineStr"/>
    </row>
    <row r="889">
      <c r="A889" t="inlineStr">
        <is>
          <t>CC Aure Louron</t>
        </is>
      </c>
      <c r="B889" t="inlineStr">
        <is>
          <t>Communauté de communes</t>
        </is>
      </c>
      <c r="C889" t="inlineStr">
        <is>
          <t>246500573</t>
        </is>
      </c>
      <c r="D889" t="inlineStr">
        <is>
          <t>65</t>
        </is>
      </c>
      <c r="E889" t="inlineStr">
        <is>
          <t>Hautes-Pyrénées</t>
        </is>
      </c>
      <c r="F889" t="inlineStr">
        <is>
          <t>Occitanie</t>
        </is>
      </c>
      <c r="G889" s="3" t="n">
        <v>6961</v>
      </c>
      <c r="H889" t="n">
        <v>46</v>
      </c>
      <c r="I889" t="inlineStr">
        <is>
          <t>2 avenue Calamun, Château de Ségure</t>
        </is>
      </c>
      <c r="J889" t="inlineStr">
        <is>
          <t>65240</t>
        </is>
      </c>
      <c r="K889" t="inlineStr">
        <is>
          <t>Arreau</t>
        </is>
      </c>
      <c r="L889" t="inlineStr">
        <is>
          <t>05 62 40 10 71</t>
        </is>
      </c>
      <c r="M889" s="4" t="inlineStr">
        <is>
          <t>contact@aure-louron.fr</t>
        </is>
      </c>
      <c r="N889" s="4" t="inlineStr">
        <is>
          <t>https://www.aure-louron.fr/</t>
        </is>
      </c>
      <c r="O889" s="4" t="inlineStr">
        <is>
          <t>https://www.aure-louron.fr/contact.html</t>
        </is>
      </c>
      <c r="P889" s="4" t="inlineStr">
        <is>
          <t>https://lannuaire.service-public.gouv.fr/occitanie/hautes-pyrenees/df300c30-7b29-444d-a637-392cdc54f733</t>
        </is>
      </c>
      <c r="Q889" t="inlineStr">
        <is>
          <t>Annuaire Service-public.fr</t>
        </is>
      </c>
      <c r="R889" t="inlineStr"/>
      <c r="S889" t="inlineStr"/>
      <c r="T889" t="inlineStr"/>
    </row>
    <row r="890">
      <c r="A890" t="inlineStr">
        <is>
          <t>CC Neste Barousse</t>
        </is>
      </c>
      <c r="B890" t="inlineStr">
        <is>
          <t>Communauté de communes</t>
        </is>
      </c>
      <c r="C890" t="inlineStr">
        <is>
          <t>200070829</t>
        </is>
      </c>
      <c r="D890" t="inlineStr">
        <is>
          <t>65</t>
        </is>
      </c>
      <c r="E890" t="inlineStr">
        <is>
          <t>Hautes-Pyrénées</t>
        </is>
      </c>
      <c r="F890" t="inlineStr">
        <is>
          <t>Occitanie</t>
        </is>
      </c>
      <c r="G890" s="3" t="n">
        <v>7354</v>
      </c>
      <c r="H890" t="n">
        <v>43</v>
      </c>
      <c r="I890" t="inlineStr">
        <is>
          <t>15 croix des Huguenots, Communauté de communes - Neste Barousse</t>
        </is>
      </c>
      <c r="J890" t="inlineStr">
        <is>
          <t>65370</t>
        </is>
      </c>
      <c r="K890" t="inlineStr">
        <is>
          <t>Sarp</t>
        </is>
      </c>
      <c r="L890" t="inlineStr">
        <is>
          <t>05 62 99 35 23</t>
        </is>
      </c>
      <c r="M890" s="4" t="inlineStr">
        <is>
          <t>accueil@neste-barousse.fr</t>
        </is>
      </c>
      <c r="N890" s="4" t="inlineStr">
        <is>
          <t>https://neste-barousse.fr/</t>
        </is>
      </c>
      <c r="O890" s="4" t="inlineStr">
        <is>
          <t>https://neste-barousse.fr/cc-neste-barousse/contact/</t>
        </is>
      </c>
      <c r="P890" s="4" t="inlineStr">
        <is>
          <t>https://lannuaire.service-public.gouv.fr/occitanie/hautes-pyrenees/3a1f59d6-92f9-4c56-918d-b8ebbee406b8</t>
        </is>
      </c>
      <c r="Q890" t="inlineStr">
        <is>
          <t>Annuaire Service-public.fr</t>
        </is>
      </c>
      <c r="R890" t="inlineStr"/>
      <c r="S890" t="inlineStr"/>
      <c r="T890" t="inlineStr"/>
    </row>
    <row r="891">
      <c r="A891" t="inlineStr">
        <is>
          <t>CC Pyrénées Vallées des Gaves</t>
        </is>
      </c>
      <c r="B891" t="inlineStr">
        <is>
          <t>Communauté de communes</t>
        </is>
      </c>
      <c r="C891" t="inlineStr">
        <is>
          <t>200070811</t>
        </is>
      </c>
      <c r="D891" t="inlineStr">
        <is>
          <t>65</t>
        </is>
      </c>
      <c r="E891" t="inlineStr">
        <is>
          <t>Hautes-Pyrénées</t>
        </is>
      </c>
      <c r="F891" t="inlineStr">
        <is>
          <t>Occitanie</t>
        </is>
      </c>
      <c r="G891" s="3" t="n">
        <v>15144</v>
      </c>
      <c r="H891" t="n">
        <v>46</v>
      </c>
      <c r="I891" t="inlineStr">
        <is>
          <t>1 rue Saint-Orens</t>
        </is>
      </c>
      <c r="J891" t="inlineStr">
        <is>
          <t>65400</t>
        </is>
      </c>
      <c r="K891" t="inlineStr">
        <is>
          <t>Argelès-Gazost</t>
        </is>
      </c>
      <c r="L891" t="inlineStr">
        <is>
          <t>05 62 97 55 18</t>
        </is>
      </c>
      <c r="M891" s="4" t="inlineStr">
        <is>
          <t>courriel@ccpvg.fr</t>
        </is>
      </c>
      <c r="N891" s="4" t="inlineStr">
        <is>
          <t>https://ccpvg.fr/</t>
        </is>
      </c>
      <c r="O891" s="4" t="inlineStr">
        <is>
          <t>https://ccpvg.fr/contactez-nous/</t>
        </is>
      </c>
      <c r="P891" s="4" t="inlineStr">
        <is>
          <t>https://lannuaire.service-public.gouv.fr/occitanie/hautes-pyrenees/3f2838cd-86ba-4c29-ab46-54fcef78a3a4</t>
        </is>
      </c>
      <c r="Q891" t="inlineStr">
        <is>
          <t>Annuaire Service-public.fr</t>
        </is>
      </c>
      <c r="R891" t="inlineStr"/>
      <c r="S891" t="inlineStr"/>
      <c r="T891" t="inlineStr"/>
    </row>
    <row r="892">
      <c r="A892" t="inlineStr">
        <is>
          <t>CC de la Haute-Bigorre</t>
        </is>
      </c>
      <c r="B892" t="inlineStr">
        <is>
          <t>Communauté de communes</t>
        </is>
      </c>
      <c r="C892" t="inlineStr">
        <is>
          <t>246500482</t>
        </is>
      </c>
      <c r="D892" t="inlineStr">
        <is>
          <t>65</t>
        </is>
      </c>
      <c r="E892" t="inlineStr">
        <is>
          <t>Hautes-Pyrénées</t>
        </is>
      </c>
      <c r="F892" t="inlineStr">
        <is>
          <t>Occitanie</t>
        </is>
      </c>
      <c r="G892" s="3" t="n">
        <v>16510</v>
      </c>
      <c r="H892" t="n">
        <v>25</v>
      </c>
      <c r="I892" t="inlineStr">
        <is>
          <t>28 place de Vignaux</t>
        </is>
      </c>
      <c r="J892" t="inlineStr">
        <is>
          <t>65201</t>
        </is>
      </c>
      <c r="K892" t="inlineStr">
        <is>
          <t>Bagnères-de-Bigorre</t>
        </is>
      </c>
      <c r="L892" t="inlineStr">
        <is>
          <t>05 62 95 08 05</t>
        </is>
      </c>
      <c r="M892" s="4" t="inlineStr">
        <is>
          <t>accueil@haute-bigorre.fr</t>
        </is>
      </c>
      <c r="N892" s="4" t="inlineStr">
        <is>
          <t>https://www.haute-bigorre.fr/</t>
        </is>
      </c>
      <c r="O892" s="4" t="inlineStr">
        <is>
          <t>https://www.haute-bigorre.fr/contactez-nous/</t>
        </is>
      </c>
      <c r="P892" s="4" t="inlineStr">
        <is>
          <t>https://lannuaire.service-public.gouv.fr/occitanie/hautes-pyrenees/a0a9039e-58d4-425c-bcb4-48698db4564e</t>
        </is>
      </c>
      <c r="Q892" t="inlineStr">
        <is>
          <t>Annuaire Service-public.fr</t>
        </is>
      </c>
      <c r="R892" t="inlineStr"/>
      <c r="S892" t="inlineStr"/>
      <c r="T892" t="inlineStr"/>
    </row>
    <row r="893">
      <c r="A893" t="inlineStr">
        <is>
          <t>CC des Coteaux du Val d'Arros</t>
        </is>
      </c>
      <c r="B893" t="inlineStr">
        <is>
          <t>Communauté de communes</t>
        </is>
      </c>
      <c r="C893" t="inlineStr">
        <is>
          <t>200070803</t>
        </is>
      </c>
      <c r="D893" t="inlineStr">
        <is>
          <t>65</t>
        </is>
      </c>
      <c r="E893" t="inlineStr">
        <is>
          <t>Hautes-Pyrénées</t>
        </is>
      </c>
      <c r="F893" t="inlineStr">
        <is>
          <t>Occitanie</t>
        </is>
      </c>
      <c r="G893" s="3" t="n">
        <v>11143</v>
      </c>
      <c r="H893" t="n">
        <v>53</v>
      </c>
      <c r="I893" t="inlineStr">
        <is>
          <t>15 place d'Astarac</t>
        </is>
      </c>
      <c r="J893" t="inlineStr">
        <is>
          <t>65190</t>
        </is>
      </c>
      <c r="K893" t="inlineStr">
        <is>
          <t>Tournay</t>
        </is>
      </c>
      <c r="L893" t="inlineStr">
        <is>
          <t>05 62 35 24 23</t>
        </is>
      </c>
      <c r="M893" s="4" t="inlineStr">
        <is>
          <t>contact@coteaux-val-arros.fr</t>
        </is>
      </c>
      <c r="N893" s="4" t="inlineStr">
        <is>
          <t>https://www.coteaux-val-arros.fr/</t>
        </is>
      </c>
      <c r="O893" s="4" t="inlineStr">
        <is>
          <t>https://www.coteaux-val-arros.fr/contactez-nous/</t>
        </is>
      </c>
      <c r="P893" s="4" t="inlineStr">
        <is>
          <t>https://lannuaire.service-public.gouv.fr/occitanie/hautes-pyrenees/e357af4a-81a0-4e62-ad79-13849f124495</t>
        </is>
      </c>
      <c r="Q893" t="inlineStr">
        <is>
          <t>Annuaire Service-public.fr</t>
        </is>
      </c>
      <c r="R893" t="inlineStr"/>
      <c r="S893" t="inlineStr"/>
      <c r="T893" t="inlineStr"/>
    </row>
    <row r="894">
      <c r="A894" t="inlineStr">
        <is>
          <t>CC du Pays de Trie et du Magnoac</t>
        </is>
      </c>
      <c r="B894" t="inlineStr">
        <is>
          <t>Communauté de communes</t>
        </is>
      </c>
      <c r="C894" t="inlineStr">
        <is>
          <t>200070795</t>
        </is>
      </c>
      <c r="D894" t="inlineStr">
        <is>
          <t>65</t>
        </is>
      </c>
      <c r="E894" t="inlineStr">
        <is>
          <t>Hautes-Pyrénées</t>
        </is>
      </c>
      <c r="F894" t="inlineStr">
        <is>
          <t>Occitanie</t>
        </is>
      </c>
      <c r="G894" s="3" t="n">
        <v>6772</v>
      </c>
      <c r="H894" t="n">
        <v>50</v>
      </c>
      <c r="I894" t="inlineStr">
        <is>
          <t>31 place de la Mairie</t>
        </is>
      </c>
      <c r="J894" t="inlineStr">
        <is>
          <t>65220</t>
        </is>
      </c>
      <c r="K894" t="inlineStr">
        <is>
          <t>Trie-sur-Baïse</t>
        </is>
      </c>
      <c r="L894" t="inlineStr">
        <is>
          <t>05 62 35 06 09</t>
        </is>
      </c>
      <c r="M894" s="4" t="inlineStr">
        <is>
          <t>ccptpaystrie@orange.fr</t>
        </is>
      </c>
      <c r="N894" s="4" t="inlineStr">
        <is>
          <t>https://www.ccptm.fr/</t>
        </is>
      </c>
      <c r="O894" s="4" t="inlineStr">
        <is>
          <t>https://ccptm.fr/contactez-nous-2/</t>
        </is>
      </c>
      <c r="P894" s="4" t="inlineStr">
        <is>
          <t>https://lannuaire.service-public.gouv.fr/occitanie/hautes-pyrenees/6756168f-ac70-43ae-90c1-9e4b89ffcf67</t>
        </is>
      </c>
      <c r="Q894" t="inlineStr">
        <is>
          <t>Annuaire Service-public.fr</t>
        </is>
      </c>
      <c r="R894" t="inlineStr"/>
      <c r="S894" t="inlineStr"/>
      <c r="T894" t="inlineStr"/>
    </row>
    <row r="895">
      <c r="A895" t="inlineStr">
        <is>
          <t>CC du Plateau de Lannemezan</t>
        </is>
      </c>
      <c r="B895" t="inlineStr">
        <is>
          <t>Communauté de communes</t>
        </is>
      </c>
      <c r="C895" t="inlineStr">
        <is>
          <t>200070787</t>
        </is>
      </c>
      <c r="D895" t="inlineStr">
        <is>
          <t>65</t>
        </is>
      </c>
      <c r="E895" t="inlineStr">
        <is>
          <t>Hautes-Pyrénées</t>
        </is>
      </c>
      <c r="F895" t="inlineStr">
        <is>
          <t>Occitanie</t>
        </is>
      </c>
      <c r="G895" s="3" t="n">
        <v>17673</v>
      </c>
      <c r="H895" t="n">
        <v>57</v>
      </c>
      <c r="I895" t="inlineStr">
        <is>
          <t>1 route d'Espagne</t>
        </is>
      </c>
      <c r="J895" t="inlineStr">
        <is>
          <t>65250</t>
        </is>
      </c>
      <c r="K895" t="inlineStr">
        <is>
          <t>La Barthe-de-Neste</t>
        </is>
      </c>
      <c r="L895" t="inlineStr">
        <is>
          <t>05 62 98 84 09</t>
        </is>
      </c>
      <c r="M895" s="4" t="inlineStr">
        <is>
          <t>accueil@ccplannemezan.fr</t>
        </is>
      </c>
      <c r="N895" s="4" t="inlineStr">
        <is>
          <t>https://www.ccplateaudelannemezan.fr/</t>
        </is>
      </c>
      <c r="O895" t="inlineStr"/>
      <c r="P895" s="4" t="inlineStr">
        <is>
          <t>https://lannuaire.service-public.gouv.fr/occitanie/hautes-pyrenees/11b0e009-c237-4bb7-b7ee-461abbcd170b</t>
        </is>
      </c>
      <c r="Q895" t="inlineStr">
        <is>
          <t>Annuaire Service-public.fr</t>
        </is>
      </c>
      <c r="R895" t="inlineStr"/>
      <c r="S895" t="inlineStr"/>
      <c r="T895" t="inlineStr"/>
    </row>
    <row r="896">
      <c r="A896" t="inlineStr">
        <is>
          <t>CC Agly Fenouillèdes</t>
        </is>
      </c>
      <c r="B896" t="inlineStr">
        <is>
          <t>Communauté de communes</t>
        </is>
      </c>
      <c r="C896" t="inlineStr">
        <is>
          <t>246600423</t>
        </is>
      </c>
      <c r="D896" t="inlineStr">
        <is>
          <t>66</t>
        </is>
      </c>
      <c r="E896" t="inlineStr">
        <is>
          <t>Pyrénées-Orientales</t>
        </is>
      </c>
      <c r="F896" t="inlineStr">
        <is>
          <t>Occitanie</t>
        </is>
      </c>
      <c r="G896" s="3" t="n">
        <v>6284</v>
      </c>
      <c r="H896" t="n">
        <v>24</v>
      </c>
      <c r="I896" t="inlineStr">
        <is>
          <t>14 rue de Lesquerde</t>
        </is>
      </c>
      <c r="J896" t="inlineStr">
        <is>
          <t>66220</t>
        </is>
      </c>
      <c r="K896" t="inlineStr">
        <is>
          <t>Saint-Paul-de-Fenouillet</t>
        </is>
      </c>
      <c r="L896" t="inlineStr">
        <is>
          <t>04 68 59 20 13</t>
        </is>
      </c>
      <c r="M896" s="4" t="inlineStr">
        <is>
          <t>contact@cc-aglyfenouilledes.fr</t>
        </is>
      </c>
      <c r="N896" s="4" t="inlineStr">
        <is>
          <t>http://www.cc-aglyfenouilledes.fr</t>
        </is>
      </c>
      <c r="O896" t="inlineStr"/>
      <c r="P896" s="4" t="inlineStr">
        <is>
          <t>https://lannuaire.service-public.gouv.fr/occitanie/pyrenees-orientales/0ac1f21d-2274-465a-959d-9c797096b9a8</t>
        </is>
      </c>
      <c r="Q896" t="inlineStr">
        <is>
          <t>Annuaire Service-public.fr</t>
        </is>
      </c>
      <c r="R896" t="inlineStr"/>
      <c r="S896" t="inlineStr"/>
      <c r="T896" t="inlineStr"/>
    </row>
    <row r="897">
      <c r="A897" t="inlineStr">
        <is>
          <t>CC Conflent-Canigó</t>
        </is>
      </c>
      <c r="B897" t="inlineStr">
        <is>
          <t>Communauté de communes</t>
        </is>
      </c>
      <c r="C897" t="inlineStr">
        <is>
          <t>200049211</t>
        </is>
      </c>
      <c r="D897" t="inlineStr">
        <is>
          <t>66</t>
        </is>
      </c>
      <c r="E897" t="inlineStr">
        <is>
          <t>Pyrénées-Orientales</t>
        </is>
      </c>
      <c r="F897" t="inlineStr">
        <is>
          <t>Occitanie</t>
        </is>
      </c>
      <c r="G897" s="3" t="n">
        <v>20918</v>
      </c>
      <c r="H897" t="n">
        <v>45</v>
      </c>
      <c r="I897" t="inlineStr">
        <is>
          <t>Route de Ria</t>
        </is>
      </c>
      <c r="J897" t="inlineStr">
        <is>
          <t>66500</t>
        </is>
      </c>
      <c r="K897" t="inlineStr">
        <is>
          <t>Prades</t>
        </is>
      </c>
      <c r="L897" t="inlineStr">
        <is>
          <t>04 68 05 05 13</t>
        </is>
      </c>
      <c r="M897" s="4" t="inlineStr">
        <is>
          <t>contact@conflentcanigo.fr</t>
        </is>
      </c>
      <c r="N897" s="4" t="inlineStr">
        <is>
          <t>https://www.conflentcanigo.fr/</t>
        </is>
      </c>
      <c r="O897" s="4" t="inlineStr">
        <is>
          <t>https://www.conflentcanigo.fr/contact</t>
        </is>
      </c>
      <c r="P897" s="4" t="inlineStr">
        <is>
          <t>https://lannuaire.service-public.gouv.fr/occitanie/pyrenees-orientales/512d8839-1409-4986-93ea-0235d973b571</t>
        </is>
      </c>
      <c r="Q897" t="inlineStr">
        <is>
          <t>Annuaire Service-public.fr</t>
        </is>
      </c>
      <c r="R897" t="inlineStr"/>
      <c r="S897" t="inlineStr"/>
      <c r="T897" t="inlineStr"/>
    </row>
    <row r="898">
      <c r="A898" t="inlineStr">
        <is>
          <t>CC Pyrénées Catalanes</t>
        </is>
      </c>
      <c r="B898" t="inlineStr">
        <is>
          <t>Communauté de communes</t>
        </is>
      </c>
      <c r="C898" t="inlineStr">
        <is>
          <t>246600464</t>
        </is>
      </c>
      <c r="D898" t="inlineStr">
        <is>
          <t>66</t>
        </is>
      </c>
      <c r="E898" t="inlineStr">
        <is>
          <t>Pyrénées-Orientales</t>
        </is>
      </c>
      <c r="F898" t="inlineStr">
        <is>
          <t>Occitanie</t>
        </is>
      </c>
      <c r="G898" s="3" t="n">
        <v>5951</v>
      </c>
      <c r="H898" t="n">
        <v>19</v>
      </c>
      <c r="I898" t="inlineStr">
        <is>
          <t>Col de la Quillane</t>
        </is>
      </c>
      <c r="J898" t="inlineStr">
        <is>
          <t>66210</t>
        </is>
      </c>
      <c r="K898" t="inlineStr">
        <is>
          <t>La Llagonne</t>
        </is>
      </c>
      <c r="L898" t="inlineStr">
        <is>
          <t>04 68 04 49 86</t>
        </is>
      </c>
      <c r="M898" s="4" t="inlineStr">
        <is>
          <t>contact@pyrenees-catalanes.com</t>
        </is>
      </c>
      <c r="N898" s="4" t="inlineStr">
        <is>
          <t>https://www.pyrenees-catalanes.net/</t>
        </is>
      </c>
      <c r="O898" s="4" t="inlineStr">
        <is>
          <t>https://www.pyrenees-catalanes.net/fr/nous-contacter</t>
        </is>
      </c>
      <c r="P898" s="4" t="inlineStr">
        <is>
          <t>https://lannuaire.service-public.gouv.fr/occitanie/pyrenees-orientales/21db85f0-9a54-4d7c-9ea5-788d11973520</t>
        </is>
      </c>
      <c r="Q898" t="inlineStr">
        <is>
          <t>Annuaire Service-public.fr</t>
        </is>
      </c>
      <c r="R898" t="inlineStr"/>
      <c r="S898" t="inlineStr"/>
      <c r="T898" t="inlineStr"/>
    </row>
    <row r="899">
      <c r="A899" t="inlineStr">
        <is>
          <t>CC Pyrénées Cerdagne</t>
        </is>
      </c>
      <c r="B899" t="inlineStr">
        <is>
          <t>Communauté de communes</t>
        </is>
      </c>
      <c r="C899" t="inlineStr">
        <is>
          <t>246600399</t>
        </is>
      </c>
      <c r="D899" t="inlineStr">
        <is>
          <t>66</t>
        </is>
      </c>
      <c r="E899" t="inlineStr">
        <is>
          <t>Pyrénées-Orientales</t>
        </is>
      </c>
      <c r="F899" t="inlineStr">
        <is>
          <t>Occitanie</t>
        </is>
      </c>
      <c r="G899" s="3" t="n">
        <v>8709</v>
      </c>
      <c r="H899" t="n">
        <v>19</v>
      </c>
      <c r="I899" t="inlineStr">
        <is>
          <t>4 rue du Torrent</t>
        </is>
      </c>
      <c r="J899" t="inlineStr">
        <is>
          <t>66800</t>
        </is>
      </c>
      <c r="K899" t="inlineStr">
        <is>
          <t>Saillagouse</t>
        </is>
      </c>
      <c r="L899" t="inlineStr">
        <is>
          <t>04 68 04 53 30</t>
        </is>
      </c>
      <c r="M899" s="4" t="inlineStr">
        <is>
          <t>contact@pyrenees-cerdagne.com</t>
        </is>
      </c>
      <c r="N899" s="4" t="inlineStr">
        <is>
          <t>https://www.pyrenees-cerdagne.fr/</t>
        </is>
      </c>
      <c r="O899" s="4" t="inlineStr">
        <is>
          <t>https://www.pyrenees-cerdagne.fr/vie-pratique/nous-contacter</t>
        </is>
      </c>
      <c r="P899" s="4" t="inlineStr">
        <is>
          <t>https://lannuaire.service-public.gouv.fr/occitanie/pyrenees-orientales/910ba4b3-e5d2-4ddf-a632-eac3e7434e7d</t>
        </is>
      </c>
      <c r="Q899" t="inlineStr">
        <is>
          <t>Annuaire Service-public.fr</t>
        </is>
      </c>
      <c r="R899" t="inlineStr"/>
      <c r="S899" t="inlineStr"/>
      <c r="T899" t="inlineStr"/>
    </row>
    <row r="900">
      <c r="A900" t="inlineStr">
        <is>
          <t>CC Roussillon-Conflent</t>
        </is>
      </c>
      <c r="B900" t="inlineStr">
        <is>
          <t>Communauté de communes</t>
        </is>
      </c>
      <c r="C900" t="inlineStr">
        <is>
          <t>246600415</t>
        </is>
      </c>
      <c r="D900" t="inlineStr">
        <is>
          <t>66</t>
        </is>
      </c>
      <c r="E900" t="inlineStr">
        <is>
          <t>Pyrénées-Orientales</t>
        </is>
      </c>
      <c r="F900" t="inlineStr">
        <is>
          <t>Occitanie</t>
        </is>
      </c>
      <c r="G900" s="3" t="n">
        <v>17036</v>
      </c>
      <c r="H900" t="n">
        <v>15</v>
      </c>
      <c r="I900" t="inlineStr">
        <is>
          <t>1 rue Michel-Blanc</t>
        </is>
      </c>
      <c r="J900" t="inlineStr">
        <is>
          <t>66130</t>
        </is>
      </c>
      <c r="K900" t="inlineStr">
        <is>
          <t>Ille-sur-Tet</t>
        </is>
      </c>
      <c r="L900" t="inlineStr">
        <is>
          <t>04 68 57 86 85</t>
        </is>
      </c>
      <c r="M900" s="4" t="inlineStr">
        <is>
          <t>accueil@roussillon-conflent.fr</t>
        </is>
      </c>
      <c r="N900" s="4" t="inlineStr">
        <is>
          <t>https://www.roussillon-conflent.fr/</t>
        </is>
      </c>
      <c r="O900" t="inlineStr"/>
      <c r="P900" s="4" t="inlineStr">
        <is>
          <t>https://lannuaire.service-public.gouv.fr/occitanie/pyrenees-orientales/61b26ada-c60e-4f2b-8f20-7c86e0def5ac</t>
        </is>
      </c>
      <c r="Q900" t="inlineStr">
        <is>
          <t>Annuaire Service-public.fr</t>
        </is>
      </c>
      <c r="R900" t="inlineStr"/>
      <c r="S900" t="inlineStr"/>
      <c r="T900" t="inlineStr"/>
    </row>
    <row r="901">
      <c r="A901" t="inlineStr">
        <is>
          <t>CC Sud-Roussillon</t>
        </is>
      </c>
      <c r="B901" t="inlineStr">
        <is>
          <t>Communauté de communes</t>
        </is>
      </c>
      <c r="C901" t="inlineStr">
        <is>
          <t>246600282</t>
        </is>
      </c>
      <c r="D901" t="inlineStr">
        <is>
          <t>66</t>
        </is>
      </c>
      <c r="E901" t="inlineStr">
        <is>
          <t>Pyrénées-Orientales</t>
        </is>
      </c>
      <c r="F901" t="inlineStr">
        <is>
          <t>Occitanie</t>
        </is>
      </c>
      <c r="G901" s="3" t="n">
        <v>25386</v>
      </c>
      <c r="H901" t="n">
        <v>6</v>
      </c>
      <c r="I901" t="inlineStr">
        <is>
          <t>16 rue Jérôme-et-Jean-Tharaud</t>
        </is>
      </c>
      <c r="J901" t="inlineStr">
        <is>
          <t>66750</t>
        </is>
      </c>
      <c r="K901" t="inlineStr">
        <is>
          <t>Saint-Cyprien</t>
        </is>
      </c>
      <c r="L901" t="inlineStr">
        <is>
          <t>04 68 37 30 60</t>
        </is>
      </c>
      <c r="M901" s="4" t="inlineStr">
        <is>
          <t>info@sudroussillon.fr</t>
        </is>
      </c>
      <c r="N901" s="4" t="inlineStr">
        <is>
          <t>https://sudroussillon.fr/</t>
        </is>
      </c>
      <c r="O901" t="inlineStr"/>
      <c r="P901" s="4" t="inlineStr">
        <is>
          <t>https://lannuaire.service-public.gouv.fr/occitanie/pyrenees-orientales/ebdde942-900d-41d2-b443-0e708a1c1e57</t>
        </is>
      </c>
      <c r="Q901" t="inlineStr">
        <is>
          <t>Annuaire Service-public.fr</t>
        </is>
      </c>
      <c r="R901" t="inlineStr"/>
      <c r="S901" t="inlineStr"/>
      <c r="T901" t="inlineStr"/>
    </row>
    <row r="902">
      <c r="A902" t="inlineStr">
        <is>
          <t>CC des Albères, de la Côte Vermeille et de l'Illibéris</t>
        </is>
      </c>
      <c r="B902" t="inlineStr">
        <is>
          <t>Communauté de communes</t>
        </is>
      </c>
      <c r="C902" t="inlineStr">
        <is>
          <t>200043602</t>
        </is>
      </c>
      <c r="D902" t="inlineStr">
        <is>
          <t>66</t>
        </is>
      </c>
      <c r="E902" t="inlineStr">
        <is>
          <t>Pyrénées-Orientales</t>
        </is>
      </c>
      <c r="F902" t="inlineStr">
        <is>
          <t>Occitanie</t>
        </is>
      </c>
      <c r="G902" s="3" t="n">
        <v>57632</v>
      </c>
      <c r="H902" t="n">
        <v>15</v>
      </c>
      <c r="I902" t="inlineStr">
        <is>
          <t>3 impasse de Charlemagne</t>
        </is>
      </c>
      <c r="J902" t="inlineStr">
        <is>
          <t>66700</t>
        </is>
      </c>
      <c r="K902" t="inlineStr">
        <is>
          <t>Argelès-sur-Mer</t>
        </is>
      </c>
      <c r="L902" t="inlineStr">
        <is>
          <t>04 68 81 63 77</t>
        </is>
      </c>
      <c r="M902" s="4" t="inlineStr">
        <is>
          <t>accueil@cc-acvi.com</t>
        </is>
      </c>
      <c r="N902" s="4" t="inlineStr">
        <is>
          <t>https://www.cc-acvi.com/</t>
        </is>
      </c>
      <c r="O902" s="4" t="inlineStr">
        <is>
          <t>https://www.cc-acvi.com/nous-contacter/</t>
        </is>
      </c>
      <c r="P902" s="4" t="inlineStr">
        <is>
          <t>https://lannuaire.service-public.gouv.fr/occitanie/pyrenees-orientales/5b70bf08-85bb-4131-99a5-79ff6a617344</t>
        </is>
      </c>
      <c r="Q902" t="inlineStr">
        <is>
          <t>Annuaire Service-public.fr</t>
        </is>
      </c>
      <c r="R902" t="inlineStr"/>
      <c r="S902" t="inlineStr"/>
      <c r="T902" t="inlineStr"/>
    </row>
    <row r="903">
      <c r="A903" t="inlineStr">
        <is>
          <t>CC des Aspres</t>
        </is>
      </c>
      <c r="B903" t="inlineStr">
        <is>
          <t>Communauté de communes</t>
        </is>
      </c>
      <c r="C903" t="inlineStr">
        <is>
          <t>246600449</t>
        </is>
      </c>
      <c r="D903" t="inlineStr">
        <is>
          <t>66</t>
        </is>
      </c>
      <c r="E903" t="inlineStr">
        <is>
          <t>Pyrénées-Orientales</t>
        </is>
      </c>
      <c r="F903" t="inlineStr">
        <is>
          <t>Occitanie</t>
        </is>
      </c>
      <c r="G903" s="3" t="n">
        <v>22955</v>
      </c>
      <c r="H903" t="n">
        <v>19</v>
      </c>
      <c r="I903" t="inlineStr">
        <is>
          <t>Immeuble Christian-Bourquin, 2e étage, Allée Hector-Capdellayre</t>
        </is>
      </c>
      <c r="J903" t="inlineStr">
        <is>
          <t>66300</t>
        </is>
      </c>
      <c r="K903" t="inlineStr">
        <is>
          <t>Thuir</t>
        </is>
      </c>
      <c r="L903" t="inlineStr">
        <is>
          <t>04 68 53 21 87</t>
        </is>
      </c>
      <c r="M903" s="4" t="inlineStr">
        <is>
          <t>contact@cc-aspres.fr</t>
        </is>
      </c>
      <c r="N903" s="4" t="inlineStr">
        <is>
          <t>https://www.cc-aspres.fr/</t>
        </is>
      </c>
      <c r="O903" t="inlineStr"/>
      <c r="P903" s="4" t="inlineStr">
        <is>
          <t>https://lannuaire.service-public.gouv.fr/occitanie/pyrenees-orientales/851d2dad-aa3a-4100-b069-4fa3d9660e55</t>
        </is>
      </c>
      <c r="Q903" t="inlineStr">
        <is>
          <t>Annuaire Service-public.fr</t>
        </is>
      </c>
      <c r="R903" t="inlineStr"/>
      <c r="S903" t="inlineStr"/>
      <c r="T903" t="inlineStr"/>
    </row>
    <row r="904">
      <c r="A904" t="inlineStr">
        <is>
          <t>CC du Haut Vallespir</t>
        </is>
      </c>
      <c r="B904" t="inlineStr">
        <is>
          <t>Communauté de communes</t>
        </is>
      </c>
      <c r="C904" t="inlineStr">
        <is>
          <t>246600548</t>
        </is>
      </c>
      <c r="D904" t="inlineStr">
        <is>
          <t>66</t>
        </is>
      </c>
      <c r="E904" t="inlineStr">
        <is>
          <t>Pyrénées-Orientales</t>
        </is>
      </c>
      <c r="F904" t="inlineStr">
        <is>
          <t>Occitanie</t>
        </is>
      </c>
      <c r="G904" s="3" t="n">
        <v>9814</v>
      </c>
      <c r="H904" t="n">
        <v>14</v>
      </c>
      <c r="I904" t="inlineStr">
        <is>
          <t>8 boulevard du Riuferrer</t>
        </is>
      </c>
      <c r="J904" t="inlineStr">
        <is>
          <t>66150</t>
        </is>
      </c>
      <c r="K904" t="inlineStr">
        <is>
          <t>Arles-sur-Tech</t>
        </is>
      </c>
      <c r="L904" t="inlineStr">
        <is>
          <t>04 68 21 82 05</t>
        </is>
      </c>
      <c r="M904" s="4" t="inlineStr">
        <is>
          <t>accueil@haut-vallespir.fr</t>
        </is>
      </c>
      <c r="N904" s="4" t="inlineStr">
        <is>
          <t>https://www.haut-vallespir.fr/</t>
        </is>
      </c>
      <c r="O904" t="inlineStr"/>
      <c r="P904" s="4" t="inlineStr">
        <is>
          <t>https://lannuaire.service-public.gouv.fr/occitanie/pyrenees-orientales/b34b9e40-49df-4205-8b4c-e256b470cb45</t>
        </is>
      </c>
      <c r="Q904" t="inlineStr">
        <is>
          <t>Annuaire Service-public.fr</t>
        </is>
      </c>
      <c r="R904" t="inlineStr"/>
      <c r="S904" t="inlineStr"/>
      <c r="T904" t="inlineStr"/>
    </row>
    <row r="905">
      <c r="A905" t="inlineStr">
        <is>
          <t>CC du Vallespir</t>
        </is>
      </c>
      <c r="B905" t="inlineStr">
        <is>
          <t>Communauté de communes</t>
        </is>
      </c>
      <c r="C905" t="inlineStr">
        <is>
          <t>246600373</t>
        </is>
      </c>
      <c r="D905" t="inlineStr">
        <is>
          <t>66</t>
        </is>
      </c>
      <c r="E905" t="inlineStr">
        <is>
          <t>Pyrénées-Orientales</t>
        </is>
      </c>
      <c r="F905" t="inlineStr">
        <is>
          <t>Occitanie</t>
        </is>
      </c>
      <c r="G905" s="3" t="n">
        <v>20490</v>
      </c>
      <c r="H905" t="n">
        <v>10</v>
      </c>
      <c r="I905" t="inlineStr">
        <is>
          <t>2 avenue du Vallespir</t>
        </is>
      </c>
      <c r="J905" t="inlineStr">
        <is>
          <t>66400</t>
        </is>
      </c>
      <c r="K905" t="inlineStr">
        <is>
          <t>Céret</t>
        </is>
      </c>
      <c r="L905" t="inlineStr">
        <is>
          <t>04 68 87 69 05</t>
        </is>
      </c>
      <c r="M905" s="4" t="inlineStr">
        <is>
          <t>accueil@vallespir.com</t>
        </is>
      </c>
      <c r="N905" s="4" t="inlineStr">
        <is>
          <t>https://www.vallespir.com/</t>
        </is>
      </c>
      <c r="O905" s="4" t="inlineStr">
        <is>
          <t>https://www.vallespir.com/nous-contacter/</t>
        </is>
      </c>
      <c r="P905" s="4" t="inlineStr">
        <is>
          <t>https://lannuaire.service-public.gouv.fr/occitanie/pyrenees-orientales/c6bde7da-bd68-420b-b354-dff24bff2583</t>
        </is>
      </c>
      <c r="Q905" t="inlineStr">
        <is>
          <t>Annuaire Service-public.fr</t>
        </is>
      </c>
      <c r="R905" t="inlineStr"/>
      <c r="S905" t="inlineStr"/>
      <c r="T905" t="inlineStr"/>
    </row>
    <row r="906">
      <c r="A906" t="inlineStr">
        <is>
          <t>CU Perpignan Méditerranée Métropole</t>
        </is>
      </c>
      <c r="B906" t="inlineStr">
        <is>
          <t>Communauté urbaine</t>
        </is>
      </c>
      <c r="C906" t="inlineStr">
        <is>
          <t>200027183</t>
        </is>
      </c>
      <c r="D906" t="inlineStr">
        <is>
          <t>66</t>
        </is>
      </c>
      <c r="E906" t="inlineStr">
        <is>
          <t>Pyrénées-Orientales</t>
        </is>
      </c>
      <c r="F906" t="inlineStr">
        <is>
          <t>Occitanie</t>
        </is>
      </c>
      <c r="G906" s="3" t="n">
        <v>277926</v>
      </c>
      <c r="H906" t="n">
        <v>37</v>
      </c>
      <c r="I906" t="inlineStr">
        <is>
          <t>11 boulevard Saint-Assiscle, BP 20641</t>
        </is>
      </c>
      <c r="J906" t="inlineStr">
        <is>
          <t>66006</t>
        </is>
      </c>
      <c r="K906" t="inlineStr">
        <is>
          <t>Perpignan Cedex</t>
        </is>
      </c>
      <c r="L906" t="inlineStr">
        <is>
          <t>04 68 08 60 00</t>
        </is>
      </c>
      <c r="M906" s="4" t="inlineStr">
        <is>
          <t>accueil.pmca@perpignan-mediterranee.org</t>
        </is>
      </c>
      <c r="N906" s="4" t="inlineStr">
        <is>
          <t>https://www.perpignanmediterraneemetropole.fr</t>
        </is>
      </c>
      <c r="O906" t="inlineStr"/>
      <c r="P906" s="4" t="inlineStr">
        <is>
          <t>https://lannuaire.service-public.gouv.fr/occitanie/pyrenees-orientales/a970b8c1-9090-488e-9308-7332c4cf83f2</t>
        </is>
      </c>
      <c r="Q906" t="inlineStr">
        <is>
          <t>Annuaire Service-public.fr</t>
        </is>
      </c>
      <c r="R906" t="inlineStr"/>
      <c r="S906" t="inlineStr"/>
      <c r="T906" t="inlineStr"/>
    </row>
    <row r="907">
      <c r="A907" t="inlineStr">
        <is>
          <t>CA de Haguenau</t>
        </is>
      </c>
      <c r="B907" t="inlineStr">
        <is>
          <t>Communauté d’agglomération</t>
        </is>
      </c>
      <c r="C907" t="inlineStr">
        <is>
          <t>200067874</t>
        </is>
      </c>
      <c r="D907" t="inlineStr">
        <is>
          <t>67</t>
        </is>
      </c>
      <c r="E907" t="inlineStr">
        <is>
          <t>Bas-Rhin</t>
        </is>
      </c>
      <c r="F907" t="inlineStr">
        <is>
          <t>Grand Est</t>
        </is>
      </c>
      <c r="G907" s="3" t="n">
        <v>99129</v>
      </c>
      <c r="H907" t="n">
        <v>36</v>
      </c>
      <c r="I907" t="inlineStr">
        <is>
          <t>84 route de Strasbourg</t>
        </is>
      </c>
      <c r="J907" t="inlineStr">
        <is>
          <t>67500</t>
        </is>
      </c>
      <c r="K907" t="inlineStr">
        <is>
          <t>Haguenau</t>
        </is>
      </c>
      <c r="L907" t="inlineStr">
        <is>
          <t>03 88 90 68 50</t>
        </is>
      </c>
      <c r="M907" s="4" t="inlineStr">
        <is>
          <t>ecrire@agglo-haguenau.fr</t>
        </is>
      </c>
      <c r="N907" s="4" t="inlineStr">
        <is>
          <t>https://www.agglo-haguenau.fr/</t>
        </is>
      </c>
      <c r="O907" s="4" t="inlineStr">
        <is>
          <t>https://www.agglo-haguenau.fr/contact/</t>
        </is>
      </c>
      <c r="P907" s="4" t="inlineStr">
        <is>
          <t>https://lannuaire.service-public.gouv.fr/grand-est/bas-rhin/8e27619c-651a-491a-94b7-5ba6881e7901</t>
        </is>
      </c>
      <c r="Q907" t="inlineStr">
        <is>
          <t>Annuaire Service-public.fr</t>
        </is>
      </c>
      <c r="R907" t="inlineStr"/>
      <c r="S907" t="inlineStr"/>
      <c r="T907" t="inlineStr"/>
    </row>
    <row r="908">
      <c r="A908" t="inlineStr">
        <is>
          <t>CC Sauer-Pechelbronn</t>
        </is>
      </c>
      <c r="B908" t="inlineStr">
        <is>
          <t>Communauté de communes</t>
        </is>
      </c>
      <c r="C908" t="inlineStr">
        <is>
          <t>200013050</t>
        </is>
      </c>
      <c r="D908" t="inlineStr">
        <is>
          <t>67</t>
        </is>
      </c>
      <c r="E908" t="inlineStr">
        <is>
          <t>Bas-Rhin</t>
        </is>
      </c>
      <c r="F908" t="inlineStr">
        <is>
          <t>Grand Est</t>
        </is>
      </c>
      <c r="G908" s="3" t="n">
        <v>17281</v>
      </c>
      <c r="H908" t="n">
        <v>24</v>
      </c>
      <c r="I908" t="inlineStr">
        <is>
          <t>1 rue de l'Obermatt, Maison des services et des associations</t>
        </is>
      </c>
      <c r="J908" t="inlineStr">
        <is>
          <t>67360</t>
        </is>
      </c>
      <c r="K908" t="inlineStr">
        <is>
          <t>Durrenbach</t>
        </is>
      </c>
      <c r="L908" t="inlineStr">
        <is>
          <t>03 88 90 77 60</t>
        </is>
      </c>
      <c r="M908" s="4" t="inlineStr">
        <is>
          <t>info@sauer-pechelbronn.fr</t>
        </is>
      </c>
      <c r="N908" s="4" t="inlineStr">
        <is>
          <t>https://www.sauer-pechelbronn.fr/</t>
        </is>
      </c>
      <c r="O908" t="inlineStr"/>
      <c r="P908" s="4" t="inlineStr">
        <is>
          <t>https://lannuaire.service-public.gouv.fr/grand-est/bas-rhin/f7eb1b65-33b6-4526-affb-a5f42b7d3388</t>
        </is>
      </c>
      <c r="Q908" t="inlineStr">
        <is>
          <t>Annuaire Service-public.fr</t>
        </is>
      </c>
      <c r="R908" t="inlineStr"/>
      <c r="S908" t="inlineStr"/>
      <c r="T908" t="inlineStr"/>
    </row>
    <row r="909">
      <c r="A909" t="inlineStr">
        <is>
          <t>CC de Hanau-La Petite Pierre</t>
        </is>
      </c>
      <c r="B909" t="inlineStr">
        <is>
          <t>Communauté de communes</t>
        </is>
      </c>
      <c r="C909" t="inlineStr">
        <is>
          <t>200067783</t>
        </is>
      </c>
      <c r="D909" t="inlineStr">
        <is>
          <t>67</t>
        </is>
      </c>
      <c r="E909" t="inlineStr">
        <is>
          <t>Bas-Rhin</t>
        </is>
      </c>
      <c r="F909" t="inlineStr">
        <is>
          <t>Grand Est</t>
        </is>
      </c>
      <c r="G909" s="3" t="n">
        <v>26172</v>
      </c>
      <c r="H909" t="n">
        <v>38</v>
      </c>
      <c r="I909" t="inlineStr">
        <is>
          <t>10 route d'Obermodern, Maison de l'intercommunalité</t>
        </is>
      </c>
      <c r="J909" t="inlineStr">
        <is>
          <t>67330</t>
        </is>
      </c>
      <c r="K909" t="inlineStr">
        <is>
          <t>Bouxwiller</t>
        </is>
      </c>
      <c r="L909" t="inlineStr">
        <is>
          <t>03 88 71 31 79</t>
        </is>
      </c>
      <c r="M909" s="4" t="inlineStr">
        <is>
          <t>accueil@hanau-lapetitepierre.alsace</t>
        </is>
      </c>
      <c r="N909" s="4" t="inlineStr">
        <is>
          <t>https://www.hanau-lapetitepierre.alsace/</t>
        </is>
      </c>
      <c r="O909" s="4" t="inlineStr">
        <is>
          <t>https://www.hanau-lapetitepierre.alsace/contact/</t>
        </is>
      </c>
      <c r="P909" s="4" t="inlineStr">
        <is>
          <t>https://lannuaire.service-public.gouv.fr/grand-est/bas-rhin/800fcec5-ef77-4e1a-82cb-7283a975c1e3</t>
        </is>
      </c>
      <c r="Q909" t="inlineStr">
        <is>
          <t>Annuaire Service-public.fr</t>
        </is>
      </c>
      <c r="R909" t="inlineStr"/>
      <c r="S909" t="inlineStr"/>
      <c r="T909" t="inlineStr"/>
    </row>
    <row r="910">
      <c r="A910" t="inlineStr">
        <is>
          <t>CC de Sélestat</t>
        </is>
      </c>
      <c r="B910" t="inlineStr">
        <is>
          <t>Communauté de communes</t>
        </is>
      </c>
      <c r="C910" t="inlineStr">
        <is>
          <t>246700967</t>
        </is>
      </c>
      <c r="D910" t="inlineStr">
        <is>
          <t>67</t>
        </is>
      </c>
      <c r="E910" t="inlineStr">
        <is>
          <t>Bas-Rhin</t>
        </is>
      </c>
      <c r="F910" t="inlineStr">
        <is>
          <t>Grand Est</t>
        </is>
      </c>
      <c r="G910" s="3" t="n">
        <v>37404</v>
      </c>
      <c r="H910" t="n">
        <v>12</v>
      </c>
      <c r="I910" t="inlineStr">
        <is>
          <t>15 boulevard du Maréchal-Leclerc</t>
        </is>
      </c>
      <c r="J910" t="inlineStr">
        <is>
          <t>67600</t>
        </is>
      </c>
      <c r="K910" t="inlineStr">
        <is>
          <t>Sélestat</t>
        </is>
      </c>
      <c r="L910" t="inlineStr">
        <is>
          <t>03 88 58 01 60</t>
        </is>
      </c>
      <c r="M910" s="4" t="inlineStr">
        <is>
          <t>contact@cc-selestat.fr</t>
        </is>
      </c>
      <c r="N910" s="4" t="inlineStr">
        <is>
          <t>https://www.cc-selestat.fr/</t>
        </is>
      </c>
      <c r="O910" t="inlineStr"/>
      <c r="P910" s="4" t="inlineStr">
        <is>
          <t>https://lannuaire.service-public.gouv.fr/grand-est/bas-rhin/819d4568-bf83-4264-8dde-1f9fe00cd71c</t>
        </is>
      </c>
      <c r="Q910" t="inlineStr">
        <is>
          <t>Annuaire Service-public.fr</t>
        </is>
      </c>
      <c r="R910" t="inlineStr"/>
      <c r="S910" t="inlineStr"/>
      <c r="T910" t="inlineStr"/>
    </row>
    <row r="911">
      <c r="A911" t="inlineStr">
        <is>
          <t>CC de l'Alsace Bossue</t>
        </is>
      </c>
      <c r="B911" t="inlineStr">
        <is>
          <t>Communauté de communes</t>
        </is>
      </c>
      <c r="C911" t="inlineStr">
        <is>
          <t>200067841</t>
        </is>
      </c>
      <c r="D911" t="inlineStr">
        <is>
          <t>67</t>
        </is>
      </c>
      <c r="E911" t="inlineStr">
        <is>
          <t>Bas-Rhin</t>
        </is>
      </c>
      <c r="F911" t="inlineStr">
        <is>
          <t>Grand Est</t>
        </is>
      </c>
      <c r="G911" s="3" t="n">
        <v>23966</v>
      </c>
      <c r="H911" t="n">
        <v>45</v>
      </c>
      <c r="I911" t="inlineStr">
        <is>
          <t>14 rue Vincent-d'Indy</t>
        </is>
      </c>
      <c r="J911" t="inlineStr">
        <is>
          <t>67260</t>
        </is>
      </c>
      <c r="K911" t="inlineStr">
        <is>
          <t>Sarre-Union</t>
        </is>
      </c>
      <c r="L911" t="inlineStr">
        <is>
          <t>03 88 01 67 07</t>
        </is>
      </c>
      <c r="M911" s="4" t="inlineStr">
        <is>
          <t>accueil@ccab.eu</t>
        </is>
      </c>
      <c r="N911" s="4" t="inlineStr">
        <is>
          <t>https://www.alsace-bossue.fr/</t>
        </is>
      </c>
      <c r="O911" t="inlineStr"/>
      <c r="P911" s="4" t="inlineStr">
        <is>
          <t>https://lannuaire.service-public.gouv.fr/grand-est/bas-rhin/9cd57644-efde-47fe-9c04-9ac640b38e7d</t>
        </is>
      </c>
      <c r="Q911" t="inlineStr">
        <is>
          <t>Annuaire Service-public.fr</t>
        </is>
      </c>
      <c r="R911" t="inlineStr"/>
      <c r="S911" t="inlineStr"/>
      <c r="T911" t="inlineStr"/>
    </row>
    <row r="912">
      <c r="A912" t="inlineStr">
        <is>
          <t>CC de l'Outre-Forêt</t>
        </is>
      </c>
      <c r="B912" t="inlineStr">
        <is>
          <t>Communauté de communes</t>
        </is>
      </c>
      <c r="C912" t="inlineStr">
        <is>
          <t>200040178</t>
        </is>
      </c>
      <c r="D912" t="inlineStr">
        <is>
          <t>67</t>
        </is>
      </c>
      <c r="E912" t="inlineStr">
        <is>
          <t>Bas-Rhin</t>
        </is>
      </c>
      <c r="F912" t="inlineStr">
        <is>
          <t>Grand Est</t>
        </is>
      </c>
      <c r="G912" s="3" t="n">
        <v>16194</v>
      </c>
      <c r="H912" t="n">
        <v>13</v>
      </c>
      <c r="I912" t="inlineStr">
        <is>
          <t>4 rue de l'École</t>
        </is>
      </c>
      <c r="J912" t="inlineStr">
        <is>
          <t>67250</t>
        </is>
      </c>
      <c r="K912" t="inlineStr">
        <is>
          <t>Hohwiller</t>
        </is>
      </c>
      <c r="L912" t="inlineStr">
        <is>
          <t>03 88 05 61 10</t>
        </is>
      </c>
      <c r="M912" s="4" t="inlineStr">
        <is>
          <t>contact@cc-outreforet.fr</t>
        </is>
      </c>
      <c r="N912" s="4" t="inlineStr">
        <is>
          <t>https://www.cc-outreforet.fr/</t>
        </is>
      </c>
      <c r="O912" s="4" t="inlineStr">
        <is>
          <t>https://www.cc-outreforet.fr/contact/</t>
        </is>
      </c>
      <c r="P912" s="4" t="inlineStr">
        <is>
          <t>https://lannuaire.service-public.gouv.fr/grand-est/bas-rhin/989e39cf-0843-447b-88d7-17cace2b9d3d</t>
        </is>
      </c>
      <c r="Q912" t="inlineStr">
        <is>
          <t>Annuaire Service-public.fr</t>
        </is>
      </c>
      <c r="R912" t="inlineStr"/>
      <c r="S912" t="inlineStr"/>
      <c r="T912" t="inlineStr"/>
    </row>
    <row r="913">
      <c r="A913" t="inlineStr">
        <is>
          <t>CC de la Basse-Zorn</t>
        </is>
      </c>
      <c r="B913" t="inlineStr">
        <is>
          <t>Communauté de communes</t>
        </is>
      </c>
      <c r="C913" t="inlineStr">
        <is>
          <t>246700843</t>
        </is>
      </c>
      <c r="D913" t="inlineStr">
        <is>
          <t>67</t>
        </is>
      </c>
      <c r="E913" t="inlineStr">
        <is>
          <t>Bas-Rhin</t>
        </is>
      </c>
      <c r="F913" t="inlineStr">
        <is>
          <t>Grand Est</t>
        </is>
      </c>
      <c r="G913" s="3" t="n">
        <v>17802</v>
      </c>
      <c r="H913" t="n">
        <v>7</v>
      </c>
      <c r="I913" t="inlineStr">
        <is>
          <t>34 rue de la Wantzenau</t>
        </is>
      </c>
      <c r="J913" t="inlineStr">
        <is>
          <t>67720</t>
        </is>
      </c>
      <c r="K913" t="inlineStr">
        <is>
          <t>Hoerdt</t>
        </is>
      </c>
      <c r="L913" t="inlineStr">
        <is>
          <t>03 90 64 25 50</t>
        </is>
      </c>
      <c r="M913" s="4" t="inlineStr">
        <is>
          <t>info@cc-basse-zorn.fr</t>
        </is>
      </c>
      <c r="N913" s="4" t="inlineStr">
        <is>
          <t>https://www.cc-basse-zorn.fr/</t>
        </is>
      </c>
      <c r="O913" s="4" t="inlineStr">
        <is>
          <t>https://www.cc-basse-zorn.fr/FR/Divers/Nous-contacter.html</t>
        </is>
      </c>
      <c r="P913" s="4" t="inlineStr">
        <is>
          <t>https://lannuaire.service-public.gouv.fr/grand-est/bas-rhin/1741c3d2-ca28-40a1-add3-4efcede11f11</t>
        </is>
      </c>
      <c r="Q913" t="inlineStr">
        <is>
          <t>Annuaire Service-public.fr</t>
        </is>
      </c>
      <c r="R913" t="inlineStr"/>
      <c r="S913" t="inlineStr"/>
      <c r="T913" t="inlineStr"/>
    </row>
    <row r="914">
      <c r="A914" t="inlineStr">
        <is>
          <t>CC de la Mossig et du Vignoble</t>
        </is>
      </c>
      <c r="B914" t="inlineStr">
        <is>
          <t>Communauté de communes</t>
        </is>
      </c>
      <c r="C914" t="inlineStr">
        <is>
          <t>200068864</t>
        </is>
      </c>
      <c r="D914" t="inlineStr">
        <is>
          <t>67</t>
        </is>
      </c>
      <c r="E914" t="inlineStr">
        <is>
          <t>Bas-Rhin</t>
        </is>
      </c>
      <c r="F914" t="inlineStr">
        <is>
          <t>Grand Est</t>
        </is>
      </c>
      <c r="G914" s="3" t="n">
        <v>24826</v>
      </c>
      <c r="H914" t="n">
        <v>24</v>
      </c>
      <c r="I914" t="inlineStr">
        <is>
          <t>33 rue des Pins</t>
        </is>
      </c>
      <c r="J914" t="inlineStr">
        <is>
          <t>67310</t>
        </is>
      </c>
      <c r="K914" t="inlineStr">
        <is>
          <t>Wasselonne</t>
        </is>
      </c>
      <c r="L914" t="inlineStr">
        <is>
          <t>03 88 59 12 10</t>
        </is>
      </c>
      <c r="M914" s="4" t="inlineStr">
        <is>
          <t>contact@mossigvignoble.fr</t>
        </is>
      </c>
      <c r="N914" s="4" t="inlineStr">
        <is>
          <t>https://www.mossigvignoble.fr/</t>
        </is>
      </c>
      <c r="O914" s="4" t="inlineStr">
        <is>
          <t>https://www.mossigvignoble.fr/formulaire-de-contact/</t>
        </is>
      </c>
      <c r="P914" s="4" t="inlineStr">
        <is>
          <t>https://lannuaire.service-public.gouv.fr/grand-est/bas-rhin/e14b71c9-8bef-4d09-a227-f8c590f3be31</t>
        </is>
      </c>
      <c r="Q914" t="inlineStr">
        <is>
          <t>Annuaire Service-public.fr</t>
        </is>
      </c>
      <c r="R914" t="inlineStr"/>
      <c r="S914" t="inlineStr"/>
      <c r="T914" t="inlineStr"/>
    </row>
    <row r="915">
      <c r="A915" t="inlineStr">
        <is>
          <t>CC de la Plaine du Rhin</t>
        </is>
      </c>
      <c r="B915" t="inlineStr">
        <is>
          <t>Communauté de communes</t>
        </is>
      </c>
      <c r="C915" t="inlineStr">
        <is>
          <t>200041283</t>
        </is>
      </c>
      <c r="D915" t="inlineStr">
        <is>
          <t>67</t>
        </is>
      </c>
      <c r="E915" t="inlineStr">
        <is>
          <t>Bas-Rhin</t>
        </is>
      </c>
      <c r="F915" t="inlineStr">
        <is>
          <t>Grand Est</t>
        </is>
      </c>
      <c r="G915" s="3" t="n">
        <v>18379</v>
      </c>
      <c r="H915" t="n">
        <v>19</v>
      </c>
      <c r="I915" t="inlineStr">
        <is>
          <t>3 rue Principale</t>
        </is>
      </c>
      <c r="J915" t="inlineStr">
        <is>
          <t>67930</t>
        </is>
      </c>
      <c r="K915" t="inlineStr">
        <is>
          <t>Beinheim</t>
        </is>
      </c>
      <c r="L915" t="inlineStr">
        <is>
          <t>03 88 53 08 20</t>
        </is>
      </c>
      <c r="M915" s="4" t="inlineStr">
        <is>
          <t>contact@cc-plaine-rhin.fr</t>
        </is>
      </c>
      <c r="N915" s="4" t="inlineStr">
        <is>
          <t>https://cc-plaine-rhin.fr/</t>
        </is>
      </c>
      <c r="O915" s="4" t="inlineStr">
        <is>
          <t>https://cc-plaine-rhin.fr/informations/formulaire-de-contact/</t>
        </is>
      </c>
      <c r="P915" s="4" t="inlineStr">
        <is>
          <t>https://lannuaire.service-public.gouv.fr/grand-est/bas-rhin/c1cade55-6446-49b5-b8d8-14beab28ec76</t>
        </is>
      </c>
      <c r="Q915" t="inlineStr">
        <is>
          <t>Annuaire Service-public.fr</t>
        </is>
      </c>
      <c r="R915" t="inlineStr"/>
      <c r="S915" t="inlineStr"/>
      <c r="T915" t="inlineStr"/>
    </row>
    <row r="916">
      <c r="A916" t="inlineStr">
        <is>
          <t>CC de la Région de Molsheim-Mutzig</t>
        </is>
      </c>
      <c r="B916" t="inlineStr">
        <is>
          <t>Communauté de communes</t>
        </is>
      </c>
      <c r="C916" t="inlineStr">
        <is>
          <t>246701064</t>
        </is>
      </c>
      <c r="D916" t="inlineStr">
        <is>
          <t>67</t>
        </is>
      </c>
      <c r="E916" t="inlineStr">
        <is>
          <t>Bas-Rhin</t>
        </is>
      </c>
      <c r="F916" t="inlineStr">
        <is>
          <t>Grand Est</t>
        </is>
      </c>
      <c r="G916" s="3" t="n">
        <v>40929</v>
      </c>
      <c r="H916" t="n">
        <v>18</v>
      </c>
      <c r="I916" t="inlineStr">
        <is>
          <t>2 route Écospace</t>
        </is>
      </c>
      <c r="J916" t="inlineStr">
        <is>
          <t>67120</t>
        </is>
      </c>
      <c r="K916" t="inlineStr">
        <is>
          <t>Molsheim</t>
        </is>
      </c>
      <c r="L916" t="inlineStr">
        <is>
          <t>03 88 49 82 58</t>
        </is>
      </c>
      <c r="M916" s="4" t="inlineStr">
        <is>
          <t>secretariat@cc-molsheim-mutzig.fr</t>
        </is>
      </c>
      <c r="N916" s="4" t="inlineStr">
        <is>
          <t>https://www.cc-molsheim-mutzig.fr/</t>
        </is>
      </c>
      <c r="O916" s="4" t="inlineStr">
        <is>
          <t>https://www.cc-molsheim-mutzig.fr/contact.htm</t>
        </is>
      </c>
      <c r="P916" s="4" t="inlineStr">
        <is>
          <t>https://lannuaire.service-public.gouv.fr/grand-est/bas-rhin/838b4dd8-03a6-432b-bade-8d60fcd8a874</t>
        </is>
      </c>
      <c r="Q916" t="inlineStr">
        <is>
          <t>Annuaire Service-public.fr</t>
        </is>
      </c>
      <c r="R916" t="inlineStr"/>
      <c r="S916" t="inlineStr"/>
      <c r="T916" t="inlineStr"/>
    </row>
    <row r="917">
      <c r="A917" t="inlineStr">
        <is>
          <t>CC de la Vallée de Villé</t>
        </is>
      </c>
      <c r="B917" t="inlineStr">
        <is>
          <t>Communauté de communes</t>
        </is>
      </c>
      <c r="C917" t="inlineStr">
        <is>
          <t>246700777</t>
        </is>
      </c>
      <c r="D917" t="inlineStr">
        <is>
          <t>67</t>
        </is>
      </c>
      <c r="E917" t="inlineStr">
        <is>
          <t>Bas-Rhin</t>
        </is>
      </c>
      <c r="F917" t="inlineStr">
        <is>
          <t>Grand Est</t>
        </is>
      </c>
      <c r="G917" s="3" t="n">
        <v>10771</v>
      </c>
      <c r="H917" t="n">
        <v>18</v>
      </c>
      <c r="I917" t="inlineStr">
        <is>
          <t>1 rue Principale, Centre administratif</t>
        </is>
      </c>
      <c r="J917" t="inlineStr">
        <is>
          <t>67220</t>
        </is>
      </c>
      <c r="K917" t="inlineStr">
        <is>
          <t>Bassemberg</t>
        </is>
      </c>
      <c r="L917" t="inlineStr">
        <is>
          <t>03 88 58 91 65</t>
        </is>
      </c>
      <c r="M917" s="4" t="inlineStr">
        <is>
          <t>contact@valleedeville.fr</t>
        </is>
      </c>
      <c r="N917" s="4" t="inlineStr">
        <is>
          <t>https://cdc.valleedeville.fr/</t>
        </is>
      </c>
      <c r="O917" t="inlineStr"/>
      <c r="P917" s="4" t="inlineStr">
        <is>
          <t>https://lannuaire.service-public.gouv.fr/grand-est/bas-rhin/cc17ab82-7f03-4766-ab8a-0d3f538cb5a8</t>
        </is>
      </c>
      <c r="Q917" t="inlineStr">
        <is>
          <t>Annuaire Service-public.fr</t>
        </is>
      </c>
      <c r="R917" t="inlineStr"/>
      <c r="S917" t="inlineStr"/>
      <c r="T917" t="inlineStr"/>
    </row>
    <row r="918">
      <c r="A918" t="inlineStr">
        <is>
          <t>CC de la Vallée de la Bruche</t>
        </is>
      </c>
      <c r="B918" t="inlineStr">
        <is>
          <t>Communauté de communes</t>
        </is>
      </c>
      <c r="C918" t="inlineStr">
        <is>
          <t>246700306</t>
        </is>
      </c>
      <c r="D918" t="inlineStr">
        <is>
          <t>67</t>
        </is>
      </c>
      <c r="E918" t="inlineStr">
        <is>
          <t>Bas-Rhin</t>
        </is>
      </c>
      <c r="F918" t="inlineStr">
        <is>
          <t>Grand Est</t>
        </is>
      </c>
      <c r="G918" s="3" t="n">
        <v>20517</v>
      </c>
      <c r="H918" t="n">
        <v>26</v>
      </c>
      <c r="I918" t="inlineStr">
        <is>
          <t>114 Grand'Rue</t>
        </is>
      </c>
      <c r="J918" t="inlineStr">
        <is>
          <t>67130</t>
        </is>
      </c>
      <c r="K918" t="inlineStr">
        <is>
          <t>Schirmeck</t>
        </is>
      </c>
      <c r="L918" t="inlineStr">
        <is>
          <t>03 88 97 86 20</t>
        </is>
      </c>
      <c r="M918" s="4" t="inlineStr">
        <is>
          <t>contact@valleedelabruche.fr</t>
        </is>
      </c>
      <c r="N918" s="4" t="inlineStr">
        <is>
          <t>https://cc.valleedelabruche.fr/</t>
        </is>
      </c>
      <c r="O918" t="inlineStr"/>
      <c r="P918" s="4" t="inlineStr">
        <is>
          <t>https://lannuaire.service-public.gouv.fr/grand-est/bas-rhin/89239143-8b09-4e97-8117-a6c380ec7e22</t>
        </is>
      </c>
      <c r="Q918" t="inlineStr">
        <is>
          <t>Annuaire Service-public.fr</t>
        </is>
      </c>
      <c r="R918" t="inlineStr"/>
      <c r="S918" t="inlineStr"/>
      <c r="T918" t="inlineStr"/>
    </row>
    <row r="919">
      <c r="A919" t="inlineStr">
        <is>
          <t>CC des Portes de Rosheim</t>
        </is>
      </c>
      <c r="B919" t="inlineStr">
        <is>
          <t>Communauté de communes</t>
        </is>
      </c>
      <c r="C919" t="inlineStr">
        <is>
          <t>246700744</t>
        </is>
      </c>
      <c r="D919" t="inlineStr">
        <is>
          <t>67</t>
        </is>
      </c>
      <c r="E919" t="inlineStr">
        <is>
          <t>Bas-Rhin</t>
        </is>
      </c>
      <c r="F919" t="inlineStr">
        <is>
          <t>Grand Est</t>
        </is>
      </c>
      <c r="G919" s="3" t="n">
        <v>18395</v>
      </c>
      <c r="H919" t="n">
        <v>9</v>
      </c>
      <c r="I919" t="inlineStr">
        <is>
          <t>86 bis place de la République, BP 58</t>
        </is>
      </c>
      <c r="J919" t="inlineStr">
        <is>
          <t>67560</t>
        </is>
      </c>
      <c r="K919" t="inlineStr">
        <is>
          <t>Rosheim</t>
        </is>
      </c>
      <c r="L919" t="inlineStr">
        <is>
          <t>03 88 50 47 16</t>
        </is>
      </c>
      <c r="M919" s="4" t="inlineStr">
        <is>
          <t>courrier@ccp-r.fr</t>
        </is>
      </c>
      <c r="N919" s="4" t="inlineStr">
        <is>
          <t>https://www.cc-portesderosheim.fr/</t>
        </is>
      </c>
      <c r="O919" s="4" t="inlineStr">
        <is>
          <t>https://www.cc-portesderosheim.fr/formulaire-de-contact/</t>
        </is>
      </c>
      <c r="P919" s="4" t="inlineStr">
        <is>
          <t>https://lannuaire.service-public.gouv.fr/grand-est/bas-rhin/6d42e6d7-3d0e-4068-a804-b0fef0b3f278</t>
        </is>
      </c>
      <c r="Q919" t="inlineStr">
        <is>
          <t>Annuaire Service-public.fr</t>
        </is>
      </c>
      <c r="R919" t="inlineStr"/>
      <c r="S919" t="inlineStr"/>
      <c r="T919" t="inlineStr"/>
    </row>
    <row r="920">
      <c r="A920" t="inlineStr">
        <is>
          <t>CC du Canton d'Erstein</t>
        </is>
      </c>
      <c r="B920" t="inlineStr">
        <is>
          <t>Communauté de communes</t>
        </is>
      </c>
      <c r="C920" t="inlineStr">
        <is>
          <t>200067924</t>
        </is>
      </c>
      <c r="D920" t="inlineStr">
        <is>
          <t>67</t>
        </is>
      </c>
      <c r="E920" t="inlineStr">
        <is>
          <t>Bas-Rhin</t>
        </is>
      </c>
      <c r="F920" t="inlineStr">
        <is>
          <t>Grand Est</t>
        </is>
      </c>
      <c r="G920" s="3" t="n">
        <v>49088</v>
      </c>
      <c r="H920" t="n">
        <v>28</v>
      </c>
      <c r="I920" t="inlineStr">
        <is>
          <t>1 rue des 11-Communes</t>
        </is>
      </c>
      <c r="J920" t="inlineStr">
        <is>
          <t>67230</t>
        </is>
      </c>
      <c r="K920" t="inlineStr">
        <is>
          <t>Benfeld</t>
        </is>
      </c>
      <c r="L920" t="inlineStr">
        <is>
          <t>03 88 74 50 00</t>
        </is>
      </c>
      <c r="M920" s="4" t="inlineStr">
        <is>
          <t>contact@cc-erstein.fr</t>
        </is>
      </c>
      <c r="N920" s="4" t="inlineStr">
        <is>
          <t>https://www.cc-erstein.fr/</t>
        </is>
      </c>
      <c r="O920" t="inlineStr"/>
      <c r="P920" s="4" t="inlineStr">
        <is>
          <t>https://lannuaire.service-public.gouv.fr/grand-est/bas-rhin/f05f0280-b177-47d2-bcc1-6ead4de3cc9f</t>
        </is>
      </c>
      <c r="Q920" t="inlineStr">
        <is>
          <t>Annuaire Service-public.fr</t>
        </is>
      </c>
      <c r="R920" t="inlineStr"/>
      <c r="S920" t="inlineStr"/>
      <c r="T920" t="inlineStr"/>
    </row>
    <row r="921">
      <c r="A921" t="inlineStr">
        <is>
          <t>CC du Kochersberg</t>
        </is>
      </c>
      <c r="B921" t="inlineStr">
        <is>
          <t>Communauté de communes</t>
        </is>
      </c>
      <c r="C921" t="inlineStr">
        <is>
          <t>200034635</t>
        </is>
      </c>
      <c r="D921" t="inlineStr">
        <is>
          <t>67</t>
        </is>
      </c>
      <c r="E921" t="inlineStr">
        <is>
          <t>Bas-Rhin</t>
        </is>
      </c>
      <c r="F921" t="inlineStr">
        <is>
          <t>Grand Est</t>
        </is>
      </c>
      <c r="G921" s="3" t="n">
        <v>26637</v>
      </c>
      <c r="H921" t="n">
        <v>23</v>
      </c>
      <c r="I921" t="inlineStr">
        <is>
          <t>32 rue des Romains</t>
        </is>
      </c>
      <c r="J921" t="inlineStr">
        <is>
          <t>67370</t>
        </is>
      </c>
      <c r="K921" t="inlineStr">
        <is>
          <t>Truchtersheim</t>
        </is>
      </c>
      <c r="L921" t="inlineStr">
        <is>
          <t>03 88 69 76 29</t>
        </is>
      </c>
      <c r="M921" s="4" t="inlineStr">
        <is>
          <t>com.com@kochersberg.fr</t>
        </is>
      </c>
      <c r="N921" s="4" t="inlineStr">
        <is>
          <t>https://www.kochersberg.fr/</t>
        </is>
      </c>
      <c r="O921" s="4" t="inlineStr">
        <is>
          <t>https://www.kochersberg.fr/Divers/Nous-contacter.html</t>
        </is>
      </c>
      <c r="P921" s="4" t="inlineStr">
        <is>
          <t>https://lannuaire.service-public.gouv.fr/grand-est/bas-rhin/e7e4ca35-1db7-4975-a92f-5e927cc8efe7</t>
        </is>
      </c>
      <c r="Q921" t="inlineStr">
        <is>
          <t>Annuaire Service-public.fr</t>
        </is>
      </c>
      <c r="R921" t="inlineStr"/>
      <c r="S921" t="inlineStr"/>
      <c r="T921" t="inlineStr"/>
    </row>
    <row r="922">
      <c r="A922" t="inlineStr">
        <is>
          <t>CC du Pays Rhénan</t>
        </is>
      </c>
      <c r="B922" t="inlineStr">
        <is>
          <t>Communauté de communes</t>
        </is>
      </c>
      <c r="C922" t="inlineStr">
        <is>
          <t>200041325</t>
        </is>
      </c>
      <c r="D922" t="inlineStr">
        <is>
          <t>67</t>
        </is>
      </c>
      <c r="E922" t="inlineStr">
        <is>
          <t>Bas-Rhin</t>
        </is>
      </c>
      <c r="F922" t="inlineStr">
        <is>
          <t>Grand Est</t>
        </is>
      </c>
      <c r="G922" s="3" t="n">
        <v>37259</v>
      </c>
      <c r="H922" t="n">
        <v>17</v>
      </c>
      <c r="I922" t="inlineStr">
        <is>
          <t>1 A route de Herrlisheim, Communauté de communes</t>
        </is>
      </c>
      <c r="J922" t="inlineStr">
        <is>
          <t>67410</t>
        </is>
      </c>
      <c r="K922" t="inlineStr">
        <is>
          <t>Drusenheim</t>
        </is>
      </c>
      <c r="L922" t="inlineStr">
        <is>
          <t>03 88 06 74 30</t>
        </is>
      </c>
      <c r="M922" s="4" t="inlineStr">
        <is>
          <t>contact@cc-paysrhenan.fr</t>
        </is>
      </c>
      <c r="N922" s="4" t="inlineStr">
        <is>
          <t>https://www.cc-paysrhenan.fr/</t>
        </is>
      </c>
      <c r="O922" s="4" t="inlineStr">
        <is>
          <t>https://www.cc-paysrhenan.fr/Contact.html</t>
        </is>
      </c>
      <c r="P922" s="4" t="inlineStr">
        <is>
          <t>https://lannuaire.service-public.gouv.fr/grand-est/bas-rhin/a0069d80-5201-4958-9234-def67f592adc</t>
        </is>
      </c>
      <c r="Q922" t="inlineStr">
        <is>
          <t>Annuaire Service-public.fr</t>
        </is>
      </c>
      <c r="R922" t="inlineStr"/>
      <c r="S922" t="inlineStr"/>
      <c r="T922" t="inlineStr"/>
    </row>
    <row r="923">
      <c r="A923" t="inlineStr">
        <is>
          <t>CC du Pays de Barr</t>
        </is>
      </c>
      <c r="B923" t="inlineStr">
        <is>
          <t>Communauté de communes</t>
        </is>
      </c>
      <c r="C923" t="inlineStr">
        <is>
          <t>200034270</t>
        </is>
      </c>
      <c r="D923" t="inlineStr">
        <is>
          <t>67</t>
        </is>
      </c>
      <c r="E923" t="inlineStr">
        <is>
          <t>Bas-Rhin</t>
        </is>
      </c>
      <c r="F923" t="inlineStr">
        <is>
          <t>Grand Est</t>
        </is>
      </c>
      <c r="G923" s="3" t="n">
        <v>23882</v>
      </c>
      <c r="H923" t="n">
        <v>20</v>
      </c>
      <c r="I923" t="inlineStr">
        <is>
          <t>57 rue de la Kirneck</t>
        </is>
      </c>
      <c r="J923" t="inlineStr">
        <is>
          <t>67140</t>
        </is>
      </c>
      <c r="K923" t="inlineStr">
        <is>
          <t>Barr</t>
        </is>
      </c>
      <c r="L923" t="inlineStr">
        <is>
          <t>03 88 58 52 22</t>
        </is>
      </c>
      <c r="M923" s="4" t="inlineStr">
        <is>
          <t>contact@paysdebarr.fr</t>
        </is>
      </c>
      <c r="N923" s="4" t="inlineStr">
        <is>
          <t>https://www.paysdebarr.fr/</t>
        </is>
      </c>
      <c r="O923" s="4" t="inlineStr">
        <is>
          <t>https://www.paysdebarr.fr/fr/nous-contacter</t>
        </is>
      </c>
      <c r="P923" s="4" t="inlineStr">
        <is>
          <t>https://lannuaire.service-public.gouv.fr/grand-est/bas-rhin/4bc43939-5e5c-459e-b54d-ab0484055d3a</t>
        </is>
      </c>
      <c r="Q923" t="inlineStr">
        <is>
          <t>Annuaire Service-public.fr</t>
        </is>
      </c>
      <c r="R923" t="inlineStr"/>
      <c r="S923" t="inlineStr"/>
      <c r="T923" t="inlineStr"/>
    </row>
    <row r="924">
      <c r="A924" t="inlineStr">
        <is>
          <t>CC du Pays de Niederbronn-les-Bains</t>
        </is>
      </c>
      <c r="B924" t="inlineStr">
        <is>
          <t>Communauté de communes</t>
        </is>
      </c>
      <c r="C924" t="inlineStr">
        <is>
          <t>246701098</t>
        </is>
      </c>
      <c r="D924" t="inlineStr">
        <is>
          <t>67</t>
        </is>
      </c>
      <c r="E924" t="inlineStr">
        <is>
          <t>Bas-Rhin</t>
        </is>
      </c>
      <c r="F924" t="inlineStr">
        <is>
          <t>Grand Est</t>
        </is>
      </c>
      <c r="G924" s="3" t="n">
        <v>23291</v>
      </c>
      <c r="H924" t="n">
        <v>13</v>
      </c>
      <c r="I924" t="inlineStr">
        <is>
          <t>5 place du Bureau-Central</t>
        </is>
      </c>
      <c r="J924" t="inlineStr">
        <is>
          <t>67110</t>
        </is>
      </c>
      <c r="K924" t="inlineStr">
        <is>
          <t>Nierdebronn-les-Bains</t>
        </is>
      </c>
      <c r="L924" t="inlineStr">
        <is>
          <t>03 88 05 86 86</t>
        </is>
      </c>
      <c r="M924" s="4" t="inlineStr">
        <is>
          <t>contact@ccpaysniederbronn.fr</t>
        </is>
      </c>
      <c r="N924" s="4" t="inlineStr">
        <is>
          <t>https://www.ccpaysniederbronn.fr/</t>
        </is>
      </c>
      <c r="O924" s="4" t="inlineStr">
        <is>
          <t>https://www.ccpaysniederbronn.fr/Nous-contacter.html</t>
        </is>
      </c>
      <c r="P924" s="4" t="inlineStr">
        <is>
          <t>https://lannuaire.service-public.gouv.fr/grand-est/bas-rhin/324e636a-9094-457e-88fb-036c812cfbd2</t>
        </is>
      </c>
      <c r="Q924" t="inlineStr">
        <is>
          <t>Annuaire Service-public.fr</t>
        </is>
      </c>
      <c r="R924" t="inlineStr"/>
      <c r="S924" t="inlineStr"/>
      <c r="T924" t="inlineStr"/>
    </row>
    <row r="925">
      <c r="A925" t="inlineStr">
        <is>
          <t>CC du Pays de Sainte-Odile</t>
        </is>
      </c>
      <c r="B925" t="inlineStr">
        <is>
          <t>Communauté de communes</t>
        </is>
      </c>
      <c r="C925" t="inlineStr">
        <is>
          <t>246701080</t>
        </is>
      </c>
      <c r="D925" t="inlineStr">
        <is>
          <t>67</t>
        </is>
      </c>
      <c r="E925" t="inlineStr">
        <is>
          <t>Bas-Rhin</t>
        </is>
      </c>
      <c r="F925" t="inlineStr">
        <is>
          <t>Grand Est</t>
        </is>
      </c>
      <c r="G925" s="3" t="n">
        <v>19552</v>
      </c>
      <c r="H925" t="n">
        <v>6</v>
      </c>
      <c r="I925" t="inlineStr">
        <is>
          <t>38 rue du Maréchal-Koenig, CS 5085</t>
        </is>
      </c>
      <c r="J925" t="inlineStr">
        <is>
          <t>67213</t>
        </is>
      </c>
      <c r="K925" t="inlineStr">
        <is>
          <t>Obernai Cedex</t>
        </is>
      </c>
      <c r="L925" t="inlineStr">
        <is>
          <t>03 88 95 53 52</t>
        </is>
      </c>
      <c r="M925" s="4" t="inlineStr">
        <is>
          <t>ccpso@ccpso.com</t>
        </is>
      </c>
      <c r="N925" s="4" t="inlineStr">
        <is>
          <t>http://www.cc-paysdesainteodile.fr</t>
        </is>
      </c>
      <c r="O925" s="4" t="inlineStr">
        <is>
          <t>http://www.cc-paysdesainteodile.fr/contact/</t>
        </is>
      </c>
      <c r="P925" s="4" t="inlineStr">
        <is>
          <t>https://lannuaire.service-public.gouv.fr/grand-est/bas-rhin/1cc87d8c-9830-4933-909f-0bf5183bc430</t>
        </is>
      </c>
      <c r="Q925" t="inlineStr">
        <is>
          <t>Annuaire Service-public.fr</t>
        </is>
      </c>
      <c r="R925" t="inlineStr"/>
      <c r="S925" t="inlineStr"/>
      <c r="T925" t="inlineStr"/>
    </row>
    <row r="926">
      <c r="A926" t="inlineStr">
        <is>
          <t>CC du Pays de Saverne</t>
        </is>
      </c>
      <c r="B926" t="inlineStr">
        <is>
          <t>Communauté de communes</t>
        </is>
      </c>
      <c r="C926" t="inlineStr">
        <is>
          <t>200068112</t>
        </is>
      </c>
      <c r="D926" t="inlineStr">
        <is>
          <t>67</t>
        </is>
      </c>
      <c r="E926" t="inlineStr">
        <is>
          <t>Bas-Rhin</t>
        </is>
      </c>
      <c r="F926" t="inlineStr">
        <is>
          <t>Grand Est</t>
        </is>
      </c>
      <c r="G926" s="3" t="n">
        <v>35675</v>
      </c>
      <c r="H926" t="n">
        <v>35</v>
      </c>
      <c r="I926" t="inlineStr">
        <is>
          <t>16 rue du Zornhoff</t>
        </is>
      </c>
      <c r="J926" t="inlineStr">
        <is>
          <t>67700</t>
        </is>
      </c>
      <c r="K926" t="inlineStr">
        <is>
          <t>Saverne</t>
        </is>
      </c>
      <c r="L926" t="inlineStr">
        <is>
          <t>03 88 71 12 29</t>
        </is>
      </c>
      <c r="M926" s="4" t="inlineStr">
        <is>
          <t>contact@cc-saverne.fr</t>
        </is>
      </c>
      <c r="N926" s="4" t="inlineStr">
        <is>
          <t>https://www.cc-paysdesaverne.fr/</t>
        </is>
      </c>
      <c r="O926" t="inlineStr"/>
      <c r="P926" s="4" t="inlineStr">
        <is>
          <t>https://lannuaire.service-public.gouv.fr/grand-est/bas-rhin/08215e48-479d-429c-b7be-9634644fbda9</t>
        </is>
      </c>
      <c r="Q926" t="inlineStr">
        <is>
          <t>Annuaire Service-public.fr</t>
        </is>
      </c>
      <c r="R926" t="inlineStr"/>
      <c r="S926" t="inlineStr"/>
      <c r="T926" t="inlineStr"/>
    </row>
    <row r="927">
      <c r="A927" t="inlineStr">
        <is>
          <t>CC du Pays de Wissembourg</t>
        </is>
      </c>
      <c r="B927" t="inlineStr">
        <is>
          <t>Communauté de communes</t>
        </is>
      </c>
      <c r="C927" t="inlineStr">
        <is>
          <t>246700926</t>
        </is>
      </c>
      <c r="D927" t="inlineStr">
        <is>
          <t>67</t>
        </is>
      </c>
      <c r="E927" t="inlineStr">
        <is>
          <t>Bas-Rhin</t>
        </is>
      </c>
      <c r="F927" t="inlineStr">
        <is>
          <t>Grand Est</t>
        </is>
      </c>
      <c r="G927" s="3" t="n">
        <v>15749</v>
      </c>
      <c r="H927" t="n">
        <v>12</v>
      </c>
      <c r="I927" t="inlineStr">
        <is>
          <t>4 quai du 24-Novembre, BP 80023</t>
        </is>
      </c>
      <c r="J927" t="inlineStr">
        <is>
          <t>67161</t>
        </is>
      </c>
      <c r="K927" t="inlineStr">
        <is>
          <t>Wissembourg Cedex</t>
        </is>
      </c>
      <c r="L927" t="inlineStr">
        <is>
          <t>03 88 05 35 50</t>
        </is>
      </c>
      <c r="M927" s="4" t="inlineStr">
        <is>
          <t>infos@cc-pays-wissembourg.fr</t>
        </is>
      </c>
      <c r="N927" s="4" t="inlineStr">
        <is>
          <t>https://www.cc-pays-wissembourg.fr/</t>
        </is>
      </c>
      <c r="O927" s="4" t="inlineStr">
        <is>
          <t>https://www.cc-pays-wissembourg.fr/fr/Contact.html</t>
        </is>
      </c>
      <c r="P927" s="4" t="inlineStr">
        <is>
          <t>https://lannuaire.service-public.gouv.fr/grand-est/bas-rhin/ea5e77ed-6740-4114-bde1-115e79aee82c</t>
        </is>
      </c>
      <c r="Q927" t="inlineStr">
        <is>
          <t>Annuaire Service-public.fr</t>
        </is>
      </c>
      <c r="R927" t="inlineStr"/>
      <c r="S927" t="inlineStr"/>
      <c r="T927" t="inlineStr"/>
    </row>
    <row r="928">
      <c r="A928" t="inlineStr">
        <is>
          <t>CC du Pays de la Zorn</t>
        </is>
      </c>
      <c r="B928" t="inlineStr">
        <is>
          <t>Communauté de communes</t>
        </is>
      </c>
      <c r="C928" t="inlineStr">
        <is>
          <t>246700959</t>
        </is>
      </c>
      <c r="D928" t="inlineStr">
        <is>
          <t>67</t>
        </is>
      </c>
      <c r="E928" t="inlineStr">
        <is>
          <t>Bas-Rhin</t>
        </is>
      </c>
      <c r="F928" t="inlineStr">
        <is>
          <t>Grand Est</t>
        </is>
      </c>
      <c r="G928" s="3" t="n">
        <v>16195</v>
      </c>
      <c r="H928" t="n">
        <v>20</v>
      </c>
      <c r="I928" t="inlineStr">
        <is>
          <t>43 Rte De Strasbourg</t>
        </is>
      </c>
      <c r="J928" t="inlineStr">
        <is>
          <t>67270</t>
        </is>
      </c>
      <c r="K928" t="inlineStr">
        <is>
          <t>Hochfelden</t>
        </is>
      </c>
      <c r="L928" t="inlineStr"/>
      <c r="M928" t="inlineStr"/>
      <c r="N928" t="inlineStr"/>
      <c r="O928" t="inlineStr"/>
      <c r="P928" t="inlineStr"/>
      <c r="Q928" t="inlineStr">
        <is>
          <t>SIRENE (siège) : pas de fiche dans l’annuaire</t>
        </is>
      </c>
      <c r="R928" t="inlineStr"/>
      <c r="S928" t="inlineStr"/>
      <c r="T928" t="inlineStr"/>
    </row>
    <row r="929">
      <c r="A929" t="inlineStr">
        <is>
          <t>Eurométropole de Strasbourg</t>
        </is>
      </c>
      <c r="B929" t="inlineStr">
        <is>
          <t>Métropole</t>
        </is>
      </c>
      <c r="C929" t="inlineStr">
        <is>
          <t>246700488</t>
        </is>
      </c>
      <c r="D929" t="inlineStr">
        <is>
          <t>67</t>
        </is>
      </c>
      <c r="E929" t="inlineStr">
        <is>
          <t>Bas-Rhin</t>
        </is>
      </c>
      <c r="F929" t="inlineStr">
        <is>
          <t>Grand Est</t>
        </is>
      </c>
      <c r="G929" s="3" t="n">
        <v>517386</v>
      </c>
      <c r="H929" t="n">
        <v>33</v>
      </c>
      <c r="I929" t="inlineStr">
        <is>
          <t>1 parc de l'Étoile, Centre administratif</t>
        </is>
      </c>
      <c r="J929" t="inlineStr">
        <is>
          <t>67000</t>
        </is>
      </c>
      <c r="K929" t="inlineStr">
        <is>
          <t>Strasbourg</t>
        </is>
      </c>
      <c r="L929" t="inlineStr">
        <is>
          <t>03 68 98 51 32</t>
        </is>
      </c>
      <c r="M929" t="inlineStr"/>
      <c r="N929" s="4" t="inlineStr">
        <is>
          <t>https://www.strasbourg.eu/</t>
        </is>
      </c>
      <c r="O929" s="4" t="inlineStr">
        <is>
          <t>https://demarches.strasbourg.eu/contactez-nous/contactez-nous/</t>
        </is>
      </c>
      <c r="P929" s="4" t="inlineStr">
        <is>
          <t>https://lannuaire.service-public.gouv.fr/grand-est/bas-rhin/db057bfd-ee8f-49eb-83a9-156c8f87bc3a</t>
        </is>
      </c>
      <c r="Q929" t="inlineStr">
        <is>
          <t>Annuaire Service-public.fr</t>
        </is>
      </c>
      <c r="R929" t="inlineStr"/>
      <c r="S929" t="inlineStr"/>
      <c r="T929" t="inlineStr"/>
    </row>
    <row r="930">
      <c r="A930" t="inlineStr">
        <is>
          <t>CC du Ried de Marckolsheim</t>
        </is>
      </c>
      <c r="B930" t="inlineStr">
        <is>
          <t>Communauté de communes</t>
        </is>
      </c>
      <c r="C930" t="inlineStr">
        <is>
          <t>200030526</t>
        </is>
      </c>
      <c r="D930" t="inlineStr">
        <is>
          <t>67, 68</t>
        </is>
      </c>
      <c r="E930" t="inlineStr">
        <is>
          <t>Bas-Rhin, Haut-Rhin</t>
        </is>
      </c>
      <c r="F930" t="inlineStr">
        <is>
          <t>Grand Est</t>
        </is>
      </c>
      <c r="G930" s="3" t="n">
        <v>20664</v>
      </c>
      <c r="H930" t="n">
        <v>18</v>
      </c>
      <c r="I930" t="inlineStr">
        <is>
          <t>24 rue du Maréchal-Foch, BP 50034</t>
        </is>
      </c>
      <c r="J930" t="inlineStr">
        <is>
          <t>67390</t>
        </is>
      </c>
      <c r="K930" t="inlineStr">
        <is>
          <t>Marckolsheim</t>
        </is>
      </c>
      <c r="L930" t="inlineStr">
        <is>
          <t>03 88 92 53 73</t>
        </is>
      </c>
      <c r="M930" s="4" t="inlineStr">
        <is>
          <t>contact@ried-marckolsheim.fr</t>
        </is>
      </c>
      <c r="N930" s="4" t="inlineStr">
        <is>
          <t>https://www.ried-marckolsheim.fr/</t>
        </is>
      </c>
      <c r="O930" s="4" t="inlineStr">
        <is>
          <t>https://www.ried-marckolsheim.fr/contactez-nous</t>
        </is>
      </c>
      <c r="P930" s="4" t="inlineStr">
        <is>
          <t>https://lannuaire.service-public.gouv.fr/grand-est/bas-rhin/5b0ac28f-73b8-4a2f-9986-84aafd37effa</t>
        </is>
      </c>
      <c r="Q930" t="inlineStr">
        <is>
          <t>Annuaire Service-public.fr</t>
        </is>
      </c>
      <c r="R930" t="inlineStr"/>
      <c r="S930" t="inlineStr"/>
      <c r="T930" t="inlineStr"/>
    </row>
    <row r="931">
      <c r="A931" t="inlineStr">
        <is>
          <t>CA Colmar Agglomération</t>
        </is>
      </c>
      <c r="B931" t="inlineStr">
        <is>
          <t>Communauté d’agglomération</t>
        </is>
      </c>
      <c r="C931" t="inlineStr">
        <is>
          <t>246800726</t>
        </is>
      </c>
      <c r="D931" t="inlineStr">
        <is>
          <t>68</t>
        </is>
      </c>
      <c r="E931" t="inlineStr">
        <is>
          <t>Haut-Rhin</t>
        </is>
      </c>
      <c r="F931" t="inlineStr">
        <is>
          <t>Grand Est</t>
        </is>
      </c>
      <c r="G931" s="3" t="n">
        <v>113600</v>
      </c>
      <c r="H931" t="n">
        <v>20</v>
      </c>
      <c r="I931" t="inlineStr">
        <is>
          <t>32 cours Sainte-Anne, BP 80197</t>
        </is>
      </c>
      <c r="J931" t="inlineStr">
        <is>
          <t>68004</t>
        </is>
      </c>
      <c r="K931" t="inlineStr">
        <is>
          <t>Colmar Cedex</t>
        </is>
      </c>
      <c r="L931" t="inlineStr">
        <is>
          <t>03 69 99 55 55</t>
        </is>
      </c>
      <c r="M931" s="4" t="inlineStr">
        <is>
          <t>contact@agglo-colmar.fr</t>
        </is>
      </c>
      <c r="N931" s="4" t="inlineStr">
        <is>
          <t>https://www.agglo-colmar.fr/</t>
        </is>
      </c>
      <c r="O931" t="inlineStr"/>
      <c r="P931" s="4" t="inlineStr">
        <is>
          <t>https://lannuaire.service-public.gouv.fr/grand-est/haut-rhin/d5d2347e-8656-4a5a-95f5-d1afb887c009</t>
        </is>
      </c>
      <c r="Q931" t="inlineStr">
        <is>
          <t>Annuaire Service-public.fr</t>
        </is>
      </c>
      <c r="R931" t="inlineStr"/>
      <c r="S931" t="inlineStr"/>
      <c r="T931" t="inlineStr"/>
    </row>
    <row r="932">
      <c r="A932" t="inlineStr">
        <is>
          <t>CA Mulhouse Alsace Agglomération</t>
        </is>
      </c>
      <c r="B932" t="inlineStr">
        <is>
          <t>Communauté d’agglomération</t>
        </is>
      </c>
      <c r="C932" t="inlineStr">
        <is>
          <t>200066009</t>
        </is>
      </c>
      <c r="D932" t="inlineStr">
        <is>
          <t>68</t>
        </is>
      </c>
      <c r="E932" t="inlineStr">
        <is>
          <t>Haut-Rhin</t>
        </is>
      </c>
      <c r="F932" t="inlineStr">
        <is>
          <t>Grand Est</t>
        </is>
      </c>
      <c r="G932" s="3" t="n">
        <v>272950</v>
      </c>
      <c r="H932" t="n">
        <v>39</v>
      </c>
      <c r="I932" t="inlineStr">
        <is>
          <t>9 avenue Konrad Adenauer</t>
        </is>
      </c>
      <c r="J932" t="inlineStr">
        <is>
          <t>68690</t>
        </is>
      </c>
      <c r="K932" t="inlineStr">
        <is>
          <t>Sausheim</t>
        </is>
      </c>
      <c r="L932" t="inlineStr">
        <is>
          <t>03 89 33 79 79</t>
        </is>
      </c>
      <c r="M932" s="4" t="inlineStr">
        <is>
          <t>mulhouse@mulhouse.fr</t>
        </is>
      </c>
      <c r="N932" s="4" t="inlineStr">
        <is>
          <t>https://www.m2a.fr/</t>
        </is>
      </c>
      <c r="O932" s="4" t="inlineStr">
        <is>
          <t>https://www.m2a.fr/contact/</t>
        </is>
      </c>
      <c r="P932" s="4" t="inlineStr">
        <is>
          <t>https://lannuaire.service-public.gouv.fr/grand-est/haut-rhin/ae46ad43-c37b-40d9-8b23-4105804085c9</t>
        </is>
      </c>
      <c r="Q932" t="inlineStr">
        <is>
          <t>Annuaire Service-public.fr</t>
        </is>
      </c>
      <c r="R932" t="inlineStr"/>
      <c r="S932" t="inlineStr"/>
      <c r="T932" t="inlineStr"/>
    </row>
    <row r="933">
      <c r="A933" t="inlineStr">
        <is>
          <t>CA Saint-Louis Agglomération</t>
        </is>
      </c>
      <c r="B933" t="inlineStr">
        <is>
          <t>Communauté d’agglomération</t>
        </is>
      </c>
      <c r="C933" t="inlineStr">
        <is>
          <t>200066058</t>
        </is>
      </c>
      <c r="D933" t="inlineStr">
        <is>
          <t>68</t>
        </is>
      </c>
      <c r="E933" t="inlineStr">
        <is>
          <t>Haut-Rhin</t>
        </is>
      </c>
      <c r="F933" t="inlineStr">
        <is>
          <t>Grand Est</t>
        </is>
      </c>
      <c r="G933" s="3" t="n">
        <v>84055</v>
      </c>
      <c r="H933" t="n">
        <v>40</v>
      </c>
      <c r="I933" t="inlineStr">
        <is>
          <t>Place de l'Hôtel-de-Ville</t>
        </is>
      </c>
      <c r="J933" t="inlineStr">
        <is>
          <t>68300</t>
        </is>
      </c>
      <c r="K933" t="inlineStr">
        <is>
          <t>Saint-Louis</t>
        </is>
      </c>
      <c r="L933" t="inlineStr">
        <is>
          <t>03 89 70 90 70</t>
        </is>
      </c>
      <c r="M933" s="4" t="inlineStr">
        <is>
          <t>direction@agglo-saint-louis.fr</t>
        </is>
      </c>
      <c r="N933" s="4" t="inlineStr">
        <is>
          <t>https://www.agglo-saint-louis.fr/fr/</t>
        </is>
      </c>
      <c r="O933" s="4" t="inlineStr">
        <is>
          <t>https://www.agglo-saint-louis.fr/fr/contact/</t>
        </is>
      </c>
      <c r="P933" s="4" t="inlineStr">
        <is>
          <t>https://lannuaire.service-public.gouv.fr/grand-est/haut-rhin/45b4105a-804b-4b55-ae0d-32d60d01f49e</t>
        </is>
      </c>
      <c r="Q933" t="inlineStr">
        <is>
          <t>Annuaire Service-public.fr</t>
        </is>
      </c>
      <c r="R933" t="inlineStr"/>
      <c r="S933" t="inlineStr"/>
      <c r="T933" t="inlineStr"/>
    </row>
    <row r="934">
      <c r="A934" t="inlineStr">
        <is>
          <t>CC Alsace Rhin Brisach</t>
        </is>
      </c>
      <c r="B934" t="inlineStr">
        <is>
          <t>Communauté de communes</t>
        </is>
      </c>
      <c r="C934" t="inlineStr">
        <is>
          <t>200066025</t>
        </is>
      </c>
      <c r="D934" t="inlineStr">
        <is>
          <t>68</t>
        </is>
      </c>
      <c r="E934" t="inlineStr">
        <is>
          <t>Haut-Rhin</t>
        </is>
      </c>
      <c r="F934" t="inlineStr">
        <is>
          <t>Grand Est</t>
        </is>
      </c>
      <c r="G934" s="3" t="n">
        <v>34031</v>
      </c>
      <c r="H934" t="n">
        <v>29</v>
      </c>
      <c r="I934" t="inlineStr">
        <is>
          <t>16 rue de Neuf-Brisach</t>
        </is>
      </c>
      <c r="J934" t="inlineStr">
        <is>
          <t>68600</t>
        </is>
      </c>
      <c r="K934" t="inlineStr">
        <is>
          <t>Volgelsheim</t>
        </is>
      </c>
      <c r="L934" t="inlineStr">
        <is>
          <t>03 89 72 56 49</t>
        </is>
      </c>
      <c r="M934" s="4" t="inlineStr">
        <is>
          <t>contact@alsacerhinbrisach.fr</t>
        </is>
      </c>
      <c r="N934" s="4" t="inlineStr">
        <is>
          <t>https://cc-alsacerhinbrisach.fr/</t>
        </is>
      </c>
      <c r="O934" s="4" t="inlineStr">
        <is>
          <t>https://www.paysrhinbrisach.fr/communaute-de-communes/contact-plan-dacces/</t>
        </is>
      </c>
      <c r="P934" s="4" t="inlineStr">
        <is>
          <t>https://lannuaire.service-public.gouv.fr/grand-est/haut-rhin/7c6f00ab-c570-402d-aed3-8d2da00aad09</t>
        </is>
      </c>
      <c r="Q934" t="inlineStr">
        <is>
          <t>Annuaire Service-public.fr</t>
        </is>
      </c>
      <c r="R934" t="inlineStr"/>
      <c r="S934" t="inlineStr"/>
      <c r="T934" t="inlineStr"/>
    </row>
    <row r="935">
      <c r="A935" t="inlineStr">
        <is>
          <t>CC Sud Alsace Largue</t>
        </is>
      </c>
      <c r="B935" t="inlineStr">
        <is>
          <t>Communauté de communes</t>
        </is>
      </c>
      <c r="C935" t="inlineStr">
        <is>
          <t>200066033</t>
        </is>
      </c>
      <c r="D935" t="inlineStr">
        <is>
          <t>68</t>
        </is>
      </c>
      <c r="E935" t="inlineStr">
        <is>
          <t>Haut-Rhin</t>
        </is>
      </c>
      <c r="F935" t="inlineStr">
        <is>
          <t>Grand Est</t>
        </is>
      </c>
      <c r="G935" s="3" t="n">
        <v>22331</v>
      </c>
      <c r="H935" t="n">
        <v>44</v>
      </c>
      <c r="I935" t="inlineStr">
        <is>
          <t>7 rue de Bâle</t>
        </is>
      </c>
      <c r="J935" t="inlineStr">
        <is>
          <t>68210</t>
        </is>
      </c>
      <c r="K935" t="inlineStr">
        <is>
          <t>Dannemarie</t>
        </is>
      </c>
      <c r="L935" t="inlineStr">
        <is>
          <t>03 89 07 24 24</t>
        </is>
      </c>
      <c r="M935" s="4" t="inlineStr">
        <is>
          <t>info@sudalsace-largue.fr</t>
        </is>
      </c>
      <c r="N935" s="4" t="inlineStr">
        <is>
          <t>https://www.sudalsace-largue.fr</t>
        </is>
      </c>
      <c r="O935" s="4" t="inlineStr">
        <is>
          <t>https://www.sudalsace-largue.fr/territoire-intercommunal/ecrivez-nous.htm</t>
        </is>
      </c>
      <c r="P935" s="4" t="inlineStr">
        <is>
          <t>https://lannuaire.service-public.gouv.fr/grand-est/haut-rhin/f2fae96d-8cf2-4ced-bee1-763c38e93016</t>
        </is>
      </c>
      <c r="Q935" t="inlineStr">
        <is>
          <t>Annuaire Service-public.fr</t>
        </is>
      </c>
      <c r="R935" t="inlineStr"/>
      <c r="S935" t="inlineStr"/>
      <c r="T935" t="inlineStr"/>
    </row>
    <row r="936">
      <c r="A936" t="inlineStr">
        <is>
          <t>CC Sundgau</t>
        </is>
      </c>
      <c r="B936" t="inlineStr">
        <is>
          <t>Communauté de communes</t>
        </is>
      </c>
      <c r="C936" t="inlineStr">
        <is>
          <t>200066041</t>
        </is>
      </c>
      <c r="D936" t="inlineStr">
        <is>
          <t>68</t>
        </is>
      </c>
      <c r="E936" t="inlineStr">
        <is>
          <t>Haut-Rhin</t>
        </is>
      </c>
      <c r="F936" t="inlineStr">
        <is>
          <t>Grand Est</t>
        </is>
      </c>
      <c r="G936" s="3" t="n">
        <v>47603</v>
      </c>
      <c r="H936" t="n">
        <v>64</v>
      </c>
      <c r="I936" t="inlineStr">
        <is>
          <t>Quartier Plessier, Avenue du 8ème régiment de Hussards</t>
        </is>
      </c>
      <c r="J936" t="inlineStr">
        <is>
          <t>68131</t>
        </is>
      </c>
      <c r="K936" t="inlineStr">
        <is>
          <t>Altkirch Cedex</t>
        </is>
      </c>
      <c r="L936" t="inlineStr">
        <is>
          <t>03 89 08 36 20</t>
        </is>
      </c>
      <c r="M936" s="4" t="inlineStr">
        <is>
          <t>accueil@cc-sundgau.fr</t>
        </is>
      </c>
      <c r="N936" s="4" t="inlineStr">
        <is>
          <t>https://www.cc-sundgau.fr/</t>
        </is>
      </c>
      <c r="O936" s="4" t="inlineStr">
        <is>
          <t>https://cc-sundgau.fr/formulaire-de-contact/</t>
        </is>
      </c>
      <c r="P936" s="4" t="inlineStr">
        <is>
          <t>https://lannuaire.service-public.gouv.fr/grand-est/haut-rhin/417d0bc2-a123-4de6-9021-da5b7ec5aab2</t>
        </is>
      </c>
      <c r="Q936" t="inlineStr">
        <is>
          <t>Annuaire Service-public.fr</t>
        </is>
      </c>
      <c r="R936" t="inlineStr"/>
      <c r="S936" t="inlineStr"/>
      <c r="T936" t="inlineStr"/>
    </row>
    <row r="937">
      <c r="A937" t="inlineStr">
        <is>
          <t>CC de Thann-Cernay</t>
        </is>
      </c>
      <c r="B937" t="inlineStr">
        <is>
          <t>Communauté de communes</t>
        </is>
      </c>
      <c r="C937" t="inlineStr">
        <is>
          <t>200036465</t>
        </is>
      </c>
      <c r="D937" t="inlineStr">
        <is>
          <t>68</t>
        </is>
      </c>
      <c r="E937" t="inlineStr">
        <is>
          <t>Haut-Rhin</t>
        </is>
      </c>
      <c r="F937" t="inlineStr">
        <is>
          <t>Grand Est</t>
        </is>
      </c>
      <c r="G937" s="3" t="n">
        <v>37567</v>
      </c>
      <c r="H937" t="n">
        <v>16</v>
      </c>
      <c r="I937" t="inlineStr">
        <is>
          <t>3 A rue de l'Industrie</t>
        </is>
      </c>
      <c r="J937" t="inlineStr">
        <is>
          <t>68700</t>
        </is>
      </c>
      <c r="K937" t="inlineStr">
        <is>
          <t>Cernay</t>
        </is>
      </c>
      <c r="L937" t="inlineStr">
        <is>
          <t>03 89 75 47 72</t>
        </is>
      </c>
      <c r="M937" s="4" t="inlineStr">
        <is>
          <t>contact@cc-thann-cernay.fr</t>
        </is>
      </c>
      <c r="N937" s="4" t="inlineStr">
        <is>
          <t>https://www.cc-thann-cernay.fr</t>
        </is>
      </c>
      <c r="O937" s="4" t="inlineStr">
        <is>
          <t>https://cc-thann-cernay.fr/contact-services/</t>
        </is>
      </c>
      <c r="P937" s="4" t="inlineStr">
        <is>
          <t>https://lannuaire.service-public.gouv.fr/grand-est/haut-rhin/532eebec-7bf3-4cf5-bbe1-d654f08351c1</t>
        </is>
      </c>
      <c r="Q937" t="inlineStr">
        <is>
          <t>Annuaire Service-public.fr</t>
        </is>
      </c>
      <c r="R937" t="inlineStr"/>
      <c r="S937" t="inlineStr"/>
      <c r="T937" t="inlineStr"/>
    </row>
    <row r="938">
      <c r="A938" t="inlineStr">
        <is>
          <t>CC de la Région de Guebwiller</t>
        </is>
      </c>
      <c r="B938" t="inlineStr">
        <is>
          <t>Communauté de communes</t>
        </is>
      </c>
      <c r="C938" t="inlineStr">
        <is>
          <t>246800569</t>
        </is>
      </c>
      <c r="D938" t="inlineStr">
        <is>
          <t>68</t>
        </is>
      </c>
      <c r="E938" t="inlineStr">
        <is>
          <t>Haut-Rhin</t>
        </is>
      </c>
      <c r="F938" t="inlineStr">
        <is>
          <t>Grand Est</t>
        </is>
      </c>
      <c r="G938" s="3" t="n">
        <v>38172</v>
      </c>
      <c r="H938" t="n">
        <v>19</v>
      </c>
      <c r="I938" t="inlineStr">
        <is>
          <t>1 rue des Malgrés-Nous, BP 80114</t>
        </is>
      </c>
      <c r="J938" t="inlineStr">
        <is>
          <t>68502</t>
        </is>
      </c>
      <c r="K938" t="inlineStr">
        <is>
          <t>Guebwiller Cedex</t>
        </is>
      </c>
      <c r="L938" t="inlineStr">
        <is>
          <t>03 89 62 12 34</t>
        </is>
      </c>
      <c r="M938" s="4" t="inlineStr">
        <is>
          <t>infos@cc-guebwiller.fr</t>
        </is>
      </c>
      <c r="N938" s="4" t="inlineStr">
        <is>
          <t>https://www.cc-guebwiller.fr/</t>
        </is>
      </c>
      <c r="O938" s="4" t="inlineStr">
        <is>
          <t>https://www.cc-guebwiller.fr/contact-ccrg/</t>
        </is>
      </c>
      <c r="P938" s="4" t="inlineStr">
        <is>
          <t>https://lannuaire.service-public.gouv.fr/grand-est/haut-rhin/e5711f76-c87c-49c6-aac5-99978d3b1d49</t>
        </is>
      </c>
      <c r="Q938" t="inlineStr">
        <is>
          <t>Annuaire Service-public.fr</t>
        </is>
      </c>
      <c r="R938" t="inlineStr"/>
      <c r="S938" t="inlineStr"/>
      <c r="T938" t="inlineStr"/>
    </row>
    <row r="939">
      <c r="A939" t="inlineStr">
        <is>
          <t>CC de la Vallée de Kaysersberg</t>
        </is>
      </c>
      <c r="B939" t="inlineStr">
        <is>
          <t>Communauté de communes</t>
        </is>
      </c>
      <c r="C939" t="inlineStr">
        <is>
          <t>246800551</t>
        </is>
      </c>
      <c r="D939" t="inlineStr">
        <is>
          <t>68</t>
        </is>
      </c>
      <c r="E939" t="inlineStr">
        <is>
          <t>Haut-Rhin</t>
        </is>
      </c>
      <c r="F939" t="inlineStr">
        <is>
          <t>Grand Est</t>
        </is>
      </c>
      <c r="G939" s="3" t="n">
        <v>16043</v>
      </c>
      <c r="H939" t="n">
        <v>8</v>
      </c>
      <c r="I939" t="inlineStr">
        <is>
          <t>31 rue du Geisbourg</t>
        </is>
      </c>
      <c r="J939" t="inlineStr">
        <is>
          <t>68240</t>
        </is>
      </c>
      <c r="K939" t="inlineStr">
        <is>
          <t>Kaysersberg-Vignoble</t>
        </is>
      </c>
      <c r="L939" t="inlineStr">
        <is>
          <t>03 89 78 21 55</t>
        </is>
      </c>
      <c r="M939" s="4" t="inlineStr">
        <is>
          <t>info@cc-kaysersberg.fr</t>
        </is>
      </c>
      <c r="N939" s="4" t="inlineStr">
        <is>
          <t>https://www.cc-kaysersberg.fr</t>
        </is>
      </c>
      <c r="O939" s="4" t="inlineStr">
        <is>
          <t>https://www.cc-kaysersberg.fr/contact.htm</t>
        </is>
      </c>
      <c r="P939" s="4" t="inlineStr">
        <is>
          <t>https://lannuaire.service-public.gouv.fr/grand-est/haut-rhin/91754233-c9fb-47fb-bb26-71cc6ffe79c1</t>
        </is>
      </c>
      <c r="Q939" t="inlineStr">
        <is>
          <t>Annuaire Service-public.fr</t>
        </is>
      </c>
      <c r="R939" t="inlineStr"/>
      <c r="S939" t="inlineStr"/>
      <c r="T939" t="inlineStr"/>
    </row>
    <row r="940">
      <c r="A940" t="inlineStr">
        <is>
          <t>CC de la Vallée de Munster</t>
        </is>
      </c>
      <c r="B940" t="inlineStr">
        <is>
          <t>Communauté de communes</t>
        </is>
      </c>
      <c r="C940" t="inlineStr">
        <is>
          <t>246800585</t>
        </is>
      </c>
      <c r="D940" t="inlineStr">
        <is>
          <t>68</t>
        </is>
      </c>
      <c r="E940" t="inlineStr">
        <is>
          <t>Haut-Rhin</t>
        </is>
      </c>
      <c r="F940" t="inlineStr">
        <is>
          <t>Grand Est</t>
        </is>
      </c>
      <c r="G940" s="3" t="n">
        <v>16258</v>
      </c>
      <c r="H940" t="n">
        <v>16</v>
      </c>
      <c r="I940" t="inlineStr">
        <is>
          <t>9 rue Sébastopol</t>
        </is>
      </c>
      <c r="J940" t="inlineStr">
        <is>
          <t>68140</t>
        </is>
      </c>
      <c r="K940" t="inlineStr">
        <is>
          <t>Munster</t>
        </is>
      </c>
      <c r="L940" t="inlineStr">
        <is>
          <t>03 89 77 50 32</t>
        </is>
      </c>
      <c r="M940" s="4" t="inlineStr">
        <is>
          <t>ccvm@cc-vallee-munster.fr</t>
        </is>
      </c>
      <c r="N940" s="4" t="inlineStr">
        <is>
          <t>https://www.cc-vallee-munster.fr/</t>
        </is>
      </c>
      <c r="O940" t="inlineStr"/>
      <c r="P940" s="4" t="inlineStr">
        <is>
          <t>https://lannuaire.service-public.gouv.fr/grand-est/haut-rhin/56566b1c-fba2-4634-930f-c5569b137065</t>
        </is>
      </c>
      <c r="Q940" t="inlineStr">
        <is>
          <t>Annuaire Service-public.fr</t>
        </is>
      </c>
      <c r="R940" t="inlineStr"/>
      <c r="S940" t="inlineStr"/>
      <c r="T940" t="inlineStr"/>
    </row>
    <row r="941">
      <c r="A941" t="inlineStr">
        <is>
          <t>CC de la Vallée de Saint-Amarin</t>
        </is>
      </c>
      <c r="B941" t="inlineStr">
        <is>
          <t>Communauté de communes</t>
        </is>
      </c>
      <c r="C941" t="inlineStr">
        <is>
          <t>246800205</t>
        </is>
      </c>
      <c r="D941" t="inlineStr">
        <is>
          <t>68</t>
        </is>
      </c>
      <c r="E941" t="inlineStr">
        <is>
          <t>Haut-Rhin</t>
        </is>
      </c>
      <c r="F941" t="inlineStr">
        <is>
          <t>Grand Est</t>
        </is>
      </c>
      <c r="G941" s="3" t="n">
        <v>11976</v>
      </c>
      <c r="H941" t="n">
        <v>15</v>
      </c>
      <c r="I941" t="inlineStr">
        <is>
          <t>70 rue Charles-de-Gaulle</t>
        </is>
      </c>
      <c r="J941" t="inlineStr">
        <is>
          <t>68550</t>
        </is>
      </c>
      <c r="K941" t="inlineStr">
        <is>
          <t>Saint-Amarin</t>
        </is>
      </c>
      <c r="L941" t="inlineStr">
        <is>
          <t>03 89 82 60 01</t>
        </is>
      </c>
      <c r="M941" s="4" t="inlineStr">
        <is>
          <t>contact@ccvsa.fr</t>
        </is>
      </c>
      <c r="N941" s="4" t="inlineStr">
        <is>
          <t>https://ccvsa.fr/</t>
        </is>
      </c>
      <c r="O941" s="4" t="inlineStr">
        <is>
          <t>https://ccvsa.fr/contact-services/</t>
        </is>
      </c>
      <c r="P941" s="4" t="inlineStr">
        <is>
          <t>https://lannuaire.service-public.gouv.fr/grand-est/haut-rhin/c8d775c7-fac1-4c77-8dcc-480b19e851eb</t>
        </is>
      </c>
      <c r="Q941" t="inlineStr">
        <is>
          <t>Annuaire Service-public.fr</t>
        </is>
      </c>
      <c r="R941" t="inlineStr"/>
      <c r="S941" t="inlineStr"/>
      <c r="T941" t="inlineStr"/>
    </row>
    <row r="942">
      <c r="A942" t="inlineStr">
        <is>
          <t>CC de la Vallée de la Doller et du Soultzbach</t>
        </is>
      </c>
      <c r="B942" t="inlineStr">
        <is>
          <t>Communauté de communes</t>
        </is>
      </c>
      <c r="C942" t="inlineStr">
        <is>
          <t>246800676</t>
        </is>
      </c>
      <c r="D942" t="inlineStr">
        <is>
          <t>68</t>
        </is>
      </c>
      <c r="E942" t="inlineStr">
        <is>
          <t>Haut-Rhin</t>
        </is>
      </c>
      <c r="F942" t="inlineStr">
        <is>
          <t>Grand Est</t>
        </is>
      </c>
      <c r="G942" s="3" t="n">
        <v>15914</v>
      </c>
      <c r="H942" t="n">
        <v>15</v>
      </c>
      <c r="I942" t="inlineStr">
        <is>
          <t>9 place des Alliés</t>
        </is>
      </c>
      <c r="J942" t="inlineStr">
        <is>
          <t>68290</t>
        </is>
      </c>
      <c r="K942" t="inlineStr">
        <is>
          <t>Masevaux-Niederbruck</t>
        </is>
      </c>
      <c r="L942" t="inlineStr">
        <is>
          <t>03 89 38 81 75</t>
        </is>
      </c>
      <c r="M942" s="4" t="inlineStr">
        <is>
          <t>contact@cc-vallee-doller.fr</t>
        </is>
      </c>
      <c r="N942" s="4" t="inlineStr">
        <is>
          <t>https://www.cc-vallee-doller.fr/</t>
        </is>
      </c>
      <c r="O942" t="inlineStr"/>
      <c r="P942" s="4" t="inlineStr">
        <is>
          <t>https://lannuaire.service-public.gouv.fr/grand-est/haut-rhin/12312613-fc77-481c-ab2f-8a7d5e10b442</t>
        </is>
      </c>
      <c r="Q942" t="inlineStr">
        <is>
          <t>Annuaire Service-public.fr</t>
        </is>
      </c>
      <c r="R942" t="inlineStr"/>
      <c r="S942" t="inlineStr"/>
      <c r="T942" t="inlineStr"/>
    </row>
    <row r="943">
      <c r="A943" t="inlineStr">
        <is>
          <t>CC du Centre du Haut-Rhin</t>
        </is>
      </c>
      <c r="B943" t="inlineStr">
        <is>
          <t>Communauté de communes</t>
        </is>
      </c>
      <c r="C943" t="inlineStr">
        <is>
          <t>246800445</t>
        </is>
      </c>
      <c r="D943" t="inlineStr">
        <is>
          <t>68</t>
        </is>
      </c>
      <c r="E943" t="inlineStr">
        <is>
          <t>Haut-Rhin</t>
        </is>
      </c>
      <c r="F943" t="inlineStr">
        <is>
          <t>Grand Est</t>
        </is>
      </c>
      <c r="G943" s="3" t="n">
        <v>16348</v>
      </c>
      <c r="H943" t="n">
        <v>9</v>
      </c>
      <c r="I943" t="inlineStr">
        <is>
          <t>6 place de l'Église</t>
        </is>
      </c>
      <c r="J943" t="inlineStr">
        <is>
          <t>68190</t>
        </is>
      </c>
      <c r="K943" t="inlineStr">
        <is>
          <t>Ensisheim</t>
        </is>
      </c>
      <c r="L943" t="inlineStr">
        <is>
          <t>03 89 26 40 70</t>
        </is>
      </c>
      <c r="M943" s="4" t="inlineStr">
        <is>
          <t>contact@ccchr.fr</t>
        </is>
      </c>
      <c r="N943" s="4" t="inlineStr">
        <is>
          <t>https://ccchr.fr/</t>
        </is>
      </c>
      <c r="O943" t="inlineStr"/>
      <c r="P943" s="4" t="inlineStr">
        <is>
          <t>https://lannuaire.service-public.gouv.fr/grand-est/haut-rhin/9fa9b4cc-84cd-4da2-adef-a4f2b73b81ef</t>
        </is>
      </c>
      <c r="Q943" t="inlineStr">
        <is>
          <t>Annuaire Service-public.fr</t>
        </is>
      </c>
      <c r="R943" t="inlineStr"/>
      <c r="S943" t="inlineStr"/>
      <c r="T943" t="inlineStr"/>
    </row>
    <row r="944">
      <c r="A944" t="inlineStr">
        <is>
          <t>CC du Pays de Ribeauvillé</t>
        </is>
      </c>
      <c r="B944" t="inlineStr">
        <is>
          <t>Communauté de communes</t>
        </is>
      </c>
      <c r="C944" t="inlineStr">
        <is>
          <t>246800577</t>
        </is>
      </c>
      <c r="D944" t="inlineStr">
        <is>
          <t>68</t>
        </is>
      </c>
      <c r="E944" t="inlineStr">
        <is>
          <t>Haut-Rhin</t>
        </is>
      </c>
      <c r="F944" t="inlineStr">
        <is>
          <t>Grand Est</t>
        </is>
      </c>
      <c r="G944" s="3" t="n">
        <v>18133</v>
      </c>
      <c r="H944" t="n">
        <v>16</v>
      </c>
      <c r="I944" t="inlineStr">
        <is>
          <t>1 rue Pierre-de-Coubertin</t>
        </is>
      </c>
      <c r="J944" t="inlineStr">
        <is>
          <t>68150</t>
        </is>
      </c>
      <c r="K944" t="inlineStr">
        <is>
          <t>Ribeauvillé</t>
        </is>
      </c>
      <c r="L944" t="inlineStr">
        <is>
          <t>03 89 73 27 10</t>
        </is>
      </c>
      <c r="M944" s="4" t="inlineStr">
        <is>
          <t>contact@paysderibeauville.fr</t>
        </is>
      </c>
      <c r="N944" s="4" t="inlineStr">
        <is>
          <t>https://www.cc-ribeauville.fr/</t>
        </is>
      </c>
      <c r="O944" t="inlineStr"/>
      <c r="P944" s="4" t="inlineStr">
        <is>
          <t>https://lannuaire.service-public.gouv.fr/grand-est/haut-rhin/17433479-e09e-472a-ac1f-54f9d1dde9bb</t>
        </is>
      </c>
      <c r="Q944" t="inlineStr">
        <is>
          <t>Annuaire Service-public.fr</t>
        </is>
      </c>
      <c r="R944" t="inlineStr"/>
      <c r="S944" t="inlineStr"/>
      <c r="T944" t="inlineStr"/>
    </row>
    <row r="945">
      <c r="A945" t="inlineStr">
        <is>
          <t>CC du Pays de Rouffach, Vignobles et Châteaux</t>
        </is>
      </c>
      <c r="B945" t="inlineStr">
        <is>
          <t>Communauté de communes</t>
        </is>
      </c>
      <c r="C945" t="inlineStr">
        <is>
          <t>246800494</t>
        </is>
      </c>
      <c r="D945" t="inlineStr">
        <is>
          <t>68</t>
        </is>
      </c>
      <c r="E945" t="inlineStr">
        <is>
          <t>Haut-Rhin</t>
        </is>
      </c>
      <c r="F945" t="inlineStr">
        <is>
          <t>Grand Est</t>
        </is>
      </c>
      <c r="G945" s="3" t="n">
        <v>12891</v>
      </c>
      <c r="H945" t="n">
        <v>11</v>
      </c>
      <c r="I945" t="inlineStr">
        <is>
          <t>9 aux Remparts</t>
        </is>
      </c>
      <c r="J945" t="inlineStr">
        <is>
          <t>68250</t>
        </is>
      </c>
      <c r="K945" t="inlineStr">
        <is>
          <t>Rouffach</t>
        </is>
      </c>
      <c r="L945" t="inlineStr">
        <is>
          <t>03 89 78 51 44</t>
        </is>
      </c>
      <c r="M945" s="4" t="inlineStr">
        <is>
          <t>accueil@cc-paysderouffach.fr</t>
        </is>
      </c>
      <c r="N945" s="4" t="inlineStr">
        <is>
          <t>https://www.cc-paysderouffach-vignobles-chateaux.fr/</t>
        </is>
      </c>
      <c r="O945" s="4" t="inlineStr">
        <is>
          <t>https://www.cc-paysderouffach-vignobles-chateaux.fr/formulaire-de-contact</t>
        </is>
      </c>
      <c r="P945" s="4" t="inlineStr">
        <is>
          <t>https://lannuaire.service-public.gouv.fr/grand-est/haut-rhin/e1969655-0559-4893-bff6-f62ef1613f20</t>
        </is>
      </c>
      <c r="Q945" t="inlineStr">
        <is>
          <t>Annuaire Service-public.fr</t>
        </is>
      </c>
      <c r="R945" t="inlineStr"/>
      <c r="S945" t="inlineStr"/>
      <c r="T945" t="inlineStr"/>
    </row>
    <row r="946">
      <c r="A946" t="inlineStr">
        <is>
          <t>CC du Val d'Argent</t>
        </is>
      </c>
      <c r="B946" t="inlineStr">
        <is>
          <t>Communauté de communes</t>
        </is>
      </c>
      <c r="C946" t="inlineStr">
        <is>
          <t>246800395</t>
        </is>
      </c>
      <c r="D946" t="inlineStr">
        <is>
          <t>68</t>
        </is>
      </c>
      <c r="E946" t="inlineStr">
        <is>
          <t>Haut-Rhin</t>
        </is>
      </c>
      <c r="F946" t="inlineStr">
        <is>
          <t>Grand Est</t>
        </is>
      </c>
      <c r="G946" s="3" t="n">
        <v>9133</v>
      </c>
      <c r="H946" t="n">
        <v>4</v>
      </c>
      <c r="I946" t="inlineStr">
        <is>
          <t>11 A rue Maurice-Burrus</t>
        </is>
      </c>
      <c r="J946" t="inlineStr">
        <is>
          <t>68160</t>
        </is>
      </c>
      <c r="K946" t="inlineStr">
        <is>
          <t>Sainte-Croix-aux-Mines</t>
        </is>
      </c>
      <c r="L946" t="inlineStr">
        <is>
          <t>03 89 58 83 45</t>
        </is>
      </c>
      <c r="M946" s="4" t="inlineStr">
        <is>
          <t>accueil@cc-valdargent.fr</t>
        </is>
      </c>
      <c r="N946" s="4" t="inlineStr">
        <is>
          <t>https://www.cc-valdargent.fr/</t>
        </is>
      </c>
      <c r="O946" s="4" t="inlineStr">
        <is>
          <t>https://www.cc-valdargent.fr/contact</t>
        </is>
      </c>
      <c r="P946" s="4" t="inlineStr">
        <is>
          <t>https://lannuaire.service-public.gouv.fr/grand-est/haut-rhin/ad1b17ac-2cf1-433a-967b-c2b552e31720</t>
        </is>
      </c>
      <c r="Q946" t="inlineStr">
        <is>
          <t>Annuaire Service-public.fr</t>
        </is>
      </c>
      <c r="R946" t="inlineStr"/>
      <c r="S946" t="inlineStr"/>
      <c r="T946" t="inlineStr"/>
    </row>
    <row r="947">
      <c r="A947" t="inlineStr">
        <is>
          <t>CA de l'Ouest Rhodanien</t>
        </is>
      </c>
      <c r="B947" t="inlineStr">
        <is>
          <t>Communauté d’agglomération</t>
        </is>
      </c>
      <c r="C947" t="inlineStr">
        <is>
          <t>200040566</t>
        </is>
      </c>
      <c r="D947" t="inlineStr">
        <is>
          <t>69</t>
        </is>
      </c>
      <c r="E947" t="inlineStr">
        <is>
          <t>Rhône</t>
        </is>
      </c>
      <c r="F947" t="inlineStr">
        <is>
          <t>Auvergne-Rhône-Alpes</t>
        </is>
      </c>
      <c r="G947" s="3" t="n">
        <v>50935</v>
      </c>
      <c r="H947" t="n">
        <v>31</v>
      </c>
      <c r="I947" t="inlineStr">
        <is>
          <t>3 rue de la Venne</t>
        </is>
      </c>
      <c r="J947" t="inlineStr">
        <is>
          <t>69170</t>
        </is>
      </c>
      <c r="K947" t="inlineStr">
        <is>
          <t>Tarare</t>
        </is>
      </c>
      <c r="L947" t="inlineStr">
        <is>
          <t>04 74 05 06 60</t>
        </is>
      </c>
      <c r="M947" s="4" t="inlineStr">
        <is>
          <t>contact@c-or.fr</t>
        </is>
      </c>
      <c r="N947" s="4" t="inlineStr">
        <is>
          <t>https://www.ouestrhodanien.fr/</t>
        </is>
      </c>
      <c r="O947" s="4" t="inlineStr">
        <is>
          <t>https://www.ouestrhodanien.fr/nous-contacter/</t>
        </is>
      </c>
      <c r="P947" s="4" t="inlineStr">
        <is>
          <t>https://lannuaire.service-public.gouv.fr/auvergne-rhone-alpes/rhone/4655d371-6205-4bff-ac42-d3109648d84e</t>
        </is>
      </c>
      <c r="Q947" t="inlineStr">
        <is>
          <t>Annuaire Service-public.fr</t>
        </is>
      </c>
      <c r="R947" t="inlineStr"/>
      <c r="S947" t="inlineStr"/>
      <c r="T947" t="inlineStr"/>
    </row>
    <row r="948">
      <c r="A948" t="inlineStr">
        <is>
          <t>CC Beaujolais Pierres Dorées</t>
        </is>
      </c>
      <c r="B948" t="inlineStr">
        <is>
          <t>Communauté de communes</t>
        </is>
      </c>
      <c r="C948" t="inlineStr">
        <is>
          <t>200040574</t>
        </is>
      </c>
      <c r="D948" t="inlineStr">
        <is>
          <t>69</t>
        </is>
      </c>
      <c r="E948" t="inlineStr">
        <is>
          <t>Rhône</t>
        </is>
      </c>
      <c r="F948" t="inlineStr">
        <is>
          <t>Auvergne-Rhône-Alpes</t>
        </is>
      </c>
      <c r="G948" s="3" t="n">
        <v>56155</v>
      </c>
      <c r="H948" t="n">
        <v>32</v>
      </c>
      <c r="I948" t="inlineStr">
        <is>
          <t>Domaine des communes, 1277 route des Crêtes</t>
        </is>
      </c>
      <c r="J948" t="inlineStr">
        <is>
          <t>69480</t>
        </is>
      </c>
      <c r="K948" t="inlineStr">
        <is>
          <t>Anse</t>
        </is>
      </c>
      <c r="L948" t="inlineStr">
        <is>
          <t>04 74 67 00 25</t>
        </is>
      </c>
      <c r="M948" s="4" t="inlineStr">
        <is>
          <t>contact@cc-pierresdorees.com</t>
        </is>
      </c>
      <c r="N948" s="4" t="inlineStr">
        <is>
          <t>https://www.cc-pierresdorees.com/</t>
        </is>
      </c>
      <c r="O948" s="4" t="inlineStr">
        <is>
          <t>https://www.cc-pierresdorees.com/contact</t>
        </is>
      </c>
      <c r="P948" s="4" t="inlineStr">
        <is>
          <t>https://lannuaire.service-public.gouv.fr/auvergne-rhone-alpes/rhone/314edd8d-49a5-40d5-bd83-356b55bfa7ec</t>
        </is>
      </c>
      <c r="Q948" t="inlineStr">
        <is>
          <t>Annuaire Service-public.fr</t>
        </is>
      </c>
      <c r="R948" t="inlineStr"/>
      <c r="S948" t="inlineStr"/>
      <c r="T948" t="inlineStr"/>
    </row>
    <row r="949">
      <c r="A949" t="inlineStr">
        <is>
          <t>CC Saône-Beaujolais</t>
        </is>
      </c>
      <c r="B949" t="inlineStr">
        <is>
          <t>Communauté de communes</t>
        </is>
      </c>
      <c r="C949" t="inlineStr">
        <is>
          <t>200067817</t>
        </is>
      </c>
      <c r="D949" t="inlineStr">
        <is>
          <t>69</t>
        </is>
      </c>
      <c r="E949" t="inlineStr">
        <is>
          <t>Rhône</t>
        </is>
      </c>
      <c r="F949" t="inlineStr">
        <is>
          <t>Auvergne-Rhône-Alpes</t>
        </is>
      </c>
      <c r="G949" s="3" t="n">
        <v>45642</v>
      </c>
      <c r="H949" t="n">
        <v>35</v>
      </c>
      <c r="I949" t="inlineStr">
        <is>
          <t>105 rue de la République, CS 30010</t>
        </is>
      </c>
      <c r="J949" t="inlineStr">
        <is>
          <t>69220</t>
        </is>
      </c>
      <c r="K949" t="inlineStr">
        <is>
          <t>Belleville-en-Beaujolais</t>
        </is>
      </c>
      <c r="L949" t="inlineStr">
        <is>
          <t>04 74 66 35 98</t>
        </is>
      </c>
      <c r="M949" s="4" t="inlineStr">
        <is>
          <t>contact@ccsb-saonebeaujolais.fr</t>
        </is>
      </c>
      <c r="N949" s="4" t="inlineStr">
        <is>
          <t>https://ccsb-saonebeaujolais.fr/</t>
        </is>
      </c>
      <c r="O949" s="4" t="inlineStr">
        <is>
          <t>https://ccsb-saonebeaujolais.fr/contactez-la-ccsb/</t>
        </is>
      </c>
      <c r="P949" s="4" t="inlineStr">
        <is>
          <t>https://lannuaire.service-public.gouv.fr/auvergne-rhone-alpes/rhone/c89d5a8e-c557-4dab-94f2-4168e551e748</t>
        </is>
      </c>
      <c r="Q949" t="inlineStr">
        <is>
          <t>Annuaire Service-public.fr</t>
        </is>
      </c>
      <c r="R949" t="inlineStr"/>
      <c r="S949" t="inlineStr"/>
      <c r="T949" t="inlineStr"/>
    </row>
    <row r="950">
      <c r="A950" t="inlineStr">
        <is>
          <t>CC de l'Est Lyonnais (CCEL)</t>
        </is>
      </c>
      <c r="B950" t="inlineStr">
        <is>
          <t>Communauté de communes</t>
        </is>
      </c>
      <c r="C950" t="inlineStr">
        <is>
          <t>246900575</t>
        </is>
      </c>
      <c r="D950" t="inlineStr">
        <is>
          <t>69</t>
        </is>
      </c>
      <c r="E950" t="inlineStr">
        <is>
          <t>Rhône</t>
        </is>
      </c>
      <c r="F950" t="inlineStr">
        <is>
          <t>Auvergne-Rhône-Alpes</t>
        </is>
      </c>
      <c r="G950" s="3" t="n">
        <v>42457</v>
      </c>
      <c r="H950" t="n">
        <v>8</v>
      </c>
      <c r="I950" t="inlineStr">
        <is>
          <t>40 rue de Norvège, Aéroport de Lyon - Saint-Exupéry, CS 60001</t>
        </is>
      </c>
      <c r="J950" t="inlineStr">
        <is>
          <t>69125</t>
        </is>
      </c>
      <c r="K950" t="inlineStr">
        <is>
          <t>Colombier-Saugnieu Cedex</t>
        </is>
      </c>
      <c r="L950" t="inlineStr">
        <is>
          <t>04 72 79 05 34</t>
        </is>
      </c>
      <c r="M950" s="4" t="inlineStr">
        <is>
          <t>accueil@ccel.fr</t>
        </is>
      </c>
      <c r="N950" s="4" t="inlineStr">
        <is>
          <t>https://ccel.fr/</t>
        </is>
      </c>
      <c r="O950" s="4" t="inlineStr">
        <is>
          <t>https://ccel.fr/contact/</t>
        </is>
      </c>
      <c r="P950" s="4" t="inlineStr">
        <is>
          <t>https://lannuaire.service-public.gouv.fr/auvergne-rhone-alpes/rhone/21432a76-82df-4325-96bd-70c856aaff98</t>
        </is>
      </c>
      <c r="Q950" t="inlineStr">
        <is>
          <t>Annuaire Service-public.fr</t>
        </is>
      </c>
      <c r="R950" t="inlineStr"/>
      <c r="S950" t="inlineStr"/>
      <c r="T950" t="inlineStr"/>
    </row>
    <row r="951">
      <c r="A951" t="inlineStr">
        <is>
          <t>CC de la Vallée du Garon (CCVG)</t>
        </is>
      </c>
      <c r="B951" t="inlineStr">
        <is>
          <t>Communauté de communes</t>
        </is>
      </c>
      <c r="C951" t="inlineStr">
        <is>
          <t>246900757</t>
        </is>
      </c>
      <c r="D951" t="inlineStr">
        <is>
          <t>69</t>
        </is>
      </c>
      <c r="E951" t="inlineStr">
        <is>
          <t>Rhône</t>
        </is>
      </c>
      <c r="F951" t="inlineStr">
        <is>
          <t>Auvergne-Rhône-Alpes</t>
        </is>
      </c>
      <c r="G951" s="3" t="n">
        <v>32435</v>
      </c>
      <c r="H951" t="n">
        <v>5</v>
      </c>
      <c r="I951" t="inlineStr">
        <is>
          <t>262 rue Barthélémy-Thimonnier, Parc d'activités de Sacuny</t>
        </is>
      </c>
      <c r="J951" t="inlineStr">
        <is>
          <t>69530</t>
        </is>
      </c>
      <c r="K951" t="inlineStr">
        <is>
          <t>Brignais</t>
        </is>
      </c>
      <c r="L951" t="inlineStr">
        <is>
          <t>04 72 31 78 72</t>
        </is>
      </c>
      <c r="M951" s="4" t="inlineStr">
        <is>
          <t>contact@cc-valleedugaron.fr</t>
        </is>
      </c>
      <c r="N951" s="4" t="inlineStr">
        <is>
          <t>https://www.ccvalleedugaron.com/</t>
        </is>
      </c>
      <c r="O951" s="4" t="inlineStr">
        <is>
          <t>https://www.ccvalleedugaron.com/contact/</t>
        </is>
      </c>
      <c r="P951" s="4" t="inlineStr">
        <is>
          <t>https://lannuaire.service-public.gouv.fr/auvergne-rhone-alpes/rhone/68d4be09-461e-41f4-9d56-16f3fb80d433</t>
        </is>
      </c>
      <c r="Q951" t="inlineStr">
        <is>
          <t>Annuaire Service-public.fr</t>
        </is>
      </c>
      <c r="R951" t="inlineStr"/>
      <c r="S951" t="inlineStr"/>
      <c r="T951" t="inlineStr"/>
    </row>
    <row r="952">
      <c r="A952" t="inlineStr">
        <is>
          <t>CC des Vallons du Lyonnais (CCVL)</t>
        </is>
      </c>
      <c r="B952" t="inlineStr">
        <is>
          <t>Communauté de communes</t>
        </is>
      </c>
      <c r="C952" t="inlineStr">
        <is>
          <t>246900724</t>
        </is>
      </c>
      <c r="D952" t="inlineStr">
        <is>
          <t>69</t>
        </is>
      </c>
      <c r="E952" t="inlineStr">
        <is>
          <t>Rhône</t>
        </is>
      </c>
      <c r="F952" t="inlineStr">
        <is>
          <t>Auvergne-Rhône-Alpes</t>
        </is>
      </c>
      <c r="G952" s="3" t="n">
        <v>32088</v>
      </c>
      <c r="H952" t="n">
        <v>8</v>
      </c>
      <c r="I952" t="inlineStr">
        <is>
          <t>27 chemin du Stade</t>
        </is>
      </c>
      <c r="J952" t="inlineStr">
        <is>
          <t>69670</t>
        </is>
      </c>
      <c r="K952" t="inlineStr">
        <is>
          <t>Vaugneray</t>
        </is>
      </c>
      <c r="L952" t="inlineStr">
        <is>
          <t>04 78 57 83 80</t>
        </is>
      </c>
      <c r="M952" s="4" t="inlineStr">
        <is>
          <t>ccvl@ccvl.fr</t>
        </is>
      </c>
      <c r="N952" s="4" t="inlineStr">
        <is>
          <t>http://www.ccvl.fr</t>
        </is>
      </c>
      <c r="O952" t="inlineStr"/>
      <c r="P952" s="4" t="inlineStr">
        <is>
          <t>https://lannuaire.service-public.gouv.fr/auvergne-rhone-alpes/rhone/efed0eb0-dfe3-4b41-8a18-efb5856f5fac</t>
        </is>
      </c>
      <c r="Q952" t="inlineStr">
        <is>
          <t>Annuaire Service-public.fr</t>
        </is>
      </c>
      <c r="R952" t="inlineStr"/>
      <c r="S952" t="inlineStr"/>
      <c r="T952" t="inlineStr"/>
    </row>
    <row r="953">
      <c r="A953" t="inlineStr">
        <is>
          <t>CC du Pays Mornantais (COPAMO)</t>
        </is>
      </c>
      <c r="B953" t="inlineStr">
        <is>
          <t>Communauté de communes</t>
        </is>
      </c>
      <c r="C953" t="inlineStr">
        <is>
          <t>246900740</t>
        </is>
      </c>
      <c r="D953" t="inlineStr">
        <is>
          <t>69</t>
        </is>
      </c>
      <c r="E953" t="inlineStr">
        <is>
          <t>Rhône</t>
        </is>
      </c>
      <c r="F953" t="inlineStr">
        <is>
          <t>Auvergne-Rhône-Alpes</t>
        </is>
      </c>
      <c r="G953" s="3" t="n">
        <v>29758</v>
      </c>
      <c r="H953" t="n">
        <v>11</v>
      </c>
      <c r="I953" t="inlineStr">
        <is>
          <t>50 avenue du Pays-Mornantais, Le Clos-Fournereau</t>
        </is>
      </c>
      <c r="J953" t="inlineStr">
        <is>
          <t>69440</t>
        </is>
      </c>
      <c r="K953" t="inlineStr">
        <is>
          <t>Mornant</t>
        </is>
      </c>
      <c r="L953" t="inlineStr">
        <is>
          <t>04 78 44 14 39</t>
        </is>
      </c>
      <c r="M953" s="4" t="inlineStr">
        <is>
          <t>copamo@cc-paysmornantais.fr</t>
        </is>
      </c>
      <c r="N953" s="4" t="inlineStr">
        <is>
          <t>https://cc-paysmornantais.fr/</t>
        </is>
      </c>
      <c r="O953" s="4" t="inlineStr">
        <is>
          <t>https://cc-paysmornantais.fr/contact.html</t>
        </is>
      </c>
      <c r="P953" s="4" t="inlineStr">
        <is>
          <t>https://lannuaire.service-public.gouv.fr/auvergne-rhone-alpes/rhone/6e004bed-cf5c-4c00-bebe-673c86a79da0</t>
        </is>
      </c>
      <c r="Q953" t="inlineStr">
        <is>
          <t>Annuaire Service-public.fr</t>
        </is>
      </c>
      <c r="R953" t="inlineStr"/>
      <c r="S953" t="inlineStr"/>
      <c r="T953" t="inlineStr"/>
    </row>
    <row r="954">
      <c r="A954" t="inlineStr">
        <is>
          <t>CC du Pays de l'Arbresle (CCPA)</t>
        </is>
      </c>
      <c r="B954" t="inlineStr">
        <is>
          <t>Communauté de communes</t>
        </is>
      </c>
      <c r="C954" t="inlineStr">
        <is>
          <t>246900625</t>
        </is>
      </c>
      <c r="D954" t="inlineStr">
        <is>
          <t>69</t>
        </is>
      </c>
      <c r="E954" t="inlineStr">
        <is>
          <t>Rhône</t>
        </is>
      </c>
      <c r="F954" t="inlineStr">
        <is>
          <t>Auvergne-Rhône-Alpes</t>
        </is>
      </c>
      <c r="G954" s="3" t="n">
        <v>38945</v>
      </c>
      <c r="H954" t="n">
        <v>17</v>
      </c>
      <c r="I954" t="inlineStr">
        <is>
          <t>117 rue Pierre-Passemard</t>
        </is>
      </c>
      <c r="J954" t="inlineStr">
        <is>
          <t>69210</t>
        </is>
      </c>
      <c r="K954" t="inlineStr">
        <is>
          <t>L'Arbresle</t>
        </is>
      </c>
      <c r="L954" t="inlineStr">
        <is>
          <t>04 74 01 68 90</t>
        </is>
      </c>
      <c r="M954" s="4" t="inlineStr">
        <is>
          <t>ccpa@paysdelarbresle.fr</t>
        </is>
      </c>
      <c r="N954" s="4" t="inlineStr">
        <is>
          <t>https://www.paysdelarbresle.fr/</t>
        </is>
      </c>
      <c r="O954" s="4" t="inlineStr">
        <is>
          <t>https://www.paysdelarbresle.fr/contact/</t>
        </is>
      </c>
      <c r="P954" s="4" t="inlineStr">
        <is>
          <t>https://lannuaire.service-public.gouv.fr/auvergne-rhone-alpes/rhone/062dc07a-5ad8-4a1c-850d-4fead6d18936</t>
        </is>
      </c>
      <c r="Q954" t="inlineStr">
        <is>
          <t>Annuaire Service-public.fr</t>
        </is>
      </c>
      <c r="R954" t="inlineStr"/>
      <c r="S954" t="inlineStr"/>
      <c r="T954" t="inlineStr"/>
    </row>
    <row r="955">
      <c r="A955" t="inlineStr">
        <is>
          <t>CC du Pays de l'Ozon</t>
        </is>
      </c>
      <c r="B955" t="inlineStr">
        <is>
          <t>Communauté de communes</t>
        </is>
      </c>
      <c r="C955" t="inlineStr">
        <is>
          <t>246900765</t>
        </is>
      </c>
      <c r="D955" t="inlineStr">
        <is>
          <t>69</t>
        </is>
      </c>
      <c r="E955" t="inlineStr">
        <is>
          <t>Rhône</t>
        </is>
      </c>
      <c r="F955" t="inlineStr">
        <is>
          <t>Auvergne-Rhône-Alpes</t>
        </is>
      </c>
      <c r="G955" s="3" t="n">
        <v>27623</v>
      </c>
      <c r="H955" t="n">
        <v>7</v>
      </c>
      <c r="I955" t="inlineStr">
        <is>
          <t>1 rue du Stade</t>
        </is>
      </c>
      <c r="J955" t="inlineStr">
        <is>
          <t>69360</t>
        </is>
      </c>
      <c r="K955" t="inlineStr">
        <is>
          <t>Saint-Symphorien-d'Ozon</t>
        </is>
      </c>
      <c r="L955" t="inlineStr">
        <is>
          <t>04 78 02 93 68</t>
        </is>
      </c>
      <c r="M955" s="4" t="inlineStr">
        <is>
          <t>ccpo@pays-ozon.com</t>
        </is>
      </c>
      <c r="N955" s="4" t="inlineStr">
        <is>
          <t>http://www.pays-ozon.com</t>
        </is>
      </c>
      <c r="O955" t="inlineStr"/>
      <c r="P955" s="4" t="inlineStr">
        <is>
          <t>https://lannuaire.service-public.gouv.fr/auvergne-rhone-alpes/rhone/056b286e-06cd-491f-8c81-c45863ffa3d6</t>
        </is>
      </c>
      <c r="Q955" t="inlineStr">
        <is>
          <t>Annuaire Service-public.fr</t>
        </is>
      </c>
      <c r="R955" t="inlineStr"/>
      <c r="S955" t="inlineStr"/>
      <c r="T955" t="inlineStr"/>
    </row>
    <row r="956">
      <c r="A956" t="inlineStr">
        <is>
          <t>Métropole de Lyon</t>
        </is>
      </c>
      <c r="B956" t="inlineStr">
        <is>
          <t>Métropole de Lyon</t>
        </is>
      </c>
      <c r="C956" t="inlineStr">
        <is>
          <t>200046977</t>
        </is>
      </c>
      <c r="D956" t="inlineStr">
        <is>
          <t>69</t>
        </is>
      </c>
      <c r="E956" t="inlineStr">
        <is>
          <t>Rhône</t>
        </is>
      </c>
      <c r="F956" t="inlineStr">
        <is>
          <t>Auvergne-Rhône-Alpes</t>
        </is>
      </c>
      <c r="G956" s="3" t="n">
        <v>1433613</v>
      </c>
      <c r="H956" t="n">
        <v>58</v>
      </c>
      <c r="I956" t="inlineStr">
        <is>
          <t>20 Rue Du Lac</t>
        </is>
      </c>
      <c r="J956" t="inlineStr">
        <is>
          <t>69003</t>
        </is>
      </c>
      <c r="K956" t="inlineStr">
        <is>
          <t>Lyon</t>
        </is>
      </c>
      <c r="L956" t="inlineStr"/>
      <c r="M956" t="inlineStr"/>
      <c r="N956" t="inlineStr"/>
      <c r="O956" t="inlineStr"/>
      <c r="P956" t="inlineStr"/>
      <c r="Q956" t="inlineStr">
        <is>
          <t>SIRENE (siège) : pas de fiche dans l’annuaire</t>
        </is>
      </c>
      <c r="R956" t="inlineStr"/>
      <c r="S956" t="inlineStr"/>
      <c r="T956" t="inlineStr"/>
    </row>
    <row r="957">
      <c r="A957" t="inlineStr">
        <is>
          <t>CA de Vesoul</t>
        </is>
      </c>
      <c r="B957" t="inlineStr">
        <is>
          <t>Communauté d’agglomération</t>
        </is>
      </c>
      <c r="C957" t="inlineStr">
        <is>
          <t>247000011</t>
        </is>
      </c>
      <c r="D957" t="inlineStr">
        <is>
          <t>70</t>
        </is>
      </c>
      <c r="E957" t="inlineStr">
        <is>
          <t>Haute-Saône</t>
        </is>
      </c>
      <c r="F957" t="inlineStr">
        <is>
          <t>Bourgogne-Franche-Comté</t>
        </is>
      </c>
      <c r="G957" s="3" t="n">
        <v>32339</v>
      </c>
      <c r="H957" t="n">
        <v>20</v>
      </c>
      <c r="I957" t="inlineStr">
        <is>
          <t>9 rue des Casernes</t>
        </is>
      </c>
      <c r="J957" t="inlineStr">
        <is>
          <t>70000</t>
        </is>
      </c>
      <c r="K957" t="inlineStr">
        <is>
          <t>Vesoul</t>
        </is>
      </c>
      <c r="L957" t="inlineStr">
        <is>
          <t>03 84 97 12 97</t>
        </is>
      </c>
      <c r="M957" s="4" t="inlineStr">
        <is>
          <t>agglomerationvesoul@vesoul.fr</t>
        </is>
      </c>
      <c r="N957" s="4" t="inlineStr">
        <is>
          <t>https://www.vesoul.fr/</t>
        </is>
      </c>
      <c r="O957" s="4" t="inlineStr">
        <is>
          <t>https://www.vesoul.fr/ville-agglo/l-agglomeration-de-vesoul/contacter-l-agglomeration.html</t>
        </is>
      </c>
      <c r="P957" s="4" t="inlineStr">
        <is>
          <t>https://lannuaire.service-public.gouv.fr/bourgogne-franche-comte/haute-saone/7c05b07f-7585-460b-acfd-5965891c2ccb</t>
        </is>
      </c>
      <c r="Q957" t="inlineStr">
        <is>
          <t>Annuaire Service-public.fr</t>
        </is>
      </c>
      <c r="R957" t="inlineStr"/>
      <c r="S957" t="inlineStr"/>
      <c r="T957" t="inlineStr"/>
    </row>
    <row r="958">
      <c r="A958" t="inlineStr">
        <is>
          <t>CC Rahin et Chérimont</t>
        </is>
      </c>
      <c r="B958" t="inlineStr">
        <is>
          <t>Communauté de communes</t>
        </is>
      </c>
      <c r="C958" t="inlineStr">
        <is>
          <t>247000821</t>
        </is>
      </c>
      <c r="D958" t="inlineStr">
        <is>
          <t>70</t>
        </is>
      </c>
      <c r="E958" t="inlineStr">
        <is>
          <t>Haute-Saône</t>
        </is>
      </c>
      <c r="F958" t="inlineStr">
        <is>
          <t>Bourgogne-Franche-Comté</t>
        </is>
      </c>
      <c r="G958" s="3" t="n">
        <v>11627</v>
      </c>
      <c r="H958" t="n">
        <v>9</v>
      </c>
      <c r="I958" t="inlineStr">
        <is>
          <t>20 rue Paul-Strauss</t>
        </is>
      </c>
      <c r="J958" t="inlineStr">
        <is>
          <t>70250</t>
        </is>
      </c>
      <c r="K958" t="inlineStr">
        <is>
          <t>Ronchamp</t>
        </is>
      </c>
      <c r="L958" t="inlineStr">
        <is>
          <t>03 84 27 93 15</t>
        </is>
      </c>
      <c r="M958" s="4" t="inlineStr">
        <is>
          <t>ccrahincherimont@wanadoo.fr</t>
        </is>
      </c>
      <c r="N958" s="4" t="inlineStr">
        <is>
          <t>https://www.ccrc70.fr/</t>
        </is>
      </c>
      <c r="O958" s="4" t="inlineStr">
        <is>
          <t>https://www.ccrc70.fr/contacter-la-ccrc/</t>
        </is>
      </c>
      <c r="P958" s="4" t="inlineStr">
        <is>
          <t>https://lannuaire.service-public.gouv.fr/bourgogne-franche-comte/haute-saone/28b1f71e-b9fd-40e0-a193-3d15ece5f8a5</t>
        </is>
      </c>
      <c r="Q958" t="inlineStr">
        <is>
          <t>Annuaire Service-public.fr</t>
        </is>
      </c>
      <c r="R958" t="inlineStr"/>
      <c r="S958" t="inlineStr"/>
      <c r="T958" t="inlineStr"/>
    </row>
    <row r="959">
      <c r="A959" t="inlineStr">
        <is>
          <t>CC Terres de Saône</t>
        </is>
      </c>
      <c r="B959" t="inlineStr">
        <is>
          <t>Communauté de communes</t>
        </is>
      </c>
      <c r="C959" t="inlineStr">
        <is>
          <t>200041879</t>
        </is>
      </c>
      <c r="D959" t="inlineStr">
        <is>
          <t>70</t>
        </is>
      </c>
      <c r="E959" t="inlineStr">
        <is>
          <t>Haute-Saône</t>
        </is>
      </c>
      <c r="F959" t="inlineStr">
        <is>
          <t>Bourgogne-Franche-Comté</t>
        </is>
      </c>
      <c r="G959" s="3" t="n">
        <v>13103</v>
      </c>
      <c r="H959" t="n">
        <v>39</v>
      </c>
      <c r="I959" t="inlineStr">
        <is>
          <t>73 rue François-Mitterrand</t>
        </is>
      </c>
      <c r="J959" t="inlineStr">
        <is>
          <t>70170</t>
        </is>
      </c>
      <c r="K959" t="inlineStr">
        <is>
          <t>Port-sur-Saône</t>
        </is>
      </c>
      <c r="L959" t="inlineStr">
        <is>
          <t>03 84 91 66 00</t>
        </is>
      </c>
      <c r="M959" s="4" t="inlineStr">
        <is>
          <t>contact@cctds.fr</t>
        </is>
      </c>
      <c r="N959" s="4" t="inlineStr">
        <is>
          <t>https://www.cctds.fr/</t>
        </is>
      </c>
      <c r="O959" s="4" t="inlineStr">
        <is>
          <t>https://www.cctds.fr/contact</t>
        </is>
      </c>
      <c r="P959" s="4" t="inlineStr">
        <is>
          <t>https://lannuaire.service-public.gouv.fr/bourgogne-franche-comte/haute-saone/a22bbfdd-2d27-4b1e-a32d-71f59d72413d</t>
        </is>
      </c>
      <c r="Q959" t="inlineStr">
        <is>
          <t>Annuaire Service-public.fr</t>
        </is>
      </c>
      <c r="R959" t="inlineStr"/>
      <c r="S959" t="inlineStr"/>
      <c r="T959" t="inlineStr"/>
    </row>
    <row r="960">
      <c r="A960" t="inlineStr">
        <is>
          <t>CC Val de Gray</t>
        </is>
      </c>
      <c r="B960" t="inlineStr">
        <is>
          <t>Communauté de communes</t>
        </is>
      </c>
      <c r="C960" t="inlineStr">
        <is>
          <t>200036549</t>
        </is>
      </c>
      <c r="D960" t="inlineStr">
        <is>
          <t>70</t>
        </is>
      </c>
      <c r="E960" t="inlineStr">
        <is>
          <t>Haute-Saône</t>
        </is>
      </c>
      <c r="F960" t="inlineStr">
        <is>
          <t>Bourgogne-Franche-Comté</t>
        </is>
      </c>
      <c r="G960" s="3" t="n">
        <v>20109</v>
      </c>
      <c r="H960" t="n">
        <v>48</v>
      </c>
      <c r="I960" t="inlineStr">
        <is>
          <t>Rue André-Marie-Ampère</t>
        </is>
      </c>
      <c r="J960" t="inlineStr">
        <is>
          <t>70100</t>
        </is>
      </c>
      <c r="K960" t="inlineStr">
        <is>
          <t>Gray</t>
        </is>
      </c>
      <c r="L960" t="inlineStr">
        <is>
          <t>03 84 65 58 69</t>
        </is>
      </c>
      <c r="M960" s="4" t="inlineStr">
        <is>
          <t>secretariat@cc-valdegray.fr</t>
        </is>
      </c>
      <c r="N960" s="4" t="inlineStr">
        <is>
          <t>https://www.cc-valdegray.fr/</t>
        </is>
      </c>
      <c r="O960" s="4" t="inlineStr">
        <is>
          <t>https://www.cc-valdegray.fr/contact--1614786823.html</t>
        </is>
      </c>
      <c r="P960" s="4" t="inlineStr">
        <is>
          <t>https://lannuaire.service-public.gouv.fr/bourgogne-franche-comte/haute-saone/dc4faf37-30c3-42ff-b73d-a8a9adc800c4</t>
        </is>
      </c>
      <c r="Q960" t="inlineStr">
        <is>
          <t>Annuaire Service-public.fr</t>
        </is>
      </c>
      <c r="R960" t="inlineStr"/>
      <c r="S960" t="inlineStr"/>
      <c r="T960" t="inlineStr"/>
    </row>
    <row r="961">
      <c r="A961" t="inlineStr">
        <is>
          <t>CC de la Haute Comté</t>
        </is>
      </c>
      <c r="B961" t="inlineStr">
        <is>
          <t>Communauté de communes</t>
        </is>
      </c>
      <c r="C961" t="inlineStr">
        <is>
          <t>200041721</t>
        </is>
      </c>
      <c r="D961" t="inlineStr">
        <is>
          <t>70</t>
        </is>
      </c>
      <c r="E961" t="inlineStr">
        <is>
          <t>Haute-Saône</t>
        </is>
      </c>
      <c r="F961" t="inlineStr">
        <is>
          <t>Bourgogne-Franche-Comté</t>
        </is>
      </c>
      <c r="G961" s="3" t="n">
        <v>16798</v>
      </c>
      <c r="H961" t="n">
        <v>37</v>
      </c>
      <c r="I961" t="inlineStr">
        <is>
          <t>57 rue des Ballastières</t>
        </is>
      </c>
      <c r="J961" t="inlineStr">
        <is>
          <t>70320</t>
        </is>
      </c>
      <c r="K961" t="inlineStr">
        <is>
          <t>Corbenay</t>
        </is>
      </c>
      <c r="L961" t="inlineStr">
        <is>
          <t>03 84 94 17 93</t>
        </is>
      </c>
      <c r="M961" s="4" t="inlineStr">
        <is>
          <t>contact@cchc.fr</t>
        </is>
      </c>
      <c r="N961" s="4" t="inlineStr">
        <is>
          <t>https://www.cchc.fr/</t>
        </is>
      </c>
      <c r="O961" s="4" t="inlineStr">
        <is>
          <t>https://www.cchc.fr/contact/</t>
        </is>
      </c>
      <c r="P961" s="4" t="inlineStr">
        <is>
          <t>https://lannuaire.service-public.gouv.fr/bourgogne-franche-comte/haute-saone/4dc6bce0-c9fd-49e7-a513-04e0437f6357</t>
        </is>
      </c>
      <c r="Q961" t="inlineStr">
        <is>
          <t>Annuaire Service-public.fr</t>
        </is>
      </c>
      <c r="R961" t="inlineStr"/>
      <c r="S961" t="inlineStr"/>
      <c r="T961" t="inlineStr"/>
    </row>
    <row r="962">
      <c r="A962" t="inlineStr">
        <is>
          <t>CC des 1000 étangs</t>
        </is>
      </c>
      <c r="B962" t="inlineStr">
        <is>
          <t>Communauté de communes</t>
        </is>
      </c>
      <c r="C962" t="inlineStr">
        <is>
          <t>247000854</t>
        </is>
      </c>
      <c r="D962" t="inlineStr">
        <is>
          <t>70</t>
        </is>
      </c>
      <c r="E962" t="inlineStr">
        <is>
          <t>Haute-Saône</t>
        </is>
      </c>
      <c r="F962" t="inlineStr">
        <is>
          <t>Bourgogne-Franche-Comté</t>
        </is>
      </c>
      <c r="G962" s="3" t="n">
        <v>8471</v>
      </c>
      <c r="H962" t="n">
        <v>26</v>
      </c>
      <c r="I962" t="inlineStr">
        <is>
          <t>14 place du Marché</t>
        </is>
      </c>
      <c r="J962" t="inlineStr">
        <is>
          <t>70270</t>
        </is>
      </c>
      <c r="K962" t="inlineStr">
        <is>
          <t>Mélisey</t>
        </is>
      </c>
      <c r="L962" t="inlineStr">
        <is>
          <t>03 84 20 05 53</t>
        </is>
      </c>
      <c r="M962" s="4" t="inlineStr">
        <is>
          <t>melisey.ccme@orange.fr</t>
        </is>
      </c>
      <c r="N962" s="4" t="inlineStr">
        <is>
          <t>https://www.cc-1000etangs.fr/</t>
        </is>
      </c>
      <c r="O962" t="inlineStr"/>
      <c r="P962" s="4" t="inlineStr">
        <is>
          <t>https://lannuaire.service-public.gouv.fr/bourgogne-franche-comte/haute-saone/a61ea15b-ffdf-4b5e-ac9a-a6955a8002b8</t>
        </is>
      </c>
      <c r="Q962" t="inlineStr">
        <is>
          <t>Annuaire Service-public.fr</t>
        </is>
      </c>
      <c r="R962" t="inlineStr"/>
      <c r="S962" t="inlineStr"/>
      <c r="T962" t="inlineStr"/>
    </row>
    <row r="963">
      <c r="A963" t="inlineStr">
        <is>
          <t>CC des Combes</t>
        </is>
      </c>
      <c r="B963" t="inlineStr">
        <is>
          <t>Communauté de communes</t>
        </is>
      </c>
      <c r="C963" t="inlineStr">
        <is>
          <t>247000367</t>
        </is>
      </c>
      <c r="D963" t="inlineStr">
        <is>
          <t>70</t>
        </is>
      </c>
      <c r="E963" t="inlineStr">
        <is>
          <t>Haute-Saône</t>
        </is>
      </c>
      <c r="F963" t="inlineStr">
        <is>
          <t>Bourgogne-Franche-Comté</t>
        </is>
      </c>
      <c r="G963" s="3" t="n">
        <v>7541</v>
      </c>
      <c r="H963" t="n">
        <v>27</v>
      </c>
      <c r="I963" t="inlineStr">
        <is>
          <t>24 avenue des Patis, Mairie</t>
        </is>
      </c>
      <c r="J963" t="inlineStr">
        <is>
          <t>70360</t>
        </is>
      </c>
      <c r="K963" t="inlineStr">
        <is>
          <t>Scey-sur-Saône-et-Saint-Albin</t>
        </is>
      </c>
      <c r="L963" t="inlineStr">
        <is>
          <t>03 84 92 72 12</t>
        </is>
      </c>
      <c r="M963" s="4" t="inlineStr">
        <is>
          <t>lescombes@wanadoo.fr</t>
        </is>
      </c>
      <c r="N963" s="4" t="inlineStr">
        <is>
          <t>http://www.cc-descombes.fr</t>
        </is>
      </c>
      <c r="O963" s="4" t="inlineStr">
        <is>
          <t>http://www.cc-descombes.fr/courriel.php</t>
        </is>
      </c>
      <c r="P963" s="4" t="inlineStr">
        <is>
          <t>https://lannuaire.service-public.gouv.fr/bourgogne-franche-comte/haute-saone/e911e692-1be4-464d-980d-4c8602f99dd9</t>
        </is>
      </c>
      <c r="Q963" t="inlineStr">
        <is>
          <t>Annuaire Service-public.fr</t>
        </is>
      </c>
      <c r="R963" t="inlineStr"/>
      <c r="S963" t="inlineStr"/>
      <c r="T963" t="inlineStr"/>
    </row>
    <row r="964">
      <c r="A964" t="inlineStr">
        <is>
          <t>CC des Hauts du Val de Saône</t>
        </is>
      </c>
      <c r="B964" t="inlineStr">
        <is>
          <t>Communauté de communes</t>
        </is>
      </c>
      <c r="C964" t="inlineStr">
        <is>
          <t>200036150</t>
        </is>
      </c>
      <c r="D964" t="inlineStr">
        <is>
          <t>70</t>
        </is>
      </c>
      <c r="E964" t="inlineStr">
        <is>
          <t>Haute-Saône</t>
        </is>
      </c>
      <c r="F964" t="inlineStr">
        <is>
          <t>Bourgogne-Franche-Comté</t>
        </is>
      </c>
      <c r="G964" s="3" t="n">
        <v>8373</v>
      </c>
      <c r="H964" t="n">
        <v>48</v>
      </c>
      <c r="I964" t="inlineStr">
        <is>
          <t>Pré Jean-Roche</t>
        </is>
      </c>
      <c r="J964" t="inlineStr">
        <is>
          <t>70500</t>
        </is>
      </c>
      <c r="K964" t="inlineStr">
        <is>
          <t>Jussey</t>
        </is>
      </c>
      <c r="L964" t="inlineStr">
        <is>
          <t>03 84 77 19 90</t>
        </is>
      </c>
      <c r="M964" s="4" t="inlineStr">
        <is>
          <t>cchvs@cchvs.fr</t>
        </is>
      </c>
      <c r="N964" s="4" t="inlineStr">
        <is>
          <t>https://www.cchvs.fr/</t>
        </is>
      </c>
      <c r="O964" s="4" t="inlineStr">
        <is>
          <t>https://www.cchvs.fr/contact.html</t>
        </is>
      </c>
      <c r="P964" s="4" t="inlineStr">
        <is>
          <t>https://lannuaire.service-public.gouv.fr/bourgogne-franche-comte/haute-saone/c18336d5-c79b-4bb5-b730-12fcfbc1a6c0</t>
        </is>
      </c>
      <c r="Q964" t="inlineStr">
        <is>
          <t>Annuaire Service-public.fr</t>
        </is>
      </c>
      <c r="R964" t="inlineStr"/>
      <c r="S964" t="inlineStr"/>
      <c r="T964" t="inlineStr"/>
    </row>
    <row r="965">
      <c r="A965" t="inlineStr">
        <is>
          <t>CC des Monts de Gy</t>
        </is>
      </c>
      <c r="B965" t="inlineStr">
        <is>
          <t>Communauté de communes</t>
        </is>
      </c>
      <c r="C965" t="inlineStr">
        <is>
          <t>247000698</t>
        </is>
      </c>
      <c r="D965" t="inlineStr">
        <is>
          <t>70</t>
        </is>
      </c>
      <c r="E965" t="inlineStr">
        <is>
          <t>Haute-Saône</t>
        </is>
      </c>
      <c r="F965" t="inlineStr">
        <is>
          <t>Bourgogne-Franche-Comté</t>
        </is>
      </c>
      <c r="G965" s="3" t="n">
        <v>6143</v>
      </c>
      <c r="H965" t="n">
        <v>24</v>
      </c>
      <c r="I965" t="inlineStr">
        <is>
          <t>2 rue du Grand-Mont</t>
        </is>
      </c>
      <c r="J965" t="inlineStr">
        <is>
          <t>70700</t>
        </is>
      </c>
      <c r="K965" t="inlineStr">
        <is>
          <t>Gy</t>
        </is>
      </c>
      <c r="L965" t="inlineStr">
        <is>
          <t>03 84 32 97 61</t>
        </is>
      </c>
      <c r="M965" s="4" t="inlineStr">
        <is>
          <t>ccmgy@wanadoo.fr</t>
        </is>
      </c>
      <c r="N965" s="4" t="inlineStr">
        <is>
          <t>https://montsdegy.fr/</t>
        </is>
      </c>
      <c r="O965" s="4" t="inlineStr">
        <is>
          <t>https://montsdegy.fr/contact--1614182146.html</t>
        </is>
      </c>
      <c r="P965" s="4" t="inlineStr">
        <is>
          <t>https://lannuaire.service-public.gouv.fr/bourgogne-franche-comte/haute-saone/fa80aede-ec43-4316-ad64-1e93bf72aff7</t>
        </is>
      </c>
      <c r="Q965" t="inlineStr">
        <is>
          <t>Annuaire Service-public.fr</t>
        </is>
      </c>
      <c r="R965" t="inlineStr"/>
      <c r="S965" t="inlineStr"/>
      <c r="T965" t="inlineStr"/>
    </row>
    <row r="966">
      <c r="A966" t="inlineStr">
        <is>
          <t>CC des Quatre Rivières</t>
        </is>
      </c>
      <c r="B966" t="inlineStr">
        <is>
          <t>Communauté de communes</t>
        </is>
      </c>
      <c r="C966" t="inlineStr">
        <is>
          <t>247000623</t>
        </is>
      </c>
      <c r="D966" t="inlineStr">
        <is>
          <t>70</t>
        </is>
      </c>
      <c r="E966" t="inlineStr">
        <is>
          <t>Haute-Saône</t>
        </is>
      </c>
      <c r="F966" t="inlineStr">
        <is>
          <t>Bourgogne-Franche-Comté</t>
        </is>
      </c>
      <c r="G966" s="3" t="n">
        <v>9437</v>
      </c>
      <c r="H966" t="n">
        <v>41</v>
      </c>
      <c r="I966" t="inlineStr">
        <is>
          <t>8 rue Jean-Mourey</t>
        </is>
      </c>
      <c r="J966" t="inlineStr">
        <is>
          <t>70180</t>
        </is>
      </c>
      <c r="K966" t="inlineStr">
        <is>
          <t>Dampierre-sur-Salon</t>
        </is>
      </c>
      <c r="L966" t="inlineStr">
        <is>
          <t>03 84 67 13 74</t>
        </is>
      </c>
      <c r="M966" s="4" t="inlineStr">
        <is>
          <t>secretariat@cc4r.eu</t>
        </is>
      </c>
      <c r="N966" s="4" t="inlineStr">
        <is>
          <t>https://communaute.4rivieres.fr/</t>
        </is>
      </c>
      <c r="O966" s="4" t="inlineStr">
        <is>
          <t>https://communaute.4rivieres.fr/--04c679a3252339c5bc2780817efce2f8.html</t>
        </is>
      </c>
      <c r="P966" s="4" t="inlineStr">
        <is>
          <t>https://lannuaire.service-public.gouv.fr/bourgogne-franche-comte/haute-saone/67f4702d-ddd1-4aa0-88ac-29d0770e3bd2</t>
        </is>
      </c>
      <c r="Q966" t="inlineStr">
        <is>
          <t>Annuaire Service-public.fr</t>
        </is>
      </c>
      <c r="R966" t="inlineStr"/>
      <c r="S966" t="inlineStr"/>
      <c r="T966" t="inlineStr"/>
    </row>
    <row r="967">
      <c r="A967" t="inlineStr">
        <is>
          <t>CC du Pays Riolais</t>
        </is>
      </c>
      <c r="B967" t="inlineStr">
        <is>
          <t>Communauté de communes</t>
        </is>
      </c>
      <c r="C967" t="inlineStr">
        <is>
          <t>247000706</t>
        </is>
      </c>
      <c r="D967" t="inlineStr">
        <is>
          <t>70</t>
        </is>
      </c>
      <c r="E967" t="inlineStr">
        <is>
          <t>Haute-Saône</t>
        </is>
      </c>
      <c r="F967" t="inlineStr">
        <is>
          <t>Bourgogne-Franche-Comté</t>
        </is>
      </c>
      <c r="G967" s="3" t="n">
        <v>13266</v>
      </c>
      <c r="H967" t="n">
        <v>33</v>
      </c>
      <c r="I967" t="inlineStr">
        <is>
          <t>Rue des Frères-Lumière</t>
        </is>
      </c>
      <c r="J967" t="inlineStr">
        <is>
          <t>70190</t>
        </is>
      </c>
      <c r="K967" t="inlineStr">
        <is>
          <t>Rioz</t>
        </is>
      </c>
      <c r="L967" t="inlineStr">
        <is>
          <t>03 84 91 84 94</t>
        </is>
      </c>
      <c r="M967" s="4" t="inlineStr">
        <is>
          <t>communaute-communes@cc-pays-riolais.fr</t>
        </is>
      </c>
      <c r="N967" s="4" t="inlineStr">
        <is>
          <t>https://www.cc-pays-riolais.fr/</t>
        </is>
      </c>
      <c r="O967" s="4" t="inlineStr">
        <is>
          <t>https://www.cc-pays-riolais.fr/connaitre/contact/</t>
        </is>
      </c>
      <c r="P967" s="4" t="inlineStr">
        <is>
          <t>https://lannuaire.service-public.gouv.fr/bourgogne-franche-comte/haute-saone/35922041-379f-4463-82d3-6166c0805a7b</t>
        </is>
      </c>
      <c r="Q967" t="inlineStr">
        <is>
          <t>Annuaire Service-public.fr</t>
        </is>
      </c>
      <c r="R967" t="inlineStr"/>
      <c r="S967" t="inlineStr"/>
      <c r="T967" t="inlineStr"/>
    </row>
    <row r="968">
      <c r="A968" t="inlineStr">
        <is>
          <t>CC du Pays de Lure</t>
        </is>
      </c>
      <c r="B968" t="inlineStr">
        <is>
          <t>Communauté de communes</t>
        </is>
      </c>
      <c r="C968" t="inlineStr">
        <is>
          <t>247000664</t>
        </is>
      </c>
      <c r="D968" t="inlineStr">
        <is>
          <t>70</t>
        </is>
      </c>
      <c r="E968" t="inlineStr">
        <is>
          <t>Haute-Saône</t>
        </is>
      </c>
      <c r="F968" t="inlineStr">
        <is>
          <t>Bourgogne-Franche-Comté</t>
        </is>
      </c>
      <c r="G968" s="3" t="n">
        <v>19128</v>
      </c>
      <c r="H968" t="n">
        <v>23</v>
      </c>
      <c r="I968" t="inlineStr">
        <is>
          <t>Rue des Berniers, ZA de la Saline, BP50</t>
        </is>
      </c>
      <c r="J968" t="inlineStr">
        <is>
          <t>70200</t>
        </is>
      </c>
      <c r="K968" t="inlineStr">
        <is>
          <t>Lure</t>
        </is>
      </c>
      <c r="L968" t="inlineStr">
        <is>
          <t>03 84 89 00 30</t>
        </is>
      </c>
      <c r="M968" s="4" t="inlineStr">
        <is>
          <t>contact@pays-de-lure.fr</t>
        </is>
      </c>
      <c r="N968" s="4" t="inlineStr">
        <is>
          <t>https://www.pays-de-lure.fr/</t>
        </is>
      </c>
      <c r="O968" s="4" t="inlineStr">
        <is>
          <t>https://www.pays-de-lure.fr/contact.htm</t>
        </is>
      </c>
      <c r="P968" s="4" t="inlineStr">
        <is>
          <t>https://lannuaire.service-public.gouv.fr/bourgogne-franche-comte/haute-saone/9231a4ca-7fa8-44c6-9969-46ea904fd157</t>
        </is>
      </c>
      <c r="Q968" t="inlineStr">
        <is>
          <t>Annuaire Service-public.fr</t>
        </is>
      </c>
      <c r="R968" t="inlineStr"/>
      <c r="S968" t="inlineStr"/>
      <c r="T968" t="inlineStr"/>
    </row>
    <row r="969">
      <c r="A969" t="inlineStr">
        <is>
          <t>CC du Pays de Luxeuil</t>
        </is>
      </c>
      <c r="B969" t="inlineStr">
        <is>
          <t>Communauté de communes</t>
        </is>
      </c>
      <c r="C969" t="inlineStr">
        <is>
          <t>247000755</t>
        </is>
      </c>
      <c r="D969" t="inlineStr">
        <is>
          <t>70</t>
        </is>
      </c>
      <c r="E969" t="inlineStr">
        <is>
          <t>Haute-Saône</t>
        </is>
      </c>
      <c r="F969" t="inlineStr">
        <is>
          <t>Bourgogne-Franche-Comté</t>
        </is>
      </c>
      <c r="G969" s="3" t="n">
        <v>14856</v>
      </c>
      <c r="H969" t="n">
        <v>15</v>
      </c>
      <c r="I969" t="inlineStr">
        <is>
          <t>22 rue Jules-Jeanneney</t>
        </is>
      </c>
      <c r="J969" t="inlineStr">
        <is>
          <t>70300</t>
        </is>
      </c>
      <c r="K969" t="inlineStr">
        <is>
          <t>Luxeuil-les-Bains</t>
        </is>
      </c>
      <c r="L969" t="inlineStr">
        <is>
          <t>03 84 40 63 00</t>
        </is>
      </c>
      <c r="M969" s="4" t="inlineStr">
        <is>
          <t>accueil@paysdeluxeuil.fr</t>
        </is>
      </c>
      <c r="N969" s="4" t="inlineStr">
        <is>
          <t>https://www.paysdeluxeuil.fr/</t>
        </is>
      </c>
      <c r="O969" t="inlineStr"/>
      <c r="P969" s="4" t="inlineStr">
        <is>
          <t>https://lannuaire.service-public.gouv.fr/bourgogne-franche-comte/haute-saone/9b075301-2670-4662-8aef-e62ae6f9c051</t>
        </is>
      </c>
      <c r="Q969" t="inlineStr">
        <is>
          <t>Annuaire Service-public.fr</t>
        </is>
      </c>
      <c r="R969" t="inlineStr"/>
      <c r="S969" t="inlineStr"/>
      <c r="T969" t="inlineStr"/>
    </row>
    <row r="970">
      <c r="A970" t="inlineStr">
        <is>
          <t>CC du Pays de Montbozon et du Chanois</t>
        </is>
      </c>
      <c r="B970" t="inlineStr">
        <is>
          <t>Communauté de communes</t>
        </is>
      </c>
      <c r="C970" t="inlineStr">
        <is>
          <t>200041853</t>
        </is>
      </c>
      <c r="D970" t="inlineStr">
        <is>
          <t>70</t>
        </is>
      </c>
      <c r="E970" t="inlineStr">
        <is>
          <t>Haute-Saône</t>
        </is>
      </c>
      <c r="F970" t="inlineStr">
        <is>
          <t>Bourgogne-Franche-Comté</t>
        </is>
      </c>
      <c r="G970" s="3" t="n">
        <v>6661</v>
      </c>
      <c r="H970" t="n">
        <v>27</v>
      </c>
      <c r="I970" t="inlineStr">
        <is>
          <t>ZA Le Vay-du-Soleil</t>
        </is>
      </c>
      <c r="J970" t="inlineStr">
        <is>
          <t>70230</t>
        </is>
      </c>
      <c r="K970" t="inlineStr">
        <is>
          <t>Montbozon</t>
        </is>
      </c>
      <c r="L970" t="inlineStr">
        <is>
          <t>03 84 92 34 70</t>
        </is>
      </c>
      <c r="M970" s="4" t="inlineStr">
        <is>
          <t>contact@ccpmc.fr</t>
        </is>
      </c>
      <c r="N970" s="4" t="inlineStr">
        <is>
          <t>https://www.ccpmc.fr/</t>
        </is>
      </c>
      <c r="O970" s="4" t="inlineStr">
        <is>
          <t>https://www.ccpmc.fr/contact</t>
        </is>
      </c>
      <c r="P970" s="4" t="inlineStr">
        <is>
          <t>https://lannuaire.service-public.gouv.fr/bourgogne-franche-comte/haute-saone/355766bd-791d-4588-8d95-cfb24d0f3694</t>
        </is>
      </c>
      <c r="Q970" t="inlineStr">
        <is>
          <t>Annuaire Service-public.fr</t>
        </is>
      </c>
      <c r="R970" t="inlineStr"/>
      <c r="S970" t="inlineStr"/>
      <c r="T970" t="inlineStr"/>
    </row>
    <row r="971">
      <c r="A971" t="inlineStr">
        <is>
          <t>CC du Triangle Vert</t>
        </is>
      </c>
      <c r="B971" t="inlineStr">
        <is>
          <t>Communauté de communes</t>
        </is>
      </c>
      <c r="C971" t="inlineStr">
        <is>
          <t>200041861</t>
        </is>
      </c>
      <c r="D971" t="inlineStr">
        <is>
          <t>70</t>
        </is>
      </c>
      <c r="E971" t="inlineStr">
        <is>
          <t>Haute-Saône</t>
        </is>
      </c>
      <c r="F971" t="inlineStr">
        <is>
          <t>Bourgogne-Franche-Comté</t>
        </is>
      </c>
      <c r="G971" s="3" t="n">
        <v>10976</v>
      </c>
      <c r="H971" t="n">
        <v>42</v>
      </c>
      <c r="I971" t="inlineStr">
        <is>
          <t>27 Grande rue</t>
        </is>
      </c>
      <c r="J971" t="inlineStr">
        <is>
          <t>70240</t>
        </is>
      </c>
      <c r="K971" t="inlineStr">
        <is>
          <t>Saulx</t>
        </is>
      </c>
      <c r="L971" t="inlineStr">
        <is>
          <t>03 84 95 89 90</t>
        </is>
      </c>
      <c r="M971" s="4" t="inlineStr">
        <is>
          <t>contact@cctv70.fr</t>
        </is>
      </c>
      <c r="N971" s="4" t="inlineStr">
        <is>
          <t>https://cctv70.fr/fr/</t>
        </is>
      </c>
      <c r="O971" s="4" t="inlineStr">
        <is>
          <t>https://cctv70.fr/fr/</t>
        </is>
      </c>
      <c r="P971" s="4" t="inlineStr">
        <is>
          <t>https://lannuaire.service-public.gouv.fr/bourgogne-franche-comte/haute-saone/2310fba1-01c9-47e6-a5b9-8a83114baa59</t>
        </is>
      </c>
      <c r="Q971" t="inlineStr">
        <is>
          <t>Annuaire Service-public.fr</t>
        </is>
      </c>
      <c r="R971" t="inlineStr"/>
      <c r="S971" t="inlineStr"/>
      <c r="T971" t="inlineStr"/>
    </row>
    <row r="972">
      <c r="A972" t="inlineStr">
        <is>
          <t>CA Le Grand Chalon</t>
        </is>
      </c>
      <c r="B972" t="inlineStr">
        <is>
          <t>Communauté d’agglomération</t>
        </is>
      </c>
      <c r="C972" t="inlineStr">
        <is>
          <t>247100589</t>
        </is>
      </c>
      <c r="D972" t="inlineStr">
        <is>
          <t>71</t>
        </is>
      </c>
      <c r="E972" t="inlineStr">
        <is>
          <t>Saône-et-Loire</t>
        </is>
      </c>
      <c r="F972" t="inlineStr">
        <is>
          <t>Bourgogne-Franche-Comté</t>
        </is>
      </c>
      <c r="G972" s="3" t="n">
        <v>113440</v>
      </c>
      <c r="H972" t="n">
        <v>51</v>
      </c>
      <c r="I972" t="inlineStr">
        <is>
          <t>23 avenue Georges-Pompidou</t>
        </is>
      </c>
      <c r="J972" t="inlineStr">
        <is>
          <t>71100</t>
        </is>
      </c>
      <c r="K972" t="inlineStr">
        <is>
          <t>Chalon-sur-Saône</t>
        </is>
      </c>
      <c r="L972" t="inlineStr">
        <is>
          <t>03 85 94 15 15</t>
        </is>
      </c>
      <c r="M972" s="4" t="inlineStr">
        <is>
          <t>contact@legrandchalon.fr</t>
        </is>
      </c>
      <c r="N972" s="4" t="inlineStr">
        <is>
          <t>https://www.legrandchalon.fr/</t>
        </is>
      </c>
      <c r="O972" s="4" t="inlineStr">
        <is>
          <t>https://www.legrandchalon.fr/contactez-nous/</t>
        </is>
      </c>
      <c r="P972" s="4" t="inlineStr">
        <is>
          <t>https://lannuaire.service-public.gouv.fr/bourgogne-franche-comte/saone-et-loire/9d0bcc3b-d74d-420b-ae45-56b211071546</t>
        </is>
      </c>
      <c r="Q972" t="inlineStr">
        <is>
          <t>Annuaire Service-public.fr</t>
        </is>
      </c>
      <c r="R972" t="inlineStr"/>
      <c r="S972" t="inlineStr"/>
      <c r="T972" t="inlineStr"/>
    </row>
    <row r="973">
      <c r="A973" t="inlineStr">
        <is>
          <t>CC Bresse Louhannaise Intercom'</t>
        </is>
      </c>
      <c r="B973" t="inlineStr">
        <is>
          <t>Communauté de communes</t>
        </is>
      </c>
      <c r="C973" t="inlineStr">
        <is>
          <t>200071579</t>
        </is>
      </c>
      <c r="D973" t="inlineStr">
        <is>
          <t>71</t>
        </is>
      </c>
      <c r="E973" t="inlineStr">
        <is>
          <t>Saône-et-Loire</t>
        </is>
      </c>
      <c r="F973" t="inlineStr">
        <is>
          <t>Bourgogne-Franche-Comté</t>
        </is>
      </c>
      <c r="G973" s="3" t="n">
        <v>28331</v>
      </c>
      <c r="H973" t="n">
        <v>30</v>
      </c>
      <c r="I973" t="inlineStr">
        <is>
          <t>1 place Saint-Jean</t>
        </is>
      </c>
      <c r="J973" t="inlineStr">
        <is>
          <t>71500</t>
        </is>
      </c>
      <c r="K973" t="inlineStr">
        <is>
          <t>Louhans‑Châteaurenaud</t>
        </is>
      </c>
      <c r="L973" t="inlineStr">
        <is>
          <t>03 85 60 10 95</t>
        </is>
      </c>
      <c r="M973" s="4" t="inlineStr">
        <is>
          <t>contact@blintercom.fr</t>
        </is>
      </c>
      <c r="N973" s="4" t="inlineStr">
        <is>
          <t>https://www.bresselouhannaiseintercom.fr/</t>
        </is>
      </c>
      <c r="O973" s="4" t="inlineStr">
        <is>
          <t>https://www.bresselouhannaiseintercom.fr/contactez-nous/</t>
        </is>
      </c>
      <c r="P973" s="4" t="inlineStr">
        <is>
          <t>https://lannuaire.service-public.gouv.fr/bourgogne-franche-comte/saone-et-loire/75acc33f-e068-4433-8a62-474922532f2e</t>
        </is>
      </c>
      <c r="Q973" t="inlineStr">
        <is>
          <t>Annuaire Service-public.fr</t>
        </is>
      </c>
      <c r="R973" t="inlineStr"/>
      <c r="S973" t="inlineStr"/>
      <c r="T973" t="inlineStr"/>
    </row>
    <row r="974">
      <c r="A974" t="inlineStr">
        <is>
          <t>CC Bresse Nord Intercom'</t>
        </is>
      </c>
      <c r="B974" t="inlineStr">
        <is>
          <t>Communauté de communes</t>
        </is>
      </c>
      <c r="C974" t="inlineStr">
        <is>
          <t>247100647</t>
        </is>
      </c>
      <c r="D974" t="inlineStr">
        <is>
          <t>71</t>
        </is>
      </c>
      <c r="E974" t="inlineStr">
        <is>
          <t>Saône-et-Loire</t>
        </is>
      </c>
      <c r="F974" t="inlineStr">
        <is>
          <t>Bourgogne-Franche-Comté</t>
        </is>
      </c>
      <c r="G974" s="3" t="n">
        <v>6544</v>
      </c>
      <c r="H974" t="n">
        <v>16</v>
      </c>
      <c r="I974" t="inlineStr">
        <is>
          <t>4 rue du Château</t>
        </is>
      </c>
      <c r="J974" t="inlineStr">
        <is>
          <t>71270</t>
        </is>
      </c>
      <c r="K974" t="inlineStr">
        <is>
          <t>Pierre-de-Bresse</t>
        </is>
      </c>
      <c r="L974" t="inlineStr">
        <is>
          <t>03 79 57 07 60</t>
        </is>
      </c>
      <c r="M974" s="4" t="inlineStr">
        <is>
          <t>accueil@bressenordintercom.fr</t>
        </is>
      </c>
      <c r="N974" s="4" t="inlineStr">
        <is>
          <t>https://www.bressenordintercom.fr</t>
        </is>
      </c>
      <c r="O974" s="4" t="inlineStr">
        <is>
          <t>https://www.bressenordintercom.fr/contactez-nous/</t>
        </is>
      </c>
      <c r="P974" s="4" t="inlineStr">
        <is>
          <t>https://lannuaire.service-public.gouv.fr/bourgogne-franche-comte/saone-et-loire/602c57e8-36f3-45c0-af98-b681eb49b01d</t>
        </is>
      </c>
      <c r="Q974" t="inlineStr">
        <is>
          <t>Annuaire Service-public.fr</t>
        </is>
      </c>
      <c r="R974" t="inlineStr"/>
      <c r="S974" t="inlineStr"/>
      <c r="T974" t="inlineStr"/>
    </row>
    <row r="975">
      <c r="A975" t="inlineStr">
        <is>
          <t>CC Bresse Revermont 71</t>
        </is>
      </c>
      <c r="B975" t="inlineStr">
        <is>
          <t>Communauté de communes</t>
        </is>
      </c>
      <c r="C975" t="inlineStr">
        <is>
          <t>200042414</t>
        </is>
      </c>
      <c r="D975" t="inlineStr">
        <is>
          <t>71</t>
        </is>
      </c>
      <c r="E975" t="inlineStr">
        <is>
          <t>Saône-et-Loire</t>
        </is>
      </c>
      <c r="F975" t="inlineStr">
        <is>
          <t>Bourgogne-Franche-Comté</t>
        </is>
      </c>
      <c r="G975" s="3" t="n">
        <v>10001</v>
      </c>
      <c r="H975" t="n">
        <v>17</v>
      </c>
      <c r="I975" t="inlineStr">
        <is>
          <t>8 rue Pontpierre</t>
        </is>
      </c>
      <c r="J975" t="inlineStr">
        <is>
          <t>71330</t>
        </is>
      </c>
      <c r="K975" t="inlineStr">
        <is>
          <t>Saint-Germain-du-Bois</t>
        </is>
      </c>
      <c r="L975" t="inlineStr">
        <is>
          <t>03 85 72 02 19</t>
        </is>
      </c>
      <c r="M975" s="4" t="inlineStr">
        <is>
          <t>ccbr71@orange.fr</t>
        </is>
      </c>
      <c r="N975" s="4" t="inlineStr">
        <is>
          <t>https://www.ccbresserevermont71.fr/</t>
        </is>
      </c>
      <c r="O975" s="4" t="inlineStr">
        <is>
          <t>https://www.ccbresserevermont71.fr/contactez-nous/</t>
        </is>
      </c>
      <c r="P975" s="4" t="inlineStr">
        <is>
          <t>https://lannuaire.service-public.gouv.fr/bourgogne-franche-comte/saone-et-loire/c2f751b7-2297-4296-b53f-c312a61873ed</t>
        </is>
      </c>
      <c r="Q975" t="inlineStr">
        <is>
          <t>Annuaire Service-public.fr</t>
        </is>
      </c>
      <c r="R975" t="inlineStr"/>
      <c r="S975" t="inlineStr"/>
      <c r="T975" t="inlineStr"/>
    </row>
    <row r="976">
      <c r="A976" t="inlineStr">
        <is>
          <t>CC Brionnais Sud Bourgogne</t>
        </is>
      </c>
      <c r="B976" t="inlineStr">
        <is>
          <t>Communauté de communes</t>
        </is>
      </c>
      <c r="C976" t="inlineStr">
        <is>
          <t>200070548</t>
        </is>
      </c>
      <c r="D976" t="inlineStr">
        <is>
          <t>71</t>
        </is>
      </c>
      <c r="E976" t="inlineStr">
        <is>
          <t>Saône-et-Loire</t>
        </is>
      </c>
      <c r="F976" t="inlineStr">
        <is>
          <t>Bourgogne-Franche-Comté</t>
        </is>
      </c>
      <c r="G976" s="3" t="n">
        <v>14950</v>
      </c>
      <c r="H976" t="n">
        <v>29</v>
      </c>
      <c r="I976" t="inlineStr">
        <is>
          <t>4 rue Elie-Maurette</t>
        </is>
      </c>
      <c r="J976" t="inlineStr">
        <is>
          <t>71170</t>
        </is>
      </c>
      <c r="K976" t="inlineStr">
        <is>
          <t>Chauffailles</t>
        </is>
      </c>
      <c r="L976" t="inlineStr">
        <is>
          <t>03 85 26 52 20</t>
        </is>
      </c>
      <c r="M976" s="4" t="inlineStr">
        <is>
          <t>cc@brionnaissudbourgogne.fr</t>
        </is>
      </c>
      <c r="N976" s="4" t="inlineStr">
        <is>
          <t>https://brionnaissudbourgogne.fr</t>
        </is>
      </c>
      <c r="O976" t="inlineStr"/>
      <c r="P976" s="4" t="inlineStr">
        <is>
          <t>https://lannuaire.service-public.gouv.fr/bourgogne-franche-comte/saone-et-loire/1e391588-b861-43ba-8955-2482970b3d6a</t>
        </is>
      </c>
      <c r="Q976" t="inlineStr">
        <is>
          <t>Annuaire Service-public.fr</t>
        </is>
      </c>
      <c r="R976" t="inlineStr"/>
      <c r="S976" t="inlineStr"/>
      <c r="T976" t="inlineStr"/>
    </row>
    <row r="977">
      <c r="A977" t="inlineStr">
        <is>
          <t>CC Entre Arroux, Loire et Somme</t>
        </is>
      </c>
      <c r="B977" t="inlineStr">
        <is>
          <t>Communauté de communes</t>
        </is>
      </c>
      <c r="C977" t="inlineStr">
        <is>
          <t>200070316</t>
        </is>
      </c>
      <c r="D977" t="inlineStr">
        <is>
          <t>71</t>
        </is>
      </c>
      <c r="E977" t="inlineStr">
        <is>
          <t>Saône-et-Loire</t>
        </is>
      </c>
      <c r="F977" t="inlineStr">
        <is>
          <t>Bourgogne-Franche-Comté</t>
        </is>
      </c>
      <c r="G977" s="3" t="n">
        <v>21615</v>
      </c>
      <c r="H977" t="n">
        <v>30</v>
      </c>
      <c r="I977" t="inlineStr">
        <is>
          <t>1 rue Pasteur, BP 44</t>
        </is>
      </c>
      <c r="J977" t="inlineStr">
        <is>
          <t>71130</t>
        </is>
      </c>
      <c r="K977" t="inlineStr">
        <is>
          <t>Gueugnon</t>
        </is>
      </c>
      <c r="L977" t="inlineStr">
        <is>
          <t>03 85 85 12 92</t>
        </is>
      </c>
      <c r="M977" s="4" t="inlineStr">
        <is>
          <t>accueil@cceals.fr</t>
        </is>
      </c>
      <c r="N977" s="4" t="inlineStr">
        <is>
          <t>https://cceals.fr</t>
        </is>
      </c>
      <c r="O977" t="inlineStr"/>
      <c r="P977" s="4" t="inlineStr">
        <is>
          <t>https://lannuaire.service-public.gouv.fr/bourgogne-franche-comte/saone-et-loire/1454e4dc-bb66-4aa7-af25-7806b53ac98e</t>
        </is>
      </c>
      <c r="Q977" t="inlineStr">
        <is>
          <t>Annuaire Service-public.fr</t>
        </is>
      </c>
      <c r="R977" t="inlineStr"/>
      <c r="S977" t="inlineStr"/>
      <c r="T977" t="inlineStr"/>
    </row>
    <row r="978">
      <c r="A978" t="inlineStr">
        <is>
          <t>CC Entre Saône et Grosne</t>
        </is>
      </c>
      <c r="B978" t="inlineStr">
        <is>
          <t>Communauté de communes</t>
        </is>
      </c>
      <c r="C978" t="inlineStr">
        <is>
          <t>247103765</t>
        </is>
      </c>
      <c r="D978" t="inlineStr">
        <is>
          <t>71</t>
        </is>
      </c>
      <c r="E978" t="inlineStr">
        <is>
          <t>Saône-et-Loire</t>
        </is>
      </c>
      <c r="F978" t="inlineStr">
        <is>
          <t>Bourgogne-Franche-Comté</t>
        </is>
      </c>
      <c r="G978" s="3" t="n">
        <v>11101</v>
      </c>
      <c r="H978" t="n">
        <v>23</v>
      </c>
      <c r="I978" t="inlineStr">
        <is>
          <t>30 rue des Mûriers</t>
        </is>
      </c>
      <c r="J978" t="inlineStr">
        <is>
          <t>71240</t>
        </is>
      </c>
      <c r="K978" t="inlineStr">
        <is>
          <t>Sennecey-le-Grand</t>
        </is>
      </c>
      <c r="L978" t="inlineStr">
        <is>
          <t>03 85 44 91 92</t>
        </is>
      </c>
      <c r="M978" s="4" t="inlineStr">
        <is>
          <t>administratif@cc-saonegrosne.fr</t>
        </is>
      </c>
      <c r="N978" s="4" t="inlineStr">
        <is>
          <t>https://www.cc-entresaoneetgrosne.fr/</t>
        </is>
      </c>
      <c r="O978" s="4" t="inlineStr">
        <is>
          <t>https://www.cc-entresaoneetgrosne.fr/contact/</t>
        </is>
      </c>
      <c r="P978" s="4" t="inlineStr">
        <is>
          <t>https://lannuaire.service-public.gouv.fr/bourgogne-franche-comte/saone-et-loire/fd7dedb1-3ef7-4673-aee4-605710dbe47a</t>
        </is>
      </c>
      <c r="Q978" t="inlineStr">
        <is>
          <t>Annuaire Service-public.fr</t>
        </is>
      </c>
      <c r="R978" t="inlineStr"/>
      <c r="S978" t="inlineStr"/>
      <c r="T978" t="inlineStr"/>
    </row>
    <row r="979">
      <c r="A979" t="inlineStr">
        <is>
          <t>CC Mâconnais - Tournugeois</t>
        </is>
      </c>
      <c r="B979" t="inlineStr">
        <is>
          <t>Communauté de communes</t>
        </is>
      </c>
      <c r="C979" t="inlineStr">
        <is>
          <t>200069698</t>
        </is>
      </c>
      <c r="D979" t="inlineStr">
        <is>
          <t>71</t>
        </is>
      </c>
      <c r="E979" t="inlineStr">
        <is>
          <t>Saône-et-Loire</t>
        </is>
      </c>
      <c r="F979" t="inlineStr">
        <is>
          <t>Bourgogne-Franche-Comté</t>
        </is>
      </c>
      <c r="G979" s="3" t="n">
        <v>15906</v>
      </c>
      <c r="H979" t="n">
        <v>24</v>
      </c>
      <c r="I979" t="inlineStr">
        <is>
          <t>107 rue du Cardinal-de-Fleury, ZA du Pas-Fleury</t>
        </is>
      </c>
      <c r="J979" t="inlineStr">
        <is>
          <t>71700</t>
        </is>
      </c>
      <c r="K979" t="inlineStr">
        <is>
          <t>Tournus</t>
        </is>
      </c>
      <c r="L979" t="inlineStr">
        <is>
          <t>03 85 51 05 56</t>
        </is>
      </c>
      <c r="M979" s="4" t="inlineStr">
        <is>
          <t>accueil@ccmt71.fr</t>
        </is>
      </c>
      <c r="N979" s="4" t="inlineStr">
        <is>
          <t>https://maconnais-tournugeois.fr/</t>
        </is>
      </c>
      <c r="O979" t="inlineStr"/>
      <c r="P979" s="4" t="inlineStr">
        <is>
          <t>https://lannuaire.service-public.gouv.fr/bourgogne-franche-comte/saone-et-loire/ce230276-0e90-4cdd-b845-1472f0e743e8</t>
        </is>
      </c>
      <c r="Q979" t="inlineStr">
        <is>
          <t>Annuaire Service-public.fr</t>
        </is>
      </c>
      <c r="R979" t="inlineStr"/>
      <c r="S979" t="inlineStr"/>
      <c r="T979" t="inlineStr"/>
    </row>
    <row r="980">
      <c r="A980" t="inlineStr">
        <is>
          <t>CC Saint Cyr Mère Boitier entre Charolais et Mâconnais</t>
        </is>
      </c>
      <c r="B980" t="inlineStr">
        <is>
          <t>Communauté de communes</t>
        </is>
      </c>
      <c r="C980" t="inlineStr">
        <is>
          <t>200071645</t>
        </is>
      </c>
      <c r="D980" t="inlineStr">
        <is>
          <t>71</t>
        </is>
      </c>
      <c r="E980" t="inlineStr">
        <is>
          <t>Saône-et-Loire</t>
        </is>
      </c>
      <c r="F980" t="inlineStr">
        <is>
          <t>Bourgogne-Franche-Comté</t>
        </is>
      </c>
      <c r="G980" s="3" t="n">
        <v>8058</v>
      </c>
      <c r="H980" t="n">
        <v>16</v>
      </c>
      <c r="I980" t="inlineStr">
        <is>
          <t>Communauté de Communes Saint Cyr Mère Boitier, Mairie</t>
        </is>
      </c>
      <c r="J980" t="inlineStr">
        <is>
          <t>71520</t>
        </is>
      </c>
      <c r="K980" t="inlineStr">
        <is>
          <t>Trambly</t>
        </is>
      </c>
      <c r="L980" t="inlineStr">
        <is>
          <t>03 85 50 26 45</t>
        </is>
      </c>
      <c r="M980" s="4" t="inlineStr">
        <is>
          <t>contact@scmb71.com</t>
        </is>
      </c>
      <c r="N980" s="4" t="inlineStr">
        <is>
          <t>https://www.scmb71.com/</t>
        </is>
      </c>
      <c r="O980" s="4" t="inlineStr">
        <is>
          <t>https://www.scmb71.com/contact</t>
        </is>
      </c>
      <c r="P980" s="4" t="inlineStr">
        <is>
          <t>https://lannuaire.service-public.gouv.fr/bourgogne-franche-comte/saone-et-loire/59cc6119-59b6-4b56-b436-159b90ebbb76</t>
        </is>
      </c>
      <c r="Q980" t="inlineStr">
        <is>
          <t>Annuaire Service-public.fr</t>
        </is>
      </c>
      <c r="R980" t="inlineStr"/>
      <c r="S980" t="inlineStr"/>
      <c r="T980" t="inlineStr"/>
    </row>
    <row r="981">
      <c r="A981" t="inlineStr">
        <is>
          <t>CC Saône Doubs Bresse</t>
        </is>
      </c>
      <c r="B981" t="inlineStr">
        <is>
          <t>Communauté de communes</t>
        </is>
      </c>
      <c r="C981" t="inlineStr">
        <is>
          <t>200040038</t>
        </is>
      </c>
      <c r="D981" t="inlineStr">
        <is>
          <t>71</t>
        </is>
      </c>
      <c r="E981" t="inlineStr">
        <is>
          <t>Saône-et-Loire</t>
        </is>
      </c>
      <c r="F981" t="inlineStr">
        <is>
          <t>Bourgogne-Franche-Comté</t>
        </is>
      </c>
      <c r="G981" s="3" t="n">
        <v>12073</v>
      </c>
      <c r="H981" t="n">
        <v>26</v>
      </c>
      <c r="I981" t="inlineStr">
        <is>
          <t>16 rue de la République</t>
        </is>
      </c>
      <c r="J981" t="inlineStr">
        <is>
          <t>71350</t>
        </is>
      </c>
      <c r="K981" t="inlineStr">
        <is>
          <t>Verdun-Ciel</t>
        </is>
      </c>
      <c r="L981" t="inlineStr">
        <is>
          <t>03 85 91 66 16</t>
        </is>
      </c>
      <c r="M981" s="4" t="inlineStr">
        <is>
          <t>contact@saonedoubsbresse.fr</t>
        </is>
      </c>
      <c r="N981" s="4" t="inlineStr">
        <is>
          <t>http://www.saonedoubsbresse.fr</t>
        </is>
      </c>
      <c r="O981" s="4" t="inlineStr">
        <is>
          <t>http://www.saonedoubsbresse.fr/contact/</t>
        </is>
      </c>
      <c r="P981" s="4" t="inlineStr">
        <is>
          <t>https://lannuaire.service-public.gouv.fr/bourgogne-franche-comte/saone-et-loire/2a93461c-76a7-455b-b3c3-7feea66dc160</t>
        </is>
      </c>
      <c r="Q981" t="inlineStr">
        <is>
          <t>Annuaire Service-public.fr</t>
        </is>
      </c>
      <c r="R981" t="inlineStr"/>
      <c r="S981" t="inlineStr"/>
      <c r="T981" t="inlineStr"/>
    </row>
    <row r="982">
      <c r="A982" t="inlineStr">
        <is>
          <t>CC Sud Côte Chalonnaise</t>
        </is>
      </c>
      <c r="B982" t="inlineStr">
        <is>
          <t>Communauté de communes</t>
        </is>
      </c>
      <c r="C982" t="inlineStr">
        <is>
          <t>247104094</t>
        </is>
      </c>
      <c r="D982" t="inlineStr">
        <is>
          <t>71</t>
        </is>
      </c>
      <c r="E982" t="inlineStr">
        <is>
          <t>Saône-et-Loire</t>
        </is>
      </c>
      <c r="F982" t="inlineStr">
        <is>
          <t>Bourgogne-Franche-Comté</t>
        </is>
      </c>
      <c r="G982" s="3" t="n">
        <v>11540</v>
      </c>
      <c r="H982" t="n">
        <v>36</v>
      </c>
      <c r="I982" t="inlineStr">
        <is>
          <t>3 impasse des Marbres</t>
        </is>
      </c>
      <c r="J982" t="inlineStr">
        <is>
          <t>71390</t>
        </is>
      </c>
      <c r="K982" t="inlineStr">
        <is>
          <t>Buxy</t>
        </is>
      </c>
      <c r="L982" t="inlineStr">
        <is>
          <t>03 85 45 05 26</t>
        </is>
      </c>
      <c r="M982" s="4" t="inlineStr">
        <is>
          <t>secretariat@ccscc.fr</t>
        </is>
      </c>
      <c r="N982" s="4" t="inlineStr">
        <is>
          <t>https://www.cc-sud-cote-chalonnaise.fr/</t>
        </is>
      </c>
      <c r="O982" t="inlineStr"/>
      <c r="P982" s="4" t="inlineStr">
        <is>
          <t>https://lannuaire.service-public.gouv.fr/bourgogne-franche-comte/saone-et-loire/98e65ad2-cd9d-44ce-a853-98fe0b12583d</t>
        </is>
      </c>
      <c r="Q982" t="inlineStr">
        <is>
          <t>Annuaire Service-public.fr</t>
        </is>
      </c>
      <c r="R982" t="inlineStr"/>
      <c r="S982" t="inlineStr"/>
      <c r="T982" t="inlineStr"/>
    </row>
    <row r="983">
      <c r="A983" t="inlineStr">
        <is>
          <t>CC Terres de Bresse</t>
        </is>
      </c>
      <c r="B983" t="inlineStr">
        <is>
          <t>Communauté de communes</t>
        </is>
      </c>
      <c r="C983" t="inlineStr">
        <is>
          <t>200071538</t>
        </is>
      </c>
      <c r="D983" t="inlineStr">
        <is>
          <t>71</t>
        </is>
      </c>
      <c r="E983" t="inlineStr">
        <is>
          <t>Saône-et-Loire</t>
        </is>
      </c>
      <c r="F983" t="inlineStr">
        <is>
          <t>Bourgogne-Franche-Comté</t>
        </is>
      </c>
      <c r="G983" s="3" t="n">
        <v>22711</v>
      </c>
      <c r="H983" t="n">
        <v>25</v>
      </c>
      <c r="I983" t="inlineStr">
        <is>
          <t>Rue Wachenheim</t>
        </is>
      </c>
      <c r="J983" t="inlineStr">
        <is>
          <t>71290</t>
        </is>
      </c>
      <c r="K983" t="inlineStr">
        <is>
          <t>Cuisery</t>
        </is>
      </c>
      <c r="L983" t="inlineStr">
        <is>
          <t>03 85 32 30 07</t>
        </is>
      </c>
      <c r="M983" s="4" t="inlineStr">
        <is>
          <t>comcom@terresdebresse.fr</t>
        </is>
      </c>
      <c r="N983" s="4" t="inlineStr">
        <is>
          <t>https://www.terresdebresse.fr/</t>
        </is>
      </c>
      <c r="O983" t="inlineStr"/>
      <c r="P983" s="4" t="inlineStr">
        <is>
          <t>https://lannuaire.service-public.gouv.fr/bourgogne-franche-comte/saone-et-loire/378b1fe1-8104-4dce-b3ca-30b6e33e6de0</t>
        </is>
      </c>
      <c r="Q983" t="inlineStr">
        <is>
          <t>Annuaire Service-public.fr</t>
        </is>
      </c>
      <c r="R983" t="inlineStr"/>
      <c r="S983" t="inlineStr"/>
      <c r="T983" t="inlineStr"/>
    </row>
    <row r="984">
      <c r="A984" t="inlineStr">
        <is>
          <t>CC de Marcigny</t>
        </is>
      </c>
      <c r="B984" t="inlineStr">
        <is>
          <t>Communauté de communes</t>
        </is>
      </c>
      <c r="C984" t="inlineStr">
        <is>
          <t>247100639</t>
        </is>
      </c>
      <c r="D984" t="inlineStr">
        <is>
          <t>71</t>
        </is>
      </c>
      <c r="E984" t="inlineStr">
        <is>
          <t>Saône-et-Loire</t>
        </is>
      </c>
      <c r="F984" t="inlineStr">
        <is>
          <t>Bourgogne-Franche-Comté</t>
        </is>
      </c>
      <c r="G984" s="3" t="n">
        <v>5999</v>
      </c>
      <c r="H984" t="n">
        <v>12</v>
      </c>
      <c r="I984" t="inlineStr">
        <is>
          <t>5 place du Cours</t>
        </is>
      </c>
      <c r="J984" t="inlineStr">
        <is>
          <t>71110</t>
        </is>
      </c>
      <c r="K984" t="inlineStr">
        <is>
          <t>Marcigny</t>
        </is>
      </c>
      <c r="L984" t="inlineStr">
        <is>
          <t>03 85 25 37 08</t>
        </is>
      </c>
      <c r="M984" s="4" t="inlineStr">
        <is>
          <t>contact@ccmarcigny.fr</t>
        </is>
      </c>
      <c r="N984" s="4" t="inlineStr">
        <is>
          <t>https://www.cc-marcigny.fr/</t>
        </is>
      </c>
      <c r="O984" t="inlineStr"/>
      <c r="P984" s="4" t="inlineStr">
        <is>
          <t>https://lannuaire.service-public.gouv.fr/bourgogne-franche-comte/saone-et-loire/1d833994-b964-4beb-9f5f-f6bf7fdf2bc1</t>
        </is>
      </c>
      <c r="Q984" t="inlineStr">
        <is>
          <t>Annuaire Service-public.fr</t>
        </is>
      </c>
      <c r="R984" t="inlineStr"/>
      <c r="S984" t="inlineStr"/>
      <c r="T984" t="inlineStr"/>
    </row>
    <row r="985">
      <c r="A985" t="inlineStr">
        <is>
          <t>CC de Semur en Brionnais</t>
        </is>
      </c>
      <c r="B985" t="inlineStr">
        <is>
          <t>Communauté de communes</t>
        </is>
      </c>
      <c r="C985" t="inlineStr">
        <is>
          <t>247103864</t>
        </is>
      </c>
      <c r="D985" t="inlineStr">
        <is>
          <t>71</t>
        </is>
      </c>
      <c r="E985" t="inlineStr">
        <is>
          <t>Saône-et-Loire</t>
        </is>
      </c>
      <c r="F985" t="inlineStr">
        <is>
          <t>Bourgogne-Franche-Comté</t>
        </is>
      </c>
      <c r="G985" s="3" t="n">
        <v>5206</v>
      </c>
      <c r="H985" t="n">
        <v>14</v>
      </c>
      <c r="I985" t="inlineStr">
        <is>
          <t>5 rue des Ébaulais</t>
        </is>
      </c>
      <c r="J985" t="inlineStr">
        <is>
          <t>71800</t>
        </is>
      </c>
      <c r="K985" t="inlineStr">
        <is>
          <t>Saint-Christophe-en-Brionnais</t>
        </is>
      </c>
      <c r="L985" t="inlineStr">
        <is>
          <t>03 85 25 86 47</t>
        </is>
      </c>
      <c r="M985" s="4" t="inlineStr">
        <is>
          <t>contact@ccsemur.fr</t>
        </is>
      </c>
      <c r="N985" s="4" t="inlineStr">
        <is>
          <t>https://www.cc-semur-en-brionnais.fr/</t>
        </is>
      </c>
      <c r="O985" t="inlineStr"/>
      <c r="P985" s="4" t="inlineStr">
        <is>
          <t>https://lannuaire.service-public.gouv.fr/bourgogne-franche-comte/saone-et-loire/fe2b1626-1ee4-460b-adf3-53e328c2f293</t>
        </is>
      </c>
      <c r="Q985" t="inlineStr">
        <is>
          <t>Annuaire Service-public.fr</t>
        </is>
      </c>
      <c r="R985" t="inlineStr"/>
      <c r="S985" t="inlineStr"/>
      <c r="T985" t="inlineStr"/>
    </row>
    <row r="986">
      <c r="A986" t="inlineStr">
        <is>
          <t>CC du Clunisois</t>
        </is>
      </c>
      <c r="B986" t="inlineStr">
        <is>
          <t>Communauté de communes</t>
        </is>
      </c>
      <c r="C986" t="inlineStr">
        <is>
          <t>200040293</t>
        </is>
      </c>
      <c r="D986" t="inlineStr">
        <is>
          <t>71</t>
        </is>
      </c>
      <c r="E986" t="inlineStr">
        <is>
          <t>Saône-et-Loire</t>
        </is>
      </c>
      <c r="F986" t="inlineStr">
        <is>
          <t>Bourgogne-Franche-Comté</t>
        </is>
      </c>
      <c r="G986" s="3" t="n">
        <v>14020</v>
      </c>
      <c r="H986" t="n">
        <v>41</v>
      </c>
      <c r="I986" t="inlineStr">
        <is>
          <t>5 place du Marché</t>
        </is>
      </c>
      <c r="J986" t="inlineStr">
        <is>
          <t>71250</t>
        </is>
      </c>
      <c r="K986" t="inlineStr">
        <is>
          <t>Cluny</t>
        </is>
      </c>
      <c r="L986" t="inlineStr">
        <is>
          <t>03 85 20 00 11</t>
        </is>
      </c>
      <c r="M986" s="4" t="inlineStr">
        <is>
          <t>contact@enclunisois.fr</t>
        </is>
      </c>
      <c r="N986" s="4" t="inlineStr">
        <is>
          <t>https://enclunisois.fr/</t>
        </is>
      </c>
      <c r="O986" s="4" t="inlineStr">
        <is>
          <t>https://enclunisois.fr/accueil/contact/</t>
        </is>
      </c>
      <c r="P986" s="4" t="inlineStr">
        <is>
          <t>https://lannuaire.service-public.gouv.fr/bourgogne-franche-comte/saone-et-loire/21eb2109-21c5-4803-83f3-0dbe6b15bb77</t>
        </is>
      </c>
      <c r="Q986" t="inlineStr">
        <is>
          <t>Annuaire Service-public.fr</t>
        </is>
      </c>
      <c r="R986" t="inlineStr"/>
      <c r="S986" t="inlineStr"/>
      <c r="T986" t="inlineStr"/>
    </row>
    <row r="987">
      <c r="A987" t="inlineStr">
        <is>
          <t>CC du Grand Autunois Morvan</t>
        </is>
      </c>
      <c r="B987" t="inlineStr">
        <is>
          <t>Communauté de communes</t>
        </is>
      </c>
      <c r="C987" t="inlineStr">
        <is>
          <t>200070530</t>
        </is>
      </c>
      <c r="D987" t="inlineStr">
        <is>
          <t>71</t>
        </is>
      </c>
      <c r="E987" t="inlineStr">
        <is>
          <t>Saône-et-Loire</t>
        </is>
      </c>
      <c r="F987" t="inlineStr">
        <is>
          <t>Bourgogne-Franche-Comté</t>
        </is>
      </c>
      <c r="G987" s="3" t="n">
        <v>35106</v>
      </c>
      <c r="H987" t="n">
        <v>55</v>
      </c>
      <c r="I987" t="inlineStr">
        <is>
          <t>7 route du Bois-de-Sapin, BP 97</t>
        </is>
      </c>
      <c r="J987" t="inlineStr">
        <is>
          <t>71400</t>
        </is>
      </c>
      <c r="K987" t="inlineStr">
        <is>
          <t>Autun</t>
        </is>
      </c>
      <c r="L987" t="inlineStr">
        <is>
          <t>03 85 86 80 52</t>
        </is>
      </c>
      <c r="M987" s="4" t="inlineStr">
        <is>
          <t>contact@grandautunoismorvan.fr</t>
        </is>
      </c>
      <c r="N987" s="4" t="inlineStr">
        <is>
          <t>https://www.grandautunoismorvan.fr/</t>
        </is>
      </c>
      <c r="O987" s="4" t="inlineStr">
        <is>
          <t>https://www.grandautunoismorvan.fr/contact-20.html</t>
        </is>
      </c>
      <c r="P987" s="4" t="inlineStr">
        <is>
          <t>https://lannuaire.service-public.gouv.fr/bourgogne-franche-comte/saone-et-loire/5b8c552f-1cc8-4ce9-8f06-f8edcf4910d4</t>
        </is>
      </c>
      <c r="Q987" t="inlineStr">
        <is>
          <t>Annuaire Service-public.fr</t>
        </is>
      </c>
      <c r="R987" t="inlineStr"/>
      <c r="S987" t="inlineStr"/>
      <c r="T987" t="inlineStr"/>
    </row>
    <row r="988">
      <c r="A988" t="inlineStr">
        <is>
          <t>CU Le Creusot Montceau-les-Mines</t>
        </is>
      </c>
      <c r="B988" t="inlineStr">
        <is>
          <t>Communauté urbaine</t>
        </is>
      </c>
      <c r="C988" t="inlineStr">
        <is>
          <t>247100290</t>
        </is>
      </c>
      <c r="D988" t="inlineStr">
        <is>
          <t>71</t>
        </is>
      </c>
      <c r="E988" t="inlineStr">
        <is>
          <t>Saône-et-Loire</t>
        </is>
      </c>
      <c r="F988" t="inlineStr">
        <is>
          <t>Bourgogne-Franche-Comté</t>
        </is>
      </c>
      <c r="G988" s="3" t="n">
        <v>90474</v>
      </c>
      <c r="H988" t="n">
        <v>34</v>
      </c>
      <c r="I988" t="inlineStr">
        <is>
          <t>Château de la Verrerie, BP 90069</t>
        </is>
      </c>
      <c r="J988" t="inlineStr">
        <is>
          <t>71206</t>
        </is>
      </c>
      <c r="K988" t="inlineStr">
        <is>
          <t>Le Creusot Cedex</t>
        </is>
      </c>
      <c r="L988" t="inlineStr">
        <is>
          <t>03 85 77 51 51</t>
        </is>
      </c>
      <c r="M988" s="4" t="inlineStr">
        <is>
          <t>info@creusot-montceau.org</t>
        </is>
      </c>
      <c r="N988" s="4" t="inlineStr">
        <is>
          <t>https://www.creusot-montceau.org/</t>
        </is>
      </c>
      <c r="O988" s="4" t="inlineStr">
        <is>
          <t>https://www.creusot-montceau.org/nous-contacter/</t>
        </is>
      </c>
      <c r="P988" s="4" t="inlineStr">
        <is>
          <t>https://lannuaire.service-public.gouv.fr/bourgogne-franche-comte/saone-et-loire/1474feb1-b2fe-4f62-a473-9e01c48baf8e</t>
        </is>
      </c>
      <c r="Q988" t="inlineStr">
        <is>
          <t>Annuaire Service-public.fr</t>
        </is>
      </c>
      <c r="R988" t="inlineStr"/>
      <c r="S988" t="inlineStr"/>
      <c r="T988" t="inlineStr"/>
    </row>
    <row r="989">
      <c r="A989" t="inlineStr">
        <is>
          <t>CC Haute Sarthe Alpes Mancelles</t>
        </is>
      </c>
      <c r="B989" t="inlineStr">
        <is>
          <t>Communauté de communes</t>
        </is>
      </c>
      <c r="C989" t="inlineStr">
        <is>
          <t>200072700</t>
        </is>
      </c>
      <c r="D989" t="inlineStr">
        <is>
          <t>72</t>
        </is>
      </c>
      <c r="E989" t="inlineStr">
        <is>
          <t>Sarthe</t>
        </is>
      </c>
      <c r="F989" t="inlineStr">
        <is>
          <t>Pays de la Loire</t>
        </is>
      </c>
      <c r="G989" s="3" t="n">
        <v>22528</v>
      </c>
      <c r="H989" t="n">
        <v>38</v>
      </c>
      <c r="I989" t="inlineStr">
        <is>
          <t>2 rue Abbé-Lelièvre, Maison de pays</t>
        </is>
      </c>
      <c r="J989" t="inlineStr">
        <is>
          <t>72130</t>
        </is>
      </c>
      <c r="K989" t="inlineStr">
        <is>
          <t>Fresnay-sur-Sarthe</t>
        </is>
      </c>
      <c r="L989" t="inlineStr">
        <is>
          <t>02 43 34 34 59</t>
        </is>
      </c>
      <c r="M989" s="4" t="inlineStr">
        <is>
          <t>contact@cchautesarthealpesmancelles.fr</t>
        </is>
      </c>
      <c r="N989" s="4" t="inlineStr">
        <is>
          <t>https://www.cchautesarthealpesmancelles.fr/</t>
        </is>
      </c>
      <c r="O989" s="4" t="inlineStr">
        <is>
          <t>https://www.cchautesarthealpesmancelles.fr/contact/</t>
        </is>
      </c>
      <c r="P989" s="4" t="inlineStr">
        <is>
          <t>https://lannuaire.service-public.gouv.fr/pays-de-la-loire/sarthe/7d41352c-06ad-46e7-9936-8d43967d231b</t>
        </is>
      </c>
      <c r="Q989" t="inlineStr">
        <is>
          <t>Annuaire Service-public.fr</t>
        </is>
      </c>
      <c r="R989" t="inlineStr"/>
      <c r="S989" t="inlineStr"/>
      <c r="T989" t="inlineStr"/>
    </row>
    <row r="990">
      <c r="A990" t="inlineStr">
        <is>
          <t>CC LBN Communauté</t>
        </is>
      </c>
      <c r="B990" t="inlineStr">
        <is>
          <t>Communauté de communes</t>
        </is>
      </c>
      <c r="C990" t="inlineStr">
        <is>
          <t>200040475</t>
        </is>
      </c>
      <c r="D990" t="inlineStr">
        <is>
          <t>72</t>
        </is>
      </c>
      <c r="E990" t="inlineStr">
        <is>
          <t>Sarthe</t>
        </is>
      </c>
      <c r="F990" t="inlineStr">
        <is>
          <t>Pays de la Loire</t>
        </is>
      </c>
      <c r="G990" s="3" t="n">
        <v>17824</v>
      </c>
      <c r="H990" t="n">
        <v>29</v>
      </c>
      <c r="I990" t="inlineStr">
        <is>
          <t>27 rue Rémy-Lambert</t>
        </is>
      </c>
      <c r="J990" t="inlineStr">
        <is>
          <t>72540</t>
        </is>
      </c>
      <c r="K990" t="inlineStr">
        <is>
          <t>Loué</t>
        </is>
      </c>
      <c r="L990" t="inlineStr">
        <is>
          <t>02 43 92 31 58</t>
        </is>
      </c>
      <c r="M990" s="4" t="inlineStr">
        <is>
          <t>accueil@cc-lbn.fr</t>
        </is>
      </c>
      <c r="N990" s="4" t="inlineStr">
        <is>
          <t>https://www.cc-lbn.fr/</t>
        </is>
      </c>
      <c r="O990" s="4" t="inlineStr">
        <is>
          <t>https://www.cc-lbn.fr/nous-contacter/</t>
        </is>
      </c>
      <c r="P990" s="4" t="inlineStr">
        <is>
          <t>https://lannuaire.service-public.gouv.fr/pays-de-la-loire/sarthe/76dcc28a-3cdf-4b4b-b49c-244082fc0a16</t>
        </is>
      </c>
      <c r="Q990" t="inlineStr">
        <is>
          <t>Annuaire Service-public.fr</t>
        </is>
      </c>
      <c r="R990" t="inlineStr"/>
      <c r="S990" t="inlineStr"/>
      <c r="T990" t="inlineStr"/>
    </row>
    <row r="991">
      <c r="A991" t="inlineStr">
        <is>
          <t>CC Le Gesnois Bilurien</t>
        </is>
      </c>
      <c r="B991" t="inlineStr">
        <is>
          <t>Communauté de communes</t>
        </is>
      </c>
      <c r="C991" t="inlineStr">
        <is>
          <t>200072684</t>
        </is>
      </c>
      <c r="D991" t="inlineStr">
        <is>
          <t>72</t>
        </is>
      </c>
      <c r="E991" t="inlineStr">
        <is>
          <t>Sarthe</t>
        </is>
      </c>
      <c r="F991" t="inlineStr">
        <is>
          <t>Pays de la Loire</t>
        </is>
      </c>
      <c r="G991" s="3" t="n">
        <v>30265</v>
      </c>
      <c r="H991" t="n">
        <v>21</v>
      </c>
      <c r="I991" t="inlineStr">
        <is>
          <t>783 Route des Sittelles</t>
        </is>
      </c>
      <c r="J991" t="inlineStr">
        <is>
          <t>72450</t>
        </is>
      </c>
      <c r="K991" t="inlineStr">
        <is>
          <t>Montfort-le-Gesnois</t>
        </is>
      </c>
      <c r="L991" t="inlineStr">
        <is>
          <t>02 43 54 80 40</t>
        </is>
      </c>
      <c r="M991" s="4" t="inlineStr">
        <is>
          <t>contact@cc-gesnoisbilurien.fr</t>
        </is>
      </c>
      <c r="N991" s="4" t="inlineStr">
        <is>
          <t>https://www.cc-gesnoisbilurien.fr/</t>
        </is>
      </c>
      <c r="O991" s="4" t="inlineStr">
        <is>
          <t>https://www.cc-gesnoisbilurien.fr/interco/contact-cdc/</t>
        </is>
      </c>
      <c r="P991" s="4" t="inlineStr">
        <is>
          <t>https://lannuaire.service-public.gouv.fr/pays-de-la-loire/sarthe/6ec069b2-efd5-4d2b-abe3-e065e35f1ad6</t>
        </is>
      </c>
      <c r="Q991" t="inlineStr">
        <is>
          <t>Annuaire Service-public.fr</t>
        </is>
      </c>
      <c r="R991" t="inlineStr"/>
      <c r="S991" t="inlineStr"/>
      <c r="T991" t="inlineStr"/>
    </row>
    <row r="992">
      <c r="A992" t="inlineStr">
        <is>
          <t>CC Loir-Lucé-Bercé</t>
        </is>
      </c>
      <c r="B992" t="inlineStr">
        <is>
          <t>Communauté de communes</t>
        </is>
      </c>
      <c r="C992" t="inlineStr">
        <is>
          <t>200070373</t>
        </is>
      </c>
      <c r="D992" t="inlineStr">
        <is>
          <t>72</t>
        </is>
      </c>
      <c r="E992" t="inlineStr">
        <is>
          <t>Sarthe</t>
        </is>
      </c>
      <c r="F992" t="inlineStr">
        <is>
          <t>Pays de la Loire</t>
        </is>
      </c>
      <c r="G992" s="3" t="n">
        <v>23207</v>
      </c>
      <c r="H992" t="n">
        <v>24</v>
      </c>
      <c r="I992" t="inlineStr">
        <is>
          <t>1 place Clémenceau</t>
        </is>
      </c>
      <c r="J992" t="inlineStr">
        <is>
          <t>72500</t>
        </is>
      </c>
      <c r="K992" t="inlineStr">
        <is>
          <t>Montval-sur-Loir</t>
        </is>
      </c>
      <c r="L992" t="inlineStr">
        <is>
          <t>02 43 38 17 17</t>
        </is>
      </c>
      <c r="M992" s="4" t="inlineStr">
        <is>
          <t>secretariat@loirluceberce.fr</t>
        </is>
      </c>
      <c r="N992" s="4" t="inlineStr">
        <is>
          <t>https://www.loirluceberce.fr/</t>
        </is>
      </c>
      <c r="O992" s="4" t="inlineStr">
        <is>
          <t>https://www.loirluceberce.fr/systeme/contact/</t>
        </is>
      </c>
      <c r="P992" s="4" t="inlineStr">
        <is>
          <t>https://lannuaire.service-public.gouv.fr/pays-de-la-loire/sarthe/35da8128-f0d8-49ec-a23b-784c8a533de5</t>
        </is>
      </c>
      <c r="Q992" t="inlineStr">
        <is>
          <t>Annuaire Service-public.fr</t>
        </is>
      </c>
      <c r="R992" t="inlineStr"/>
      <c r="S992" t="inlineStr"/>
      <c r="T992" t="inlineStr"/>
    </row>
    <row r="993">
      <c r="A993" t="inlineStr">
        <is>
          <t>CC Maine Coeur de Sarthe</t>
        </is>
      </c>
      <c r="B993" t="inlineStr">
        <is>
          <t>Communauté de communes</t>
        </is>
      </c>
      <c r="C993" t="inlineStr">
        <is>
          <t>200068963</t>
        </is>
      </c>
      <c r="D993" t="inlineStr">
        <is>
          <t>72</t>
        </is>
      </c>
      <c r="E993" t="inlineStr">
        <is>
          <t>Sarthe</t>
        </is>
      </c>
      <c r="F993" t="inlineStr">
        <is>
          <t>Pays de la Loire</t>
        </is>
      </c>
      <c r="G993" s="3" t="n">
        <v>21871</v>
      </c>
      <c r="H993" t="n">
        <v>13</v>
      </c>
      <c r="I993" t="inlineStr">
        <is>
          <t>918 rue des Petites-Forges, ZA Les Petites Forges</t>
        </is>
      </c>
      <c r="J993" t="inlineStr">
        <is>
          <t>72380</t>
        </is>
      </c>
      <c r="K993" t="inlineStr">
        <is>
          <t>Joué-l'Abbé</t>
        </is>
      </c>
      <c r="L993" t="inlineStr">
        <is>
          <t>02 43 27 37 20</t>
        </is>
      </c>
      <c r="M993" s="4" t="inlineStr">
        <is>
          <t>contact@mainecoeurdesarthe.fr</t>
        </is>
      </c>
      <c r="N993" s="4" t="inlineStr">
        <is>
          <t>https://www.mainecoeurdesarthe.fr/</t>
        </is>
      </c>
      <c r="O993" s="4" t="inlineStr">
        <is>
          <t>https://www.mainecoeurdesarthe.fr/contact/</t>
        </is>
      </c>
      <c r="P993" s="4" t="inlineStr">
        <is>
          <t>https://lannuaire.service-public.gouv.fr/pays-de-la-loire/sarthe/f3247e35-762b-42c4-8be1-68ea4b36d5dc</t>
        </is>
      </c>
      <c r="Q993" t="inlineStr">
        <is>
          <t>Annuaire Service-public.fr</t>
        </is>
      </c>
      <c r="R993" t="inlineStr"/>
      <c r="S993" t="inlineStr"/>
      <c r="T993" t="inlineStr"/>
    </row>
    <row r="994">
      <c r="A994" t="inlineStr">
        <is>
          <t>CC Orée de Bercé - Belinois</t>
        </is>
      </c>
      <c r="B994" t="inlineStr">
        <is>
          <t>Communauté de communes</t>
        </is>
      </c>
      <c r="C994" t="inlineStr">
        <is>
          <t>247200447</t>
        </is>
      </c>
      <c r="D994" t="inlineStr">
        <is>
          <t>72</t>
        </is>
      </c>
      <c r="E994" t="inlineStr">
        <is>
          <t>Sarthe</t>
        </is>
      </c>
      <c r="F994" t="inlineStr">
        <is>
          <t>Pays de la Loire</t>
        </is>
      </c>
      <c r="G994" s="3" t="n">
        <v>19472</v>
      </c>
      <c r="H994" t="n">
        <v>7</v>
      </c>
      <c r="I994" t="inlineStr">
        <is>
          <t>1 rue Sainte-Anne</t>
        </is>
      </c>
      <c r="J994" t="inlineStr">
        <is>
          <t>72220</t>
        </is>
      </c>
      <c r="K994" t="inlineStr">
        <is>
          <t>Écommoy</t>
        </is>
      </c>
      <c r="L994" t="inlineStr">
        <is>
          <t>02 43 47 02 20</t>
        </is>
      </c>
      <c r="M994" s="4" t="inlineStr">
        <is>
          <t>communautedecommunes@belinois.fr</t>
        </is>
      </c>
      <c r="N994" s="4" t="inlineStr">
        <is>
          <t>https://www.cc-berce-belinois.fr/</t>
        </is>
      </c>
      <c r="O994" s="4" t="inlineStr">
        <is>
          <t>https://www.cc-berce-belinois.fr/nous-contacter/</t>
        </is>
      </c>
      <c r="P994" s="4" t="inlineStr">
        <is>
          <t>https://lannuaire.service-public.gouv.fr/pays-de-la-loire/sarthe/e9e699e5-b582-4bd3-bfae-adcb76933830</t>
        </is>
      </c>
      <c r="Q994" t="inlineStr">
        <is>
          <t>Annuaire Service-public.fr</t>
        </is>
      </c>
      <c r="R994" t="inlineStr"/>
      <c r="S994" t="inlineStr"/>
      <c r="T994" t="inlineStr"/>
    </row>
    <row r="995">
      <c r="A995" t="inlineStr">
        <is>
          <t>CC Sud Sarthe</t>
        </is>
      </c>
      <c r="B995" t="inlineStr">
        <is>
          <t>Communauté de communes</t>
        </is>
      </c>
      <c r="C995" t="inlineStr">
        <is>
          <t>200073112</t>
        </is>
      </c>
      <c r="D995" t="inlineStr">
        <is>
          <t>72</t>
        </is>
      </c>
      <c r="E995" t="inlineStr">
        <is>
          <t>Sarthe</t>
        </is>
      </c>
      <c r="F995" t="inlineStr">
        <is>
          <t>Pays de la Loire</t>
        </is>
      </c>
      <c r="G995" s="3" t="n">
        <v>22583</v>
      </c>
      <c r="H995" t="n">
        <v>19</v>
      </c>
      <c r="I995" t="inlineStr">
        <is>
          <t>5 rue des Écoles</t>
        </is>
      </c>
      <c r="J995" t="inlineStr">
        <is>
          <t>72800</t>
        </is>
      </c>
      <c r="K995" t="inlineStr">
        <is>
          <t>Aubigné-Racan</t>
        </is>
      </c>
      <c r="L995" t="inlineStr">
        <is>
          <t>02 85 29 12 00</t>
        </is>
      </c>
      <c r="M995" s="4" t="inlineStr">
        <is>
          <t>accueil@comcomsudsarthe.fr</t>
        </is>
      </c>
      <c r="N995" s="4" t="inlineStr">
        <is>
          <t>https://www.comcomsudsarthe.fr/</t>
        </is>
      </c>
      <c r="O995" t="inlineStr"/>
      <c r="P995" s="4" t="inlineStr">
        <is>
          <t>https://lannuaire.service-public.gouv.fr/pays-de-la-loire/sarthe/98f60cc0-2f49-40c7-8919-b41c4b17adba</t>
        </is>
      </c>
      <c r="Q995" t="inlineStr">
        <is>
          <t>Annuaire Service-public.fr</t>
        </is>
      </c>
      <c r="R995" t="inlineStr"/>
      <c r="S995" t="inlineStr"/>
      <c r="T995" t="inlineStr"/>
    </row>
    <row r="996">
      <c r="A996" t="inlineStr">
        <is>
          <t>CC de la Champagne Conlinoise et du Pays de Sillé</t>
        </is>
      </c>
      <c r="B996" t="inlineStr">
        <is>
          <t>Communauté de communes</t>
        </is>
      </c>
      <c r="C996" t="inlineStr">
        <is>
          <t>200072718</t>
        </is>
      </c>
      <c r="D996" t="inlineStr">
        <is>
          <t>72</t>
        </is>
      </c>
      <c r="E996" t="inlineStr">
        <is>
          <t>Sarthe</t>
        </is>
      </c>
      <c r="F996" t="inlineStr">
        <is>
          <t>Pays de la Loire</t>
        </is>
      </c>
      <c r="G996" s="3" t="n">
        <v>17914</v>
      </c>
      <c r="H996" t="n">
        <v>24</v>
      </c>
      <c r="I996" t="inlineStr">
        <is>
          <t>4 rue de Gaucher</t>
        </is>
      </c>
      <c r="J996" t="inlineStr">
        <is>
          <t>72240</t>
        </is>
      </c>
      <c r="K996" t="inlineStr">
        <is>
          <t>Conlie</t>
        </is>
      </c>
      <c r="L996" t="inlineStr">
        <is>
          <t>02 43 52 11 67</t>
        </is>
      </c>
      <c r="M996" s="4" t="inlineStr">
        <is>
          <t>contact@4cps.fr</t>
        </is>
      </c>
      <c r="N996" s="4" t="inlineStr">
        <is>
          <t>https://www.4cps.fr</t>
        </is>
      </c>
      <c r="O996" s="4" t="inlineStr">
        <is>
          <t>https://www.4cps.fr/a-votre-service/contact/</t>
        </is>
      </c>
      <c r="P996" s="4" t="inlineStr">
        <is>
          <t>https://lannuaire.service-public.gouv.fr/pays-de-la-loire/sarthe/2a126d55-d289-43a8-aa36-b9919c704814</t>
        </is>
      </c>
      <c r="Q996" t="inlineStr">
        <is>
          <t>Annuaire Service-public.fr</t>
        </is>
      </c>
      <c r="R996" t="inlineStr"/>
      <c r="S996" t="inlineStr"/>
      <c r="T996" t="inlineStr"/>
    </row>
    <row r="997">
      <c r="A997" t="inlineStr">
        <is>
          <t>CC des Vallées de la Braye et de l'Anille</t>
        </is>
      </c>
      <c r="B997" t="inlineStr">
        <is>
          <t>Communauté de communes</t>
        </is>
      </c>
      <c r="C997" t="inlineStr">
        <is>
          <t>200072692</t>
        </is>
      </c>
      <c r="D997" t="inlineStr">
        <is>
          <t>72</t>
        </is>
      </c>
      <c r="E997" t="inlineStr">
        <is>
          <t>Sarthe</t>
        </is>
      </c>
      <c r="F997" t="inlineStr">
        <is>
          <t>Pays de la Loire</t>
        </is>
      </c>
      <c r="G997" s="3" t="n">
        <v>14775</v>
      </c>
      <c r="H997" t="n">
        <v>19</v>
      </c>
      <c r="I997" t="inlineStr">
        <is>
          <t>10 rue Saint-Pierre</t>
        </is>
      </c>
      <c r="J997" t="inlineStr">
        <is>
          <t>72120</t>
        </is>
      </c>
      <c r="K997" t="inlineStr">
        <is>
          <t>Saint-Calais</t>
        </is>
      </c>
      <c r="L997" t="inlineStr">
        <is>
          <t>02 43 35 11 03</t>
        </is>
      </c>
      <c r="M997" s="4" t="inlineStr">
        <is>
          <t>ccvba@cc-vba.com</t>
        </is>
      </c>
      <c r="N997" s="4" t="inlineStr">
        <is>
          <t>https://www.cc-vba.com/</t>
        </is>
      </c>
      <c r="O997" t="inlineStr"/>
      <c r="P997" s="4" t="inlineStr">
        <is>
          <t>https://lannuaire.service-public.gouv.fr/pays-de-la-loire/sarthe/c7ce1b76-b444-478f-8636-25d07a80413c</t>
        </is>
      </c>
      <c r="Q997" t="inlineStr">
        <is>
          <t>Annuaire Service-public.fr</t>
        </is>
      </c>
      <c r="R997" t="inlineStr"/>
      <c r="S997" t="inlineStr"/>
      <c r="T997" t="inlineStr"/>
    </row>
    <row r="998">
      <c r="A998" t="inlineStr">
        <is>
          <t>CC du Pays Fléchois</t>
        </is>
      </c>
      <c r="B998" t="inlineStr">
        <is>
          <t>Communauté de communes</t>
        </is>
      </c>
      <c r="C998" t="inlineStr">
        <is>
          <t>247200348</t>
        </is>
      </c>
      <c r="D998" t="inlineStr">
        <is>
          <t>72</t>
        </is>
      </c>
      <c r="E998" t="inlineStr">
        <is>
          <t>Sarthe</t>
        </is>
      </c>
      <c r="F998" t="inlineStr">
        <is>
          <t>Pays de la Loire</t>
        </is>
      </c>
      <c r="G998" s="3" t="n">
        <v>27049</v>
      </c>
      <c r="H998" t="n">
        <v>14</v>
      </c>
      <c r="I998" t="inlineStr">
        <is>
          <t>6 rue Fernand-Guillot</t>
        </is>
      </c>
      <c r="J998" t="inlineStr">
        <is>
          <t>72200</t>
        </is>
      </c>
      <c r="K998" t="inlineStr">
        <is>
          <t>La Flèche</t>
        </is>
      </c>
      <c r="L998" t="inlineStr">
        <is>
          <t>02 43 48 66 00</t>
        </is>
      </c>
      <c r="M998" s="4" t="inlineStr">
        <is>
          <t>contact@cc-paysflechois.fr</t>
        </is>
      </c>
      <c r="N998" s="4" t="inlineStr">
        <is>
          <t>https://www.paysflechois.fr</t>
        </is>
      </c>
      <c r="O998" t="inlineStr"/>
      <c r="P998" s="4" t="inlineStr">
        <is>
          <t>https://lannuaire.service-public.gouv.fr/pays-de-la-loire/sarthe/899bbffa-f4df-4db9-be02-6b45878c40b3</t>
        </is>
      </c>
      <c r="Q998" t="inlineStr">
        <is>
          <t>Annuaire Service-public.fr</t>
        </is>
      </c>
      <c r="R998" t="inlineStr"/>
      <c r="S998" t="inlineStr"/>
      <c r="T998" t="inlineStr"/>
    </row>
    <row r="999">
      <c r="A999" t="inlineStr">
        <is>
          <t>CC du Pays de l'Huisne Sarthoise</t>
        </is>
      </c>
      <c r="B999" t="inlineStr">
        <is>
          <t>Communauté de communes</t>
        </is>
      </c>
      <c r="C999" t="inlineStr">
        <is>
          <t>247200686</t>
        </is>
      </c>
      <c r="D999" t="inlineStr">
        <is>
          <t>72</t>
        </is>
      </c>
      <c r="E999" t="inlineStr">
        <is>
          <t>Sarthe</t>
        </is>
      </c>
      <c r="F999" t="inlineStr">
        <is>
          <t>Pays de la Loire</t>
        </is>
      </c>
      <c r="G999" s="3" t="n">
        <v>28362</v>
      </c>
      <c r="H999" t="n">
        <v>33</v>
      </c>
      <c r="I999" t="inlineStr">
        <is>
          <t>25 rue Jean-Courtois</t>
        </is>
      </c>
      <c r="J999" t="inlineStr">
        <is>
          <t>72400</t>
        </is>
      </c>
      <c r="K999" t="inlineStr">
        <is>
          <t>La Ferté-Bernard</t>
        </is>
      </c>
      <c r="L999" t="inlineStr">
        <is>
          <t>02 43 60 72 71</t>
        </is>
      </c>
      <c r="M999" s="4" t="inlineStr">
        <is>
          <t>contact@huisne-sarthoise.com</t>
        </is>
      </c>
      <c r="N999" s="4" t="inlineStr">
        <is>
          <t>https://www.huisne-sarthoise.com/</t>
        </is>
      </c>
      <c r="O999" s="4" t="inlineStr">
        <is>
          <t>https://www.huisne-sarthoise.com/contact/</t>
        </is>
      </c>
      <c r="P999" s="4" t="inlineStr">
        <is>
          <t>https://lannuaire.service-public.gouv.fr/pays-de-la-loire/sarthe/7559481a-64ab-456c-84af-b200edae722e</t>
        </is>
      </c>
      <c r="Q999" t="inlineStr">
        <is>
          <t>Annuaire Service-public.fr</t>
        </is>
      </c>
      <c r="R999" t="inlineStr"/>
      <c r="S999" t="inlineStr"/>
      <c r="T999" t="inlineStr"/>
    </row>
    <row r="1000">
      <c r="A1000" t="inlineStr">
        <is>
          <t>CC du Sud Est Manceau</t>
        </is>
      </c>
      <c r="B1000" t="inlineStr">
        <is>
          <t>Communauté de communes</t>
        </is>
      </c>
      <c r="C1000" t="inlineStr">
        <is>
          <t>247200421</t>
        </is>
      </c>
      <c r="D1000" t="inlineStr">
        <is>
          <t>72</t>
        </is>
      </c>
      <c r="E1000" t="inlineStr">
        <is>
          <t>Sarthe</t>
        </is>
      </c>
      <c r="F1000" t="inlineStr">
        <is>
          <t>Pays de la Loire</t>
        </is>
      </c>
      <c r="G1000" s="3" t="n">
        <v>17929</v>
      </c>
      <c r="H1000" t="n">
        <v>5</v>
      </c>
      <c r="I1000" t="inlineStr">
        <is>
          <t>Rue des Écoles</t>
        </is>
      </c>
      <c r="J1000" t="inlineStr">
        <is>
          <t>72250</t>
        </is>
      </c>
      <c r="K1000" t="inlineStr">
        <is>
          <t>Parigné-l'Évêque</t>
        </is>
      </c>
      <c r="L1000" t="inlineStr">
        <is>
          <t>02 43 40 09 98</t>
        </is>
      </c>
      <c r="M1000" s="4" t="inlineStr">
        <is>
          <t>communaute.communes@sudestmanceau.com</t>
        </is>
      </c>
      <c r="N1000" s="4" t="inlineStr">
        <is>
          <t>https://www.cc-sudestmanceau.fr/</t>
        </is>
      </c>
      <c r="O1000" s="4" t="inlineStr">
        <is>
          <t>https://www.cc-sudestmanceau.fr/nous-contacter/</t>
        </is>
      </c>
      <c r="P1000" s="4" t="inlineStr">
        <is>
          <t>https://lannuaire.service-public.gouv.fr/pays-de-la-loire/sarthe/f4521a47-699e-425a-b5d7-e02c4c0c1c8b</t>
        </is>
      </c>
      <c r="Q1000" t="inlineStr">
        <is>
          <t>Annuaire Service-public.fr</t>
        </is>
      </c>
      <c r="R1000" t="inlineStr"/>
      <c r="S1000" t="inlineStr"/>
      <c r="T1000" t="inlineStr"/>
    </row>
    <row r="1001">
      <c r="A1001" t="inlineStr">
        <is>
          <t>CC du Val de Sarthe</t>
        </is>
      </c>
      <c r="B1001" t="inlineStr">
        <is>
          <t>Communauté de communes</t>
        </is>
      </c>
      <c r="C1001" t="inlineStr">
        <is>
          <t>247200629</t>
        </is>
      </c>
      <c r="D1001" t="inlineStr">
        <is>
          <t>72</t>
        </is>
      </c>
      <c r="E1001" t="inlineStr">
        <is>
          <t>Sarthe</t>
        </is>
      </c>
      <c r="F1001" t="inlineStr">
        <is>
          <t>Pays de la Loire</t>
        </is>
      </c>
      <c r="G1001" s="3" t="n">
        <v>30404</v>
      </c>
      <c r="H1001" t="n">
        <v>16</v>
      </c>
      <c r="I1001" t="inlineStr">
        <is>
          <t>27 rue du 11-Novembre</t>
        </is>
      </c>
      <c r="J1001" t="inlineStr">
        <is>
          <t>72200</t>
        </is>
      </c>
      <c r="K1001" t="inlineStr">
        <is>
          <t>La Suze-sur-Sarthe</t>
        </is>
      </c>
      <c r="L1001" t="inlineStr">
        <is>
          <t>02 43 83 51 12</t>
        </is>
      </c>
      <c r="M1001" s="4" t="inlineStr">
        <is>
          <t>communaute@cc-valdesarthe.fr</t>
        </is>
      </c>
      <c r="N1001" s="4" t="inlineStr">
        <is>
          <t>https://www.val-de-sarthe.fr/</t>
        </is>
      </c>
      <c r="O1001" s="4" t="inlineStr">
        <is>
          <t>https://www.val-de-sarthe.fr/contact-siege/</t>
        </is>
      </c>
      <c r="P1001" s="4" t="inlineStr">
        <is>
          <t>https://lannuaire.service-public.gouv.fr/pays-de-la-loire/sarthe/58f4909a-f302-468d-9df7-59154a13a4ef</t>
        </is>
      </c>
      <c r="Q1001" t="inlineStr">
        <is>
          <t>Annuaire Service-public.fr</t>
        </is>
      </c>
      <c r="R1001" t="inlineStr"/>
      <c r="S1001" t="inlineStr"/>
      <c r="T1001" t="inlineStr"/>
    </row>
    <row r="1002">
      <c r="A1002" t="inlineStr">
        <is>
          <t>CU Le Mans Métropole</t>
        </is>
      </c>
      <c r="B1002" t="inlineStr">
        <is>
          <t>Communauté urbaine</t>
        </is>
      </c>
      <c r="C1002" t="inlineStr">
        <is>
          <t>247200132</t>
        </is>
      </c>
      <c r="D1002" t="inlineStr">
        <is>
          <t>72</t>
        </is>
      </c>
      <c r="E1002" t="inlineStr">
        <is>
          <t>Sarthe</t>
        </is>
      </c>
      <c r="F1002" t="inlineStr">
        <is>
          <t>Pays de la Loire</t>
        </is>
      </c>
      <c r="G1002" s="3" t="n">
        <v>209651</v>
      </c>
      <c r="H1002" t="n">
        <v>20</v>
      </c>
      <c r="I1002" t="inlineStr">
        <is>
          <t>16 avenue François-Mitterrand</t>
        </is>
      </c>
      <c r="J1002" t="inlineStr">
        <is>
          <t>72000</t>
        </is>
      </c>
      <c r="K1002" t="inlineStr">
        <is>
          <t>Le Mans</t>
        </is>
      </c>
      <c r="L1002" t="inlineStr">
        <is>
          <t>02 43 47 47 47</t>
        </is>
      </c>
      <c r="M1002" t="inlineStr"/>
      <c r="N1002" s="4" t="inlineStr">
        <is>
          <t>https://www.lemansmetropole.fr/</t>
        </is>
      </c>
      <c r="O1002" s="4" t="inlineStr">
        <is>
          <t>https://www.lemansmetropole.fr/contactez-nous</t>
        </is>
      </c>
      <c r="P1002" s="4" t="inlineStr">
        <is>
          <t>https://lannuaire.service-public.gouv.fr/pays-de-la-loire/sarthe/95a9cc44-acf5-4032-9333-2e7bfb969622</t>
        </is>
      </c>
      <c r="Q1002" t="inlineStr">
        <is>
          <t>Annuaire Service-public.fr</t>
        </is>
      </c>
      <c r="R1002" t="inlineStr"/>
      <c r="S1002" t="inlineStr"/>
      <c r="T1002" t="inlineStr"/>
    </row>
    <row r="1003">
      <c r="A1003" t="inlineStr">
        <is>
          <t>CA Arlysère</t>
        </is>
      </c>
      <c r="B1003" t="inlineStr">
        <is>
          <t>Communauté d’agglomération</t>
        </is>
      </c>
      <c r="C1003" t="inlineStr">
        <is>
          <t>200068997</t>
        </is>
      </c>
      <c r="D1003" t="inlineStr">
        <is>
          <t>73</t>
        </is>
      </c>
      <c r="E1003" t="inlineStr">
        <is>
          <t>Savoie</t>
        </is>
      </c>
      <c r="F1003" t="inlineStr">
        <is>
          <t>Auvergne-Rhône-Alpes</t>
        </is>
      </c>
      <c r="G1003" s="3" t="n">
        <v>61836</v>
      </c>
      <c r="H1003" t="n">
        <v>39</v>
      </c>
      <c r="I1003" t="inlineStr">
        <is>
          <t>2 avenue des Chasseurs-Alpins, BP 10108</t>
        </is>
      </c>
      <c r="J1003" t="inlineStr">
        <is>
          <t>73207</t>
        </is>
      </c>
      <c r="K1003" t="inlineStr">
        <is>
          <t>Albertville Cedex</t>
        </is>
      </c>
      <c r="L1003" t="inlineStr">
        <is>
          <t>04 79 10 48 48</t>
        </is>
      </c>
      <c r="M1003" s="4" t="inlineStr">
        <is>
          <t>contact@arlysere.fr</t>
        </is>
      </c>
      <c r="N1003" s="4" t="inlineStr">
        <is>
          <t>https://www.arlysere.fr/</t>
        </is>
      </c>
      <c r="O1003" s="4" t="inlineStr">
        <is>
          <t>https://smart-agglo-arlysere.fr/categories/nous-contacter</t>
        </is>
      </c>
      <c r="P1003" s="4" t="inlineStr">
        <is>
          <t>https://lannuaire.service-public.gouv.fr/auvergne-rhone-alpes/savoie/b70923fd-24ea-46cf-9a18-0fa6a9d6ca12</t>
        </is>
      </c>
      <c r="Q1003" t="inlineStr">
        <is>
          <t>Annuaire Service-public.fr</t>
        </is>
      </c>
      <c r="R1003" t="inlineStr"/>
      <c r="S1003" t="inlineStr"/>
      <c r="T1003" t="inlineStr"/>
    </row>
    <row r="1004">
      <c r="A1004" t="inlineStr">
        <is>
          <t>CA Grand Lac</t>
        </is>
      </c>
      <c r="B1004" t="inlineStr">
        <is>
          <t>Communauté d’agglomération</t>
        </is>
      </c>
      <c r="C1004" t="inlineStr">
        <is>
          <t>200068674</t>
        </is>
      </c>
      <c r="D1004" t="inlineStr">
        <is>
          <t>73</t>
        </is>
      </c>
      <c r="E1004" t="inlineStr">
        <is>
          <t>Savoie</t>
        </is>
      </c>
      <c r="F1004" t="inlineStr">
        <is>
          <t>Auvergne-Rhône-Alpes</t>
        </is>
      </c>
      <c r="G1004" s="3" t="n">
        <v>79849</v>
      </c>
      <c r="H1004" t="n">
        <v>28</v>
      </c>
      <c r="I1004" t="inlineStr">
        <is>
          <t>1500 boulevard Lepic</t>
        </is>
      </c>
      <c r="J1004" t="inlineStr">
        <is>
          <t>73100</t>
        </is>
      </c>
      <c r="K1004" t="inlineStr">
        <is>
          <t>Aix-les-Bains</t>
        </is>
      </c>
      <c r="L1004" t="inlineStr">
        <is>
          <t>04 79 35 00 51</t>
        </is>
      </c>
      <c r="M1004" s="4" t="inlineStr">
        <is>
          <t>contact@grand-lac.fr</t>
        </is>
      </c>
      <c r="N1004" s="4" t="inlineStr">
        <is>
          <t>https://grand-lac.fr/</t>
        </is>
      </c>
      <c r="O1004" s="4" t="inlineStr">
        <is>
          <t>https://grand-lac.fr/pages-pratiques/contact</t>
        </is>
      </c>
      <c r="P1004" s="4" t="inlineStr">
        <is>
          <t>https://lannuaire.service-public.gouv.fr/auvergne-rhone-alpes/savoie/9a2482d6-25b0-45a8-854f-057541162cdc</t>
        </is>
      </c>
      <c r="Q1004" t="inlineStr">
        <is>
          <t>Annuaire Service-public.fr</t>
        </is>
      </c>
      <c r="R1004" t="inlineStr"/>
      <c r="S1004" t="inlineStr"/>
      <c r="T1004" t="inlineStr"/>
    </row>
    <row r="1005">
      <c r="A1005" t="inlineStr">
        <is>
          <t>CA du Grand Chambéry</t>
        </is>
      </c>
      <c r="B1005" t="inlineStr">
        <is>
          <t>Communauté d’agglomération</t>
        </is>
      </c>
      <c r="C1005" t="inlineStr">
        <is>
          <t>200069110</t>
        </is>
      </c>
      <c r="D1005" t="inlineStr">
        <is>
          <t>73</t>
        </is>
      </c>
      <c r="E1005" t="inlineStr">
        <is>
          <t>Savoie</t>
        </is>
      </c>
      <c r="F1005" t="inlineStr">
        <is>
          <t>Auvergne-Rhône-Alpes</t>
        </is>
      </c>
      <c r="G1005" s="3" t="n">
        <v>141091</v>
      </c>
      <c r="H1005" t="n">
        <v>38</v>
      </c>
      <c r="I1005" t="inlineStr">
        <is>
          <t>106 allée des Blachères</t>
        </is>
      </c>
      <c r="J1005" t="inlineStr">
        <is>
          <t>73000</t>
        </is>
      </c>
      <c r="K1005" t="inlineStr">
        <is>
          <t>Chambéry</t>
        </is>
      </c>
      <c r="L1005" t="inlineStr">
        <is>
          <t>04 79 96 86 00</t>
        </is>
      </c>
      <c r="M1005" t="inlineStr"/>
      <c r="N1005" s="4" t="inlineStr">
        <is>
          <t>https://www.grandchambery.fr</t>
        </is>
      </c>
      <c r="O1005" s="4" t="inlineStr">
        <is>
          <t>https://formulaires.simplici.grandchambery.fr/administration-generale/nous-ecrire-en-ligne/</t>
        </is>
      </c>
      <c r="P1005" s="4" t="inlineStr">
        <is>
          <t>https://lannuaire.service-public.gouv.fr/auvergne-rhone-alpes/savoie/052be6ab-fa3e-45e7-b740-8e31a52abf06</t>
        </is>
      </c>
      <c r="Q1005" t="inlineStr">
        <is>
          <t>Annuaire Service-public.fr</t>
        </is>
      </c>
      <c r="R1005" t="inlineStr"/>
      <c r="S1005" t="inlineStr"/>
      <c r="T1005" t="inlineStr"/>
    </row>
    <row r="1006">
      <c r="A1006" t="inlineStr">
        <is>
          <t>CC Coeur de Maurienne Arvan</t>
        </is>
      </c>
      <c r="B1006" t="inlineStr">
        <is>
          <t>Communauté de communes</t>
        </is>
      </c>
      <c r="C1006" t="inlineStr">
        <is>
          <t>200070464</t>
        </is>
      </c>
      <c r="D1006" t="inlineStr">
        <is>
          <t>73</t>
        </is>
      </c>
      <c r="E1006" t="inlineStr">
        <is>
          <t>Savoie</t>
        </is>
      </c>
      <c r="F1006" t="inlineStr">
        <is>
          <t>Auvergne-Rhône-Alpes</t>
        </is>
      </c>
      <c r="G1006" s="3" t="n">
        <v>14302</v>
      </c>
      <c r="H1006" t="n">
        <v>14</v>
      </c>
      <c r="I1006" t="inlineStr">
        <is>
          <t>Avenue d'Italie, Maison de l'intercommunalité</t>
        </is>
      </c>
      <c r="J1006" t="inlineStr">
        <is>
          <t>73300</t>
        </is>
      </c>
      <c r="K1006" t="inlineStr">
        <is>
          <t>Saint-Jean-de-Maurienne</t>
        </is>
      </c>
      <c r="L1006" t="inlineStr">
        <is>
          <t>04 79 83 07 20</t>
        </is>
      </c>
      <c r="M1006" s="4" t="inlineStr">
        <is>
          <t>contact@3cma73.com</t>
        </is>
      </c>
      <c r="N1006" s="4" t="inlineStr">
        <is>
          <t>https://www.coeurdemaurienne-arvan.com/</t>
        </is>
      </c>
      <c r="O1006" s="4" t="inlineStr">
        <is>
          <t>https://www.coeurdemaurienne-arvan.com/nous-contacter/</t>
        </is>
      </c>
      <c r="P1006" s="4" t="inlineStr">
        <is>
          <t>https://lannuaire.service-public.gouv.fr/auvergne-rhone-alpes/savoie/926e4888-742a-40a0-ad60-5f46255ccd8d</t>
        </is>
      </c>
      <c r="Q1006" t="inlineStr">
        <is>
          <t>Annuaire Service-public.fr</t>
        </is>
      </c>
      <c r="R1006" t="inlineStr"/>
      <c r="S1006" t="inlineStr"/>
      <c r="T1006" t="inlineStr"/>
    </row>
    <row r="1007">
      <c r="A1007" t="inlineStr">
        <is>
          <t>CC Coeur de Savoie</t>
        </is>
      </c>
      <c r="B1007" t="inlineStr">
        <is>
          <t>Communauté de communes</t>
        </is>
      </c>
      <c r="C1007" t="inlineStr">
        <is>
          <t>200041010</t>
        </is>
      </c>
      <c r="D1007" t="inlineStr">
        <is>
          <t>73</t>
        </is>
      </c>
      <c r="E1007" t="inlineStr">
        <is>
          <t>Savoie</t>
        </is>
      </c>
      <c r="F1007" t="inlineStr">
        <is>
          <t>Auvergne-Rhône-Alpes</t>
        </is>
      </c>
      <c r="G1007" s="3" t="n">
        <v>37780</v>
      </c>
      <c r="H1007" t="n">
        <v>41</v>
      </c>
      <c r="I1007" t="inlineStr">
        <is>
          <t>Place Albert-Serraz</t>
        </is>
      </c>
      <c r="J1007" t="inlineStr">
        <is>
          <t>73800</t>
        </is>
      </c>
      <c r="K1007" t="inlineStr">
        <is>
          <t>Montmélian</t>
        </is>
      </c>
      <c r="L1007" t="inlineStr">
        <is>
          <t>04 79 84 36 27</t>
        </is>
      </c>
      <c r="M1007" s="4" t="inlineStr">
        <is>
          <t>secretariat@cc.coeurdesavoie.fr</t>
        </is>
      </c>
      <c r="N1007" s="4" t="inlineStr">
        <is>
          <t>https://www.coeurdesavoie.fr/</t>
        </is>
      </c>
      <c r="O1007" s="4" t="inlineStr">
        <is>
          <t>https://www.coeurdesavoie.fr/3786-contact.htm</t>
        </is>
      </c>
      <c r="P1007" s="4" t="inlineStr">
        <is>
          <t>https://lannuaire.service-public.gouv.fr/auvergne-rhone-alpes/savoie/bf7aeb11-7e0d-4bcd-87a8-a97a34ebb150</t>
        </is>
      </c>
      <c r="Q1007" t="inlineStr">
        <is>
          <t>Annuaire Service-public.fr</t>
        </is>
      </c>
      <c r="R1007" t="inlineStr"/>
      <c r="S1007" t="inlineStr"/>
      <c r="T1007" t="inlineStr"/>
    </row>
    <row r="1008">
      <c r="A1008" t="inlineStr">
        <is>
          <t>CC Coeur de Tarentaise</t>
        </is>
      </c>
      <c r="B1008" t="inlineStr">
        <is>
          <t>Communauté de communes</t>
        </is>
      </c>
      <c r="C1008" t="inlineStr">
        <is>
          <t>200023299</t>
        </is>
      </c>
      <c r="D1008" t="inlineStr">
        <is>
          <t>73</t>
        </is>
      </c>
      <c r="E1008" t="inlineStr">
        <is>
          <t>Savoie</t>
        </is>
      </c>
      <c r="F1008" t="inlineStr">
        <is>
          <t>Auvergne-Rhône-Alpes</t>
        </is>
      </c>
      <c r="G1008" s="3" t="n">
        <v>9098</v>
      </c>
      <c r="H1008" t="n">
        <v>6</v>
      </c>
      <c r="I1008" t="inlineStr">
        <is>
          <t>133 quai Saint-Réal</t>
        </is>
      </c>
      <c r="J1008" t="inlineStr">
        <is>
          <t>73600</t>
        </is>
      </c>
      <c r="K1008" t="inlineStr">
        <is>
          <t>Moûtiers</t>
        </is>
      </c>
      <c r="L1008" t="inlineStr">
        <is>
          <t>04 79 24 41 41</t>
        </is>
      </c>
      <c r="M1008" s="4" t="inlineStr">
        <is>
          <t>contact@coeurdetarentaise.fr</t>
        </is>
      </c>
      <c r="N1008" s="4" t="inlineStr">
        <is>
          <t>https://www.coeurdetarentaise.fr/</t>
        </is>
      </c>
      <c r="O1008" t="inlineStr"/>
      <c r="P1008" s="4" t="inlineStr">
        <is>
          <t>https://lannuaire.service-public.gouv.fr/auvergne-rhone-alpes/savoie/7d2382ff-7455-4f54-a595-d097652f8506</t>
        </is>
      </c>
      <c r="Q1008" t="inlineStr">
        <is>
          <t>Annuaire Service-public.fr</t>
        </is>
      </c>
      <c r="R1008" t="inlineStr"/>
      <c r="S1008" t="inlineStr"/>
      <c r="T1008" t="inlineStr"/>
    </row>
    <row r="1009">
      <c r="A1009" t="inlineStr">
        <is>
          <t>CC Haute Maurienne Vanoise</t>
        </is>
      </c>
      <c r="B1009" t="inlineStr">
        <is>
          <t>Communauté de communes</t>
        </is>
      </c>
      <c r="C1009" t="inlineStr">
        <is>
          <t>200070340</t>
        </is>
      </c>
      <c r="D1009" t="inlineStr">
        <is>
          <t>73</t>
        </is>
      </c>
      <c r="E1009" t="inlineStr">
        <is>
          <t>Savoie</t>
        </is>
      </c>
      <c r="F1009" t="inlineStr">
        <is>
          <t>Auvergne-Rhône-Alpes</t>
        </is>
      </c>
      <c r="G1009" s="3" t="n">
        <v>8435</v>
      </c>
      <c r="H1009" t="n">
        <v>10</v>
      </c>
      <c r="I1009" t="inlineStr">
        <is>
          <t>9 place Sommeiller</t>
        </is>
      </c>
      <c r="J1009" t="inlineStr">
        <is>
          <t>73500</t>
        </is>
      </c>
      <c r="K1009" t="inlineStr">
        <is>
          <t>Modane</t>
        </is>
      </c>
      <c r="L1009" t="inlineStr">
        <is>
          <t>04 79 05 10 54</t>
        </is>
      </c>
      <c r="M1009" s="4" t="inlineStr">
        <is>
          <t>info@cchmv.fr</t>
        </is>
      </c>
      <c r="N1009" s="4" t="inlineStr">
        <is>
          <t>https://www.cchautemaurienne.com/</t>
        </is>
      </c>
      <c r="O1009" t="inlineStr"/>
      <c r="P1009" s="4" t="inlineStr">
        <is>
          <t>https://lannuaire.service-public.gouv.fr/auvergne-rhone-alpes/savoie/2d73c578-3ce6-4c9c-8c2e-9c6e5e1e1bbe</t>
        </is>
      </c>
      <c r="Q1009" t="inlineStr">
        <is>
          <t>Annuaire Service-public.fr</t>
        </is>
      </c>
      <c r="R1009" t="inlineStr"/>
      <c r="S1009" t="inlineStr"/>
      <c r="T1009" t="inlineStr"/>
    </row>
    <row r="1010">
      <c r="A1010" t="inlineStr">
        <is>
          <t>CC Les Versants d'Aime</t>
        </is>
      </c>
      <c r="B1010" t="inlineStr">
        <is>
          <t>Communauté de communes</t>
        </is>
      </c>
      <c r="C1010" t="inlineStr">
        <is>
          <t>247300817</t>
        </is>
      </c>
      <c r="D1010" t="inlineStr">
        <is>
          <t>73</t>
        </is>
      </c>
      <c r="E1010" t="inlineStr">
        <is>
          <t>Savoie</t>
        </is>
      </c>
      <c r="F1010" t="inlineStr">
        <is>
          <t>Auvergne-Rhône-Alpes</t>
        </is>
      </c>
      <c r="G1010" s="3" t="n">
        <v>9677</v>
      </c>
      <c r="H1010" t="n">
        <v>4</v>
      </c>
      <c r="I1010" t="inlineStr">
        <is>
          <t>Le Chalet, 1002 avenue de Tarentaise</t>
        </is>
      </c>
      <c r="J1010" t="inlineStr">
        <is>
          <t>73212</t>
        </is>
      </c>
      <c r="K1010" t="inlineStr">
        <is>
          <t>Aime-la-Plagne</t>
        </is>
      </c>
      <c r="L1010" t="inlineStr">
        <is>
          <t>04 79 55 40 27</t>
        </is>
      </c>
      <c r="M1010" s="4" t="inlineStr">
        <is>
          <t>contact@versantsdaime.fr</t>
        </is>
      </c>
      <c r="N1010" s="4" t="inlineStr">
        <is>
          <t>http://www.versantsdaime.fr</t>
        </is>
      </c>
      <c r="O1010" t="inlineStr"/>
      <c r="P1010" s="4" t="inlineStr">
        <is>
          <t>https://lannuaire.service-public.gouv.fr/auvergne-rhone-alpes/savoie/08956eb9-4b9a-44be-b342-00eb5740fdb9</t>
        </is>
      </c>
      <c r="Q1010" t="inlineStr">
        <is>
          <t>Annuaire Service-public.fr</t>
        </is>
      </c>
      <c r="R1010" t="inlineStr"/>
      <c r="S1010" t="inlineStr"/>
      <c r="T1010" t="inlineStr"/>
    </row>
    <row r="1011">
      <c r="A1011" t="inlineStr">
        <is>
          <t>CC Maurienne Galibier</t>
        </is>
      </c>
      <c r="B1011" t="inlineStr">
        <is>
          <t>Communauté de communes</t>
        </is>
      </c>
      <c r="C1011" t="inlineStr">
        <is>
          <t>247300452</t>
        </is>
      </c>
      <c r="D1011" t="inlineStr">
        <is>
          <t>73</t>
        </is>
      </c>
      <c r="E1011" t="inlineStr">
        <is>
          <t>Savoie</t>
        </is>
      </c>
      <c r="F1011" t="inlineStr">
        <is>
          <t>Auvergne-Rhône-Alpes</t>
        </is>
      </c>
      <c r="G1011" s="3" t="n">
        <v>5399</v>
      </c>
      <c r="H1011" t="n">
        <v>6</v>
      </c>
      <c r="I1011" t="inlineStr">
        <is>
          <t>54 rue du Général-Ferrié</t>
        </is>
      </c>
      <c r="J1011" t="inlineStr">
        <is>
          <t>73140</t>
        </is>
      </c>
      <c r="K1011" t="inlineStr">
        <is>
          <t>Saint-Michel-de-Maurienne</t>
        </is>
      </c>
      <c r="L1011" t="inlineStr">
        <is>
          <t>04 79 56 52 54</t>
        </is>
      </c>
      <c r="M1011" s="4" t="inlineStr">
        <is>
          <t>info@maurienne-galibier.com</t>
        </is>
      </c>
      <c r="N1011" s="4" t="inlineStr">
        <is>
          <t>https://www.maurienne-galibier.com/fr/index.aspx</t>
        </is>
      </c>
      <c r="O1011" t="inlineStr"/>
      <c r="P1011" s="4" t="inlineStr">
        <is>
          <t>https://lannuaire.service-public.gouv.fr/auvergne-rhone-alpes/savoie/170235ae-804f-43b7-8c45-13008c7c9a8f</t>
        </is>
      </c>
      <c r="Q1011" t="inlineStr">
        <is>
          <t>Annuaire Service-public.fr</t>
        </is>
      </c>
      <c r="R1011" t="inlineStr"/>
      <c r="S1011" t="inlineStr"/>
      <c r="T1011" t="inlineStr"/>
    </row>
    <row r="1012">
      <c r="A1012" t="inlineStr">
        <is>
          <t>CC Porte de Maurienne</t>
        </is>
      </c>
      <c r="B1012" t="inlineStr">
        <is>
          <t>Communauté de communes</t>
        </is>
      </c>
      <c r="C1012" t="inlineStr">
        <is>
          <t>247300676</t>
        </is>
      </c>
      <c r="D1012" t="inlineStr">
        <is>
          <t>73</t>
        </is>
      </c>
      <c r="E1012" t="inlineStr">
        <is>
          <t>Savoie</t>
        </is>
      </c>
      <c r="F1012" t="inlineStr">
        <is>
          <t>Auvergne-Rhône-Alpes</t>
        </is>
      </c>
      <c r="G1012" s="3" t="n">
        <v>7104</v>
      </c>
      <c r="H1012" t="n">
        <v>11</v>
      </c>
      <c r="I1012" t="inlineStr">
        <is>
          <t>73 Grande rue, Aiguebelle</t>
        </is>
      </c>
      <c r="J1012" t="inlineStr">
        <is>
          <t>73220</t>
        </is>
      </c>
      <c r="K1012" t="inlineStr">
        <is>
          <t>Val-d'Arc</t>
        </is>
      </c>
      <c r="L1012" t="inlineStr">
        <is>
          <t>04 79 44 31 61</t>
        </is>
      </c>
      <c r="M1012" s="4" t="inlineStr">
        <is>
          <t>communautedecommunes@portedemaurienne.eu</t>
        </is>
      </c>
      <c r="N1012" s="4" t="inlineStr">
        <is>
          <t>https://www.portedemaurienne-tourisme.com/communaute-de-communes</t>
        </is>
      </c>
      <c r="O1012" s="4" t="inlineStr">
        <is>
          <t>https://www.portedemaurienne-tourisme.com/contactez-nous</t>
        </is>
      </c>
      <c r="P1012" s="4" t="inlineStr">
        <is>
          <t>https://lannuaire.service-public.gouv.fr/auvergne-rhone-alpes/savoie/f2bf2fe1-e3f6-45ef-977d-fd832ef2d6c9</t>
        </is>
      </c>
      <c r="Q1012" t="inlineStr">
        <is>
          <t>Annuaire Service-public.fr</t>
        </is>
      </c>
      <c r="R1012" t="inlineStr"/>
      <c r="S1012" t="inlineStr"/>
      <c r="T1012" t="inlineStr"/>
    </row>
    <row r="1013">
      <c r="A1013" t="inlineStr">
        <is>
          <t>CC Val Guiers</t>
        </is>
      </c>
      <c r="B1013" t="inlineStr">
        <is>
          <t>Communauté de communes</t>
        </is>
      </c>
      <c r="C1013" t="inlineStr">
        <is>
          <t>247300528</t>
        </is>
      </c>
      <c r="D1013" t="inlineStr">
        <is>
          <t>73</t>
        </is>
      </c>
      <c r="E1013" t="inlineStr">
        <is>
          <t>Savoie</t>
        </is>
      </c>
      <c r="F1013" t="inlineStr">
        <is>
          <t>Auvergne-Rhône-Alpes</t>
        </is>
      </c>
      <c r="G1013" s="3" t="n">
        <v>12493</v>
      </c>
      <c r="H1013" t="n">
        <v>11</v>
      </c>
      <c r="I1013" t="inlineStr">
        <is>
          <t>585 route de Tramonet, ZI Val-Guiers</t>
        </is>
      </c>
      <c r="J1013" t="inlineStr">
        <is>
          <t>73330</t>
        </is>
      </c>
      <c r="K1013" t="inlineStr">
        <is>
          <t>Belmont-Tramonet</t>
        </is>
      </c>
      <c r="L1013" t="inlineStr">
        <is>
          <t>04 76 37 36 45</t>
        </is>
      </c>
      <c r="M1013" s="4" t="inlineStr">
        <is>
          <t>contact@ccvalguiers.fr</t>
        </is>
      </c>
      <c r="N1013" s="4" t="inlineStr">
        <is>
          <t>https://www.ccvalguiers.fr/infos/</t>
        </is>
      </c>
      <c r="O1013" t="inlineStr"/>
      <c r="P1013" s="4" t="inlineStr">
        <is>
          <t>https://lannuaire.service-public.gouv.fr/auvergne-rhone-alpes/savoie/479dc17a-b6aa-48ac-8619-9d444b4a16fa</t>
        </is>
      </c>
      <c r="Q1013" t="inlineStr">
        <is>
          <t>Annuaire Service-public.fr</t>
        </is>
      </c>
      <c r="R1013" t="inlineStr"/>
      <c r="S1013" t="inlineStr"/>
      <c r="T1013" t="inlineStr"/>
    </row>
    <row r="1014">
      <c r="A1014" t="inlineStr">
        <is>
          <t>CC Val Vanoise</t>
        </is>
      </c>
      <c r="B1014" t="inlineStr">
        <is>
          <t>Communauté de communes</t>
        </is>
      </c>
      <c r="C1014" t="inlineStr">
        <is>
          <t>200040798</t>
        </is>
      </c>
      <c r="D1014" t="inlineStr">
        <is>
          <t>73</t>
        </is>
      </c>
      <c r="E1014" t="inlineStr">
        <is>
          <t>Savoie</t>
        </is>
      </c>
      <c r="F1014" t="inlineStr">
        <is>
          <t>Auvergne-Rhône-Alpes</t>
        </is>
      </c>
      <c r="G1014" s="3" t="n">
        <v>9045</v>
      </c>
      <c r="H1014" t="n">
        <v>9</v>
      </c>
      <c r="I1014" t="inlineStr">
        <is>
          <t>47 rue Sainte-Barbe</t>
        </is>
      </c>
      <c r="J1014" t="inlineStr">
        <is>
          <t>73350</t>
        </is>
      </c>
      <c r="K1014" t="inlineStr">
        <is>
          <t>Bozel</t>
        </is>
      </c>
      <c r="L1014" t="inlineStr">
        <is>
          <t>04 79 55 03 34</t>
        </is>
      </c>
      <c r="M1014" s="4" t="inlineStr">
        <is>
          <t>info@valvanoise.fr</t>
        </is>
      </c>
      <c r="N1014" s="4" t="inlineStr">
        <is>
          <t>https://www.valvanoise.fr/</t>
        </is>
      </c>
      <c r="O1014" s="4" t="inlineStr">
        <is>
          <t>https://www.valvanoise.fr/525-contact.htm</t>
        </is>
      </c>
      <c r="P1014" s="4" t="inlineStr">
        <is>
          <t>https://lannuaire.service-public.gouv.fr/auvergne-rhone-alpes/savoie/917d60d9-0f8f-49fc-ab97-2e4f36a9c6ef</t>
        </is>
      </c>
      <c r="Q1014" t="inlineStr">
        <is>
          <t>Annuaire Service-public.fr</t>
        </is>
      </c>
      <c r="R1014" t="inlineStr"/>
      <c r="S1014" t="inlineStr"/>
      <c r="T1014" t="inlineStr"/>
    </row>
    <row r="1015">
      <c r="A1015" t="inlineStr">
        <is>
          <t>CC de Haute-Tarentaise</t>
        </is>
      </c>
      <c r="B1015" t="inlineStr">
        <is>
          <t>Communauté de communes</t>
        </is>
      </c>
      <c r="C1015" t="inlineStr">
        <is>
          <t>247300254</t>
        </is>
      </c>
      <c r="D1015" t="inlineStr">
        <is>
          <t>73</t>
        </is>
      </c>
      <c r="E1015" t="inlineStr">
        <is>
          <t>Savoie</t>
        </is>
      </c>
      <c r="F1015" t="inlineStr">
        <is>
          <t>Auvergne-Rhône-Alpes</t>
        </is>
      </c>
      <c r="G1015" s="3" t="n">
        <v>15557</v>
      </c>
      <c r="H1015" t="n">
        <v>8</v>
      </c>
      <c r="I1015" t="inlineStr">
        <is>
          <t>8 rue Célestin-Freppaz</t>
        </is>
      </c>
      <c r="J1015" t="inlineStr">
        <is>
          <t>73700</t>
        </is>
      </c>
      <c r="K1015" t="inlineStr">
        <is>
          <t>Séez</t>
        </is>
      </c>
      <c r="L1015" t="inlineStr">
        <is>
          <t>04 79 41 01 63</t>
        </is>
      </c>
      <c r="M1015" s="4" t="inlineStr">
        <is>
          <t>contact@hautetarentaise.fr</t>
        </is>
      </c>
      <c r="N1015" s="4" t="inlineStr">
        <is>
          <t>https://www.hautetarentaise.fr/</t>
        </is>
      </c>
      <c r="O1015" t="inlineStr"/>
      <c r="P1015" s="4" t="inlineStr">
        <is>
          <t>https://lannuaire.service-public.gouv.fr/auvergne-rhone-alpes/savoie/fb20012f-176d-4453-813b-d69651712755</t>
        </is>
      </c>
      <c r="Q1015" t="inlineStr">
        <is>
          <t>Annuaire Service-public.fr</t>
        </is>
      </c>
      <c r="R1015" t="inlineStr"/>
      <c r="S1015" t="inlineStr"/>
      <c r="T1015" t="inlineStr"/>
    </row>
    <row r="1016">
      <c r="A1016" t="inlineStr">
        <is>
          <t>CC de Yenne</t>
        </is>
      </c>
      <c r="B1016" t="inlineStr">
        <is>
          <t>Communauté de communes</t>
        </is>
      </c>
      <c r="C1016" t="inlineStr">
        <is>
          <t>247300262</t>
        </is>
      </c>
      <c r="D1016" t="inlineStr">
        <is>
          <t>73</t>
        </is>
      </c>
      <c r="E1016" t="inlineStr">
        <is>
          <t>Savoie</t>
        </is>
      </c>
      <c r="F1016" t="inlineStr">
        <is>
          <t>Auvergne-Rhône-Alpes</t>
        </is>
      </c>
      <c r="G1016" s="3" t="n">
        <v>7416</v>
      </c>
      <c r="H1016" t="n">
        <v>13</v>
      </c>
      <c r="I1016" t="inlineStr">
        <is>
          <t>133 chemin de la Curiaz</t>
        </is>
      </c>
      <c r="J1016" t="inlineStr">
        <is>
          <t>73170</t>
        </is>
      </c>
      <c r="K1016" t="inlineStr">
        <is>
          <t>Yenne</t>
        </is>
      </c>
      <c r="L1016" t="inlineStr">
        <is>
          <t>04 79 36 90 76</t>
        </is>
      </c>
      <c r="M1016" s="4" t="inlineStr">
        <is>
          <t>accueil@ccyenne.fr</t>
        </is>
      </c>
      <c r="N1016" s="4" t="inlineStr">
        <is>
          <t>https://ccyenne.fr/</t>
        </is>
      </c>
      <c r="O1016" t="inlineStr"/>
      <c r="P1016" s="4" t="inlineStr">
        <is>
          <t>https://lannuaire.service-public.gouv.fr/auvergne-rhone-alpes/savoie/387b6efe-2150-46ed-bedd-ca9a63c9fb06</t>
        </is>
      </c>
      <c r="Q1016" t="inlineStr">
        <is>
          <t>Annuaire Service-public.fr</t>
        </is>
      </c>
      <c r="R1016" t="inlineStr"/>
      <c r="S1016" t="inlineStr"/>
      <c r="T1016" t="inlineStr"/>
    </row>
    <row r="1017">
      <c r="A1017" t="inlineStr">
        <is>
          <t>CC des Vallées d'Aigueblanche</t>
        </is>
      </c>
      <c r="B1017" t="inlineStr">
        <is>
          <t>Communauté de communes</t>
        </is>
      </c>
      <c r="C1017" t="inlineStr">
        <is>
          <t>247300015</t>
        </is>
      </c>
      <c r="D1017" t="inlineStr">
        <is>
          <t>73</t>
        </is>
      </c>
      <c r="E1017" t="inlineStr">
        <is>
          <t>Savoie</t>
        </is>
      </c>
      <c r="F1017" t="inlineStr">
        <is>
          <t>Auvergne-Rhône-Alpes</t>
        </is>
      </c>
      <c r="G1017" s="3" t="n">
        <v>7069</v>
      </c>
      <c r="H1017" t="n">
        <v>3</v>
      </c>
      <c r="I1017" t="inlineStr">
        <is>
          <t>40 chemin des Loisirs</t>
        </is>
      </c>
      <c r="J1017" t="inlineStr">
        <is>
          <t>73260</t>
        </is>
      </c>
      <c r="K1017" t="inlineStr">
        <is>
          <t>Grand-Aigueblanche</t>
        </is>
      </c>
      <c r="L1017" t="inlineStr">
        <is>
          <t>04 79 24 20 04</t>
        </is>
      </c>
      <c r="M1017" s="4" t="inlineStr">
        <is>
          <t>secretariat@ccva-savoie.com</t>
        </is>
      </c>
      <c r="N1017" s="4" t="inlineStr">
        <is>
          <t>https://www.ccva-savoie.com/</t>
        </is>
      </c>
      <c r="O1017" s="4" t="inlineStr">
        <is>
          <t>https://www.ccva-savoie.com/index.php/contact</t>
        </is>
      </c>
      <c r="P1017" s="4" t="inlineStr">
        <is>
          <t>https://lannuaire.service-public.gouv.fr/auvergne-rhone-alpes/savoie/caa92373-184d-4cc9-aed1-22e8fce22e6d</t>
        </is>
      </c>
      <c r="Q1017" t="inlineStr">
        <is>
          <t>Annuaire Service-public.fr</t>
        </is>
      </c>
      <c r="R1017" t="inlineStr"/>
      <c r="S1017" t="inlineStr"/>
      <c r="T1017" t="inlineStr"/>
    </row>
    <row r="1018">
      <c r="A1018" t="inlineStr">
        <is>
          <t>CC du Canton de La Chambre</t>
        </is>
      </c>
      <c r="B1018" t="inlineStr">
        <is>
          <t>Communauté de communes</t>
        </is>
      </c>
      <c r="C1018" t="inlineStr">
        <is>
          <t>247300361</t>
        </is>
      </c>
      <c r="D1018" t="inlineStr">
        <is>
          <t>73</t>
        </is>
      </c>
      <c r="E1018" t="inlineStr">
        <is>
          <t>Savoie</t>
        </is>
      </c>
      <c r="F1018" t="inlineStr">
        <is>
          <t>Auvergne-Rhône-Alpes</t>
        </is>
      </c>
      <c r="G1018" s="3" t="n">
        <v>7389</v>
      </c>
      <c r="H1018" t="n">
        <v>12</v>
      </c>
      <c r="I1018" t="inlineStr">
        <is>
          <t>39 place Jean-Viard</t>
        </is>
      </c>
      <c r="J1018" t="inlineStr">
        <is>
          <t>73130</t>
        </is>
      </c>
      <c r="K1018" t="inlineStr">
        <is>
          <t>Saint-Étienne-de-Cuines</t>
        </is>
      </c>
      <c r="L1018" t="inlineStr">
        <is>
          <t>04 79 56 26 64</t>
        </is>
      </c>
      <c r="M1018" s="4" t="inlineStr">
        <is>
          <t>accueil@la4c.fr</t>
        </is>
      </c>
      <c r="N1018" s="4" t="inlineStr">
        <is>
          <t>https://www.la4c.fr/</t>
        </is>
      </c>
      <c r="O1018" s="4" t="inlineStr">
        <is>
          <t>https://www.la4c.fr/contact/</t>
        </is>
      </c>
      <c r="P1018" s="4" t="inlineStr">
        <is>
          <t>https://lannuaire.service-public.gouv.fr/auvergne-rhone-alpes/savoie/1f16540d-6824-4da5-a138-459caf8048eb</t>
        </is>
      </c>
      <c r="Q1018" t="inlineStr">
        <is>
          <t>Annuaire Service-public.fr</t>
        </is>
      </c>
      <c r="R1018" t="inlineStr"/>
      <c r="S1018" t="inlineStr"/>
      <c r="T1018" t="inlineStr"/>
    </row>
    <row r="1019">
      <c r="A1019" t="inlineStr">
        <is>
          <t>CC du Lac d'Aiguebelette (CCLA)</t>
        </is>
      </c>
      <c r="B1019" t="inlineStr">
        <is>
          <t>Communauté de communes</t>
        </is>
      </c>
      <c r="C1019" t="inlineStr">
        <is>
          <t>247300668</t>
        </is>
      </c>
      <c r="D1019" t="inlineStr">
        <is>
          <t>73</t>
        </is>
      </c>
      <c r="E1019" t="inlineStr">
        <is>
          <t>Savoie</t>
        </is>
      </c>
      <c r="F1019" t="inlineStr">
        <is>
          <t>Auvergne-Rhône-Alpes</t>
        </is>
      </c>
      <c r="G1019" s="3" t="n">
        <v>6312</v>
      </c>
      <c r="H1019" t="n">
        <v>10</v>
      </c>
      <c r="I1019" t="inlineStr">
        <is>
          <t>572 route d'Aiguebelette, Maison du Lac</t>
        </is>
      </c>
      <c r="J1019" t="inlineStr">
        <is>
          <t>73470</t>
        </is>
      </c>
      <c r="K1019" t="inlineStr">
        <is>
          <t>Nances</t>
        </is>
      </c>
      <c r="L1019" t="inlineStr">
        <is>
          <t>04 79 28 78 64</t>
        </is>
      </c>
      <c r="M1019" s="4" t="inlineStr">
        <is>
          <t>ccla@ccla.fr</t>
        </is>
      </c>
      <c r="N1019" s="4" t="inlineStr">
        <is>
          <t>https://ccla.fr/</t>
        </is>
      </c>
      <c r="O1019" s="4" t="inlineStr">
        <is>
          <t>https://ccla.fr/contact/</t>
        </is>
      </c>
      <c r="P1019" s="4" t="inlineStr">
        <is>
          <t>https://lannuaire.service-public.gouv.fr/auvergne-rhone-alpes/savoie/ba0e44d4-e98a-4ad5-a44e-6c1789d65c10</t>
        </is>
      </c>
      <c r="Q1019" t="inlineStr">
        <is>
          <t>Annuaire Service-public.fr</t>
        </is>
      </c>
      <c r="R1019" t="inlineStr"/>
      <c r="S1019" t="inlineStr"/>
      <c r="T1019" t="inlineStr"/>
    </row>
    <row r="1020">
      <c r="A1020" t="inlineStr">
        <is>
          <t>CA Annemasse-Les Voirons-Agglomération</t>
        </is>
      </c>
      <c r="B1020" t="inlineStr">
        <is>
          <t>Communauté d’agglomération</t>
        </is>
      </c>
      <c r="C1020" t="inlineStr">
        <is>
          <t>200011773</t>
        </is>
      </c>
      <c r="D1020" t="inlineStr">
        <is>
          <t>74</t>
        </is>
      </c>
      <c r="E1020" t="inlineStr">
        <is>
          <t>Haute-Savoie</t>
        </is>
      </c>
      <c r="F1020" t="inlineStr">
        <is>
          <t>Auvergne-Rhône-Alpes</t>
        </is>
      </c>
      <c r="G1020" s="3" t="n">
        <v>95155</v>
      </c>
      <c r="H1020" t="n">
        <v>12</v>
      </c>
      <c r="I1020" t="inlineStr">
        <is>
          <t>11 avenue Émile-Zola</t>
        </is>
      </c>
      <c r="J1020" t="inlineStr">
        <is>
          <t>74100</t>
        </is>
      </c>
      <c r="K1020" t="inlineStr">
        <is>
          <t>Annemasse</t>
        </is>
      </c>
      <c r="L1020" t="inlineStr">
        <is>
          <t>04 50 87 83 00</t>
        </is>
      </c>
      <c r="M1020" s="4" t="inlineStr">
        <is>
          <t>contact@annemasse-agglo.fr</t>
        </is>
      </c>
      <c r="N1020" s="4" t="inlineStr">
        <is>
          <t>https://www.annemasse-agglo.fr/</t>
        </is>
      </c>
      <c r="O1020" s="4" t="inlineStr">
        <is>
          <t>https://www.annemasse-agglo.fr/contact</t>
        </is>
      </c>
      <c r="P1020" s="4" t="inlineStr">
        <is>
          <t>https://lannuaire.service-public.gouv.fr/auvergne-rhone-alpes/haute-savoie/6253917a-1cf3-4c35-8b72-e26be4bd9428</t>
        </is>
      </c>
      <c r="Q1020" t="inlineStr">
        <is>
          <t>Annuaire Service-public.fr</t>
        </is>
      </c>
      <c r="R1020" t="inlineStr"/>
      <c r="S1020" t="inlineStr"/>
      <c r="T1020" t="inlineStr"/>
    </row>
    <row r="1021">
      <c r="A1021" t="inlineStr">
        <is>
          <t>CA Thonon Agglomération</t>
        </is>
      </c>
      <c r="B1021" t="inlineStr">
        <is>
          <t>Communauté d’agglomération</t>
        </is>
      </c>
      <c r="C1021" t="inlineStr">
        <is>
          <t>200067551</t>
        </is>
      </c>
      <c r="D1021" t="inlineStr">
        <is>
          <t>74</t>
        </is>
      </c>
      <c r="E1021" t="inlineStr">
        <is>
          <t>Haute-Savoie</t>
        </is>
      </c>
      <c r="F1021" t="inlineStr">
        <is>
          <t>Auvergne-Rhône-Alpes</t>
        </is>
      </c>
      <c r="G1021" s="3" t="n">
        <v>94873</v>
      </c>
      <c r="H1021" t="n">
        <v>25</v>
      </c>
      <c r="I1021" t="inlineStr">
        <is>
          <t>2 place de l'Hôtel-de-Ville</t>
        </is>
      </c>
      <c r="J1021" t="inlineStr">
        <is>
          <t>74207</t>
        </is>
      </c>
      <c r="K1021" t="inlineStr">
        <is>
          <t>Thonon-les-Bains</t>
        </is>
      </c>
      <c r="L1021" t="inlineStr">
        <is>
          <t>04 50 31 25 00</t>
        </is>
      </c>
      <c r="M1021" s="4" t="inlineStr">
        <is>
          <t>accueil@thononagglo.fr</t>
        </is>
      </c>
      <c r="N1021" s="4" t="inlineStr">
        <is>
          <t>https://www.thononagglo.fr/</t>
        </is>
      </c>
      <c r="O1021" t="inlineStr"/>
      <c r="P1021" s="4" t="inlineStr">
        <is>
          <t>https://lannuaire.service-public.gouv.fr/auvergne-rhone-alpes/haute-savoie/e1357262-5054-455a-ba10-6bab4f2c1334</t>
        </is>
      </c>
      <c r="Q1021" t="inlineStr">
        <is>
          <t>Annuaire Service-public.fr</t>
        </is>
      </c>
      <c r="R1021" t="inlineStr"/>
      <c r="S1021" t="inlineStr"/>
      <c r="T1021" t="inlineStr"/>
    </row>
    <row r="1022">
      <c r="A1022" t="inlineStr">
        <is>
          <t>CA du Grand Annecy</t>
        </is>
      </c>
      <c r="B1022" t="inlineStr">
        <is>
          <t>Communauté d’agglomération</t>
        </is>
      </c>
      <c r="C1022" t="inlineStr">
        <is>
          <t>200066793</t>
        </is>
      </c>
      <c r="D1022" t="inlineStr">
        <is>
          <t>74</t>
        </is>
      </c>
      <c r="E1022" t="inlineStr">
        <is>
          <t>Haute-Savoie</t>
        </is>
      </c>
      <c r="F1022" t="inlineStr">
        <is>
          <t>Auvergne-Rhône-Alpes</t>
        </is>
      </c>
      <c r="G1022" s="3" t="n">
        <v>211259</v>
      </c>
      <c r="H1022" t="n">
        <v>34</v>
      </c>
      <c r="I1022" t="inlineStr">
        <is>
          <t>46 avenue des Îles, BP 90270</t>
        </is>
      </c>
      <c r="J1022" t="inlineStr">
        <is>
          <t>74007</t>
        </is>
      </c>
      <c r="K1022" t="inlineStr">
        <is>
          <t>Annecy Cedex</t>
        </is>
      </c>
      <c r="L1022" t="inlineStr">
        <is>
          <t>04 50 63 48 48</t>
        </is>
      </c>
      <c r="M1022" s="4" t="inlineStr">
        <is>
          <t>agglo@grandannecy.fr</t>
        </is>
      </c>
      <c r="N1022" s="4" t="inlineStr">
        <is>
          <t>https://www.grandannecy.fr/</t>
        </is>
      </c>
      <c r="O1022" s="4" t="inlineStr">
        <is>
          <t>https://www.grandannecy.fr/contact</t>
        </is>
      </c>
      <c r="P1022" s="4" t="inlineStr">
        <is>
          <t>https://lannuaire.service-public.gouv.fr/auvergne-rhone-alpes/haute-savoie/aaf24976-83e8-4270-93b1-980fc91988c4</t>
        </is>
      </c>
      <c r="Q1022" t="inlineStr">
        <is>
          <t>Annuaire Service-public.fr</t>
        </is>
      </c>
      <c r="R1022" t="inlineStr"/>
      <c r="S1022" t="inlineStr"/>
      <c r="T1022" t="inlineStr"/>
    </row>
    <row r="1023">
      <c r="A1023" t="inlineStr">
        <is>
          <t>CC Arve et Salève</t>
        </is>
      </c>
      <c r="B1023" t="inlineStr">
        <is>
          <t>Communauté de communes</t>
        </is>
      </c>
      <c r="C1023" t="inlineStr">
        <is>
          <t>247400583</t>
        </is>
      </c>
      <c r="D1023" t="inlineStr">
        <is>
          <t>74</t>
        </is>
      </c>
      <c r="E1023" t="inlineStr">
        <is>
          <t>Haute-Savoie</t>
        </is>
      </c>
      <c r="F1023" t="inlineStr">
        <is>
          <t>Auvergne-Rhône-Alpes</t>
        </is>
      </c>
      <c r="G1023" s="3" t="n">
        <v>20437</v>
      </c>
      <c r="H1023" t="n">
        <v>8</v>
      </c>
      <c r="I1023" t="inlineStr">
        <is>
          <t>160 Grande-Rue, Maison Cécile-Bocquet</t>
        </is>
      </c>
      <c r="J1023" t="inlineStr">
        <is>
          <t>74930</t>
        </is>
      </c>
      <c r="K1023" t="inlineStr">
        <is>
          <t>Reignier-Ésery</t>
        </is>
      </c>
      <c r="L1023" t="inlineStr">
        <is>
          <t>04 50 43 46 14</t>
        </is>
      </c>
      <c r="M1023" s="4" t="inlineStr">
        <is>
          <t>contact@arve-saleve.fr</t>
        </is>
      </c>
      <c r="N1023" s="4" t="inlineStr">
        <is>
          <t>https://www.arve-saleve.fr/</t>
        </is>
      </c>
      <c r="O1023" s="4" t="inlineStr">
        <is>
          <t>https://www.arve-saleve.fr/contact/</t>
        </is>
      </c>
      <c r="P1023" s="4" t="inlineStr">
        <is>
          <t>https://lannuaire.service-public.gouv.fr/auvergne-rhone-alpes/haute-savoie/313b0707-1ef5-4b33-b9f1-d01db6427577</t>
        </is>
      </c>
      <c r="Q1023" t="inlineStr">
        <is>
          <t>Annuaire Service-public.fr</t>
        </is>
      </c>
      <c r="R1023" t="inlineStr"/>
      <c r="S1023" t="inlineStr"/>
      <c r="T1023" t="inlineStr"/>
    </row>
    <row r="1024">
      <c r="A1024" t="inlineStr">
        <is>
          <t>CC Cluses-Arve et Montagnes</t>
        </is>
      </c>
      <c r="B1024" t="inlineStr">
        <is>
          <t>Communauté de communes</t>
        </is>
      </c>
      <c r="C1024" t="inlineStr">
        <is>
          <t>200033116</t>
        </is>
      </c>
      <c r="D1024" t="inlineStr">
        <is>
          <t>74</t>
        </is>
      </c>
      <c r="E1024" t="inlineStr">
        <is>
          <t>Haute-Savoie</t>
        </is>
      </c>
      <c r="F1024" t="inlineStr">
        <is>
          <t>Auvergne-Rhône-Alpes</t>
        </is>
      </c>
      <c r="G1024" s="3" t="n">
        <v>47034</v>
      </c>
      <c r="H1024" t="n">
        <v>10</v>
      </c>
      <c r="I1024" t="inlineStr">
        <is>
          <t>3 rue du Pré-Bénévix, Immeuble Le Cristal</t>
        </is>
      </c>
      <c r="J1024" t="inlineStr">
        <is>
          <t>74300</t>
        </is>
      </c>
      <c r="K1024" t="inlineStr">
        <is>
          <t>Cluses</t>
        </is>
      </c>
      <c r="L1024" t="inlineStr">
        <is>
          <t>04 57 54 22 00</t>
        </is>
      </c>
      <c r="M1024" s="4" t="inlineStr">
        <is>
          <t>contact@2ccam.fr</t>
        </is>
      </c>
      <c r="N1024" s="4" t="inlineStr">
        <is>
          <t>https://www.2ccam.fr/fr/</t>
        </is>
      </c>
      <c r="O1024" s="4" t="inlineStr">
        <is>
          <t>https://www.2ccam.fr/fr/</t>
        </is>
      </c>
      <c r="P1024" s="4" t="inlineStr">
        <is>
          <t>https://lannuaire.service-public.gouv.fr/auvergne-rhone-alpes/haute-savoie/9e23b7f7-55d2-4251-9da1-fc5329df94b4</t>
        </is>
      </c>
      <c r="Q1024" t="inlineStr">
        <is>
          <t>Annuaire Service-public.fr</t>
        </is>
      </c>
      <c r="R1024" t="inlineStr"/>
      <c r="S1024" t="inlineStr"/>
      <c r="T1024" t="inlineStr"/>
    </row>
    <row r="1025">
      <c r="A1025" t="inlineStr">
        <is>
          <t>CC Faucigny - Glières</t>
        </is>
      </c>
      <c r="B1025" t="inlineStr">
        <is>
          <t>Communauté de communes</t>
        </is>
      </c>
      <c r="C1025" t="inlineStr">
        <is>
          <t>200000172</t>
        </is>
      </c>
      <c r="D1025" t="inlineStr">
        <is>
          <t>74</t>
        </is>
      </c>
      <c r="E1025" t="inlineStr">
        <is>
          <t>Haute-Savoie</t>
        </is>
      </c>
      <c r="F1025" t="inlineStr">
        <is>
          <t>Auvergne-Rhône-Alpes</t>
        </is>
      </c>
      <c r="G1025" s="3" t="n">
        <v>28363</v>
      </c>
      <c r="H1025" t="n">
        <v>7</v>
      </c>
      <c r="I1025" t="inlineStr">
        <is>
          <t>6 place de l'Hôtel-de-Ville</t>
        </is>
      </c>
      <c r="J1025" t="inlineStr">
        <is>
          <t>74130</t>
        </is>
      </c>
      <c r="K1025" t="inlineStr">
        <is>
          <t>Bonneville</t>
        </is>
      </c>
      <c r="L1025" t="inlineStr">
        <is>
          <t>04 50 97 51 58</t>
        </is>
      </c>
      <c r="M1025" s="4" t="inlineStr">
        <is>
          <t>courrier@ccfg.fr</t>
        </is>
      </c>
      <c r="N1025" s="4" t="inlineStr">
        <is>
          <t>https://www.ccfg.fr/</t>
        </is>
      </c>
      <c r="O1025" s="4" t="inlineStr">
        <is>
          <t>https://www.ccfg.fr/8905-contact.htm</t>
        </is>
      </c>
      <c r="P1025" s="4" t="inlineStr">
        <is>
          <t>https://lannuaire.service-public.gouv.fr/auvergne-rhone-alpes/haute-savoie/99b3f049-6de8-47d6-86f3-d19e9fcea0b0</t>
        </is>
      </c>
      <c r="Q1025" t="inlineStr">
        <is>
          <t>Annuaire Service-public.fr</t>
        </is>
      </c>
      <c r="R1025" t="inlineStr"/>
      <c r="S1025" t="inlineStr"/>
      <c r="T1025" t="inlineStr"/>
    </row>
    <row r="1026">
      <c r="A1026" t="inlineStr">
        <is>
          <t>CC Fier et Usses</t>
        </is>
      </c>
      <c r="B1026" t="inlineStr">
        <is>
          <t>Communauté de communes</t>
        </is>
      </c>
      <c r="C1026" t="inlineStr">
        <is>
          <t>247400567</t>
        </is>
      </c>
      <c r="D1026" t="inlineStr">
        <is>
          <t>74</t>
        </is>
      </c>
      <c r="E1026" t="inlineStr">
        <is>
          <t>Haute-Savoie</t>
        </is>
      </c>
      <c r="F1026" t="inlineStr">
        <is>
          <t>Auvergne-Rhône-Alpes</t>
        </is>
      </c>
      <c r="G1026" s="3" t="n">
        <v>16252</v>
      </c>
      <c r="H1026" t="n">
        <v>7</v>
      </c>
      <c r="I1026" t="inlineStr">
        <is>
          <t>171 place Claudius-Luiset</t>
        </is>
      </c>
      <c r="J1026" t="inlineStr">
        <is>
          <t>74330</t>
        </is>
      </c>
      <c r="K1026" t="inlineStr">
        <is>
          <t>Sillingy</t>
        </is>
      </c>
      <c r="L1026" t="inlineStr">
        <is>
          <t>04 50 77 70 74</t>
        </is>
      </c>
      <c r="M1026" s="4" t="inlineStr">
        <is>
          <t>accueil@ccfu.fr</t>
        </is>
      </c>
      <c r="N1026" s="4" t="inlineStr">
        <is>
          <t>https://www.fier-et-usses.com/</t>
        </is>
      </c>
      <c r="O1026" s="4" t="inlineStr">
        <is>
          <t>https://www.fier-et-usses.com/2071-contact.htm</t>
        </is>
      </c>
      <c r="P1026" s="4" t="inlineStr">
        <is>
          <t>https://lannuaire.service-public.gouv.fr/auvergne-rhone-alpes/haute-savoie/e2769939-8de7-407d-acff-78e93b899249</t>
        </is>
      </c>
      <c r="Q1026" t="inlineStr">
        <is>
          <t>Annuaire Service-public.fr</t>
        </is>
      </c>
      <c r="R1026" t="inlineStr"/>
      <c r="S1026" t="inlineStr"/>
      <c r="T1026" t="inlineStr"/>
    </row>
    <row r="1027">
      <c r="A1027" t="inlineStr">
        <is>
          <t>CC Pays d'Evian Vallée d'Abondance</t>
        </is>
      </c>
      <c r="B1027" t="inlineStr">
        <is>
          <t>Communauté de communes</t>
        </is>
      </c>
      <c r="C1027" t="inlineStr">
        <is>
          <t>200071967</t>
        </is>
      </c>
      <c r="D1027" t="inlineStr">
        <is>
          <t>74</t>
        </is>
      </c>
      <c r="E1027" t="inlineStr">
        <is>
          <t>Haute-Savoie</t>
        </is>
      </c>
      <c r="F1027" t="inlineStr">
        <is>
          <t>Auvergne-Rhône-Alpes</t>
        </is>
      </c>
      <c r="G1027" s="3" t="n">
        <v>42979</v>
      </c>
      <c r="H1027" t="n">
        <v>22</v>
      </c>
      <c r="I1027" t="inlineStr">
        <is>
          <t>851 avenue des Rives-du-Léman, CS 10084</t>
        </is>
      </c>
      <c r="J1027" t="inlineStr">
        <is>
          <t>74500</t>
        </is>
      </c>
      <c r="K1027" t="inlineStr">
        <is>
          <t>Publier</t>
        </is>
      </c>
      <c r="L1027" t="inlineStr">
        <is>
          <t>04 50 74 57 85</t>
        </is>
      </c>
      <c r="M1027" s="4" t="inlineStr">
        <is>
          <t>accueil@cc-peva.fr</t>
        </is>
      </c>
      <c r="N1027" s="4" t="inlineStr">
        <is>
          <t>https://www.cc-peva.fr/index.php</t>
        </is>
      </c>
      <c r="O1027" s="4" t="inlineStr">
        <is>
          <t>https://www.cc-peva.fr/203-contact.htm</t>
        </is>
      </c>
      <c r="P1027" s="4" t="inlineStr">
        <is>
          <t>https://lannuaire.service-public.gouv.fr/auvergne-rhone-alpes/haute-savoie/9812d62a-d061-461a-ab8d-9ef608e6d81f</t>
        </is>
      </c>
      <c r="Q1027" t="inlineStr">
        <is>
          <t>Annuaire Service-public.fr</t>
        </is>
      </c>
      <c r="R1027" t="inlineStr"/>
      <c r="S1027" t="inlineStr"/>
      <c r="T1027" t="inlineStr"/>
    </row>
    <row r="1028">
      <c r="A1028" t="inlineStr">
        <is>
          <t>CC Pays du Mont-Blanc</t>
        </is>
      </c>
      <c r="B1028" t="inlineStr">
        <is>
          <t>Communauté de communes</t>
        </is>
      </c>
      <c r="C1028" t="inlineStr">
        <is>
          <t>200034882</t>
        </is>
      </c>
      <c r="D1028" t="inlineStr">
        <is>
          <t>74</t>
        </is>
      </c>
      <c r="E1028" t="inlineStr">
        <is>
          <t>Haute-Savoie</t>
        </is>
      </c>
      <c r="F1028" t="inlineStr">
        <is>
          <t>Auvergne-Rhône-Alpes</t>
        </is>
      </c>
      <c r="G1028" s="3" t="n">
        <v>44954</v>
      </c>
      <c r="H1028" t="n">
        <v>10</v>
      </c>
      <c r="I1028" t="inlineStr">
        <is>
          <t>648 chemin des Prés-Caton, PAE d'activité du Mont-Blanc</t>
        </is>
      </c>
      <c r="J1028" t="inlineStr">
        <is>
          <t>74190</t>
        </is>
      </c>
      <c r="K1028" t="inlineStr">
        <is>
          <t>Passy</t>
        </is>
      </c>
      <c r="L1028" t="inlineStr">
        <is>
          <t>04 50 78 12 10</t>
        </is>
      </c>
      <c r="M1028" s="4" t="inlineStr">
        <is>
          <t>accueil@ccpmb.fr</t>
        </is>
      </c>
      <c r="N1028" s="4" t="inlineStr">
        <is>
          <t>https://www.ccpmb.fr/</t>
        </is>
      </c>
      <c r="O1028" t="inlineStr"/>
      <c r="P1028" s="4" t="inlineStr">
        <is>
          <t>https://lannuaire.service-public.gouv.fr/auvergne-rhone-alpes/haute-savoie/08269d23-c589-49a2-9b8e-f78964c3a8c2</t>
        </is>
      </c>
      <c r="Q1028" t="inlineStr">
        <is>
          <t>Annuaire Service-public.fr</t>
        </is>
      </c>
      <c r="R1028" t="inlineStr"/>
      <c r="S1028" t="inlineStr"/>
      <c r="T1028" t="inlineStr"/>
    </row>
    <row r="1029">
      <c r="A1029" t="inlineStr">
        <is>
          <t>CC Rumilly Terre de Savoie</t>
        </is>
      </c>
      <c r="B1029" t="inlineStr">
        <is>
          <t>Communauté de communes</t>
        </is>
      </c>
      <c r="C1029" t="inlineStr">
        <is>
          <t>247400740</t>
        </is>
      </c>
      <c r="D1029" t="inlineStr">
        <is>
          <t>74</t>
        </is>
      </c>
      <c r="E1029" t="inlineStr">
        <is>
          <t>Haute-Savoie</t>
        </is>
      </c>
      <c r="F1029" t="inlineStr">
        <is>
          <t>Auvergne-Rhône-Alpes</t>
        </is>
      </c>
      <c r="G1029" s="3" t="n">
        <v>33198</v>
      </c>
      <c r="H1029" t="n">
        <v>17</v>
      </c>
      <c r="I1029" t="inlineStr">
        <is>
          <t>3 place de la Manufacture</t>
        </is>
      </c>
      <c r="J1029" t="inlineStr">
        <is>
          <t>74152</t>
        </is>
      </c>
      <c r="K1029" t="inlineStr">
        <is>
          <t>Rumilly</t>
        </is>
      </c>
      <c r="L1029" t="inlineStr">
        <is>
          <t>04 50 01 87 00</t>
        </is>
      </c>
      <c r="M1029" s="4" t="inlineStr">
        <is>
          <t>contact@rumilly-terredesavoie.fr</t>
        </is>
      </c>
      <c r="N1029" s="4" t="inlineStr">
        <is>
          <t>http://www.rumilly-terredesavoie.fr</t>
        </is>
      </c>
      <c r="O1029" t="inlineStr"/>
      <c r="P1029" s="4" t="inlineStr">
        <is>
          <t>https://lannuaire.service-public.gouv.fr/auvergne-rhone-alpes/haute-savoie/5ba54675-ce30-41a4-b46f-e158ed12a414</t>
        </is>
      </c>
      <c r="Q1029" t="inlineStr">
        <is>
          <t>Annuaire Service-public.fr</t>
        </is>
      </c>
      <c r="R1029" t="inlineStr"/>
      <c r="S1029" t="inlineStr"/>
      <c r="T1029" t="inlineStr"/>
    </row>
    <row r="1030">
      <c r="A1030" t="inlineStr">
        <is>
          <t>CC de la Vallée Verte</t>
        </is>
      </c>
      <c r="B1030" t="inlineStr">
        <is>
          <t>Communauté de communes</t>
        </is>
      </c>
      <c r="C1030" t="inlineStr">
        <is>
          <t>247400047</t>
        </is>
      </c>
      <c r="D1030" t="inlineStr">
        <is>
          <t>74</t>
        </is>
      </c>
      <c r="E1030" t="inlineStr">
        <is>
          <t>Haute-Savoie</t>
        </is>
      </c>
      <c r="F1030" t="inlineStr">
        <is>
          <t>Auvergne-Rhône-Alpes</t>
        </is>
      </c>
      <c r="G1030" s="3" t="n">
        <v>8424</v>
      </c>
      <c r="H1030" t="n">
        <v>8</v>
      </c>
      <c r="I1030" t="inlineStr">
        <is>
          <t>131 rue de la Vallée-Verte, BP 21</t>
        </is>
      </c>
      <c r="J1030" t="inlineStr">
        <is>
          <t>74420</t>
        </is>
      </c>
      <c r="K1030" t="inlineStr">
        <is>
          <t>Boëge</t>
        </is>
      </c>
      <c r="L1030" t="inlineStr">
        <is>
          <t>04 50 39 09 20</t>
        </is>
      </c>
      <c r="M1030" s="4" t="inlineStr">
        <is>
          <t>contact@cc-valleeverte.fr</t>
        </is>
      </c>
      <c r="N1030" s="4" t="inlineStr">
        <is>
          <t>https://cc-valleeverte.fr/</t>
        </is>
      </c>
      <c r="O1030" t="inlineStr"/>
      <c r="P1030" s="4" t="inlineStr">
        <is>
          <t>https://lannuaire.service-public.gouv.fr/auvergne-rhone-alpes/haute-savoie/c8abca94-58ab-4450-980d-5f92d4bd9bb2</t>
        </is>
      </c>
      <c r="Q1030" t="inlineStr">
        <is>
          <t>Annuaire Service-public.fr</t>
        </is>
      </c>
      <c r="R1030" t="inlineStr"/>
      <c r="S1030" t="inlineStr"/>
      <c r="T1030" t="inlineStr"/>
    </row>
    <row r="1031">
      <c r="A1031" t="inlineStr">
        <is>
          <t>CC de la Vallée de Chamonix-Mont-Blanc</t>
        </is>
      </c>
      <c r="B1031" t="inlineStr">
        <is>
          <t>Communauté de communes</t>
        </is>
      </c>
      <c r="C1031" t="inlineStr">
        <is>
          <t>200023372</t>
        </is>
      </c>
      <c r="D1031" t="inlineStr">
        <is>
          <t>74</t>
        </is>
      </c>
      <c r="E1031" t="inlineStr">
        <is>
          <t>Haute-Savoie</t>
        </is>
      </c>
      <c r="F1031" t="inlineStr">
        <is>
          <t>Auvergne-Rhône-Alpes</t>
        </is>
      </c>
      <c r="G1031" s="3" t="n">
        <v>13759</v>
      </c>
      <c r="H1031" t="n">
        <v>4</v>
      </c>
      <c r="I1031" t="inlineStr">
        <is>
          <t>38 place de l'Hôtel-de-Ville</t>
        </is>
      </c>
      <c r="J1031" t="inlineStr">
        <is>
          <t>74400</t>
        </is>
      </c>
      <c r="K1031" t="inlineStr">
        <is>
          <t>Chamonix</t>
        </is>
      </c>
      <c r="L1031" t="inlineStr">
        <is>
          <t>04 50 54 39 76</t>
        </is>
      </c>
      <c r="M1031" s="4" t="inlineStr">
        <is>
          <t>contact@ccvcmb.fr</t>
        </is>
      </c>
      <c r="N1031" s="4" t="inlineStr">
        <is>
          <t>https://www.cc-valleedechamonixmontblanc.fr/</t>
        </is>
      </c>
      <c r="O1031" t="inlineStr"/>
      <c r="P1031" s="4" t="inlineStr">
        <is>
          <t>https://lannuaire.service-public.gouv.fr/auvergne-rhone-alpes/haute-savoie/8aa487dc-f1e2-4b15-aaa9-fb9ef8596367</t>
        </is>
      </c>
      <c r="Q1031" t="inlineStr">
        <is>
          <t>Annuaire Service-public.fr</t>
        </is>
      </c>
      <c r="R1031" t="inlineStr"/>
      <c r="S1031" t="inlineStr"/>
      <c r="T1031" t="inlineStr"/>
    </row>
    <row r="1032">
      <c r="A1032" t="inlineStr">
        <is>
          <t>CC des Montagnes du Giffre</t>
        </is>
      </c>
      <c r="B1032" t="inlineStr">
        <is>
          <t>Communauté de communes</t>
        </is>
      </c>
      <c r="C1032" t="inlineStr">
        <is>
          <t>200034098</t>
        </is>
      </c>
      <c r="D1032" t="inlineStr">
        <is>
          <t>74</t>
        </is>
      </c>
      <c r="E1032" t="inlineStr">
        <is>
          <t>Haute-Savoie</t>
        </is>
      </c>
      <c r="F1032" t="inlineStr">
        <is>
          <t>Auvergne-Rhône-Alpes</t>
        </is>
      </c>
      <c r="G1032" s="3" t="n">
        <v>12136</v>
      </c>
      <c r="H1032" t="n">
        <v>8</v>
      </c>
      <c r="I1032" t="inlineStr">
        <is>
          <t>508 avenue des Thézières</t>
        </is>
      </c>
      <c r="J1032" t="inlineStr">
        <is>
          <t>74440</t>
        </is>
      </c>
      <c r="K1032" t="inlineStr">
        <is>
          <t>Taninges</t>
        </is>
      </c>
      <c r="L1032" t="inlineStr">
        <is>
          <t>04 50 47 62 00</t>
        </is>
      </c>
      <c r="M1032" s="4" t="inlineStr">
        <is>
          <t>accueil@montagnesdugiffre.fr</t>
        </is>
      </c>
      <c r="N1032" s="4" t="inlineStr">
        <is>
          <t>https://www.montagnesdugiffre.fr/</t>
        </is>
      </c>
      <c r="O1032" s="4" t="inlineStr">
        <is>
          <t>https://www.montagnesdugiffre.fr/contact/</t>
        </is>
      </c>
      <c r="P1032" s="4" t="inlineStr">
        <is>
          <t>https://lannuaire.service-public.gouv.fr/auvergne-rhone-alpes/haute-savoie/94a7a8ba-eaac-4c41-b35a-86bc16324bf4</t>
        </is>
      </c>
      <c r="Q1032" t="inlineStr">
        <is>
          <t>Annuaire Service-public.fr</t>
        </is>
      </c>
      <c r="R1032" t="inlineStr"/>
      <c r="S1032" t="inlineStr"/>
      <c r="T1032" t="inlineStr"/>
    </row>
    <row r="1033">
      <c r="A1033" t="inlineStr">
        <is>
          <t>CC des Quatre Rivières</t>
        </is>
      </c>
      <c r="B1033" t="inlineStr">
        <is>
          <t>Communauté de communes</t>
        </is>
      </c>
      <c r="C1033" t="inlineStr">
        <is>
          <t>247400666</t>
        </is>
      </c>
      <c r="D1033" t="inlineStr">
        <is>
          <t>74</t>
        </is>
      </c>
      <c r="E1033" t="inlineStr">
        <is>
          <t>Haute-Savoie</t>
        </is>
      </c>
      <c r="F1033" t="inlineStr">
        <is>
          <t>Auvergne-Rhône-Alpes</t>
        </is>
      </c>
      <c r="G1033" s="3" t="n">
        <v>20046</v>
      </c>
      <c r="H1033" t="n">
        <v>11</v>
      </c>
      <c r="I1033" t="inlineStr">
        <is>
          <t>28 chemin de la Ferme-Saillet</t>
        </is>
      </c>
      <c r="J1033" t="inlineStr">
        <is>
          <t>74250</t>
        </is>
      </c>
      <c r="K1033" t="inlineStr">
        <is>
          <t>Filllinges</t>
        </is>
      </c>
      <c r="L1033" t="inlineStr">
        <is>
          <t>04 50 31 46 95</t>
        </is>
      </c>
      <c r="M1033" s="4" t="inlineStr">
        <is>
          <t>secretariat@cc4r.fr</t>
        </is>
      </c>
      <c r="N1033" s="4" t="inlineStr">
        <is>
          <t>http://www.cc4r.fr</t>
        </is>
      </c>
      <c r="O1033" s="4" t="inlineStr">
        <is>
          <t>http://www.cc4r.fr/contact-2.html</t>
        </is>
      </c>
      <c r="P1033" s="4" t="inlineStr">
        <is>
          <t>https://lannuaire.service-public.gouv.fr/auvergne-rhone-alpes/haute-savoie/71c4baf1-149e-46d9-9c19-7cd0654a446f</t>
        </is>
      </c>
      <c r="Q1033" t="inlineStr">
        <is>
          <t>Annuaire Service-public.fr</t>
        </is>
      </c>
      <c r="R1033" t="inlineStr"/>
      <c r="S1033" t="inlineStr"/>
      <c r="T1033" t="inlineStr"/>
    </row>
    <row r="1034">
      <c r="A1034" t="inlineStr">
        <is>
          <t>CC des Sources du Lac d'Annecy</t>
        </is>
      </c>
      <c r="B1034" t="inlineStr">
        <is>
          <t>Communauté de communes</t>
        </is>
      </c>
      <c r="C1034" t="inlineStr">
        <is>
          <t>247400773</t>
        </is>
      </c>
      <c r="D1034" t="inlineStr">
        <is>
          <t>74</t>
        </is>
      </c>
      <c r="E1034" t="inlineStr">
        <is>
          <t>Haute-Savoie</t>
        </is>
      </c>
      <c r="F1034" t="inlineStr">
        <is>
          <t>Auvergne-Rhône-Alpes</t>
        </is>
      </c>
      <c r="G1034" s="3" t="n">
        <v>15338</v>
      </c>
      <c r="H1034" t="n">
        <v>7</v>
      </c>
      <c r="I1034" t="inlineStr">
        <is>
          <t>32 route d'Albertville</t>
        </is>
      </c>
      <c r="J1034" t="inlineStr">
        <is>
          <t>74210</t>
        </is>
      </c>
      <c r="K1034" t="inlineStr">
        <is>
          <t>Faverges-Seythenex</t>
        </is>
      </c>
      <c r="L1034" t="inlineStr">
        <is>
          <t>04 50 44 51 05</t>
        </is>
      </c>
      <c r="M1034" s="4" t="inlineStr">
        <is>
          <t>comcom@cc-sources-lac-annecy.com</t>
        </is>
      </c>
      <c r="N1034" s="4" t="inlineStr">
        <is>
          <t>https://www.cc-sources-lac-annecy.com/</t>
        </is>
      </c>
      <c r="O1034" t="inlineStr"/>
      <c r="P1034" s="4" t="inlineStr">
        <is>
          <t>https://lannuaire.service-public.gouv.fr/auvergne-rhone-alpes/haute-savoie/e7f9fd77-ba8b-4fbc-8c29-de2ed137d749</t>
        </is>
      </c>
      <c r="Q1034" t="inlineStr">
        <is>
          <t>Annuaire Service-public.fr</t>
        </is>
      </c>
      <c r="R1034" t="inlineStr"/>
      <c r="S1034" t="inlineStr"/>
      <c r="T1034" t="inlineStr"/>
    </row>
    <row r="1035">
      <c r="A1035" t="inlineStr">
        <is>
          <t>CC des Vallées de Thônes</t>
        </is>
      </c>
      <c r="B1035" t="inlineStr">
        <is>
          <t>Communauté de communes</t>
        </is>
      </c>
      <c r="C1035" t="inlineStr">
        <is>
          <t>247400617</t>
        </is>
      </c>
      <c r="D1035" t="inlineStr">
        <is>
          <t>74</t>
        </is>
      </c>
      <c r="E1035" t="inlineStr">
        <is>
          <t>Haute-Savoie</t>
        </is>
      </c>
      <c r="F1035" t="inlineStr">
        <is>
          <t>Auvergne-Rhône-Alpes</t>
        </is>
      </c>
      <c r="G1035" s="3" t="n">
        <v>18737</v>
      </c>
      <c r="H1035" t="n">
        <v>12</v>
      </c>
      <c r="I1035" t="inlineStr">
        <is>
          <t>14 rue Bienheureux-Pierre-Favre</t>
        </is>
      </c>
      <c r="J1035" t="inlineStr">
        <is>
          <t>74230</t>
        </is>
      </c>
      <c r="K1035" t="inlineStr">
        <is>
          <t>Thônes</t>
        </is>
      </c>
      <c r="L1035" t="inlineStr">
        <is>
          <t>04 50 32 13 59</t>
        </is>
      </c>
      <c r="M1035" s="4" t="inlineStr">
        <is>
          <t>accueil@ccvt.fr</t>
        </is>
      </c>
      <c r="N1035" s="4" t="inlineStr">
        <is>
          <t>https://ccdesvalleesdethones.fr/page/accueil</t>
        </is>
      </c>
      <c r="O1035" s="4" t="inlineStr">
        <is>
          <t>https://www.facebook.com/ccdesvalleesdethones</t>
        </is>
      </c>
      <c r="P1035" s="4" t="inlineStr">
        <is>
          <t>https://lannuaire.service-public.gouv.fr/auvergne-rhone-alpes/haute-savoie/a01cc354-e788-4cc8-a43e-e67134e4f45f</t>
        </is>
      </c>
      <c r="Q1035" t="inlineStr">
        <is>
          <t>Annuaire Service-public.fr</t>
        </is>
      </c>
      <c r="R1035" t="inlineStr"/>
      <c r="S1035" t="inlineStr"/>
      <c r="T1035" t="inlineStr"/>
    </row>
    <row r="1036">
      <c r="A1036" t="inlineStr">
        <is>
          <t>CC du Genevois</t>
        </is>
      </c>
      <c r="B1036" t="inlineStr">
        <is>
          <t>Communauté de communes</t>
        </is>
      </c>
      <c r="C1036" t="inlineStr">
        <is>
          <t>247400690</t>
        </is>
      </c>
      <c r="D1036" t="inlineStr">
        <is>
          <t>74</t>
        </is>
      </c>
      <c r="E1036" t="inlineStr">
        <is>
          <t>Haute-Savoie</t>
        </is>
      </c>
      <c r="F1036" t="inlineStr">
        <is>
          <t>Auvergne-Rhône-Alpes</t>
        </is>
      </c>
      <c r="G1036" s="3" t="n">
        <v>49025</v>
      </c>
      <c r="H1036" t="n">
        <v>17</v>
      </c>
      <c r="I1036" t="inlineStr">
        <is>
          <t>38 rue Georges-de-Mestral, Archamps-Technopole</t>
        </is>
      </c>
      <c r="J1036" t="inlineStr">
        <is>
          <t>74166</t>
        </is>
      </c>
      <c r="K1036" t="inlineStr">
        <is>
          <t>Saint-Julien-en-Genevois Cedex</t>
        </is>
      </c>
      <c r="L1036" t="inlineStr">
        <is>
          <t>04 50 95 92 60</t>
        </is>
      </c>
      <c r="M1036" s="4" t="inlineStr">
        <is>
          <t>info@cc-genevois.fr</t>
        </is>
      </c>
      <c r="N1036" s="4" t="inlineStr">
        <is>
          <t>https://www.cc-genevois.fr/</t>
        </is>
      </c>
      <c r="O1036" s="4" t="inlineStr">
        <is>
          <t>https://www.cc-genevois.fr/fr/nous-contacter</t>
        </is>
      </c>
      <c r="P1036" s="4" t="inlineStr">
        <is>
          <t>https://lannuaire.service-public.gouv.fr/auvergne-rhone-alpes/haute-savoie/96715d34-c0ab-4ada-af3f-9079e62e7de5</t>
        </is>
      </c>
      <c r="Q1036" t="inlineStr">
        <is>
          <t>Annuaire Service-public.fr</t>
        </is>
      </c>
      <c r="R1036" t="inlineStr"/>
      <c r="S1036" t="inlineStr"/>
      <c r="T1036" t="inlineStr"/>
    </row>
    <row r="1037">
      <c r="A1037" t="inlineStr">
        <is>
          <t>CC du Haut Chablais</t>
        </is>
      </c>
      <c r="B1037" t="inlineStr">
        <is>
          <t>Communauté de communes</t>
        </is>
      </c>
      <c r="C1037" t="inlineStr">
        <is>
          <t>247400682</t>
        </is>
      </c>
      <c r="D1037" t="inlineStr">
        <is>
          <t>74</t>
        </is>
      </c>
      <c r="E1037" t="inlineStr">
        <is>
          <t>Haute-Savoie</t>
        </is>
      </c>
      <c r="F1037" t="inlineStr">
        <is>
          <t>Auvergne-Rhône-Alpes</t>
        </is>
      </c>
      <c r="G1037" s="3" t="n">
        <v>12864</v>
      </c>
      <c r="H1037" t="n">
        <v>15</v>
      </c>
      <c r="I1037" t="inlineStr">
        <is>
          <t>18 route de l'Église, Communauté de communes du Haut-Chablais</t>
        </is>
      </c>
      <c r="J1037" t="inlineStr">
        <is>
          <t>74430</t>
        </is>
      </c>
      <c r="K1037" t="inlineStr">
        <is>
          <t>Le Biot</t>
        </is>
      </c>
      <c r="L1037" t="inlineStr">
        <is>
          <t>04 50 72 14 54</t>
        </is>
      </c>
      <c r="M1037" s="4" t="inlineStr">
        <is>
          <t>info@hautchablais.fr</t>
        </is>
      </c>
      <c r="N1037" s="4" t="inlineStr">
        <is>
          <t>https://www.hautchablais.fr</t>
        </is>
      </c>
      <c r="O1037" s="4" t="inlineStr">
        <is>
          <t>https://www.hautchablais.fr/contact</t>
        </is>
      </c>
      <c r="P1037" s="4" t="inlineStr">
        <is>
          <t>https://lannuaire.service-public.gouv.fr/auvergne-rhone-alpes/haute-savoie/99cdc1cd-0b37-448c-a2a5-5d945403f219</t>
        </is>
      </c>
      <c r="Q1037" t="inlineStr">
        <is>
          <t>Annuaire Service-public.fr</t>
        </is>
      </c>
      <c r="R1037" t="inlineStr"/>
      <c r="S1037" t="inlineStr"/>
      <c r="T1037" t="inlineStr"/>
    </row>
    <row r="1038">
      <c r="A1038" t="inlineStr">
        <is>
          <t>CC du Pays Rochois</t>
        </is>
      </c>
      <c r="B1038" t="inlineStr">
        <is>
          <t>Communauté de communes</t>
        </is>
      </c>
      <c r="C1038" t="inlineStr">
        <is>
          <t>247400724</t>
        </is>
      </c>
      <c r="D1038" t="inlineStr">
        <is>
          <t>74</t>
        </is>
      </c>
      <c r="E1038" t="inlineStr">
        <is>
          <t>Haute-Savoie</t>
        </is>
      </c>
      <c r="F1038" t="inlineStr">
        <is>
          <t>Auvergne-Rhône-Alpes</t>
        </is>
      </c>
      <c r="G1038" s="3" t="n">
        <v>29529</v>
      </c>
      <c r="H1038" t="n">
        <v>9</v>
      </c>
      <c r="I1038" t="inlineStr">
        <is>
          <t>1 place d'Andrevetan, Maison de pays</t>
        </is>
      </c>
      <c r="J1038" t="inlineStr">
        <is>
          <t>74800</t>
        </is>
      </c>
      <c r="K1038" t="inlineStr">
        <is>
          <t>La Roche-sur-Foron</t>
        </is>
      </c>
      <c r="L1038" t="inlineStr">
        <is>
          <t>04 50 03 39 92</t>
        </is>
      </c>
      <c r="M1038" s="4" t="inlineStr">
        <is>
          <t>contact@ccpaysrochois.fr</t>
        </is>
      </c>
      <c r="N1038" s="4" t="inlineStr">
        <is>
          <t>https://www.ccpaysrochois.fr/</t>
        </is>
      </c>
      <c r="O1038" t="inlineStr"/>
      <c r="P1038" s="4" t="inlineStr">
        <is>
          <t>https://lannuaire.service-public.gouv.fr/auvergne-rhone-alpes/haute-savoie/e862780c-2ab0-414d-95af-dded43866f49</t>
        </is>
      </c>
      <c r="Q1038" t="inlineStr">
        <is>
          <t>Annuaire Service-public.fr</t>
        </is>
      </c>
      <c r="R1038" t="inlineStr"/>
      <c r="S1038" t="inlineStr"/>
      <c r="T1038" t="inlineStr"/>
    </row>
    <row r="1039">
      <c r="A1039" t="inlineStr">
        <is>
          <t>CC du Pays de Cruseilles</t>
        </is>
      </c>
      <c r="B1039" t="inlineStr">
        <is>
          <t>Communauté de communes</t>
        </is>
      </c>
      <c r="C1039" t="inlineStr">
        <is>
          <t>247400112</t>
        </is>
      </c>
      <c r="D1039" t="inlineStr">
        <is>
          <t>74</t>
        </is>
      </c>
      <c r="E1039" t="inlineStr">
        <is>
          <t>Haute-Savoie</t>
        </is>
      </c>
      <c r="F1039" t="inlineStr">
        <is>
          <t>Auvergne-Rhône-Alpes</t>
        </is>
      </c>
      <c r="G1039" s="3" t="n">
        <v>17208</v>
      </c>
      <c r="H1039" t="n">
        <v>13</v>
      </c>
      <c r="I1039" t="inlineStr">
        <is>
          <t>268 route du Suet</t>
        </is>
      </c>
      <c r="J1039" t="inlineStr">
        <is>
          <t>74350</t>
        </is>
      </c>
      <c r="K1039" t="inlineStr">
        <is>
          <t>Cruseilles</t>
        </is>
      </c>
      <c r="L1039" t="inlineStr">
        <is>
          <t>04 50 08 16 16</t>
        </is>
      </c>
      <c r="M1039" s="4" t="inlineStr">
        <is>
          <t>ccpc@ccpaysdecruseilles.org</t>
        </is>
      </c>
      <c r="N1039" s="4" t="inlineStr">
        <is>
          <t>https://ccpaysdecruseilles.org/</t>
        </is>
      </c>
      <c r="O1039" t="inlineStr"/>
      <c r="P1039" s="4" t="inlineStr">
        <is>
          <t>https://lannuaire.service-public.gouv.fr/auvergne-rhone-alpes/haute-savoie/7e1e27a8-7aa3-4854-aafd-83110d060052</t>
        </is>
      </c>
      <c r="Q1039" t="inlineStr">
        <is>
          <t>Annuaire Service-public.fr</t>
        </is>
      </c>
      <c r="R1039" t="inlineStr"/>
      <c r="S1039" t="inlineStr"/>
      <c r="T1039" t="inlineStr"/>
    </row>
    <row r="1040">
      <c r="A1040" t="inlineStr">
        <is>
          <t>Métropole du Grand Paris</t>
        </is>
      </c>
      <c r="B1040" t="inlineStr">
        <is>
          <t>Métropole</t>
        </is>
      </c>
      <c r="C1040" t="inlineStr">
        <is>
          <t>200054781</t>
        </is>
      </c>
      <c r="D1040" t="inlineStr">
        <is>
          <t>75, 91, 92, 93, 94, 95</t>
        </is>
      </c>
      <c r="E1040" t="inlineStr">
        <is>
          <t>Paris, Essonne, Hauts-de-Seine, Seine-Saint-Denis, Val-de-Marne, Val-d'Oise</t>
        </is>
      </c>
      <c r="F1040" t="inlineStr">
        <is>
          <t>Île-de-France</t>
        </is>
      </c>
      <c r="G1040" s="3" t="n">
        <v>7115576</v>
      </c>
      <c r="H1040" t="n">
        <v>130</v>
      </c>
      <c r="I1040" t="inlineStr">
        <is>
          <t>15-19 avenue Pierre-Mendès-France</t>
        </is>
      </c>
      <c r="J1040" t="inlineStr">
        <is>
          <t>75013</t>
        </is>
      </c>
      <c r="K1040" t="inlineStr">
        <is>
          <t>Paris</t>
        </is>
      </c>
      <c r="L1040" t="inlineStr">
        <is>
          <t>01 82 28 78 00</t>
        </is>
      </c>
      <c r="M1040" s="4" t="inlineStr">
        <is>
          <t>contact@metropolegrandparis.fr</t>
        </is>
      </c>
      <c r="N1040" s="4" t="inlineStr">
        <is>
          <t>https://www.metropolegrandparis.fr/fr</t>
        </is>
      </c>
      <c r="O1040" t="inlineStr"/>
      <c r="P1040" s="4" t="inlineStr">
        <is>
          <t>https://lannuaire.service-public.gouv.fr/ile-de-france/paris/cd6d613b-65e4-4392-932a-58e98aaaa933</t>
        </is>
      </c>
      <c r="Q1040" t="inlineStr">
        <is>
          <t>Annuaire Service-public.fr</t>
        </is>
      </c>
      <c r="R1040" t="inlineStr"/>
      <c r="S1040" t="inlineStr"/>
      <c r="T1040" t="inlineStr"/>
    </row>
    <row r="1041">
      <c r="A1041" t="inlineStr">
        <is>
          <t>CA Caux Seine Agglo</t>
        </is>
      </c>
      <c r="B1041" t="inlineStr">
        <is>
          <t>Communauté d’agglomération</t>
        </is>
      </c>
      <c r="C1041" t="inlineStr">
        <is>
          <t>200010700</t>
        </is>
      </c>
      <c r="D1041" t="inlineStr">
        <is>
          <t>76</t>
        </is>
      </c>
      <c r="E1041" t="inlineStr">
        <is>
          <t>Seine-Maritime</t>
        </is>
      </c>
      <c r="F1041" t="inlineStr">
        <is>
          <t>Normandie</t>
        </is>
      </c>
      <c r="G1041" s="3" t="n">
        <v>77968</v>
      </c>
      <c r="H1041" t="n">
        <v>50</v>
      </c>
      <c r="I1041" t="inlineStr">
        <is>
          <t>1 allée du Catillon</t>
        </is>
      </c>
      <c r="J1041" t="inlineStr">
        <is>
          <t>76170</t>
        </is>
      </c>
      <c r="K1041" t="inlineStr">
        <is>
          <t>Lillebonne</t>
        </is>
      </c>
      <c r="L1041" t="inlineStr">
        <is>
          <t>02 32 84 40 40</t>
        </is>
      </c>
      <c r="M1041" s="4" t="inlineStr">
        <is>
          <t>accueil@cauxseine.fr</t>
        </is>
      </c>
      <c r="N1041" s="4" t="inlineStr">
        <is>
          <t>https://www.cauxseine.fr/</t>
        </is>
      </c>
      <c r="O1041" s="4" t="inlineStr">
        <is>
          <t>https://www.cauxseine.fr/nous-contacter/</t>
        </is>
      </c>
      <c r="P1041" s="4" t="inlineStr">
        <is>
          <t>https://lannuaire.service-public.gouv.fr/normandie/seine-maritime/43afec30-2190-44fb-b0bc-1972de247156</t>
        </is>
      </c>
      <c r="Q1041" t="inlineStr">
        <is>
          <t>Annuaire Service-public.fr</t>
        </is>
      </c>
      <c r="R1041" t="inlineStr"/>
      <c r="S1041" t="inlineStr"/>
      <c r="T1041" t="inlineStr"/>
    </row>
    <row r="1042">
      <c r="A1042" t="inlineStr">
        <is>
          <t>CA Fécamp Caux Littoral Agglomération</t>
        </is>
      </c>
      <c r="B1042" t="inlineStr">
        <is>
          <t>Communauté d’agglomération</t>
        </is>
      </c>
      <c r="C1042" t="inlineStr">
        <is>
          <t>200069821</t>
        </is>
      </c>
      <c r="D1042" t="inlineStr">
        <is>
          <t>76</t>
        </is>
      </c>
      <c r="E1042" t="inlineStr">
        <is>
          <t>Seine-Maritime</t>
        </is>
      </c>
      <c r="F1042" t="inlineStr">
        <is>
          <t>Normandie</t>
        </is>
      </c>
      <c r="G1042" s="3" t="n">
        <v>38162</v>
      </c>
      <c r="H1042" t="n">
        <v>33</v>
      </c>
      <c r="I1042" t="inlineStr">
        <is>
          <t>825 route de Valmont</t>
        </is>
      </c>
      <c r="J1042" t="inlineStr">
        <is>
          <t>76400</t>
        </is>
      </c>
      <c r="K1042" t="inlineStr">
        <is>
          <t>Fécamp</t>
        </is>
      </c>
      <c r="L1042" t="inlineStr">
        <is>
          <t>02 35 10 48 48</t>
        </is>
      </c>
      <c r="M1042" s="4" t="inlineStr">
        <is>
          <t>contact@agglo-fecampcauxlittoral.fr</t>
        </is>
      </c>
      <c r="N1042" s="4" t="inlineStr">
        <is>
          <t>https://www.agglo-fecampcauxlittoral.fr/</t>
        </is>
      </c>
      <c r="O1042" s="4" t="inlineStr">
        <is>
          <t>https://www.agglo-fecampcauxlittoral.fr/nous-contacter/</t>
        </is>
      </c>
      <c r="P1042" s="4" t="inlineStr">
        <is>
          <t>https://lannuaire.service-public.gouv.fr/normandie/seine-maritime/e7581982-9224-4d32-993c-47d683135ff9</t>
        </is>
      </c>
      <c r="Q1042" t="inlineStr">
        <is>
          <t>Annuaire Service-public.fr</t>
        </is>
      </c>
      <c r="R1042" t="inlineStr"/>
      <c r="S1042" t="inlineStr"/>
      <c r="T1042" t="inlineStr"/>
    </row>
    <row r="1043">
      <c r="A1043" t="inlineStr">
        <is>
          <t>CA de la Région Dieppoise</t>
        </is>
      </c>
      <c r="B1043" t="inlineStr">
        <is>
          <t>Communauté d’agglomération</t>
        </is>
      </c>
      <c r="C1043" t="inlineStr">
        <is>
          <t>247600786</t>
        </is>
      </c>
      <c r="D1043" t="inlineStr">
        <is>
          <t>76</t>
        </is>
      </c>
      <c r="E1043" t="inlineStr">
        <is>
          <t>Seine-Maritime</t>
        </is>
      </c>
      <c r="F1043" t="inlineStr">
        <is>
          <t>Normandie</t>
        </is>
      </c>
      <c r="G1043" s="3" t="n">
        <v>46229</v>
      </c>
      <c r="H1043" t="n">
        <v>16</v>
      </c>
      <c r="I1043" t="inlineStr">
        <is>
          <t>4 boulevard du Général-de-Gaulle</t>
        </is>
      </c>
      <c r="J1043" t="inlineStr">
        <is>
          <t>76200</t>
        </is>
      </c>
      <c r="K1043" t="inlineStr">
        <is>
          <t>Dieppe</t>
        </is>
      </c>
      <c r="L1043" t="inlineStr">
        <is>
          <t>02 32 90 20 25</t>
        </is>
      </c>
      <c r="M1043" s="4" t="inlineStr">
        <is>
          <t>contact@agglodieppe-maritime.com</t>
        </is>
      </c>
      <c r="N1043" s="4" t="inlineStr">
        <is>
          <t>http://www.agglodieppe-maritime.com</t>
        </is>
      </c>
      <c r="O1043" t="inlineStr"/>
      <c r="P1043" s="4" t="inlineStr">
        <is>
          <t>https://lannuaire.service-public.gouv.fr/normandie/seine-maritime/0a48d46c-64ee-4c14-a15d-0cdfce4cdfe6</t>
        </is>
      </c>
      <c r="Q1043" t="inlineStr">
        <is>
          <t>Annuaire Service-public.fr</t>
        </is>
      </c>
      <c r="R1043" t="inlineStr"/>
      <c r="S1043" t="inlineStr"/>
      <c r="T1043" t="inlineStr"/>
    </row>
    <row r="1044">
      <c r="A1044" t="inlineStr">
        <is>
          <t>CC Bray-Eawy</t>
        </is>
      </c>
      <c r="B1044" t="inlineStr">
        <is>
          <t>Communauté de communes</t>
        </is>
      </c>
      <c r="C1044" t="inlineStr">
        <is>
          <t>200070068</t>
        </is>
      </c>
      <c r="D1044" t="inlineStr">
        <is>
          <t>76</t>
        </is>
      </c>
      <c r="E1044" t="inlineStr">
        <is>
          <t>Seine-Maritime</t>
        </is>
      </c>
      <c r="F1044" t="inlineStr">
        <is>
          <t>Normandie</t>
        </is>
      </c>
      <c r="G1044" s="3" t="n">
        <v>24882</v>
      </c>
      <c r="H1044" t="n">
        <v>46</v>
      </c>
      <c r="I1044" t="inlineStr">
        <is>
          <t>7 rue du Pot-d'Étain</t>
        </is>
      </c>
      <c r="J1044" t="inlineStr">
        <is>
          <t>76270</t>
        </is>
      </c>
      <c r="K1044" t="inlineStr">
        <is>
          <t>Neufchâtel-en-Bray</t>
        </is>
      </c>
      <c r="L1044" t="inlineStr">
        <is>
          <t>02 32 97 45 65</t>
        </is>
      </c>
      <c r="M1044" s="4" t="inlineStr">
        <is>
          <t>contact@brayeawy.fr</t>
        </is>
      </c>
      <c r="N1044" s="4" t="inlineStr">
        <is>
          <t>https://brayeawy.fr/</t>
        </is>
      </c>
      <c r="O1044" s="4" t="inlineStr">
        <is>
          <t>https://brayeawy.fr/contact-acces-bray-eawy/</t>
        </is>
      </c>
      <c r="P1044" s="4" t="inlineStr">
        <is>
          <t>https://lannuaire.service-public.gouv.fr/normandie/seine-maritime/4619bbff-9f96-41cd-a903-14d82e816eb3</t>
        </is>
      </c>
      <c r="Q1044" t="inlineStr">
        <is>
          <t>Annuaire Service-public.fr</t>
        </is>
      </c>
      <c r="R1044" t="inlineStr"/>
      <c r="S1044" t="inlineStr"/>
      <c r="T1044" t="inlineStr"/>
    </row>
    <row r="1045">
      <c r="A1045" t="inlineStr">
        <is>
          <t>CC Campagne-de-Caux</t>
        </is>
      </c>
      <c r="B1045" t="inlineStr">
        <is>
          <t>Communauté de communes</t>
        </is>
      </c>
      <c r="C1045" t="inlineStr">
        <is>
          <t>247600505</t>
        </is>
      </c>
      <c r="D1045" t="inlineStr">
        <is>
          <t>76</t>
        </is>
      </c>
      <c r="E1045" t="inlineStr">
        <is>
          <t>Seine-Maritime</t>
        </is>
      </c>
      <c r="F1045" t="inlineStr">
        <is>
          <t>Normandie</t>
        </is>
      </c>
      <c r="G1045" s="3" t="n">
        <v>15021</v>
      </c>
      <c r="H1045" t="n">
        <v>22</v>
      </c>
      <c r="I1045" t="inlineStr">
        <is>
          <t>52 impasse du Lin</t>
        </is>
      </c>
      <c r="J1045" t="inlineStr">
        <is>
          <t>76110</t>
        </is>
      </c>
      <c r="K1045" t="inlineStr">
        <is>
          <t>Goderville</t>
        </is>
      </c>
      <c r="L1045" t="inlineStr">
        <is>
          <t>02 35 29 65 85</t>
        </is>
      </c>
      <c r="M1045" s="4" t="inlineStr">
        <is>
          <t>accueil@campagne-de-caux.fr</t>
        </is>
      </c>
      <c r="N1045" s="4" t="inlineStr">
        <is>
          <t>https://www.campagne-de-caux.fr/</t>
        </is>
      </c>
      <c r="O1045" s="4" t="inlineStr">
        <is>
          <t>https://www.campagne-de-caux.fr/la-communaute-de-communes/infos-pratiques/nous-contacter/</t>
        </is>
      </c>
      <c r="P1045" s="4" t="inlineStr">
        <is>
          <t>https://lannuaire.service-public.gouv.fr/normandie/seine-maritime/fff00d09-d41e-4ad6-aee2-c9cddfae36a1</t>
        </is>
      </c>
      <c r="Q1045" t="inlineStr">
        <is>
          <t>Annuaire Service-public.fr</t>
        </is>
      </c>
      <c r="R1045" t="inlineStr"/>
      <c r="S1045" t="inlineStr"/>
      <c r="T1045" t="inlineStr"/>
    </row>
    <row r="1046">
      <c r="A1046" t="inlineStr">
        <is>
          <t>CC Caux - Austreberthe</t>
        </is>
      </c>
      <c r="B1046" t="inlineStr">
        <is>
          <t>Communauté de communes</t>
        </is>
      </c>
      <c r="C1046" t="inlineStr">
        <is>
          <t>247600646</t>
        </is>
      </c>
      <c r="D1046" t="inlineStr">
        <is>
          <t>76</t>
        </is>
      </c>
      <c r="E1046" t="inlineStr">
        <is>
          <t>Seine-Maritime</t>
        </is>
      </c>
      <c r="F1046" t="inlineStr">
        <is>
          <t>Normandie</t>
        </is>
      </c>
      <c r="G1046" s="3" t="n">
        <v>25137</v>
      </c>
      <c r="H1046" t="n">
        <v>9</v>
      </c>
      <c r="I1046" t="inlineStr">
        <is>
          <t>103 Allée des Vergers</t>
        </is>
      </c>
      <c r="J1046" t="inlineStr">
        <is>
          <t>76360</t>
        </is>
      </c>
      <c r="K1046" t="inlineStr">
        <is>
          <t>Barentin</t>
        </is>
      </c>
      <c r="L1046" t="inlineStr">
        <is>
          <t>02 32 94 92 15</t>
        </is>
      </c>
      <c r="M1046" s="4" t="inlineStr">
        <is>
          <t>accueil@cc-caux-austreberthe.fr</t>
        </is>
      </c>
      <c r="N1046" s="4" t="inlineStr">
        <is>
          <t>https://www.caux-austreberthe.fr/</t>
        </is>
      </c>
      <c r="O1046" t="inlineStr"/>
      <c r="P1046" s="4" t="inlineStr">
        <is>
          <t>https://lannuaire.service-public.gouv.fr/normandie/seine-maritime/6a3f7687-fb64-4594-8159-6d515d607ac6</t>
        </is>
      </c>
      <c r="Q1046" t="inlineStr">
        <is>
          <t>Annuaire Service-public.fr</t>
        </is>
      </c>
      <c r="R1046" t="inlineStr"/>
      <c r="S1046" t="inlineStr"/>
      <c r="T1046" t="inlineStr"/>
    </row>
    <row r="1047">
      <c r="A1047" t="inlineStr">
        <is>
          <t>CC Falaises du Talou</t>
        </is>
      </c>
      <c r="B1047" t="inlineStr">
        <is>
          <t>Communauté de communes</t>
        </is>
      </c>
      <c r="C1047" t="inlineStr">
        <is>
          <t>247600729</t>
        </is>
      </c>
      <c r="D1047" t="inlineStr">
        <is>
          <t>76</t>
        </is>
      </c>
      <c r="E1047" t="inlineStr">
        <is>
          <t>Seine-Maritime</t>
        </is>
      </c>
      <c r="F1047" t="inlineStr">
        <is>
          <t>Normandie</t>
        </is>
      </c>
      <c r="G1047" s="3" t="n">
        <v>23553</v>
      </c>
      <c r="H1047" t="n">
        <v>24</v>
      </c>
      <c r="I1047" t="inlineStr">
        <is>
          <t>46 bis rue du Général-de-Gaulle</t>
        </is>
      </c>
      <c r="J1047" t="inlineStr">
        <is>
          <t>76630</t>
        </is>
      </c>
      <c r="K1047" t="inlineStr">
        <is>
          <t>Envermeu</t>
        </is>
      </c>
      <c r="L1047" t="inlineStr">
        <is>
          <t>02 35 04 85 10</t>
        </is>
      </c>
      <c r="M1047" s="4" t="inlineStr">
        <is>
          <t>contact@falaisesdutalou.fr</t>
        </is>
      </c>
      <c r="N1047" s="4" t="inlineStr">
        <is>
          <t>https://www.falaisesdutalou.fr/</t>
        </is>
      </c>
      <c r="O1047" s="4" t="inlineStr">
        <is>
          <t>https://www.falaisesdutalou.fr/nous-contacter</t>
        </is>
      </c>
      <c r="P1047" s="4" t="inlineStr">
        <is>
          <t>https://lannuaire.service-public.gouv.fr/normandie/seine-maritime/beed9173-8998-4c08-8fed-5655c1ac1b33</t>
        </is>
      </c>
      <c r="Q1047" t="inlineStr">
        <is>
          <t>Annuaire Service-public.fr</t>
        </is>
      </c>
      <c r="R1047" t="inlineStr"/>
      <c r="S1047" t="inlineStr"/>
      <c r="T1047" t="inlineStr"/>
    </row>
    <row r="1048">
      <c r="A1048" t="inlineStr">
        <is>
          <t>CC Inter-Caux-Vexin</t>
        </is>
      </c>
      <c r="B1048" t="inlineStr">
        <is>
          <t>Communauté de communes</t>
        </is>
      </c>
      <c r="C1048" t="inlineStr">
        <is>
          <t>200070449</t>
        </is>
      </c>
      <c r="D1048" t="inlineStr">
        <is>
          <t>76</t>
        </is>
      </c>
      <c r="E1048" t="inlineStr">
        <is>
          <t>Seine-Maritime</t>
        </is>
      </c>
      <c r="F1048" t="inlineStr">
        <is>
          <t>Normandie</t>
        </is>
      </c>
      <c r="G1048" s="3" t="n">
        <v>55948</v>
      </c>
      <c r="H1048" t="n">
        <v>64</v>
      </c>
      <c r="I1048" t="inlineStr">
        <is>
          <t>252 route de Rouen</t>
        </is>
      </c>
      <c r="J1048" t="inlineStr">
        <is>
          <t>76750</t>
        </is>
      </c>
      <c r="K1048" t="inlineStr">
        <is>
          <t>Buchy</t>
        </is>
      </c>
      <c r="L1048" t="inlineStr">
        <is>
          <t>02 35 34 73 74</t>
        </is>
      </c>
      <c r="M1048" s="4" t="inlineStr">
        <is>
          <t>contact@intercauxvexin.fr</t>
        </is>
      </c>
      <c r="N1048" s="4" t="inlineStr">
        <is>
          <t>https://www.intercauxvexin.fr/fr/</t>
        </is>
      </c>
      <c r="O1048" s="4" t="inlineStr">
        <is>
          <t>https://www.intercauxvexin.fr/fr/contact</t>
        </is>
      </c>
      <c r="P1048" s="4" t="inlineStr">
        <is>
          <t>https://lannuaire.service-public.gouv.fr/normandie/seine-maritime/23754a28-37bd-418f-9933-2a6a3c1e2a1d</t>
        </is>
      </c>
      <c r="Q1048" t="inlineStr">
        <is>
          <t>Annuaire Service-public.fr</t>
        </is>
      </c>
      <c r="R1048" t="inlineStr"/>
      <c r="S1048" t="inlineStr"/>
      <c r="T1048" t="inlineStr"/>
    </row>
    <row r="1049">
      <c r="A1049" t="inlineStr">
        <is>
          <t>CC Plateau de Caux</t>
        </is>
      </c>
      <c r="B1049" t="inlineStr">
        <is>
          <t>Communauté de communes</t>
        </is>
      </c>
      <c r="C1049" t="inlineStr">
        <is>
          <t>200069847</t>
        </is>
      </c>
      <c r="D1049" t="inlineStr">
        <is>
          <t>76</t>
        </is>
      </c>
      <c r="E1049" t="inlineStr">
        <is>
          <t>Seine-Maritime</t>
        </is>
      </c>
      <c r="F1049" t="inlineStr">
        <is>
          <t>Normandie</t>
        </is>
      </c>
      <c r="G1049" s="3" t="n">
        <v>21314</v>
      </c>
      <c r="H1049" t="n">
        <v>40</v>
      </c>
      <c r="I1049" t="inlineStr">
        <is>
          <t>2 place du Général-de-Gaulle</t>
        </is>
      </c>
      <c r="J1049" t="inlineStr">
        <is>
          <t>76560</t>
        </is>
      </c>
      <c r="K1049" t="inlineStr">
        <is>
          <t>Doudeville</t>
        </is>
      </c>
      <c r="L1049" t="inlineStr">
        <is>
          <t>02 35 95 07 25</t>
        </is>
      </c>
      <c r="M1049" s="4" t="inlineStr">
        <is>
          <t>contact@plateaudecaux.fr</t>
        </is>
      </c>
      <c r="N1049" s="4" t="inlineStr">
        <is>
          <t>https://www.plateaudecaux.fr/</t>
        </is>
      </c>
      <c r="O1049" s="4" t="inlineStr">
        <is>
          <t>https://www.plateaudecaux.fr/contact/</t>
        </is>
      </c>
      <c r="P1049" s="4" t="inlineStr">
        <is>
          <t>https://lannuaire.service-public.gouv.fr/normandie/seine-maritime/f3dfe825-a2c8-4e7a-807f-660f074667d2</t>
        </is>
      </c>
      <c r="Q1049" t="inlineStr">
        <is>
          <t>Annuaire Service-public.fr</t>
        </is>
      </c>
      <c r="R1049" t="inlineStr"/>
      <c r="S1049" t="inlineStr"/>
      <c r="T1049" t="inlineStr"/>
    </row>
    <row r="1050">
      <c r="A1050" t="inlineStr">
        <is>
          <t>CC Terroir de Caux</t>
        </is>
      </c>
      <c r="B1050" t="inlineStr">
        <is>
          <t>Communauté de communes</t>
        </is>
      </c>
      <c r="C1050" t="inlineStr">
        <is>
          <t>200068534</t>
        </is>
      </c>
      <c r="D1050" t="inlineStr">
        <is>
          <t>76</t>
        </is>
      </c>
      <c r="E1050" t="inlineStr">
        <is>
          <t>Seine-Maritime</t>
        </is>
      </c>
      <c r="F1050" t="inlineStr">
        <is>
          <t>Normandie</t>
        </is>
      </c>
      <c r="G1050" s="3" t="n">
        <v>37763</v>
      </c>
      <c r="H1050" t="n">
        <v>79</v>
      </c>
      <c r="I1050" t="inlineStr">
        <is>
          <t>11 route de Dieppe</t>
        </is>
      </c>
      <c r="J1050" t="inlineStr">
        <is>
          <t>76730</t>
        </is>
      </c>
      <c r="K1050" t="inlineStr">
        <is>
          <t>Bacqueville-en-Caux</t>
        </is>
      </c>
      <c r="L1050" t="inlineStr">
        <is>
          <t>02 35 85 46 69</t>
        </is>
      </c>
      <c r="M1050" s="4" t="inlineStr">
        <is>
          <t>contact@terroirdecaux.net</t>
        </is>
      </c>
      <c r="N1050" s="4" t="inlineStr">
        <is>
          <t>https://www.terroirdecaux.fr/</t>
        </is>
      </c>
      <c r="O1050" t="inlineStr"/>
      <c r="P1050" s="4" t="inlineStr">
        <is>
          <t>https://lannuaire.service-public.gouv.fr/normandie/seine-maritime/7aada417-f11e-4ff5-9c05-41ea70a0fc3d</t>
        </is>
      </c>
      <c r="Q1050" t="inlineStr">
        <is>
          <t>Annuaire Service-public.fr</t>
        </is>
      </c>
      <c r="R1050" t="inlineStr"/>
      <c r="S1050" t="inlineStr"/>
      <c r="T1050" t="inlineStr"/>
    </row>
    <row r="1051">
      <c r="A1051" t="inlineStr">
        <is>
          <t>CC Yvetot Normandie</t>
        </is>
      </c>
      <c r="B1051" t="inlineStr">
        <is>
          <t>Communauté de communes</t>
        </is>
      </c>
      <c r="C1051" t="inlineStr">
        <is>
          <t>247600620</t>
        </is>
      </c>
      <c r="D1051" t="inlineStr">
        <is>
          <t>76</t>
        </is>
      </c>
      <c r="E1051" t="inlineStr">
        <is>
          <t>Seine-Maritime</t>
        </is>
      </c>
      <c r="F1051" t="inlineStr">
        <is>
          <t>Normandie</t>
        </is>
      </c>
      <c r="G1051" s="3" t="n">
        <v>26348</v>
      </c>
      <c r="H1051" t="n">
        <v>19</v>
      </c>
      <c r="I1051" t="inlineStr">
        <is>
          <t>4 rue de la Brême</t>
        </is>
      </c>
      <c r="J1051" t="inlineStr">
        <is>
          <t>76193</t>
        </is>
      </c>
      <c r="K1051" t="inlineStr">
        <is>
          <t>Yvetot</t>
        </is>
      </c>
      <c r="L1051" t="inlineStr">
        <is>
          <t>02 35 56 14 14</t>
        </is>
      </c>
      <c r="M1051" s="4" t="inlineStr">
        <is>
          <t>contact@yvetot-normandie.fr</t>
        </is>
      </c>
      <c r="N1051" s="4" t="inlineStr">
        <is>
          <t>https://www.yvetot-normandie.fr/</t>
        </is>
      </c>
      <c r="O1051" s="4" t="inlineStr">
        <is>
          <t>https://www.yvetot-normandie.fr/contact/</t>
        </is>
      </c>
      <c r="P1051" s="4" t="inlineStr">
        <is>
          <t>https://lannuaire.service-public.gouv.fr/normandie/seine-maritime/2c0b4ee4-14ea-4a04-9bda-f4af0ba5b766</t>
        </is>
      </c>
      <c r="Q1051" t="inlineStr">
        <is>
          <t>Annuaire Service-public.fr</t>
        </is>
      </c>
      <c r="R1051" t="inlineStr"/>
      <c r="S1051" t="inlineStr"/>
      <c r="T1051" t="inlineStr"/>
    </row>
    <row r="1052">
      <c r="A1052" t="inlineStr">
        <is>
          <t>CC de Londinières</t>
        </is>
      </c>
      <c r="B1052" t="inlineStr">
        <is>
          <t>Communauté de communes</t>
        </is>
      </c>
      <c r="C1052" t="inlineStr">
        <is>
          <t>247600604</t>
        </is>
      </c>
      <c r="D1052" t="inlineStr">
        <is>
          <t>76</t>
        </is>
      </c>
      <c r="E1052" t="inlineStr">
        <is>
          <t>Seine-Maritime</t>
        </is>
      </c>
      <c r="F1052" t="inlineStr">
        <is>
          <t>Normandie</t>
        </is>
      </c>
      <c r="G1052" s="3" t="n">
        <v>5192</v>
      </c>
      <c r="H1052" t="n">
        <v>16</v>
      </c>
      <c r="I1052" t="inlineStr">
        <is>
          <t>9 rue des Granges</t>
        </is>
      </c>
      <c r="J1052" t="inlineStr">
        <is>
          <t>76660</t>
        </is>
      </c>
      <c r="K1052" t="inlineStr">
        <is>
          <t>Londinières</t>
        </is>
      </c>
      <c r="L1052" t="inlineStr">
        <is>
          <t>02 35 17 04 71</t>
        </is>
      </c>
      <c r="M1052" s="4" t="inlineStr">
        <is>
          <t>secretariat@comcom-londinieres.fr;ccl1@orange.fr</t>
        </is>
      </c>
      <c r="N1052" s="4" t="inlineStr">
        <is>
          <t>https://www.comcom-londinieres.fr/</t>
        </is>
      </c>
      <c r="O1052" s="4" t="inlineStr">
        <is>
          <t>https://www.comcom-londinieres.fr/contact/</t>
        </is>
      </c>
      <c r="P1052" s="4" t="inlineStr">
        <is>
          <t>https://lannuaire.service-public.gouv.fr/normandie/seine-maritime/1b43fa41-5a07-41cd-a4be-eb2a1a8c3c31</t>
        </is>
      </c>
      <c r="Q1052" t="inlineStr">
        <is>
          <t>Annuaire Service-public.fr</t>
        </is>
      </c>
      <c r="R1052" t="inlineStr"/>
      <c r="S1052" t="inlineStr"/>
      <c r="T1052" t="inlineStr"/>
    </row>
    <row r="1053">
      <c r="A1053" t="inlineStr">
        <is>
          <t>CC de la Côte d'Albâtre</t>
        </is>
      </c>
      <c r="B1053" t="inlineStr">
        <is>
          <t>Communauté de communes</t>
        </is>
      </c>
      <c r="C1053" t="inlineStr">
        <is>
          <t>200069839</t>
        </is>
      </c>
      <c r="D1053" t="inlineStr">
        <is>
          <t>76</t>
        </is>
      </c>
      <c r="E1053" t="inlineStr">
        <is>
          <t>Seine-Maritime</t>
        </is>
      </c>
      <c r="F1053" t="inlineStr">
        <is>
          <t>Normandie</t>
        </is>
      </c>
      <c r="G1053" s="3" t="n">
        <v>27520</v>
      </c>
      <c r="H1053" t="n">
        <v>63</v>
      </c>
      <c r="I1053" t="inlineStr">
        <is>
          <t>48 bis route de Veulettes</t>
        </is>
      </c>
      <c r="J1053" t="inlineStr">
        <is>
          <t>76450</t>
        </is>
      </c>
      <c r="K1053" t="inlineStr">
        <is>
          <t>Cany-Barville</t>
        </is>
      </c>
      <c r="L1053" t="inlineStr">
        <is>
          <t>02 35 57 85 00</t>
        </is>
      </c>
      <c r="M1053" s="4" t="inlineStr">
        <is>
          <t>email@cote-albatre.com</t>
        </is>
      </c>
      <c r="N1053" s="4" t="inlineStr">
        <is>
          <t>https://cote-albatre.fr/</t>
        </is>
      </c>
      <c r="O1053" s="4" t="inlineStr">
        <is>
          <t>https://cote-albatre.fr/</t>
        </is>
      </c>
      <c r="P1053" s="4" t="inlineStr">
        <is>
          <t>https://lannuaire.service-public.gouv.fr/normandie/seine-maritime/dc830fb1-f735-460b-8d10-3a2f3c00c543</t>
        </is>
      </c>
      <c r="Q1053" t="inlineStr">
        <is>
          <t>Annuaire Service-public.fr</t>
        </is>
      </c>
      <c r="R1053" t="inlineStr"/>
      <c r="S1053" t="inlineStr"/>
      <c r="T1053" t="inlineStr"/>
    </row>
    <row r="1054">
      <c r="A1054" t="inlineStr">
        <is>
          <t>CU Le Havre Seine Métropole</t>
        </is>
      </c>
      <c r="B1054" t="inlineStr">
        <is>
          <t>Communauté urbaine</t>
        </is>
      </c>
      <c r="C1054" t="inlineStr">
        <is>
          <t>200084952</t>
        </is>
      </c>
      <c r="D1054" t="inlineStr">
        <is>
          <t>76</t>
        </is>
      </c>
      <c r="E1054" t="inlineStr">
        <is>
          <t>Seine-Maritime</t>
        </is>
      </c>
      <c r="F1054" t="inlineStr">
        <is>
          <t>Normandie</t>
        </is>
      </c>
      <c r="G1054" s="3" t="n">
        <v>266929</v>
      </c>
      <c r="H1054" t="n">
        <v>54</v>
      </c>
      <c r="I1054" t="inlineStr">
        <is>
          <t>19 rue Georges-Braque, Hôtel de la Communauté, CS 70854</t>
        </is>
      </c>
      <c r="J1054" t="inlineStr">
        <is>
          <t>76085</t>
        </is>
      </c>
      <c r="K1054" t="inlineStr">
        <is>
          <t>Le Havre Cedex</t>
        </is>
      </c>
      <c r="L1054" t="inlineStr">
        <is>
          <t>02 35 22 25 25</t>
        </is>
      </c>
      <c r="M1054" t="inlineStr"/>
      <c r="N1054" s="4" t="inlineStr">
        <is>
          <t>https://www.lehavreseinemetropole.fr/</t>
        </is>
      </c>
      <c r="O1054" s="4" t="inlineStr">
        <is>
          <t>https://formulaires.mesdemarches.lehavreseinemetropole.fr/contactez-nous/formulaire-de-contact-import/</t>
        </is>
      </c>
      <c r="P1054" s="4" t="inlineStr">
        <is>
          <t>https://lannuaire.service-public.gouv.fr/normandie/seine-maritime/15ae2e5a-dce1-4835-96c5-d9099d677f64</t>
        </is>
      </c>
      <c r="Q1054" t="inlineStr">
        <is>
          <t>Annuaire Service-public.fr</t>
        </is>
      </c>
      <c r="R1054" t="inlineStr"/>
      <c r="S1054" t="inlineStr"/>
      <c r="T1054" t="inlineStr"/>
    </row>
    <row r="1055">
      <c r="A1055" t="inlineStr">
        <is>
          <t>Métropole Rouen Normandie</t>
        </is>
      </c>
      <c r="B1055" t="inlineStr">
        <is>
          <t>Métropole</t>
        </is>
      </c>
      <c r="C1055" t="inlineStr">
        <is>
          <t>200023414</t>
        </is>
      </c>
      <c r="D1055" t="inlineStr">
        <is>
          <t>76</t>
        </is>
      </c>
      <c r="E1055" t="inlineStr">
        <is>
          <t>Seine-Maritime</t>
        </is>
      </c>
      <c r="F1055" t="inlineStr">
        <is>
          <t>Normandie</t>
        </is>
      </c>
      <c r="G1055" s="3" t="n">
        <v>500703</v>
      </c>
      <c r="H1055" t="n">
        <v>71</v>
      </c>
      <c r="I1055" t="inlineStr">
        <is>
          <t>108 allée François-Mitterrand</t>
        </is>
      </c>
      <c r="J1055" t="inlineStr">
        <is>
          <t>76000</t>
        </is>
      </c>
      <c r="K1055" t="inlineStr">
        <is>
          <t>Rouen</t>
        </is>
      </c>
      <c r="L1055" t="inlineStr">
        <is>
          <t>0 800 021 021</t>
        </is>
      </c>
      <c r="M1055" s="4" t="inlineStr">
        <is>
          <t>contact@metropole-rouen-normandie.fr</t>
        </is>
      </c>
      <c r="N1055" s="4" t="inlineStr">
        <is>
          <t>https://www.metropole-rouen-normandie.fr/</t>
        </is>
      </c>
      <c r="O1055" s="4" t="inlineStr">
        <is>
          <t>https://mrn.metropole-rouen-normandie.fr/ma-metropole</t>
        </is>
      </c>
      <c r="P1055" s="4" t="inlineStr">
        <is>
          <t>https://lannuaire.service-public.gouv.fr/normandie/seine-maritime/c5883058-7a68-4314-98fb-0d07ddee2349</t>
        </is>
      </c>
      <c r="Q1055" t="inlineStr">
        <is>
          <t>Annuaire Service-public.fr</t>
        </is>
      </c>
      <c r="R1055" t="inlineStr"/>
      <c r="S1055" t="inlineStr"/>
      <c r="T1055" t="inlineStr"/>
    </row>
    <row r="1056">
      <c r="A1056" t="inlineStr">
        <is>
          <t>CC Interrégionale Aumale - Blangy-sur-Bresle</t>
        </is>
      </c>
      <c r="B1056" t="inlineStr">
        <is>
          <t>Communauté de communes</t>
        </is>
      </c>
      <c r="C1056" t="inlineStr">
        <is>
          <t>200069722</t>
        </is>
      </c>
      <c r="D1056" t="inlineStr">
        <is>
          <t>76, 80</t>
        </is>
      </c>
      <c r="E1056" t="inlineStr">
        <is>
          <t>Seine-Maritime, Somme</t>
        </is>
      </c>
      <c r="F1056" t="inlineStr">
        <is>
          <t>Normandie, Hauts-de-France</t>
        </is>
      </c>
      <c r="G1056" s="3" t="n">
        <v>21244</v>
      </c>
      <c r="H1056" t="n">
        <v>44</v>
      </c>
      <c r="I1056" t="inlineStr">
        <is>
          <t>20 rue de Barbentane</t>
        </is>
      </c>
      <c r="J1056" t="inlineStr">
        <is>
          <t>76340</t>
        </is>
      </c>
      <c r="K1056" t="inlineStr">
        <is>
          <t>Blangy-sur-Bresle</t>
        </is>
      </c>
      <c r="L1056" t="inlineStr">
        <is>
          <t>02 35 94 02 76</t>
        </is>
      </c>
      <c r="M1056" s="4" t="inlineStr">
        <is>
          <t>contact@cciabb.fr</t>
        </is>
      </c>
      <c r="N1056" s="4" t="inlineStr">
        <is>
          <t>https://www.cc-aumale-blangy.fr/</t>
        </is>
      </c>
      <c r="O1056" s="4" t="inlineStr">
        <is>
          <t>https://www.cc-aumale-blangy.fr/informations-pratiques/nous-contacter/</t>
        </is>
      </c>
      <c r="P1056" s="4" t="inlineStr">
        <is>
          <t>https://lannuaire.service-public.gouv.fr/normandie/seine-maritime/2d529986-cd37-487d-bab7-7d923ba64df4</t>
        </is>
      </c>
      <c r="Q1056" t="inlineStr">
        <is>
          <t>Annuaire Service-public.fr</t>
        </is>
      </c>
      <c r="R1056" t="inlineStr"/>
      <c r="S1056" t="inlineStr"/>
      <c r="T1056" t="inlineStr"/>
    </row>
    <row r="1057">
      <c r="A1057" t="inlineStr">
        <is>
          <t>CC des Villes Soeurs</t>
        </is>
      </c>
      <c r="B1057" t="inlineStr">
        <is>
          <t>Communauté de communes</t>
        </is>
      </c>
      <c r="C1057" t="inlineStr">
        <is>
          <t>247600588</t>
        </is>
      </c>
      <c r="D1057" t="inlineStr">
        <is>
          <t>76, 80</t>
        </is>
      </c>
      <c r="E1057" t="inlineStr">
        <is>
          <t>Seine-Maritime, Somme</t>
        </is>
      </c>
      <c r="F1057" t="inlineStr">
        <is>
          <t>Normandie, Hauts-de-France</t>
        </is>
      </c>
      <c r="G1057" s="3" t="n">
        <v>35612</v>
      </c>
      <c r="H1057" t="n">
        <v>28</v>
      </c>
      <c r="I1057" t="inlineStr">
        <is>
          <t>12 avenue Jacques-Anquetil</t>
        </is>
      </c>
      <c r="J1057" t="inlineStr">
        <is>
          <t>76260</t>
        </is>
      </c>
      <c r="K1057" t="inlineStr">
        <is>
          <t>Eu</t>
        </is>
      </c>
      <c r="L1057" t="inlineStr">
        <is>
          <t>02 27 28 20 87</t>
        </is>
      </c>
      <c r="M1057" s="4" t="inlineStr">
        <is>
          <t>contact@villes-soeurs.fr</t>
        </is>
      </c>
      <c r="N1057" s="4" t="inlineStr">
        <is>
          <t>https://www.villes-soeurs.fr/</t>
        </is>
      </c>
      <c r="O1057" s="4" t="inlineStr">
        <is>
          <t>https://www.villes-soeurs.fr/contact/</t>
        </is>
      </c>
      <c r="P1057" s="4" t="inlineStr">
        <is>
          <t>https://lannuaire.service-public.gouv.fr/normandie/seine-maritime/fd113f0e-6599-4b86-a787-fb80f53e8776</t>
        </is>
      </c>
      <c r="Q1057" t="inlineStr">
        <is>
          <t>Annuaire Service-public.fr</t>
        </is>
      </c>
      <c r="R1057" t="inlineStr"/>
      <c r="S1057" t="inlineStr"/>
      <c r="T1057" t="inlineStr"/>
    </row>
    <row r="1058">
      <c r="A1058" t="inlineStr">
        <is>
          <t>CA Coulommiers Pays de Brie</t>
        </is>
      </c>
      <c r="B1058" t="inlineStr">
        <is>
          <t>Communauté d’agglomération</t>
        </is>
      </c>
      <c r="C1058" t="inlineStr">
        <is>
          <t>200090504</t>
        </is>
      </c>
      <c r="D1058" t="inlineStr">
        <is>
          <t>77</t>
        </is>
      </c>
      <c r="E1058" t="inlineStr">
        <is>
          <t>Seine-et-Marne</t>
        </is>
      </c>
      <c r="F1058" t="inlineStr">
        <is>
          <t>Île-de-France</t>
        </is>
      </c>
      <c r="G1058" s="3" t="n">
        <v>95640</v>
      </c>
      <c r="H1058" t="n">
        <v>54</v>
      </c>
      <c r="I1058" t="inlineStr">
        <is>
          <t>13 rue du Général-de-Gaulle</t>
        </is>
      </c>
      <c r="J1058" t="inlineStr">
        <is>
          <t>77120</t>
        </is>
      </c>
      <c r="K1058" t="inlineStr">
        <is>
          <t>Coulommiers</t>
        </is>
      </c>
      <c r="L1058" t="inlineStr">
        <is>
          <t>01 64 75 38 90</t>
        </is>
      </c>
      <c r="M1058" s="4" t="inlineStr">
        <is>
          <t>accueil@coulommierspaysdebrie.fr</t>
        </is>
      </c>
      <c r="N1058" s="4" t="inlineStr">
        <is>
          <t>https://www.coulommierspaysdebrie.fr/</t>
        </is>
      </c>
      <c r="O1058" s="4" t="inlineStr">
        <is>
          <t>https://www.coulommierspaysdebrie.fr/contactez-nous/</t>
        </is>
      </c>
      <c r="P1058" s="4" t="inlineStr">
        <is>
          <t>https://lannuaire.service-public.gouv.fr/ile-de-france/seine-et-marne/3af84158-b16e-4a65-a3b3-384e547ed38f</t>
        </is>
      </c>
      <c r="Q1058" t="inlineStr">
        <is>
          <t>Annuaire Service-public.fr</t>
        </is>
      </c>
      <c r="R1058" t="inlineStr"/>
      <c r="S1058" t="inlineStr"/>
      <c r="T1058" t="inlineStr"/>
    </row>
    <row r="1059">
      <c r="A1059" t="inlineStr">
        <is>
          <t>CA Marne et Gondoire</t>
        </is>
      </c>
      <c r="B1059" t="inlineStr">
        <is>
          <t>Communauté d’agglomération</t>
        </is>
      </c>
      <c r="C1059" t="inlineStr">
        <is>
          <t>247700594</t>
        </is>
      </c>
      <c r="D1059" t="inlineStr">
        <is>
          <t>77</t>
        </is>
      </c>
      <c r="E1059" t="inlineStr">
        <is>
          <t>Seine-et-Marne</t>
        </is>
      </c>
      <c r="F1059" t="inlineStr">
        <is>
          <t>Île-de-France</t>
        </is>
      </c>
      <c r="G1059" s="3" t="n">
        <v>110064</v>
      </c>
      <c r="H1059" t="n">
        <v>20</v>
      </c>
      <c r="I1059" t="inlineStr">
        <is>
          <t>Domaine de Rentilly, 1 rue de l'Étang</t>
        </is>
      </c>
      <c r="J1059" t="inlineStr">
        <is>
          <t>77600</t>
        </is>
      </c>
      <c r="K1059" t="inlineStr">
        <is>
          <t>Bussy-Saint-Martin</t>
        </is>
      </c>
      <c r="L1059" t="inlineStr">
        <is>
          <t>01 60 35 43 50</t>
        </is>
      </c>
      <c r="M1059" s="4" t="inlineStr">
        <is>
          <t>accueil@marneetgondoire.fr</t>
        </is>
      </c>
      <c r="N1059" s="4" t="inlineStr">
        <is>
          <t>https://www.marneetgondoire.fr/</t>
        </is>
      </c>
      <c r="O1059" s="4" t="inlineStr">
        <is>
          <t>https://www.marneetgondoire.fr/nous-ecrire-9.html</t>
        </is>
      </c>
      <c r="P1059" s="4" t="inlineStr">
        <is>
          <t>https://lannuaire.service-public.gouv.fr/ile-de-france/seine-et-marne/d6316e54-b310-4104-9e23-85e9d31b1593</t>
        </is>
      </c>
      <c r="Q1059" t="inlineStr">
        <is>
          <t>Annuaire Service-public.fr</t>
        </is>
      </c>
      <c r="R1059" t="inlineStr"/>
      <c r="S1059" t="inlineStr"/>
      <c r="T1059" t="inlineStr"/>
    </row>
    <row r="1060">
      <c r="A1060" t="inlineStr">
        <is>
          <t>CA Melun Val de Seine</t>
        </is>
      </c>
      <c r="B1060" t="inlineStr">
        <is>
          <t>Communauté d’agglomération</t>
        </is>
      </c>
      <c r="C1060" t="inlineStr">
        <is>
          <t>247700057</t>
        </is>
      </c>
      <c r="D1060" t="inlineStr">
        <is>
          <t>77</t>
        </is>
      </c>
      <c r="E1060" t="inlineStr">
        <is>
          <t>Seine-et-Marne</t>
        </is>
      </c>
      <c r="F1060" t="inlineStr">
        <is>
          <t>Île-de-France</t>
        </is>
      </c>
      <c r="G1060" s="3" t="n">
        <v>139112</v>
      </c>
      <c r="H1060" t="n">
        <v>20</v>
      </c>
      <c r="I1060" t="inlineStr">
        <is>
          <t>297 rue Rousseau-Vaudran, CS 30187</t>
        </is>
      </c>
      <c r="J1060" t="inlineStr">
        <is>
          <t>77198</t>
        </is>
      </c>
      <c r="K1060" t="inlineStr">
        <is>
          <t>Dammarie-les-Lys</t>
        </is>
      </c>
      <c r="L1060" t="inlineStr">
        <is>
          <t>01 64 79 25 25</t>
        </is>
      </c>
      <c r="M1060" t="inlineStr"/>
      <c r="N1060" s="4" t="inlineStr">
        <is>
          <t>https://www.melunvaldeseine.fr/</t>
        </is>
      </c>
      <c r="O1060" s="4" t="inlineStr">
        <is>
          <t>https://www.melunvaldeseine.fr/informations-pratiques/contact</t>
        </is>
      </c>
      <c r="P1060" s="4" t="inlineStr">
        <is>
          <t>https://lannuaire.service-public.gouv.fr/ile-de-france/seine-et-marne/e470bd88-2b3e-423b-8978-d93935df66d2</t>
        </is>
      </c>
      <c r="Q1060" t="inlineStr">
        <is>
          <t>Annuaire Service-public.fr</t>
        </is>
      </c>
      <c r="R1060" t="inlineStr"/>
      <c r="S1060" t="inlineStr"/>
      <c r="T1060" t="inlineStr"/>
    </row>
    <row r="1061">
      <c r="A1061" t="inlineStr">
        <is>
          <t>CA Paris - Vallée de la Marne</t>
        </is>
      </c>
      <c r="B1061" t="inlineStr">
        <is>
          <t>Communauté d’agglomération</t>
        </is>
      </c>
      <c r="C1061" t="inlineStr">
        <is>
          <t>200057958</t>
        </is>
      </c>
      <c r="D1061" t="inlineStr">
        <is>
          <t>77</t>
        </is>
      </c>
      <c r="E1061" t="inlineStr">
        <is>
          <t>Seine-et-Marne</t>
        </is>
      </c>
      <c r="F1061" t="inlineStr">
        <is>
          <t>Île-de-France</t>
        </is>
      </c>
      <c r="G1061" s="3" t="n">
        <v>232536</v>
      </c>
      <c r="H1061" t="n">
        <v>12</v>
      </c>
      <c r="I1061" t="inlineStr">
        <is>
          <t>5 cours de l'Arche-Guédon</t>
        </is>
      </c>
      <c r="J1061" t="inlineStr">
        <is>
          <t>77207</t>
        </is>
      </c>
      <c r="K1061" t="inlineStr">
        <is>
          <t>Marne-la-Vallée</t>
        </is>
      </c>
      <c r="L1061" t="inlineStr">
        <is>
          <t>01 60 37 24 24</t>
        </is>
      </c>
      <c r="M1061" s="4" t="inlineStr">
        <is>
          <t>contact@agglo-pvm.fr</t>
        </is>
      </c>
      <c r="N1061" s="4" t="inlineStr">
        <is>
          <t>https://www.agglo-pvm.fr/</t>
        </is>
      </c>
      <c r="O1061" s="4" t="inlineStr">
        <is>
          <t>https://www.agglo-pvm.fr/informations-pratiques/contact</t>
        </is>
      </c>
      <c r="P1061" s="4" t="inlineStr">
        <is>
          <t>https://lannuaire.service-public.gouv.fr/ile-de-france/seine-et-marne/67d8ec99-6e9b-440b-aa5f-2fb5370b8e3c</t>
        </is>
      </c>
      <c r="Q1061" t="inlineStr">
        <is>
          <t>Annuaire Service-public.fr</t>
        </is>
      </c>
      <c r="R1061" t="inlineStr"/>
      <c r="S1061" t="inlineStr"/>
      <c r="T1061" t="inlineStr"/>
    </row>
    <row r="1062">
      <c r="A1062" t="inlineStr">
        <is>
          <t>CA Val d'Europe Agglomération</t>
        </is>
      </c>
      <c r="B1062" t="inlineStr">
        <is>
          <t>Communauté d’agglomération</t>
        </is>
      </c>
      <c r="C1062" t="inlineStr">
        <is>
          <t>247700339</t>
        </is>
      </c>
      <c r="D1062" t="inlineStr">
        <is>
          <t>77</t>
        </is>
      </c>
      <c r="E1062" t="inlineStr">
        <is>
          <t>Seine-et-Marne</t>
        </is>
      </c>
      <c r="F1062" t="inlineStr">
        <is>
          <t>Île-de-France</t>
        </is>
      </c>
      <c r="G1062" s="3" t="n">
        <v>53598</v>
      </c>
      <c r="H1062" t="n">
        <v>10</v>
      </c>
      <c r="I1062" t="inlineStr">
        <is>
          <t>Château de Chessy, BP 40</t>
        </is>
      </c>
      <c r="J1062" t="inlineStr">
        <is>
          <t>77700</t>
        </is>
      </c>
      <c r="K1062" t="inlineStr">
        <is>
          <t>Marne-la-Vallée Cedex 4</t>
        </is>
      </c>
      <c r="L1062" t="inlineStr">
        <is>
          <t>01 60 43 80 80</t>
        </is>
      </c>
      <c r="M1062" s="4" t="inlineStr">
        <is>
          <t>contact@vdeagglo.fr</t>
        </is>
      </c>
      <c r="N1062" s="4" t="inlineStr">
        <is>
          <t>https://www.valdeuropeagglo.fr/</t>
        </is>
      </c>
      <c r="O1062" s="4" t="inlineStr">
        <is>
          <t>https://www.valdeuropeagglo.fr/contact/</t>
        </is>
      </c>
      <c r="P1062" s="4" t="inlineStr">
        <is>
          <t>https://lannuaire.service-public.gouv.fr/ile-de-france/seine-et-marne/fb913f9f-2b02-4073-b84c-e0b69618a823</t>
        </is>
      </c>
      <c r="Q1062" t="inlineStr">
        <is>
          <t>Annuaire Service-public.fr</t>
        </is>
      </c>
      <c r="R1062" t="inlineStr"/>
      <c r="S1062" t="inlineStr"/>
      <c r="T1062" t="inlineStr"/>
    </row>
    <row r="1063">
      <c r="A1063" t="inlineStr">
        <is>
          <t>CA du Pays de Fontainebleau</t>
        </is>
      </c>
      <c r="B1063" t="inlineStr">
        <is>
          <t>Communauté d’agglomération</t>
        </is>
      </c>
      <c r="C1063" t="inlineStr">
        <is>
          <t>200072346</t>
        </is>
      </c>
      <c r="D1063" t="inlineStr">
        <is>
          <t>77</t>
        </is>
      </c>
      <c r="E1063" t="inlineStr">
        <is>
          <t>Seine-et-Marne</t>
        </is>
      </c>
      <c r="F1063" t="inlineStr">
        <is>
          <t>Île-de-France</t>
        </is>
      </c>
      <c r="G1063" s="3" t="n">
        <v>69205</v>
      </c>
      <c r="H1063" t="n">
        <v>26</v>
      </c>
      <c r="I1063" t="inlineStr">
        <is>
          <t>80 route de Valvins</t>
        </is>
      </c>
      <c r="J1063" t="inlineStr">
        <is>
          <t>77920</t>
        </is>
      </c>
      <c r="K1063" t="inlineStr">
        <is>
          <t>Samois-sur-Seine</t>
        </is>
      </c>
      <c r="L1063" t="inlineStr">
        <is>
          <t>01 64 70 10 80</t>
        </is>
      </c>
      <c r="M1063" s="4" t="inlineStr">
        <is>
          <t>accueil@pays-fontainebleau.fr</t>
        </is>
      </c>
      <c r="N1063" s="4" t="inlineStr">
        <is>
          <t>https://www.pays-fontainebleau.fr/</t>
        </is>
      </c>
      <c r="O1063" s="4" t="inlineStr">
        <is>
          <t>https://www.pays-fontainebleau.fr/contact/</t>
        </is>
      </c>
      <c r="P1063" s="4" t="inlineStr">
        <is>
          <t>https://lannuaire.service-public.gouv.fr/ile-de-france/seine-et-marne/64e07ac1-11d9-40a6-8e99-88166648641c</t>
        </is>
      </c>
      <c r="Q1063" t="inlineStr">
        <is>
          <t>Annuaire Service-public.fr</t>
        </is>
      </c>
      <c r="R1063" t="inlineStr"/>
      <c r="S1063" t="inlineStr"/>
      <c r="T1063" t="inlineStr"/>
    </row>
    <row r="1064">
      <c r="A1064" t="inlineStr">
        <is>
          <t>CA du Pays de Meaux</t>
        </is>
      </c>
      <c r="B1064" t="inlineStr">
        <is>
          <t>Communauté d’agglomération</t>
        </is>
      </c>
      <c r="C1064" t="inlineStr">
        <is>
          <t>200072130</t>
        </is>
      </c>
      <c r="D1064" t="inlineStr">
        <is>
          <t>77</t>
        </is>
      </c>
      <c r="E1064" t="inlineStr">
        <is>
          <t>Seine-et-Marne</t>
        </is>
      </c>
      <c r="F1064" t="inlineStr">
        <is>
          <t>Île-de-France</t>
        </is>
      </c>
      <c r="G1064" s="3" t="n">
        <v>110552</v>
      </c>
      <c r="H1064" t="n">
        <v>26</v>
      </c>
      <c r="I1064" t="inlineStr">
        <is>
          <t>2 place de lHôtel-de-Ville-Jacques-Chirac</t>
        </is>
      </c>
      <c r="J1064" t="inlineStr">
        <is>
          <t>77100</t>
        </is>
      </c>
      <c r="K1064" t="inlineStr">
        <is>
          <t>Meaux</t>
        </is>
      </c>
      <c r="L1064" t="inlineStr">
        <is>
          <t>01 60 09 97 00</t>
        </is>
      </c>
      <c r="M1064" s="4" t="inlineStr">
        <is>
          <t>contact@meaux.fr</t>
        </is>
      </c>
      <c r="N1064" s="4" t="inlineStr">
        <is>
          <t>https://www.agglo-paysdemeaux.fr/</t>
        </is>
      </c>
      <c r="O1064" s="4" t="inlineStr">
        <is>
          <t>https://www.espace-citoyens.net/meaux/espace-citoyens/Demande/NouvelleDemande/CONTACTJFC/MSG_JFC</t>
        </is>
      </c>
      <c r="P1064" s="4" t="inlineStr">
        <is>
          <t>https://lannuaire.service-public.gouv.fr/ile-de-france/seine-et-marne/83a9e8af-91bb-4b18-bee7-5b62efaf2866</t>
        </is>
      </c>
      <c r="Q1064" t="inlineStr">
        <is>
          <t>Annuaire Service-public.fr</t>
        </is>
      </c>
      <c r="R1064" t="inlineStr"/>
      <c r="S1064" t="inlineStr"/>
      <c r="T1064" t="inlineStr"/>
    </row>
    <row r="1065">
      <c r="A1065" t="inlineStr">
        <is>
          <t>CC Bassée-Montois</t>
        </is>
      </c>
      <c r="B1065" t="inlineStr">
        <is>
          <t>Communauté de communes</t>
        </is>
      </c>
      <c r="C1065" t="inlineStr">
        <is>
          <t>200040251</t>
        </is>
      </c>
      <c r="D1065" t="inlineStr">
        <is>
          <t>77</t>
        </is>
      </c>
      <c r="E1065" t="inlineStr">
        <is>
          <t>Seine-et-Marne</t>
        </is>
      </c>
      <c r="F1065" t="inlineStr">
        <is>
          <t>Île-de-France</t>
        </is>
      </c>
      <c r="G1065" s="3" t="n">
        <v>23165</v>
      </c>
      <c r="H1065" t="n">
        <v>42</v>
      </c>
      <c r="I1065" t="inlineStr">
        <is>
          <t>80 rue de la Fontaine</t>
        </is>
      </c>
      <c r="J1065" t="inlineStr">
        <is>
          <t>77480</t>
        </is>
      </c>
      <c r="K1065" t="inlineStr">
        <is>
          <t>Bray-sur-Seine</t>
        </is>
      </c>
      <c r="L1065" t="inlineStr">
        <is>
          <t>01 60 67 09 10</t>
        </is>
      </c>
      <c r="M1065" s="4" t="inlineStr">
        <is>
          <t>contact@cc-basseemontois.fr</t>
        </is>
      </c>
      <c r="N1065" s="4" t="inlineStr">
        <is>
          <t>https://www.cc-basseemontois.fr/fr</t>
        </is>
      </c>
      <c r="O1065" s="4" t="inlineStr">
        <is>
          <t>https://www.cc-basseemontois.fr/fr/form/contactez-nous</t>
        </is>
      </c>
      <c r="P1065" s="4" t="inlineStr">
        <is>
          <t>https://lannuaire.service-public.gouv.fr/ile-de-france/seine-et-marne/ff281616-4a6e-41f4-a82b-261e5ec5c4f9</t>
        </is>
      </c>
      <c r="Q1065" t="inlineStr">
        <is>
          <t>Annuaire Service-public.fr</t>
        </is>
      </c>
      <c r="R1065" t="inlineStr"/>
      <c r="S1065" t="inlineStr"/>
      <c r="T1065" t="inlineStr"/>
    </row>
    <row r="1066">
      <c r="A1066" t="inlineStr">
        <is>
          <t>CC Brie Nangissienne</t>
        </is>
      </c>
      <c r="B1066" t="inlineStr">
        <is>
          <t>Communauté de communes</t>
        </is>
      </c>
      <c r="C1066" t="inlineStr">
        <is>
          <t>247700701</t>
        </is>
      </c>
      <c r="D1066" t="inlineStr">
        <is>
          <t>77</t>
        </is>
      </c>
      <c r="E1066" t="inlineStr">
        <is>
          <t>Seine-et-Marne</t>
        </is>
      </c>
      <c r="F1066" t="inlineStr">
        <is>
          <t>Île-de-France</t>
        </is>
      </c>
      <c r="G1066" s="3" t="n">
        <v>28330</v>
      </c>
      <c r="H1066" t="n">
        <v>20</v>
      </c>
      <c r="I1066" t="inlineStr">
        <is>
          <t>4 rue René-Cassin</t>
        </is>
      </c>
      <c r="J1066" t="inlineStr">
        <is>
          <t>77370</t>
        </is>
      </c>
      <c r="K1066" t="inlineStr">
        <is>
          <t>Nangis</t>
        </is>
      </c>
      <c r="L1066" t="inlineStr">
        <is>
          <t>01 64 01 13 82</t>
        </is>
      </c>
      <c r="M1066" s="4" t="inlineStr">
        <is>
          <t>secretariat@brienangissienne.fr</t>
        </is>
      </c>
      <c r="N1066" s="4" t="inlineStr">
        <is>
          <t>http://www.brienangissienne.fr</t>
        </is>
      </c>
      <c r="O1066" t="inlineStr"/>
      <c r="P1066" s="4" t="inlineStr">
        <is>
          <t>https://lannuaire.service-public.gouv.fr/ile-de-france/seine-et-marne/0573aadb-a597-4173-8f2d-07558a7e982a</t>
        </is>
      </c>
      <c r="Q1066" t="inlineStr">
        <is>
          <t>Annuaire Service-public.fr</t>
        </is>
      </c>
      <c r="R1066" t="inlineStr"/>
      <c r="S1066" t="inlineStr"/>
      <c r="T1066" t="inlineStr"/>
    </row>
    <row r="1067">
      <c r="A1067" t="inlineStr">
        <is>
          <t>CC Brie des Rivières et Châteaux</t>
        </is>
      </c>
      <c r="B1067" t="inlineStr">
        <is>
          <t>Communauté de communes</t>
        </is>
      </c>
      <c r="C1067" t="inlineStr">
        <is>
          <t>200070779</t>
        </is>
      </c>
      <c r="D1067" t="inlineStr">
        <is>
          <t>77</t>
        </is>
      </c>
      <c r="E1067" t="inlineStr">
        <is>
          <t>Seine-et-Marne</t>
        </is>
      </c>
      <c r="F1067" t="inlineStr">
        <is>
          <t>Île-de-France</t>
        </is>
      </c>
      <c r="G1067" s="3" t="n">
        <v>40561</v>
      </c>
      <c r="H1067" t="n">
        <v>31</v>
      </c>
      <c r="I1067" t="inlineStr">
        <is>
          <t>1 rue des Petits-Champs</t>
        </is>
      </c>
      <c r="J1067" t="inlineStr">
        <is>
          <t>77820</t>
        </is>
      </c>
      <c r="K1067" t="inlineStr">
        <is>
          <t>Le Châtelet-en-Brie</t>
        </is>
      </c>
      <c r="L1067" t="inlineStr">
        <is>
          <t>01 60 66 67 10</t>
        </is>
      </c>
      <c r="M1067" s="4" t="inlineStr">
        <is>
          <t>accueil@ccbrc.fr</t>
        </is>
      </c>
      <c r="N1067" s="4" t="inlineStr">
        <is>
          <t>https://www.briedesrivieresetchateaux.fr</t>
        </is>
      </c>
      <c r="O1067" t="inlineStr"/>
      <c r="P1067" s="4" t="inlineStr">
        <is>
          <t>https://lannuaire.service-public.gouv.fr/ile-de-france/seine-et-marne/f8eed306-cd17-4691-9c5c-b2b170d85fde</t>
        </is>
      </c>
      <c r="Q1067" t="inlineStr">
        <is>
          <t>Annuaire Service-public.fr</t>
        </is>
      </c>
      <c r="R1067" t="inlineStr"/>
      <c r="S1067" t="inlineStr"/>
      <c r="T1067" t="inlineStr"/>
    </row>
    <row r="1068">
      <c r="A1068" t="inlineStr">
        <is>
          <t>CC Gâtinais Val de Loing</t>
        </is>
      </c>
      <c r="B1068" t="inlineStr">
        <is>
          <t>Communauté de communes</t>
        </is>
      </c>
      <c r="C1068" t="inlineStr">
        <is>
          <t>200023919</t>
        </is>
      </c>
      <c r="D1068" t="inlineStr">
        <is>
          <t>77</t>
        </is>
      </c>
      <c r="E1068" t="inlineStr">
        <is>
          <t>Seine-et-Marne</t>
        </is>
      </c>
      <c r="F1068" t="inlineStr">
        <is>
          <t>Île-de-France</t>
        </is>
      </c>
      <c r="G1068" s="3" t="n">
        <v>18432</v>
      </c>
      <c r="H1068" t="n">
        <v>20</v>
      </c>
      <c r="I1068" t="inlineStr">
        <is>
          <t>16 route de Souppes</t>
        </is>
      </c>
      <c r="J1068" t="inlineStr">
        <is>
          <t>77570</t>
        </is>
      </c>
      <c r="K1068" t="inlineStr">
        <is>
          <t>Château-Landon</t>
        </is>
      </c>
      <c r="L1068" t="inlineStr">
        <is>
          <t>01 64 29 20 48</t>
        </is>
      </c>
      <c r="M1068" s="4" t="inlineStr">
        <is>
          <t>ccgvl@ccgvl77.fr</t>
        </is>
      </c>
      <c r="N1068" s="4" t="inlineStr">
        <is>
          <t>https://www.ccgvl77.fr/</t>
        </is>
      </c>
      <c r="O1068" t="inlineStr"/>
      <c r="P1068" s="4" t="inlineStr">
        <is>
          <t>https://lannuaire.service-public.gouv.fr/ile-de-france/seine-et-marne/c35c863e-600d-48fb-bc8e-87508e0b1949</t>
        </is>
      </c>
      <c r="Q1068" t="inlineStr">
        <is>
          <t>Annuaire Service-public.fr</t>
        </is>
      </c>
      <c r="R1068" t="inlineStr"/>
      <c r="S1068" t="inlineStr"/>
      <c r="T1068" t="inlineStr"/>
    </row>
    <row r="1069">
      <c r="A1069" t="inlineStr">
        <is>
          <t>CC Les Portes Briardes Entre Villes et Forêts</t>
        </is>
      </c>
      <c r="B1069" t="inlineStr">
        <is>
          <t>Communauté de communes</t>
        </is>
      </c>
      <c r="C1069" t="inlineStr">
        <is>
          <t>200023125</t>
        </is>
      </c>
      <c r="D1069" t="inlineStr">
        <is>
          <t>77</t>
        </is>
      </c>
      <c r="E1069" t="inlineStr">
        <is>
          <t>Seine-et-Marne</t>
        </is>
      </c>
      <c r="F1069" t="inlineStr">
        <is>
          <t>Île-de-France</t>
        </is>
      </c>
      <c r="G1069" s="3" t="n">
        <v>46241</v>
      </c>
      <c r="H1069" t="n">
        <v>5</v>
      </c>
      <c r="I1069" t="inlineStr">
        <is>
          <t>43 avenue du Général-de-Gaulle</t>
        </is>
      </c>
      <c r="J1069" t="inlineStr">
        <is>
          <t>77330</t>
        </is>
      </c>
      <c r="K1069" t="inlineStr">
        <is>
          <t>Ozoir-la-Ferrière Cedex</t>
        </is>
      </c>
      <c r="L1069" t="inlineStr">
        <is>
          <t>01 64 43 35 26</t>
        </is>
      </c>
      <c r="M1069" s="4" t="inlineStr">
        <is>
          <t>contact@lesportesbriardes.fr</t>
        </is>
      </c>
      <c r="N1069" s="4" t="inlineStr">
        <is>
          <t>https://www.lesportesbriardes.fr/</t>
        </is>
      </c>
      <c r="O1069" t="inlineStr"/>
      <c r="P1069" s="4" t="inlineStr">
        <is>
          <t>https://lannuaire.service-public.gouv.fr/ile-de-france/seine-et-marne/cc42b7f8-3b62-4d79-8550-2eeea730d1dc</t>
        </is>
      </c>
      <c r="Q1069" t="inlineStr">
        <is>
          <t>Annuaire Service-public.fr</t>
        </is>
      </c>
      <c r="R1069" t="inlineStr"/>
      <c r="S1069" t="inlineStr"/>
      <c r="T1069" t="inlineStr"/>
    </row>
    <row r="1070">
      <c r="A1070" t="inlineStr">
        <is>
          <t>CC Moret Seine et Loing</t>
        </is>
      </c>
      <c r="B1070" t="inlineStr">
        <is>
          <t>Communauté de communes</t>
        </is>
      </c>
      <c r="C1070" t="inlineStr">
        <is>
          <t>247700032</t>
        </is>
      </c>
      <c r="D1070" t="inlineStr">
        <is>
          <t>77</t>
        </is>
      </c>
      <c r="E1070" t="inlineStr">
        <is>
          <t>Seine-et-Marne</t>
        </is>
      </c>
      <c r="F1070" t="inlineStr">
        <is>
          <t>Île-de-France</t>
        </is>
      </c>
      <c r="G1070" s="3" t="n">
        <v>39247</v>
      </c>
      <c r="H1070" t="n">
        <v>18</v>
      </c>
      <c r="I1070" t="inlineStr">
        <is>
          <t>Allée Gustave Prugnat, CS 80214</t>
        </is>
      </c>
      <c r="J1070" t="inlineStr">
        <is>
          <t>77250</t>
        </is>
      </c>
      <c r="K1070" t="inlineStr">
        <is>
          <t>Moret-Loing-et-Orvanne</t>
        </is>
      </c>
      <c r="L1070" t="inlineStr">
        <is>
          <t>01 60 70 66 14</t>
        </is>
      </c>
      <c r="M1070" s="4" t="inlineStr">
        <is>
          <t>ccmsl@ccmsl.com</t>
        </is>
      </c>
      <c r="N1070" s="4" t="inlineStr">
        <is>
          <t>https://www.ccmsl.fr/</t>
        </is>
      </c>
      <c r="O1070" s="4" t="inlineStr">
        <is>
          <t>https://www.ccmsl.fr/</t>
        </is>
      </c>
      <c r="P1070" s="4" t="inlineStr">
        <is>
          <t>https://lannuaire.service-public.gouv.fr/ile-de-france/seine-et-marne/82ffaf4c-b38e-404f-8d16-5c464cd4bc1f</t>
        </is>
      </c>
      <c r="Q1070" t="inlineStr">
        <is>
          <t>Annuaire Service-public.fr</t>
        </is>
      </c>
      <c r="R1070" t="inlineStr"/>
      <c r="S1070" t="inlineStr"/>
      <c r="T1070" t="inlineStr"/>
    </row>
    <row r="1071">
      <c r="A1071" t="inlineStr">
        <is>
          <t>CC Pays de Montereau</t>
        </is>
      </c>
      <c r="B1071" t="inlineStr">
        <is>
          <t>Communauté de communes</t>
        </is>
      </c>
      <c r="C1071" t="inlineStr">
        <is>
          <t>247700107</t>
        </is>
      </c>
      <c r="D1071" t="inlineStr">
        <is>
          <t>77</t>
        </is>
      </c>
      <c r="E1071" t="inlineStr">
        <is>
          <t>Seine-et-Marne</t>
        </is>
      </c>
      <c r="F1071" t="inlineStr">
        <is>
          <t>Île-de-France</t>
        </is>
      </c>
      <c r="G1071" s="3" t="n">
        <v>45085</v>
      </c>
      <c r="H1071" t="n">
        <v>21</v>
      </c>
      <c r="I1071" t="inlineStr">
        <is>
          <t>29 avenue du Général-De-Gaulle</t>
        </is>
      </c>
      <c r="J1071" t="inlineStr">
        <is>
          <t>77130</t>
        </is>
      </c>
      <c r="K1071" t="inlineStr">
        <is>
          <t>Montereau-Fault-Yonne</t>
        </is>
      </c>
      <c r="L1071" t="inlineStr">
        <is>
          <t>01 60 73 44 00</t>
        </is>
      </c>
      <c r="M1071" s="4" t="inlineStr">
        <is>
          <t>contact@paysdemontereau.fr</t>
        </is>
      </c>
      <c r="N1071" s="4" t="inlineStr">
        <is>
          <t>https://paysdemontereau77.fr</t>
        </is>
      </c>
      <c r="O1071" s="4" t="inlineStr">
        <is>
          <t>https://paysdemontereau77.fr/contact/</t>
        </is>
      </c>
      <c r="P1071" s="4" t="inlineStr">
        <is>
          <t>https://lannuaire.service-public.gouv.fr/ile-de-france/seine-et-marne/20ba5899-f6b9-44c1-bf32-d0d95b71d470</t>
        </is>
      </c>
      <c r="Q1071" t="inlineStr">
        <is>
          <t>Annuaire Service-public.fr</t>
        </is>
      </c>
      <c r="R1071" t="inlineStr"/>
      <c r="S1071" t="inlineStr"/>
      <c r="T1071" t="inlineStr"/>
    </row>
    <row r="1072">
      <c r="A1072" t="inlineStr">
        <is>
          <t>CC Pays de Nemours</t>
        </is>
      </c>
      <c r="B1072" t="inlineStr">
        <is>
          <t>Communauté de communes</t>
        </is>
      </c>
      <c r="C1072" t="inlineStr">
        <is>
          <t>200023240</t>
        </is>
      </c>
      <c r="D1072" t="inlineStr">
        <is>
          <t>77</t>
        </is>
      </c>
      <c r="E1072" t="inlineStr">
        <is>
          <t>Seine-et-Marne</t>
        </is>
      </c>
      <c r="F1072" t="inlineStr">
        <is>
          <t>Île-de-France</t>
        </is>
      </c>
      <c r="G1072" s="3" t="n">
        <v>29774</v>
      </c>
      <c r="H1072" t="n">
        <v>21</v>
      </c>
      <c r="I1072" t="inlineStr">
        <is>
          <t>41 quai Victor-Hugo</t>
        </is>
      </c>
      <c r="J1072" t="inlineStr">
        <is>
          <t>77140</t>
        </is>
      </c>
      <c r="K1072" t="inlineStr">
        <is>
          <t>Nemours</t>
        </is>
      </c>
      <c r="L1072" t="inlineStr">
        <is>
          <t>01 64 78 69 05</t>
        </is>
      </c>
      <c r="M1072" s="4" t="inlineStr">
        <is>
          <t>secretariat@paysdenemours.fr</t>
        </is>
      </c>
      <c r="N1072" s="4" t="inlineStr">
        <is>
          <t>https://www.paysdenemours.fr/</t>
        </is>
      </c>
      <c r="O1072" s="4" t="inlineStr">
        <is>
          <t>https://www.paysdenemours.fr/contact/</t>
        </is>
      </c>
      <c r="P1072" s="4" t="inlineStr">
        <is>
          <t>https://lannuaire.service-public.gouv.fr/ile-de-france/seine-et-marne/f29a5c35-b951-407b-91d9-52231c26d655</t>
        </is>
      </c>
      <c r="Q1072" t="inlineStr">
        <is>
          <t>Annuaire Service-public.fr</t>
        </is>
      </c>
      <c r="R1072" t="inlineStr"/>
      <c r="S1072" t="inlineStr"/>
      <c r="T1072" t="inlineStr"/>
    </row>
    <row r="1073">
      <c r="A1073" t="inlineStr">
        <is>
          <t>CC Plaines et Monts de France</t>
        </is>
      </c>
      <c r="B1073" t="inlineStr">
        <is>
          <t>Communauté de communes</t>
        </is>
      </c>
      <c r="C1073" t="inlineStr">
        <is>
          <t>200033090</t>
        </is>
      </c>
      <c r="D1073" t="inlineStr">
        <is>
          <t>77</t>
        </is>
      </c>
      <c r="E1073" t="inlineStr">
        <is>
          <t>Seine-et-Marne</t>
        </is>
      </c>
      <c r="F1073" t="inlineStr">
        <is>
          <t>Île-de-France</t>
        </is>
      </c>
      <c r="G1073" s="3" t="n">
        <v>25662</v>
      </c>
      <c r="H1073" t="n">
        <v>20</v>
      </c>
      <c r="I1073" t="inlineStr">
        <is>
          <t>6 rue du Général-de-Gaulle</t>
        </is>
      </c>
      <c r="J1073" t="inlineStr">
        <is>
          <t>77230</t>
        </is>
      </c>
      <c r="K1073" t="inlineStr">
        <is>
          <t>Dammartin-en-Goële</t>
        </is>
      </c>
      <c r="L1073" t="inlineStr">
        <is>
          <t>01 60 54 68 40</t>
        </is>
      </c>
      <c r="M1073" s="4" t="inlineStr">
        <is>
          <t>contact@cc-pmf.fr</t>
        </is>
      </c>
      <c r="N1073" s="4" t="inlineStr">
        <is>
          <t>http://www.cc-pmf.fr</t>
        </is>
      </c>
      <c r="O1073" t="inlineStr"/>
      <c r="P1073" s="4" t="inlineStr">
        <is>
          <t>https://lannuaire.service-public.gouv.fr/ile-de-france/seine-et-marne/4fa013ed-00ec-464a-a25b-ac1e58e0afbc</t>
        </is>
      </c>
      <c r="Q1073" t="inlineStr">
        <is>
          <t>Annuaire Service-public.fr</t>
        </is>
      </c>
      <c r="R1073" t="inlineStr"/>
      <c r="S1073" t="inlineStr"/>
      <c r="T1073" t="inlineStr"/>
    </row>
    <row r="1074">
      <c r="A1074" t="inlineStr">
        <is>
          <t>CC Val Briard</t>
        </is>
      </c>
      <c r="B1074" t="inlineStr">
        <is>
          <t>Communauté de communes</t>
        </is>
      </c>
      <c r="C1074" t="inlineStr">
        <is>
          <t>200072874</t>
        </is>
      </c>
      <c r="D1074" t="inlineStr">
        <is>
          <t>77</t>
        </is>
      </c>
      <c r="E1074" t="inlineStr">
        <is>
          <t>Seine-et-Marne</t>
        </is>
      </c>
      <c r="F1074" t="inlineStr">
        <is>
          <t>Île-de-France</t>
        </is>
      </c>
      <c r="G1074" s="3" t="n">
        <v>29261</v>
      </c>
      <c r="H1074" t="n">
        <v>21</v>
      </c>
      <c r="I1074" t="inlineStr">
        <is>
          <t>2 rue des Vieilles-Chapelles</t>
        </is>
      </c>
      <c r="J1074" t="inlineStr">
        <is>
          <t>77610</t>
        </is>
      </c>
      <c r="K1074" t="inlineStr">
        <is>
          <t>Les Chapelles-Bourbon</t>
        </is>
      </c>
      <c r="L1074" t="inlineStr">
        <is>
          <t>01 64 51 33 26</t>
        </is>
      </c>
      <c r="M1074" s="4" t="inlineStr">
        <is>
          <t>contact@valbriard.fr</t>
        </is>
      </c>
      <c r="N1074" s="4" t="inlineStr">
        <is>
          <t>https://valbriard.fr/</t>
        </is>
      </c>
      <c r="O1074" s="4" t="inlineStr">
        <is>
          <t>https://valbriard.fr/contact/</t>
        </is>
      </c>
      <c r="P1074" s="4" t="inlineStr">
        <is>
          <t>https://lannuaire.service-public.gouv.fr/ile-de-france/seine-et-marne/2fe015f7-a85d-497b-9888-e92d430e8602</t>
        </is>
      </c>
      <c r="Q1074" t="inlineStr">
        <is>
          <t>Annuaire Service-public.fr</t>
        </is>
      </c>
      <c r="R1074" t="inlineStr"/>
      <c r="S1074" t="inlineStr"/>
      <c r="T1074" t="inlineStr"/>
    </row>
    <row r="1075">
      <c r="A1075" t="inlineStr">
        <is>
          <t>CC des Deux Morin</t>
        </is>
      </c>
      <c r="B1075" t="inlineStr">
        <is>
          <t>Communauté de communes</t>
        </is>
      </c>
      <c r="C1075" t="inlineStr">
        <is>
          <t>200072544</t>
        </is>
      </c>
      <c r="D1075" t="inlineStr">
        <is>
          <t>77</t>
        </is>
      </c>
      <c r="E1075" t="inlineStr">
        <is>
          <t>Seine-et-Marne</t>
        </is>
      </c>
      <c r="F1075" t="inlineStr">
        <is>
          <t>Île-de-France</t>
        </is>
      </c>
      <c r="G1075" s="3" t="n">
        <v>26471</v>
      </c>
      <c r="H1075" t="n">
        <v>31</v>
      </c>
      <c r="I1075" t="inlineStr">
        <is>
          <t>1 rue Robert-Legraverend</t>
        </is>
      </c>
      <c r="J1075" t="inlineStr">
        <is>
          <t>77320</t>
        </is>
      </c>
      <c r="K1075" t="inlineStr">
        <is>
          <t>La Ferté-Gaucher</t>
        </is>
      </c>
      <c r="L1075" t="inlineStr">
        <is>
          <t>01 64 03 25 80</t>
        </is>
      </c>
      <c r="M1075" s="4" t="inlineStr">
        <is>
          <t>accueil@cc2m.fr</t>
        </is>
      </c>
      <c r="N1075" s="4" t="inlineStr">
        <is>
          <t>https://www.cc2morin.fr/</t>
        </is>
      </c>
      <c r="O1075" s="4" t="inlineStr">
        <is>
          <t>https://www.cc2morin.fr/nous-contacter/</t>
        </is>
      </c>
      <c r="P1075" s="4" t="inlineStr">
        <is>
          <t>https://lannuaire.service-public.gouv.fr/ile-de-france/seine-et-marne/b2a2ab59-2a1d-4910-8d6b-bfbf24cfb6ad</t>
        </is>
      </c>
      <c r="Q1075" t="inlineStr">
        <is>
          <t>Annuaire Service-public.fr</t>
        </is>
      </c>
      <c r="R1075" t="inlineStr"/>
      <c r="S1075" t="inlineStr"/>
      <c r="T1075" t="inlineStr"/>
    </row>
    <row r="1076">
      <c r="A1076" t="inlineStr">
        <is>
          <t>CC du Pays de l'Ourcq</t>
        </is>
      </c>
      <c r="B1076" t="inlineStr">
        <is>
          <t>Communauté de communes</t>
        </is>
      </c>
      <c r="C1076" t="inlineStr">
        <is>
          <t>247700065</t>
        </is>
      </c>
      <c r="D1076" t="inlineStr">
        <is>
          <t>77</t>
        </is>
      </c>
      <c r="E1076" t="inlineStr">
        <is>
          <t>Seine-et-Marne</t>
        </is>
      </c>
      <c r="F1076" t="inlineStr">
        <is>
          <t>Île-de-France</t>
        </is>
      </c>
      <c r="G1076" s="3" t="n">
        <v>17365</v>
      </c>
      <c r="H1076" t="n">
        <v>22</v>
      </c>
      <c r="I1076" t="inlineStr">
        <is>
          <t>2 avenue Louis-Delahaye</t>
        </is>
      </c>
      <c r="J1076" t="inlineStr">
        <is>
          <t>77440</t>
        </is>
      </c>
      <c r="K1076" t="inlineStr">
        <is>
          <t>Ocquerre</t>
        </is>
      </c>
      <c r="L1076" t="inlineStr">
        <is>
          <t>01 60 61 55 00</t>
        </is>
      </c>
      <c r="M1076" s="4" t="inlineStr">
        <is>
          <t>ccpo@paysdelourcq.fr</t>
        </is>
      </c>
      <c r="N1076" s="4" t="inlineStr">
        <is>
          <t>https://www.paysdelourcq.fr/accueil</t>
        </is>
      </c>
      <c r="O1076" t="inlineStr"/>
      <c r="P1076" s="4" t="inlineStr">
        <is>
          <t>https://lannuaire.service-public.gouv.fr/ile-de-france/seine-et-marne/c2e3c31c-dffc-4775-ba21-76effc360a37</t>
        </is>
      </c>
      <c r="Q1076" t="inlineStr">
        <is>
          <t>Annuaire Service-public.fr</t>
        </is>
      </c>
      <c r="R1076" t="inlineStr"/>
      <c r="S1076" t="inlineStr"/>
      <c r="T1076" t="inlineStr"/>
    </row>
    <row r="1077">
      <c r="A1077" t="inlineStr">
        <is>
          <t>CC du Provinois</t>
        </is>
      </c>
      <c r="B1077" t="inlineStr">
        <is>
          <t>Communauté de communes</t>
        </is>
      </c>
      <c r="C1077" t="inlineStr">
        <is>
          <t>200037133</t>
        </is>
      </c>
      <c r="D1077" t="inlineStr">
        <is>
          <t>77</t>
        </is>
      </c>
      <c r="E1077" t="inlineStr">
        <is>
          <t>Seine-et-Marne</t>
        </is>
      </c>
      <c r="F1077" t="inlineStr">
        <is>
          <t>Île-de-France</t>
        </is>
      </c>
      <c r="G1077" s="3" t="n">
        <v>34302</v>
      </c>
      <c r="H1077" t="n">
        <v>39</v>
      </c>
      <c r="I1077" t="inlineStr">
        <is>
          <t>7 cour des Bénédictins</t>
        </is>
      </c>
      <c r="J1077" t="inlineStr">
        <is>
          <t>77160</t>
        </is>
      </c>
      <c r="K1077" t="inlineStr">
        <is>
          <t>Provins</t>
        </is>
      </c>
      <c r="L1077" t="inlineStr">
        <is>
          <t>01 60 58 60 58</t>
        </is>
      </c>
      <c r="M1077" s="4" t="inlineStr">
        <is>
          <t>accueil@cc-du-provinois.fr</t>
        </is>
      </c>
      <c r="N1077" s="4" t="inlineStr">
        <is>
          <t>https://www.cc-provinois.fr/</t>
        </is>
      </c>
      <c r="O1077" t="inlineStr"/>
      <c r="P1077" s="4" t="inlineStr">
        <is>
          <t>https://lannuaire.service-public.gouv.fr/ile-de-france/seine-et-marne/c6f1f8c3-1fb7-4593-9f11-fa794bce20fc</t>
        </is>
      </c>
      <c r="Q1077" t="inlineStr">
        <is>
          <t>Annuaire Service-public.fr</t>
        </is>
      </c>
      <c r="R1077" t="inlineStr"/>
      <c r="S1077" t="inlineStr"/>
      <c r="T1077" t="inlineStr"/>
    </row>
    <row r="1078">
      <c r="A1078" t="inlineStr">
        <is>
          <t>CA Grand Paris Sud Seine Essonne Sénart</t>
        </is>
      </c>
      <c r="B1078" t="inlineStr">
        <is>
          <t>Communauté d’agglomération</t>
        </is>
      </c>
      <c r="C1078" t="inlineStr">
        <is>
          <t>200059228</t>
        </is>
      </c>
      <c r="D1078" t="inlineStr">
        <is>
          <t>77, 91</t>
        </is>
      </c>
      <c r="E1078" t="inlineStr">
        <is>
          <t>Seine-et-Marne, Essonne</t>
        </is>
      </c>
      <c r="F1078" t="inlineStr">
        <is>
          <t>Île-de-France</t>
        </is>
      </c>
      <c r="G1078" s="3" t="n">
        <v>361024</v>
      </c>
      <c r="H1078" t="n">
        <v>23</v>
      </c>
      <c r="I1078" t="inlineStr">
        <is>
          <t>500 place des Champs-Élysées, Hôtel d'agglomération</t>
        </is>
      </c>
      <c r="J1078" t="inlineStr">
        <is>
          <t>91080</t>
        </is>
      </c>
      <c r="K1078" t="inlineStr">
        <is>
          <t>Evry-Courcouronnes</t>
        </is>
      </c>
      <c r="L1078" t="inlineStr">
        <is>
          <t>01 69 91 58 58</t>
        </is>
      </c>
      <c r="M1078" s="4" t="inlineStr">
        <is>
          <t>contact@grandparissud.fr</t>
        </is>
      </c>
      <c r="N1078" s="4" t="inlineStr">
        <is>
          <t>https://www.grandparissud.fr</t>
        </is>
      </c>
      <c r="O1078" s="4" t="inlineStr">
        <is>
          <t>https://www.grandparissud.fr/contactez-nous/</t>
        </is>
      </c>
      <c r="P1078" s="4" t="inlineStr">
        <is>
          <t>https://lannuaire.service-public.gouv.fr/ile-de-france/essonne/8f840c86-548d-46f7-bd03-0595ef774235</t>
        </is>
      </c>
      <c r="Q1078" t="inlineStr">
        <is>
          <t>Annuaire Service-public.fr</t>
        </is>
      </c>
      <c r="R1078" t="inlineStr"/>
      <c r="S1078" t="inlineStr"/>
      <c r="T1078" t="inlineStr"/>
    </row>
    <row r="1079">
      <c r="A1079" t="inlineStr">
        <is>
          <t>CC l'Orée de la Brie</t>
        </is>
      </c>
      <c r="B1079" t="inlineStr">
        <is>
          <t>Communauté de communes</t>
        </is>
      </c>
      <c r="C1079" t="inlineStr">
        <is>
          <t>247700644</t>
        </is>
      </c>
      <c r="D1079" t="inlineStr">
        <is>
          <t>77, 91</t>
        </is>
      </c>
      <c r="E1079" t="inlineStr">
        <is>
          <t>Seine-et-Marne, Essonne</t>
        </is>
      </c>
      <c r="F1079" t="inlineStr">
        <is>
          <t>Île-de-France</t>
        </is>
      </c>
      <c r="G1079" s="3" t="n">
        <v>28829</v>
      </c>
      <c r="H1079" t="n">
        <v>4</v>
      </c>
      <c r="I1079" t="inlineStr">
        <is>
          <t>1 place de la Gare</t>
        </is>
      </c>
      <c r="J1079" t="inlineStr">
        <is>
          <t>77170</t>
        </is>
      </c>
      <c r="K1079" t="inlineStr">
        <is>
          <t>Brie-Comte-Robert</t>
        </is>
      </c>
      <c r="L1079" t="inlineStr">
        <is>
          <t>01 60 62 15 81</t>
        </is>
      </c>
      <c r="M1079" s="4" t="inlineStr">
        <is>
          <t>communaute@loreedelabrie.fr</t>
        </is>
      </c>
      <c r="N1079" s="4" t="inlineStr">
        <is>
          <t>https://www.loreedelabrie.fr/</t>
        </is>
      </c>
      <c r="O1079" s="4" t="inlineStr">
        <is>
          <t>https://www.loreedelabrie.fr/contact/</t>
        </is>
      </c>
      <c r="P1079" s="4" t="inlineStr">
        <is>
          <t>https://lannuaire.service-public.gouv.fr/ile-de-france/seine-et-marne/f33215d7-7b1f-4d8b-8819-ed68d6fa12fc</t>
        </is>
      </c>
      <c r="Q1079" t="inlineStr">
        <is>
          <t>Annuaire Service-public.fr</t>
        </is>
      </c>
      <c r="R1079" t="inlineStr"/>
      <c r="S1079" t="inlineStr"/>
      <c r="T1079" t="inlineStr"/>
    </row>
    <row r="1080">
      <c r="A1080" t="inlineStr">
        <is>
          <t>CA Roissy Pays de France</t>
        </is>
      </c>
      <c r="B1080" t="inlineStr">
        <is>
          <t>Communauté d’agglomération</t>
        </is>
      </c>
      <c r="C1080" t="inlineStr">
        <is>
          <t>200055655</t>
        </is>
      </c>
      <c r="D1080" t="inlineStr">
        <is>
          <t>77, 95</t>
        </is>
      </c>
      <c r="E1080" t="inlineStr">
        <is>
          <t>Seine-et-Marne, Val-d'Oise</t>
        </is>
      </c>
      <c r="F1080" t="inlineStr">
        <is>
          <t>Île-de-France</t>
        </is>
      </c>
      <c r="G1080" s="3" t="n">
        <v>362933</v>
      </c>
      <c r="H1080" t="n">
        <v>42</v>
      </c>
      <c r="I1080" t="inlineStr">
        <is>
          <t>6 bis avenue Charles-de-Gaulle</t>
        </is>
      </c>
      <c r="J1080" t="inlineStr">
        <is>
          <t>95700</t>
        </is>
      </c>
      <c r="K1080" t="inlineStr">
        <is>
          <t>Roissy-en-France</t>
        </is>
      </c>
      <c r="L1080" t="inlineStr">
        <is>
          <t>01 34 29 03 06</t>
        </is>
      </c>
      <c r="M1080" s="4" t="inlineStr">
        <is>
          <t>info@roissypaysdefrance.fr</t>
        </is>
      </c>
      <c r="N1080" s="4" t="inlineStr">
        <is>
          <t>https://www.roissypaysdefrance.fr/</t>
        </is>
      </c>
      <c r="O1080" s="4" t="inlineStr">
        <is>
          <t>https://www.roissypaysdefrance.fr/lagglo/nous-contacter</t>
        </is>
      </c>
      <c r="P1080" s="4" t="inlineStr">
        <is>
          <t>https://lannuaire.service-public.gouv.fr/ile-de-france/val-d-oise/95e36cb4-6046-46b8-95d5-1397a63520ab</t>
        </is>
      </c>
      <c r="Q1080" t="inlineStr">
        <is>
          <t>Annuaire Service-public.fr</t>
        </is>
      </c>
      <c r="R1080" t="inlineStr"/>
      <c r="S1080" t="inlineStr"/>
      <c r="T1080" t="inlineStr"/>
    </row>
    <row r="1081">
      <c r="A1081" t="inlineStr">
        <is>
          <t>CA Rambouillet Territoires</t>
        </is>
      </c>
      <c r="B1081" t="inlineStr">
        <is>
          <t>Communauté d’agglomération</t>
        </is>
      </c>
      <c r="C1081" t="inlineStr">
        <is>
          <t>200073344</t>
        </is>
      </c>
      <c r="D1081" t="inlineStr">
        <is>
          <t>78</t>
        </is>
      </c>
      <c r="E1081" t="inlineStr">
        <is>
          <t>Yvelines</t>
        </is>
      </c>
      <c r="F1081" t="inlineStr">
        <is>
          <t>Île-de-France</t>
        </is>
      </c>
      <c r="G1081" s="3" t="n">
        <v>79818</v>
      </c>
      <c r="H1081" t="n">
        <v>36</v>
      </c>
      <c r="I1081" t="inlineStr">
        <is>
          <t>22 rue Gustave-Eiffel, ZA du Bel Air, BP 436</t>
        </is>
      </c>
      <c r="J1081" t="inlineStr">
        <is>
          <t>78511</t>
        </is>
      </c>
      <c r="K1081" t="inlineStr">
        <is>
          <t>Rambouillet Cedex</t>
        </is>
      </c>
      <c r="L1081" t="inlineStr">
        <is>
          <t>01 34 57 20 61</t>
        </is>
      </c>
      <c r="M1081" s="4" t="inlineStr">
        <is>
          <t>accueil@rt78.fr</t>
        </is>
      </c>
      <c r="N1081" s="4" t="inlineStr">
        <is>
          <t>https://www.rt78.fr/</t>
        </is>
      </c>
      <c r="O1081" t="inlineStr"/>
      <c r="P1081" s="4" t="inlineStr">
        <is>
          <t>https://lannuaire.service-public.gouv.fr/ile-de-france/yvelines/f26b30cd-3a03-44f9-bed0-b05878e56266</t>
        </is>
      </c>
      <c r="Q1081" t="inlineStr">
        <is>
          <t>Annuaire Service-public.fr</t>
        </is>
      </c>
      <c r="R1081" t="inlineStr"/>
      <c r="S1081" t="inlineStr"/>
      <c r="T1081" t="inlineStr"/>
    </row>
    <row r="1082">
      <c r="A1082" t="inlineStr">
        <is>
          <t>CA de Saint Quentin en Yvelines</t>
        </is>
      </c>
      <c r="B1082" t="inlineStr">
        <is>
          <t>Communauté d’agglomération</t>
        </is>
      </c>
      <c r="C1082" t="inlineStr">
        <is>
          <t>200058782</t>
        </is>
      </c>
      <c r="D1082" t="inlineStr">
        <is>
          <t>78</t>
        </is>
      </c>
      <c r="E1082" t="inlineStr">
        <is>
          <t>Yvelines</t>
        </is>
      </c>
      <c r="F1082" t="inlineStr">
        <is>
          <t>Île-de-France</t>
        </is>
      </c>
      <c r="G1082" s="3" t="n">
        <v>233591</v>
      </c>
      <c r="H1082" t="n">
        <v>12</v>
      </c>
      <c r="I1082" t="inlineStr">
        <is>
          <t>1 rue Eugène-Hénaff</t>
        </is>
      </c>
      <c r="J1082" t="inlineStr">
        <is>
          <t>78190</t>
        </is>
      </c>
      <c r="K1082" t="inlineStr">
        <is>
          <t>Trappes</t>
        </is>
      </c>
      <c r="L1082" t="inlineStr">
        <is>
          <t>01 39 44 30 30</t>
        </is>
      </c>
      <c r="M1082" t="inlineStr"/>
      <c r="N1082" s="4" t="inlineStr">
        <is>
          <t>https://www.saint-quentin-en-yvelines.fr/</t>
        </is>
      </c>
      <c r="O1082" s="4" t="inlineStr">
        <is>
          <t>https://www.saint-quentin-en-yvelines.fr/contact/</t>
        </is>
      </c>
      <c r="P1082" s="4" t="inlineStr">
        <is>
          <t>https://lannuaire.service-public.gouv.fr/ile-de-france/yvelines/2270fd07-f2a2-4f69-92be-df1dcac32303</t>
        </is>
      </c>
      <c r="Q1082" t="inlineStr">
        <is>
          <t>Annuaire Service-public.fr</t>
        </is>
      </c>
      <c r="R1082" t="inlineStr"/>
      <c r="S1082" t="inlineStr"/>
      <c r="T1082" t="inlineStr"/>
    </row>
    <row r="1083">
      <c r="A1083" t="inlineStr">
        <is>
          <t>CC Coeur d'Yvelines</t>
        </is>
      </c>
      <c r="B1083" t="inlineStr">
        <is>
          <t>Communauté de communes</t>
        </is>
      </c>
      <c r="C1083" t="inlineStr">
        <is>
          <t>247800618</t>
        </is>
      </c>
      <c r="D1083" t="inlineStr">
        <is>
          <t>78</t>
        </is>
      </c>
      <c r="E1083" t="inlineStr">
        <is>
          <t>Yvelines</t>
        </is>
      </c>
      <c r="F1083" t="inlineStr">
        <is>
          <t>Île-de-France</t>
        </is>
      </c>
      <c r="G1083" s="3" t="n">
        <v>51560</v>
      </c>
      <c r="H1083" t="n">
        <v>31</v>
      </c>
      <c r="I1083" t="inlineStr">
        <is>
          <t>49 rue de Paris</t>
        </is>
      </c>
      <c r="J1083" t="inlineStr">
        <is>
          <t>78490</t>
        </is>
      </c>
      <c r="K1083" t="inlineStr">
        <is>
          <t>Montfort l'Amaury</t>
        </is>
      </c>
      <c r="L1083" t="inlineStr">
        <is>
          <t>01 34 89 23 17</t>
        </is>
      </c>
      <c r="M1083" s="4" t="inlineStr">
        <is>
          <t>accueil@cccy.fr</t>
        </is>
      </c>
      <c r="N1083" s="4" t="inlineStr">
        <is>
          <t>https://www.coeur-yvelines.fr/</t>
        </is>
      </c>
      <c r="O1083" t="inlineStr"/>
      <c r="P1083" s="4" t="inlineStr">
        <is>
          <t>https://lannuaire.service-public.gouv.fr/ile-de-france/yvelines/183e8079-bb74-4f10-8eb7-3f5324000b2b</t>
        </is>
      </c>
      <c r="Q1083" t="inlineStr">
        <is>
          <t>Annuaire Service-public.fr</t>
        </is>
      </c>
      <c r="R1083" t="inlineStr"/>
      <c r="S1083" t="inlineStr"/>
      <c r="T1083" t="inlineStr"/>
    </row>
    <row r="1084">
      <c r="A1084" t="inlineStr">
        <is>
          <t>CC Gally Mauldre</t>
        </is>
      </c>
      <c r="B1084" t="inlineStr">
        <is>
          <t>Communauté de communes</t>
        </is>
      </c>
      <c r="C1084" t="inlineStr">
        <is>
          <t>200034130</t>
        </is>
      </c>
      <c r="D1084" t="inlineStr">
        <is>
          <t>78</t>
        </is>
      </c>
      <c r="E1084" t="inlineStr">
        <is>
          <t>Yvelines</t>
        </is>
      </c>
      <c r="F1084" t="inlineStr">
        <is>
          <t>Île-de-France</t>
        </is>
      </c>
      <c r="G1084" s="3" t="n">
        <v>22529</v>
      </c>
      <c r="H1084" t="n">
        <v>11</v>
      </c>
      <c r="I1084" t="inlineStr">
        <is>
          <t>39 Grande Rue</t>
        </is>
      </c>
      <c r="J1084" t="inlineStr">
        <is>
          <t>78810</t>
        </is>
      </c>
      <c r="K1084" t="inlineStr">
        <is>
          <t>Feucherolles</t>
        </is>
      </c>
      <c r="L1084" t="inlineStr">
        <is>
          <t>01 86 36 01 51</t>
        </is>
      </c>
      <c r="M1084" s="4" t="inlineStr">
        <is>
          <t>ccgm@cc-gallymauldre.fr</t>
        </is>
      </c>
      <c r="N1084" s="4" t="inlineStr">
        <is>
          <t>https://cc-gallymauldre.fr/</t>
        </is>
      </c>
      <c r="O1084" t="inlineStr"/>
      <c r="P1084" s="4" t="inlineStr">
        <is>
          <t>https://lannuaire.service-public.gouv.fr/ile-de-france/yvelines/a96819e9-2a53-4dcf-8f52-24a57c8b2ef3</t>
        </is>
      </c>
      <c r="Q1084" t="inlineStr">
        <is>
          <t>Annuaire Service-public.fr</t>
        </is>
      </c>
      <c r="R1084" t="inlineStr"/>
      <c r="S1084" t="inlineStr"/>
      <c r="T1084" t="inlineStr"/>
    </row>
    <row r="1085">
      <c r="A1085" t="inlineStr">
        <is>
          <t>CC Les Portes de l'Ile de France</t>
        </is>
      </c>
      <c r="B1085" t="inlineStr">
        <is>
          <t>Communauté de communes</t>
        </is>
      </c>
      <c r="C1085" t="inlineStr">
        <is>
          <t>200071074</t>
        </is>
      </c>
      <c r="D1085" t="inlineStr">
        <is>
          <t>78</t>
        </is>
      </c>
      <c r="E1085" t="inlineStr">
        <is>
          <t>Yvelines</t>
        </is>
      </c>
      <c r="F1085" t="inlineStr">
        <is>
          <t>Île-de-France</t>
        </is>
      </c>
      <c r="G1085" s="3" t="n">
        <v>23147</v>
      </c>
      <c r="H1085" t="n">
        <v>18</v>
      </c>
      <c r="I1085" t="inlineStr">
        <is>
          <t>Rue du Clos Prieur, ZA le Clos Prieur</t>
        </is>
      </c>
      <c r="J1085" t="inlineStr">
        <is>
          <t>78840</t>
        </is>
      </c>
      <c r="K1085" t="inlineStr">
        <is>
          <t>Freneuse</t>
        </is>
      </c>
      <c r="L1085" t="inlineStr">
        <is>
          <t>01 30 93 16 72</t>
        </is>
      </c>
      <c r="M1085" s="4" t="inlineStr">
        <is>
          <t>accueil@ccpif.fr</t>
        </is>
      </c>
      <c r="N1085" s="4" t="inlineStr">
        <is>
          <t>https://www.ccpif.fr/</t>
        </is>
      </c>
      <c r="O1085" t="inlineStr"/>
      <c r="P1085" s="4" t="inlineStr">
        <is>
          <t>https://lannuaire.service-public.gouv.fr/ile-de-france/yvelines/80bf6773-3d4f-498b-8275-e24dc653bf1d</t>
        </is>
      </c>
      <c r="Q1085" t="inlineStr">
        <is>
          <t>Annuaire Service-public.fr</t>
        </is>
      </c>
      <c r="R1085" t="inlineStr"/>
      <c r="S1085" t="inlineStr"/>
      <c r="T1085" t="inlineStr"/>
    </row>
    <row r="1086">
      <c r="A1086" t="inlineStr">
        <is>
          <t>CC de la Haute Vallée de Chevreuse</t>
        </is>
      </c>
      <c r="B1086" t="inlineStr">
        <is>
          <t>Communauté de communes</t>
        </is>
      </c>
      <c r="C1086" t="inlineStr">
        <is>
          <t>200033173</t>
        </is>
      </c>
      <c r="D1086" t="inlineStr">
        <is>
          <t>78</t>
        </is>
      </c>
      <c r="E1086" t="inlineStr">
        <is>
          <t>Yvelines</t>
        </is>
      </c>
      <c r="F1086" t="inlineStr">
        <is>
          <t>Île-de-France</t>
        </is>
      </c>
      <c r="G1086" s="3" t="n">
        <v>25225</v>
      </c>
      <c r="H1086" t="n">
        <v>10</v>
      </c>
      <c r="I1086" t="inlineStr">
        <is>
          <t>9 Grande-Rue</t>
        </is>
      </c>
      <c r="J1086" t="inlineStr">
        <is>
          <t>78720</t>
        </is>
      </c>
      <c r="K1086" t="inlineStr">
        <is>
          <t>Dampierre-en-Yvelines</t>
        </is>
      </c>
      <c r="L1086" t="inlineStr">
        <is>
          <t>01 30 52 83 83</t>
        </is>
      </c>
      <c r="M1086" s="4" t="inlineStr">
        <is>
          <t>cchvc78@orange.fr</t>
        </is>
      </c>
      <c r="N1086" s="4" t="inlineStr">
        <is>
          <t>https://www.cchvc.fr/</t>
        </is>
      </c>
      <c r="O1086" s="4" t="inlineStr">
        <is>
          <t>https://www.cchvc.fr/contact/</t>
        </is>
      </c>
      <c r="P1086" s="4" t="inlineStr">
        <is>
          <t>https://lannuaire.service-public.gouv.fr/ile-de-france/yvelines/aa3ea9d6-f1bb-4220-b9fa-e09530587ca7</t>
        </is>
      </c>
      <c r="Q1086" t="inlineStr">
        <is>
          <t>Annuaire Service-public.fr</t>
        </is>
      </c>
      <c r="R1086" t="inlineStr"/>
      <c r="S1086" t="inlineStr"/>
      <c r="T1086" t="inlineStr"/>
    </row>
    <row r="1087">
      <c r="A1087" t="inlineStr">
        <is>
          <t>CU Grand Paris Seine et Oise</t>
        </is>
      </c>
      <c r="B1087" t="inlineStr">
        <is>
          <t>Communauté urbaine</t>
        </is>
      </c>
      <c r="C1087" t="inlineStr">
        <is>
          <t>200059889</t>
        </is>
      </c>
      <c r="D1087" t="inlineStr">
        <is>
          <t>78</t>
        </is>
      </c>
      <c r="E1087" t="inlineStr">
        <is>
          <t>Yvelines</t>
        </is>
      </c>
      <c r="F1087" t="inlineStr">
        <is>
          <t>Île-de-France</t>
        </is>
      </c>
      <c r="G1087" s="3" t="n">
        <v>433255</v>
      </c>
      <c r="H1087" t="n">
        <v>73</v>
      </c>
      <c r="I1087" t="inlineStr">
        <is>
          <t>Rue des Chevries, Immeuble Autoneum</t>
        </is>
      </c>
      <c r="J1087" t="inlineStr">
        <is>
          <t>78410</t>
        </is>
      </c>
      <c r="K1087" t="inlineStr">
        <is>
          <t>Aubergenville</t>
        </is>
      </c>
      <c r="L1087" t="inlineStr">
        <is>
          <t>01 82 86 00 86</t>
        </is>
      </c>
      <c r="M1087" t="inlineStr"/>
      <c r="N1087" s="4" t="inlineStr">
        <is>
          <t>https://www.gpseo.fr</t>
        </is>
      </c>
      <c r="O1087" s="4" t="inlineStr">
        <is>
          <t>https://formulaires.demarches.gpseo.fr/formulaire-de-contact/nous-contacter/</t>
        </is>
      </c>
      <c r="P1087" s="4" t="inlineStr">
        <is>
          <t>https://lannuaire.service-public.gouv.fr/ile-de-france/yvelines/3213b523-3f7e-4a6f-9912-303add774cbb</t>
        </is>
      </c>
      <c r="Q1087" t="inlineStr">
        <is>
          <t>Annuaire Service-public.fr</t>
        </is>
      </c>
      <c r="R1087" t="inlineStr"/>
      <c r="S1087" t="inlineStr"/>
      <c r="T1087" t="inlineStr"/>
    </row>
    <row r="1088">
      <c r="A1088" t="inlineStr">
        <is>
          <t>CA Versailles Grand Parc (CAVGP)</t>
        </is>
      </c>
      <c r="B1088" t="inlineStr">
        <is>
          <t>Communauté d’agglomération</t>
        </is>
      </c>
      <c r="C1088" t="inlineStr">
        <is>
          <t>247800584</t>
        </is>
      </c>
      <c r="D1088" t="inlineStr">
        <is>
          <t>78, 91</t>
        </is>
      </c>
      <c r="E1088" t="inlineStr">
        <is>
          <t>Yvelines, Essonne</t>
        </is>
      </c>
      <c r="F1088" t="inlineStr">
        <is>
          <t>Île-de-France</t>
        </is>
      </c>
      <c r="G1088" s="3" t="n">
        <v>268563</v>
      </c>
      <c r="H1088" t="n">
        <v>18</v>
      </c>
      <c r="I1088" t="inlineStr">
        <is>
          <t>6 avenue de Paris</t>
        </is>
      </c>
      <c r="J1088" t="inlineStr">
        <is>
          <t>78000</t>
        </is>
      </c>
      <c r="K1088" t="inlineStr">
        <is>
          <t>Versailles</t>
        </is>
      </c>
      <c r="L1088" t="inlineStr">
        <is>
          <t>01 39 66 30 00</t>
        </is>
      </c>
      <c r="M1088" s="4" t="inlineStr">
        <is>
          <t>contact@agglovgp.fr</t>
        </is>
      </c>
      <c r="N1088" s="4" t="inlineStr">
        <is>
          <t>https://www.versaillesgrandparc.fr/</t>
        </is>
      </c>
      <c r="O1088" s="4" t="inlineStr">
        <is>
          <t>https://www.versaillesgrandparc.fr/contact</t>
        </is>
      </c>
      <c r="P1088" s="4" t="inlineStr">
        <is>
          <t>https://lannuaire.service-public.gouv.fr/ile-de-france/yvelines/440915fa-991f-4ca9-963d-c1dc232f9a1d</t>
        </is>
      </c>
      <c r="Q1088" t="inlineStr">
        <is>
          <t>Annuaire Service-public.fr</t>
        </is>
      </c>
      <c r="R1088" t="inlineStr"/>
      <c r="S1088" t="inlineStr"/>
      <c r="T1088" t="inlineStr"/>
    </row>
    <row r="1089">
      <c r="A1089" t="inlineStr">
        <is>
          <t>CA Saint Germain Boucles de Seine</t>
        </is>
      </c>
      <c r="B1089" t="inlineStr">
        <is>
          <t>Communauté d’agglomération</t>
        </is>
      </c>
      <c r="C1089" t="inlineStr">
        <is>
          <t>200058519</t>
        </is>
      </c>
      <c r="D1089" t="inlineStr">
        <is>
          <t>78, 95</t>
        </is>
      </c>
      <c r="E1089" t="inlineStr">
        <is>
          <t>Yvelines, Val-d'Oise</t>
        </is>
      </c>
      <c r="F1089" t="inlineStr">
        <is>
          <t>Île-de-France</t>
        </is>
      </c>
      <c r="G1089" s="3" t="n">
        <v>341547</v>
      </c>
      <c r="H1089" t="n">
        <v>19</v>
      </c>
      <c r="I1089" t="inlineStr">
        <is>
          <t>66 route de Sartrouville, Parc des Érables, Bâtiment 4</t>
        </is>
      </c>
      <c r="J1089" t="inlineStr">
        <is>
          <t>78230</t>
        </is>
      </c>
      <c r="K1089" t="inlineStr">
        <is>
          <t>Le Pecq</t>
        </is>
      </c>
      <c r="L1089" t="inlineStr">
        <is>
          <t>01 30 09 75 30</t>
        </is>
      </c>
      <c r="M1089" s="4" t="inlineStr">
        <is>
          <t>contact@casgbs.fr</t>
        </is>
      </c>
      <c r="N1089" s="4" t="inlineStr">
        <is>
          <t>https://www.saintgermainbouclesdeseine.fr/</t>
        </is>
      </c>
      <c r="O1089" s="4" t="inlineStr">
        <is>
          <t>https://www.saintgermainbouclesdeseine.fr/nous-contacter/</t>
        </is>
      </c>
      <c r="P1089" s="4" t="inlineStr">
        <is>
          <t>https://lannuaire.service-public.gouv.fr/ile-de-france/yvelines/9cb9c2f1-3519-422e-bc2e-76bc8b5216cf</t>
        </is>
      </c>
      <c r="Q1089" t="inlineStr">
        <is>
          <t>Annuaire Service-public.fr</t>
        </is>
      </c>
      <c r="R1089" t="inlineStr"/>
      <c r="S1089" t="inlineStr"/>
      <c r="T1089" t="inlineStr"/>
    </row>
    <row r="1090">
      <c r="A1090" t="inlineStr">
        <is>
          <t>CA de Cergy-Pontoise</t>
        </is>
      </c>
      <c r="B1090" t="inlineStr">
        <is>
          <t>Communauté d’agglomération</t>
        </is>
      </c>
      <c r="C1090" t="inlineStr">
        <is>
          <t>249500109</t>
        </is>
      </c>
      <c r="D1090" t="inlineStr">
        <is>
          <t>78, 95</t>
        </is>
      </c>
      <c r="E1090" t="inlineStr">
        <is>
          <t>Yvelines, Val-d'Oise</t>
        </is>
      </c>
      <c r="F1090" t="inlineStr">
        <is>
          <t>Île-de-France</t>
        </is>
      </c>
      <c r="G1090" s="3" t="n">
        <v>217763</v>
      </c>
      <c r="H1090" t="n">
        <v>13</v>
      </c>
      <c r="I1090" t="inlineStr">
        <is>
          <t>Hôtel d'agglomération, CS 80309</t>
        </is>
      </c>
      <c r="J1090" t="inlineStr">
        <is>
          <t>95027</t>
        </is>
      </c>
      <c r="K1090" t="inlineStr">
        <is>
          <t>Cergy-Pontoise Cedex</t>
        </is>
      </c>
      <c r="L1090" t="inlineStr">
        <is>
          <t>01 34 41 42 43</t>
        </is>
      </c>
      <c r="M1090" s="4" t="inlineStr">
        <is>
          <t>courrier@cergypontoise.fr</t>
        </is>
      </c>
      <c r="N1090" s="4" t="inlineStr">
        <is>
          <t>https://www.cergypontoise.fr</t>
        </is>
      </c>
      <c r="O1090" s="4" t="inlineStr">
        <is>
          <t>https://www.cergypontoise.fr/directagglo#/</t>
        </is>
      </c>
      <c r="P1090" s="4" t="inlineStr">
        <is>
          <t>https://lannuaire.service-public.gouv.fr/ile-de-france/val-d-oise/1d37d547-4812-4ef0-a59d-4b03b2d9a9ea</t>
        </is>
      </c>
      <c r="Q1090" t="inlineStr">
        <is>
          <t>Annuaire Service-public.fr</t>
        </is>
      </c>
      <c r="R1090" t="inlineStr"/>
      <c r="S1090" t="inlineStr"/>
      <c r="T1090" t="inlineStr"/>
    </row>
    <row r="1091">
      <c r="A1091" t="inlineStr">
        <is>
          <t>CA du Bocage Bressuirais</t>
        </is>
      </c>
      <c r="B1091" t="inlineStr">
        <is>
          <t>Communauté d’agglomération</t>
        </is>
      </c>
      <c r="C1091" t="inlineStr">
        <is>
          <t>200040244</t>
        </is>
      </c>
      <c r="D1091" t="inlineStr">
        <is>
          <t>79</t>
        </is>
      </c>
      <c r="E1091" t="inlineStr">
        <is>
          <t>Deux-Sèvres</t>
        </is>
      </c>
      <c r="F1091" t="inlineStr">
        <is>
          <t>Nouvelle-Aquitaine</t>
        </is>
      </c>
      <c r="G1091" s="3" t="n">
        <v>74140</v>
      </c>
      <c r="H1091" t="n">
        <v>33</v>
      </c>
      <c r="I1091" t="inlineStr">
        <is>
          <t>27 boulevard du Colonel-Aubry</t>
        </is>
      </c>
      <c r="J1091" t="inlineStr">
        <is>
          <t>79304</t>
        </is>
      </c>
      <c r="K1091" t="inlineStr">
        <is>
          <t>Bressuire</t>
        </is>
      </c>
      <c r="L1091" t="inlineStr">
        <is>
          <t>05 49 81 19 00</t>
        </is>
      </c>
      <c r="M1091" s="4" t="inlineStr">
        <is>
          <t>contact@agglo2b.fr</t>
        </is>
      </c>
      <c r="N1091" s="4" t="inlineStr">
        <is>
          <t>https://www.agglo2b.fr/</t>
        </is>
      </c>
      <c r="O1091" s="4" t="inlineStr">
        <is>
          <t>https://wp01.hellyum.com/agglo2b/depot-de-demande-sve/</t>
        </is>
      </c>
      <c r="P1091" s="4" t="inlineStr">
        <is>
          <t>https://lannuaire.service-public.gouv.fr/nouvelle-aquitaine/deux-sevres/b33ce726-b46f-4e26-a993-124ae6359eaf</t>
        </is>
      </c>
      <c r="Q1091" t="inlineStr">
        <is>
          <t>Annuaire Service-public.fr</t>
        </is>
      </c>
      <c r="R1091" t="inlineStr"/>
      <c r="S1091" t="inlineStr"/>
      <c r="T1091" t="inlineStr"/>
    </row>
    <row r="1092">
      <c r="A1092" t="inlineStr">
        <is>
          <t>CA du Niortais</t>
        </is>
      </c>
      <c r="B1092" t="inlineStr">
        <is>
          <t>Communauté d’agglomération</t>
        </is>
      </c>
      <c r="C1092" t="inlineStr">
        <is>
          <t>200041317</t>
        </is>
      </c>
      <c r="D1092" t="inlineStr">
        <is>
          <t>79</t>
        </is>
      </c>
      <c r="E1092" t="inlineStr">
        <is>
          <t>Deux-Sèvres</t>
        </is>
      </c>
      <c r="F1092" t="inlineStr">
        <is>
          <t>Nouvelle-Aquitaine</t>
        </is>
      </c>
      <c r="G1092" s="3" t="n">
        <v>123389</v>
      </c>
      <c r="H1092" t="n">
        <v>40</v>
      </c>
      <c r="I1092" t="inlineStr">
        <is>
          <t>140 rue des Equarts, CS 28770</t>
        </is>
      </c>
      <c r="J1092" t="inlineStr">
        <is>
          <t>79027</t>
        </is>
      </c>
      <c r="K1092" t="inlineStr">
        <is>
          <t>Niort Cedex</t>
        </is>
      </c>
      <c r="L1092" t="inlineStr">
        <is>
          <t>05 17 38 79 00</t>
        </is>
      </c>
      <c r="M1092" s="4" t="inlineStr">
        <is>
          <t>agglo@agglo-niort.fr</t>
        </is>
      </c>
      <c r="N1092" s="4" t="inlineStr">
        <is>
          <t>https://www.niortagglo.fr/</t>
        </is>
      </c>
      <c r="O1092" s="4" t="inlineStr">
        <is>
          <t>https://www.niortagglo.fr/acces-directs/contactez-nous/index.html</t>
        </is>
      </c>
      <c r="P1092" s="4" t="inlineStr">
        <is>
          <t>https://lannuaire.service-public.gouv.fr/nouvelle-aquitaine/deux-sevres/cca236b9-da26-4def-92c4-3da9603b5069</t>
        </is>
      </c>
      <c r="Q1092" t="inlineStr">
        <is>
          <t>Annuaire Service-public.fr</t>
        </is>
      </c>
      <c r="R1092" t="inlineStr"/>
      <c r="S1092" t="inlineStr"/>
      <c r="T1092" t="inlineStr"/>
    </row>
    <row r="1093">
      <c r="A1093" t="inlineStr">
        <is>
          <t>CC Airvaudais-Val du Thouet</t>
        </is>
      </c>
      <c r="B1093" t="inlineStr">
        <is>
          <t>Communauté de communes</t>
        </is>
      </c>
      <c r="C1093" t="inlineStr">
        <is>
          <t>200041416</t>
        </is>
      </c>
      <c r="D1093" t="inlineStr">
        <is>
          <t>79</t>
        </is>
      </c>
      <c r="E1093" t="inlineStr">
        <is>
          <t>Deux-Sèvres</t>
        </is>
      </c>
      <c r="F1093" t="inlineStr">
        <is>
          <t>Nouvelle-Aquitaine</t>
        </is>
      </c>
      <c r="G1093" s="3" t="n">
        <v>6913</v>
      </c>
      <c r="H1093" t="n">
        <v>9</v>
      </c>
      <c r="I1093" t="inlineStr">
        <is>
          <t>33 place des Promenades</t>
        </is>
      </c>
      <c r="J1093" t="inlineStr">
        <is>
          <t>79600</t>
        </is>
      </c>
      <c r="K1093" t="inlineStr">
        <is>
          <t>Airvault</t>
        </is>
      </c>
      <c r="L1093" t="inlineStr">
        <is>
          <t>05 49 64 93 48</t>
        </is>
      </c>
      <c r="M1093" s="4" t="inlineStr">
        <is>
          <t>communaute@cc-avt.fr</t>
        </is>
      </c>
      <c r="N1093" s="4" t="inlineStr">
        <is>
          <t>https://www.cc-avt.fr/</t>
        </is>
      </c>
      <c r="O1093" s="4" t="inlineStr">
        <is>
          <t>https://www.cc-avt.fr/contact.html</t>
        </is>
      </c>
      <c r="P1093" s="4" t="inlineStr">
        <is>
          <t>https://lannuaire.service-public.gouv.fr/nouvelle-aquitaine/deux-sevres/7b74c321-a9fd-414e-b9fe-82f42f25953c</t>
        </is>
      </c>
      <c r="Q1093" t="inlineStr">
        <is>
          <t>Annuaire Service-public.fr</t>
        </is>
      </c>
      <c r="R1093" t="inlineStr"/>
      <c r="S1093" t="inlineStr"/>
      <c r="T1093" t="inlineStr"/>
    </row>
    <row r="1094">
      <c r="A1094" t="inlineStr">
        <is>
          <t>CC Haut Val de Sèvre</t>
        </is>
      </c>
      <c r="B1094" t="inlineStr">
        <is>
          <t>Communauté de communes</t>
        </is>
      </c>
      <c r="C1094" t="inlineStr">
        <is>
          <t>200041994</t>
        </is>
      </c>
      <c r="D1094" t="inlineStr">
        <is>
          <t>79</t>
        </is>
      </c>
      <c r="E1094" t="inlineStr">
        <is>
          <t>Deux-Sèvres</t>
        </is>
      </c>
      <c r="F1094" t="inlineStr">
        <is>
          <t>Nouvelle-Aquitaine</t>
        </is>
      </c>
      <c r="G1094" s="3" t="n">
        <v>30618</v>
      </c>
      <c r="H1094" t="n">
        <v>19</v>
      </c>
      <c r="I1094" t="inlineStr">
        <is>
          <t>7 boulevard de la Trouillette</t>
        </is>
      </c>
      <c r="J1094" t="inlineStr">
        <is>
          <t>79400</t>
        </is>
      </c>
      <c r="K1094" t="inlineStr">
        <is>
          <t>Saint-Maixent-l'École</t>
        </is>
      </c>
      <c r="L1094" t="inlineStr">
        <is>
          <t>05 49 76 29 58</t>
        </is>
      </c>
      <c r="M1094" s="4" t="inlineStr">
        <is>
          <t>contact@cc-hvs.fr</t>
        </is>
      </c>
      <c r="N1094" s="4" t="inlineStr">
        <is>
          <t>https://cc-hautvaldesevre.fr/</t>
        </is>
      </c>
      <c r="O1094" s="4" t="inlineStr">
        <is>
          <t>https://cc-hautvaldesevre.fr/contact.html</t>
        </is>
      </c>
      <c r="P1094" s="4" t="inlineStr">
        <is>
          <t>https://lannuaire.service-public.gouv.fr/nouvelle-aquitaine/deux-sevres/feed2471-dd68-4d16-9c29-a90e09990a64</t>
        </is>
      </c>
      <c r="Q1094" t="inlineStr">
        <is>
          <t>Annuaire Service-public.fr</t>
        </is>
      </c>
      <c r="R1094" t="inlineStr"/>
      <c r="S1094" t="inlineStr"/>
      <c r="T1094" t="inlineStr"/>
    </row>
    <row r="1095">
      <c r="A1095" t="inlineStr">
        <is>
          <t>CC Mellois en Poitou</t>
        </is>
      </c>
      <c r="B1095" t="inlineStr">
        <is>
          <t>Communauté de communes</t>
        </is>
      </c>
      <c r="C1095" t="inlineStr">
        <is>
          <t>200069755</t>
        </is>
      </c>
      <c r="D1095" t="inlineStr">
        <is>
          <t>79</t>
        </is>
      </c>
      <c r="E1095" t="inlineStr">
        <is>
          <t>Deux-Sèvres</t>
        </is>
      </c>
      <c r="F1095" t="inlineStr">
        <is>
          <t>Nouvelle-Aquitaine</t>
        </is>
      </c>
      <c r="G1095" s="3" t="n">
        <v>46490</v>
      </c>
      <c r="H1095" t="n">
        <v>58</v>
      </c>
      <c r="I1095" t="inlineStr">
        <is>
          <t>Les Arcades, 2 place de Strasbourg</t>
        </is>
      </c>
      <c r="J1095" t="inlineStr">
        <is>
          <t>79500</t>
        </is>
      </c>
      <c r="K1095" t="inlineStr">
        <is>
          <t>Melle</t>
        </is>
      </c>
      <c r="L1095" t="inlineStr">
        <is>
          <t>05 49 29 02 90</t>
        </is>
      </c>
      <c r="M1095" s="4" t="inlineStr">
        <is>
          <t>accueil@melloisenpoitou.fr</t>
        </is>
      </c>
      <c r="N1095" s="4" t="inlineStr">
        <is>
          <t>https://www.melloisenpoitou.fr/</t>
        </is>
      </c>
      <c r="O1095" s="4" t="inlineStr">
        <is>
          <t>https://www.melloisenpoitou.fr/contactez-nous</t>
        </is>
      </c>
      <c r="P1095" s="4" t="inlineStr">
        <is>
          <t>https://lannuaire.service-public.gouv.fr/nouvelle-aquitaine/deux-sevres/4e3e2428-830f-4269-8653-e50b86213e56</t>
        </is>
      </c>
      <c r="Q1095" t="inlineStr">
        <is>
          <t>Annuaire Service-public.fr</t>
        </is>
      </c>
      <c r="R1095" t="inlineStr"/>
      <c r="S1095" t="inlineStr"/>
      <c r="T1095" t="inlineStr"/>
    </row>
    <row r="1096">
      <c r="A1096" t="inlineStr">
        <is>
          <t>CC Val de Gâtine</t>
        </is>
      </c>
      <c r="B1096" t="inlineStr">
        <is>
          <t>Communauté de communes</t>
        </is>
      </c>
      <c r="C1096" t="inlineStr">
        <is>
          <t>200069748</t>
        </is>
      </c>
      <c r="D1096" t="inlineStr">
        <is>
          <t>79</t>
        </is>
      </c>
      <c r="E1096" t="inlineStr">
        <is>
          <t>Deux-Sèvres</t>
        </is>
      </c>
      <c r="F1096" t="inlineStr">
        <is>
          <t>Nouvelle-Aquitaine</t>
        </is>
      </c>
      <c r="G1096" s="3" t="n">
        <v>21570</v>
      </c>
      <c r="H1096" t="n">
        <v>31</v>
      </c>
      <c r="I1096" t="inlineStr">
        <is>
          <t>Place Porte-Saint-Antoine</t>
        </is>
      </c>
      <c r="J1096" t="inlineStr">
        <is>
          <t>79220</t>
        </is>
      </c>
      <c r="K1096" t="inlineStr">
        <is>
          <t>Champdeniers</t>
        </is>
      </c>
      <c r="L1096" t="inlineStr">
        <is>
          <t>05 49 25 64 11</t>
        </is>
      </c>
      <c r="M1096" s="4" t="inlineStr">
        <is>
          <t>accueil.champdeniers@valdegatine.fr</t>
        </is>
      </c>
      <c r="N1096" s="4" t="inlineStr">
        <is>
          <t>https://www.valdegatine.fr/accueil.html</t>
        </is>
      </c>
      <c r="O1096" s="4" t="inlineStr">
        <is>
          <t>https://www.valdegatine.fr/contact.html</t>
        </is>
      </c>
      <c r="P1096" s="4" t="inlineStr">
        <is>
          <t>https://lannuaire.service-public.gouv.fr/nouvelle-aquitaine/deux-sevres/6949f806-41a4-45b4-97f8-8f0d8145310e</t>
        </is>
      </c>
      <c r="Q1096" t="inlineStr">
        <is>
          <t>Annuaire Service-public.fr</t>
        </is>
      </c>
      <c r="R1096" t="inlineStr"/>
      <c r="S1096" t="inlineStr"/>
      <c r="T1096" t="inlineStr"/>
    </row>
    <row r="1097">
      <c r="A1097" t="inlineStr">
        <is>
          <t>CC de Parthenay-Gâtine</t>
        </is>
      </c>
      <c r="B1097" t="inlineStr">
        <is>
          <t>Communauté de communes</t>
        </is>
      </c>
      <c r="C1097" t="inlineStr">
        <is>
          <t>200041333</t>
        </is>
      </c>
      <c r="D1097" t="inlineStr">
        <is>
          <t>79</t>
        </is>
      </c>
      <c r="E1097" t="inlineStr">
        <is>
          <t>Deux-Sèvres</t>
        </is>
      </c>
      <c r="F1097" t="inlineStr">
        <is>
          <t>Nouvelle-Aquitaine</t>
        </is>
      </c>
      <c r="G1097" s="3" t="n">
        <v>36926</v>
      </c>
      <c r="H1097" t="n">
        <v>38</v>
      </c>
      <c r="I1097" t="inlineStr">
        <is>
          <t>2 rue de la Citadelle</t>
        </is>
      </c>
      <c r="J1097" t="inlineStr">
        <is>
          <t>79200</t>
        </is>
      </c>
      <c r="K1097" t="inlineStr">
        <is>
          <t>Parthenay</t>
        </is>
      </c>
      <c r="L1097" t="inlineStr">
        <is>
          <t>05 49 94 03 77</t>
        </is>
      </c>
      <c r="M1097" s="4" t="inlineStr">
        <is>
          <t>cc-parthenay@cc-parthenay-gatine.fr</t>
        </is>
      </c>
      <c r="N1097" s="4" t="inlineStr">
        <is>
          <t>https://www.cc-parthenay-gatine.fr/</t>
        </is>
      </c>
      <c r="O1097" t="inlineStr"/>
      <c r="P1097" s="4" t="inlineStr">
        <is>
          <t>https://lannuaire.service-public.gouv.fr/nouvelle-aquitaine/deux-sevres/981d3c12-af95-4995-8476-ca0a6a4b7fc0</t>
        </is>
      </c>
      <c r="Q1097" t="inlineStr">
        <is>
          <t>Annuaire Service-public.fr</t>
        </is>
      </c>
      <c r="R1097" t="inlineStr"/>
      <c r="S1097" t="inlineStr"/>
      <c r="T1097" t="inlineStr"/>
    </row>
    <row r="1098">
      <c r="A1098" t="inlineStr">
        <is>
          <t>CC du Thouarsais</t>
        </is>
      </c>
      <c r="B1098" t="inlineStr">
        <is>
          <t>Communauté de communes</t>
        </is>
      </c>
      <c r="C1098" t="inlineStr">
        <is>
          <t>247900798</t>
        </is>
      </c>
      <c r="D1098" t="inlineStr">
        <is>
          <t>79</t>
        </is>
      </c>
      <c r="E1098" t="inlineStr">
        <is>
          <t>Deux-Sèvres</t>
        </is>
      </c>
      <c r="F1098" t="inlineStr">
        <is>
          <t>Nouvelle-Aquitaine</t>
        </is>
      </c>
      <c r="G1098" s="3" t="n">
        <v>35369</v>
      </c>
      <c r="H1098" t="n">
        <v>24</v>
      </c>
      <c r="I1098" t="inlineStr">
        <is>
          <t>4 rue de la Tremoille, Hôtel des Communes</t>
        </is>
      </c>
      <c r="J1098" t="inlineStr">
        <is>
          <t>79100</t>
        </is>
      </c>
      <c r="K1098" t="inlineStr">
        <is>
          <t>Thouars</t>
        </is>
      </c>
      <c r="L1098" t="inlineStr">
        <is>
          <t>05 49 66 77 00</t>
        </is>
      </c>
      <c r="M1098" s="4" t="inlineStr">
        <is>
          <t>info@thouars-communaute.fr</t>
        </is>
      </c>
      <c r="N1098" s="4" t="inlineStr">
        <is>
          <t>https://www.thouars-communaute.fr/</t>
        </is>
      </c>
      <c r="O1098" s="4" t="inlineStr">
        <is>
          <t>https://www.thouars-communaute.fr/</t>
        </is>
      </c>
      <c r="P1098" s="4" t="inlineStr">
        <is>
          <t>https://lannuaire.service-public.gouv.fr/nouvelle-aquitaine/deux-sevres/1b39bc84-44d3-4215-bed9-d058bcdf6e95</t>
        </is>
      </c>
      <c r="Q1098" t="inlineStr">
        <is>
          <t>Annuaire Service-public.fr</t>
        </is>
      </c>
      <c r="R1098" t="inlineStr"/>
      <c r="S1098" t="inlineStr"/>
      <c r="T1098" t="inlineStr"/>
    </row>
    <row r="1099">
      <c r="A1099" t="inlineStr">
        <is>
          <t>CA Amiens Métropole</t>
        </is>
      </c>
      <c r="B1099" t="inlineStr">
        <is>
          <t>Communauté d’agglomération</t>
        </is>
      </c>
      <c r="C1099" t="inlineStr">
        <is>
          <t>248000531</t>
        </is>
      </c>
      <c r="D1099" t="inlineStr">
        <is>
          <t>80</t>
        </is>
      </c>
      <c r="E1099" t="inlineStr">
        <is>
          <t>Somme</t>
        </is>
      </c>
      <c r="F1099" t="inlineStr">
        <is>
          <t>Hauts-de-France</t>
        </is>
      </c>
      <c r="G1099" s="3" t="n">
        <v>182854</v>
      </c>
      <c r="H1099" t="n">
        <v>39</v>
      </c>
      <c r="I1099" t="inlineStr">
        <is>
          <t>Place de l'Hôtel-de-Ville</t>
        </is>
      </c>
      <c r="J1099" t="inlineStr">
        <is>
          <t>80000</t>
        </is>
      </c>
      <c r="K1099" t="inlineStr">
        <is>
          <t>Amiens</t>
        </is>
      </c>
      <c r="L1099" t="inlineStr">
        <is>
          <t>03 22 97 40 40</t>
        </is>
      </c>
      <c r="M1099" s="4" t="inlineStr">
        <is>
          <t>maire-amiens@amiens-metropole.com</t>
        </is>
      </c>
      <c r="N1099" s="4" t="inlineStr">
        <is>
          <t>https://www.amiens.fr/</t>
        </is>
      </c>
      <c r="O1099" t="inlineStr"/>
      <c r="P1099" s="4" t="inlineStr">
        <is>
          <t>https://lannuaire.service-public.gouv.fr/hauts-de-france/somme/efc23c87-0dcf-4537-a78a-5a3185a7eea2</t>
        </is>
      </c>
      <c r="Q1099" t="inlineStr">
        <is>
          <t>Annuaire Service-public.fr</t>
        </is>
      </c>
      <c r="R1099" t="inlineStr"/>
      <c r="S1099" t="inlineStr"/>
      <c r="T1099" t="inlineStr"/>
    </row>
    <row r="1100">
      <c r="A1100" t="inlineStr">
        <is>
          <t>CA de la Baie de Somme</t>
        </is>
      </c>
      <c r="B1100" t="inlineStr">
        <is>
          <t>Communauté d’agglomération</t>
        </is>
      </c>
      <c r="C1100" t="inlineStr">
        <is>
          <t>200070993</t>
        </is>
      </c>
      <c r="D1100" t="inlineStr">
        <is>
          <t>80</t>
        </is>
      </c>
      <c r="E1100" t="inlineStr">
        <is>
          <t>Somme</t>
        </is>
      </c>
      <c r="F1100" t="inlineStr">
        <is>
          <t>Hauts-de-France</t>
        </is>
      </c>
      <c r="G1100" s="3" t="n">
        <v>47779</v>
      </c>
      <c r="H1100" t="n">
        <v>43</v>
      </c>
      <c r="I1100" t="inlineStr">
        <is>
          <t>Place de la Gare</t>
        </is>
      </c>
      <c r="J1100" t="inlineStr">
        <is>
          <t>80100</t>
        </is>
      </c>
      <c r="K1100" t="inlineStr">
        <is>
          <t>Abbeville</t>
        </is>
      </c>
      <c r="L1100" t="inlineStr">
        <is>
          <t>03 22 24 05 68</t>
        </is>
      </c>
      <c r="M1100" s="4" t="inlineStr">
        <is>
          <t>contact@ca-baiedesomme.fr</t>
        </is>
      </c>
      <c r="N1100" s="4" t="inlineStr">
        <is>
          <t>http://www.baiedesommeagglo.fr</t>
        </is>
      </c>
      <c r="O1100" s="4" t="inlineStr">
        <is>
          <t>https://www.baiedesommeagglo.fr/contact/</t>
        </is>
      </c>
      <c r="P1100" s="4" t="inlineStr">
        <is>
          <t>https://lannuaire.service-public.gouv.fr/hauts-de-france/somme/1a93978f-bc9f-46ea-83db-329bee5d1592</t>
        </is>
      </c>
      <c r="Q1100" t="inlineStr">
        <is>
          <t>Annuaire Service-public.fr</t>
        </is>
      </c>
      <c r="R1100" t="inlineStr"/>
      <c r="S1100" t="inlineStr"/>
      <c r="T1100" t="inlineStr"/>
    </row>
    <row r="1101">
      <c r="A1101" t="inlineStr">
        <is>
          <t>CC Avre Luce Noye</t>
        </is>
      </c>
      <c r="B1101" t="inlineStr">
        <is>
          <t>Communauté de communes</t>
        </is>
      </c>
      <c r="C1101" t="inlineStr">
        <is>
          <t>200070969</t>
        </is>
      </c>
      <c r="D1101" t="inlineStr">
        <is>
          <t>80</t>
        </is>
      </c>
      <c r="E1101" t="inlineStr">
        <is>
          <t>Somme</t>
        </is>
      </c>
      <c r="F1101" t="inlineStr">
        <is>
          <t>Hauts-de-France</t>
        </is>
      </c>
      <c r="G1101" s="3" t="n">
        <v>21536</v>
      </c>
      <c r="H1101" t="n">
        <v>47</v>
      </c>
      <c r="I1101" t="inlineStr">
        <is>
          <t>ZAC du Val de Noye, Route de Boves</t>
        </is>
      </c>
      <c r="J1101" t="inlineStr">
        <is>
          <t>80250</t>
        </is>
      </c>
      <c r="K1101" t="inlineStr">
        <is>
          <t>Ailly-sur-Noye</t>
        </is>
      </c>
      <c r="L1101" t="inlineStr">
        <is>
          <t>03 22 09 75 32</t>
        </is>
      </c>
      <c r="M1101" s="4" t="inlineStr">
        <is>
          <t>secretariat@avrelucenoye.fr</t>
        </is>
      </c>
      <c r="N1101" s="4" t="inlineStr">
        <is>
          <t>https://www.avrelucenoye.fr/</t>
        </is>
      </c>
      <c r="O1101" s="4" t="inlineStr">
        <is>
          <t>https://www.avrelucenoye.fr/nous-contacter/</t>
        </is>
      </c>
      <c r="P1101" s="4" t="inlineStr">
        <is>
          <t>https://lannuaire.service-public.gouv.fr/hauts-de-france/somme/d879e2e7-b66e-4f89-b344-6a4165242703</t>
        </is>
      </c>
      <c r="Q1101" t="inlineStr">
        <is>
          <t>Annuaire Service-public.fr</t>
        </is>
      </c>
      <c r="R1101" t="inlineStr"/>
      <c r="S1101" t="inlineStr"/>
      <c r="T1101" t="inlineStr"/>
    </row>
    <row r="1102">
      <c r="A1102" t="inlineStr">
        <is>
          <t>CC Nièvre et Somme</t>
        </is>
      </c>
      <c r="B1102" t="inlineStr">
        <is>
          <t>Communauté de communes</t>
        </is>
      </c>
      <c r="C1102" t="inlineStr">
        <is>
          <t>200071223</t>
        </is>
      </c>
      <c r="D1102" t="inlineStr">
        <is>
          <t>80</t>
        </is>
      </c>
      <c r="E1102" t="inlineStr">
        <is>
          <t>Somme</t>
        </is>
      </c>
      <c r="F1102" t="inlineStr">
        <is>
          <t>Hauts-de-France</t>
        </is>
      </c>
      <c r="G1102" s="3" t="n">
        <v>27719</v>
      </c>
      <c r="H1102" t="n">
        <v>36</v>
      </c>
      <c r="I1102" t="inlineStr">
        <is>
          <t>ZAC des Hauts du Val de Nièvre, 1 allée des Quarantes, BP 30214</t>
        </is>
      </c>
      <c r="J1102" t="inlineStr">
        <is>
          <t>80420</t>
        </is>
      </c>
      <c r="K1102" t="inlineStr">
        <is>
          <t>Flixecourt</t>
        </is>
      </c>
      <c r="L1102" t="inlineStr">
        <is>
          <t>03 22 39 40 40</t>
        </is>
      </c>
      <c r="M1102" s="4" t="inlineStr">
        <is>
          <t>contact@nievresomme.fr</t>
        </is>
      </c>
      <c r="N1102" s="4" t="inlineStr">
        <is>
          <t>https://www.nievresomme.fr/</t>
        </is>
      </c>
      <c r="O1102" s="4" t="inlineStr">
        <is>
          <t>https://www.nievresomme.fr/contact/contact.html</t>
        </is>
      </c>
      <c r="P1102" s="4" t="inlineStr">
        <is>
          <t>https://lannuaire.service-public.gouv.fr/hauts-de-france/somme/9ba2180b-165f-4c50-be40-7eb458be4b88</t>
        </is>
      </c>
      <c r="Q1102" t="inlineStr">
        <is>
          <t>Annuaire Service-public.fr</t>
        </is>
      </c>
      <c r="R1102" t="inlineStr"/>
      <c r="S1102" t="inlineStr"/>
      <c r="T1102" t="inlineStr"/>
    </row>
    <row r="1103">
      <c r="A1103" t="inlineStr">
        <is>
          <t>CC Ponthieu-Marquenterre</t>
        </is>
      </c>
      <c r="B1103" t="inlineStr">
        <is>
          <t>Communauté de communes</t>
        </is>
      </c>
      <c r="C1103" t="inlineStr">
        <is>
          <t>200070936</t>
        </is>
      </c>
      <c r="D1103" t="inlineStr">
        <is>
          <t>80</t>
        </is>
      </c>
      <c r="E1103" t="inlineStr">
        <is>
          <t>Somme</t>
        </is>
      </c>
      <c r="F1103" t="inlineStr">
        <is>
          <t>Hauts-de-France</t>
        </is>
      </c>
      <c r="G1103" s="3" t="n">
        <v>32650</v>
      </c>
      <c r="H1103" t="n">
        <v>70</v>
      </c>
      <c r="I1103" t="inlineStr">
        <is>
          <t>33 bis route du Crotoy</t>
        </is>
      </c>
      <c r="J1103" t="inlineStr">
        <is>
          <t>80120</t>
        </is>
      </c>
      <c r="K1103" t="inlineStr">
        <is>
          <t>Rue</t>
        </is>
      </c>
      <c r="L1103" t="inlineStr">
        <is>
          <t>03 22 27 27 10</t>
        </is>
      </c>
      <c r="M1103" s="4" t="inlineStr">
        <is>
          <t>siege.rue@ponthieu-marquenterre.fr</t>
        </is>
      </c>
      <c r="N1103" s="4" t="inlineStr">
        <is>
          <t>https://www.ponthieu-marquenterre.fr/</t>
        </is>
      </c>
      <c r="O1103" t="inlineStr"/>
      <c r="P1103" s="4" t="inlineStr">
        <is>
          <t>https://lannuaire.service-public.gouv.fr/hauts-de-france/somme/74880fe7-ab6a-408d-b76f-8ab2d0069c5e</t>
        </is>
      </c>
      <c r="Q1103" t="inlineStr">
        <is>
          <t>Annuaire Service-public.fr</t>
        </is>
      </c>
      <c r="R1103" t="inlineStr"/>
      <c r="S1103" t="inlineStr"/>
      <c r="T1103" t="inlineStr"/>
    </row>
    <row r="1104">
      <c r="A1104" t="inlineStr">
        <is>
          <t>CC Somme Sud-Ouest</t>
        </is>
      </c>
      <c r="B1104" t="inlineStr">
        <is>
          <t>Communauté de communes</t>
        </is>
      </c>
      <c r="C1104" t="inlineStr">
        <is>
          <t>200071181</t>
        </is>
      </c>
      <c r="D1104" t="inlineStr">
        <is>
          <t>80</t>
        </is>
      </c>
      <c r="E1104" t="inlineStr">
        <is>
          <t>Somme</t>
        </is>
      </c>
      <c r="F1104" t="inlineStr">
        <is>
          <t>Hauts-de-France</t>
        </is>
      </c>
      <c r="G1104" s="3" t="n">
        <v>38045</v>
      </c>
      <c r="H1104" t="n">
        <v>119</v>
      </c>
      <c r="I1104" t="inlineStr">
        <is>
          <t>16 bis route d'Aumale</t>
        </is>
      </c>
      <c r="J1104" t="inlineStr">
        <is>
          <t>80290</t>
        </is>
      </c>
      <c r="K1104" t="inlineStr">
        <is>
          <t>Poix-de-Picardie</t>
        </is>
      </c>
      <c r="L1104" t="inlineStr">
        <is>
          <t>03 22 90 19 65</t>
        </is>
      </c>
      <c r="M1104" s="4" t="inlineStr">
        <is>
          <t>contact@cc2so.fr</t>
        </is>
      </c>
      <c r="N1104" s="4" t="inlineStr">
        <is>
          <t>https://www.cc2so.fr/</t>
        </is>
      </c>
      <c r="O1104" t="inlineStr"/>
      <c r="P1104" s="4" t="inlineStr">
        <is>
          <t>https://lannuaire.service-public.gouv.fr/hauts-de-france/somme/82ce2f8a-ea87-416e-b3b2-ddabbdc36c99</t>
        </is>
      </c>
      <c r="Q1104" t="inlineStr">
        <is>
          <t>Annuaire Service-public.fr</t>
        </is>
      </c>
      <c r="R1104" t="inlineStr"/>
      <c r="S1104" t="inlineStr"/>
      <c r="T1104" t="inlineStr"/>
    </row>
    <row r="1105">
      <c r="A1105" t="inlineStr">
        <is>
          <t>CC Terre de Picardie</t>
        </is>
      </c>
      <c r="B1105" t="inlineStr">
        <is>
          <t>Communauté de communes</t>
        </is>
      </c>
      <c r="C1105" t="inlineStr">
        <is>
          <t>200070928</t>
        </is>
      </c>
      <c r="D1105" t="inlineStr">
        <is>
          <t>80</t>
        </is>
      </c>
      <c r="E1105" t="inlineStr">
        <is>
          <t>Somme</t>
        </is>
      </c>
      <c r="F1105" t="inlineStr">
        <is>
          <t>Hauts-de-France</t>
        </is>
      </c>
      <c r="G1105" s="3" t="n">
        <v>17997</v>
      </c>
      <c r="H1105" t="n">
        <v>43</v>
      </c>
      <c r="I1105" t="inlineStr">
        <is>
          <t>10 avenue de Haute-Picardie</t>
        </is>
      </c>
      <c r="J1105" t="inlineStr">
        <is>
          <t>80200</t>
        </is>
      </c>
      <c r="K1105" t="inlineStr">
        <is>
          <t>Estrées-Deniécourt</t>
        </is>
      </c>
      <c r="L1105" t="inlineStr">
        <is>
          <t>03 22 85 14 14</t>
        </is>
      </c>
      <c r="M1105" s="4" t="inlineStr">
        <is>
          <t>contact@terredepicardie.fr</t>
        </is>
      </c>
      <c r="N1105" s="4" t="inlineStr">
        <is>
          <t>https://terredepicardie.fr/</t>
        </is>
      </c>
      <c r="O1105" t="inlineStr"/>
      <c r="P1105" s="4" t="inlineStr">
        <is>
          <t>https://lannuaire.service-public.gouv.fr/hauts-de-france/somme/9ed19fdb-92b8-439e-a2fd-21b19a9f1573</t>
        </is>
      </c>
      <c r="Q1105" t="inlineStr">
        <is>
          <t>Annuaire Service-public.fr</t>
        </is>
      </c>
      <c r="R1105" t="inlineStr"/>
      <c r="S1105" t="inlineStr"/>
      <c r="T1105" t="inlineStr"/>
    </row>
    <row r="1106">
      <c r="A1106" t="inlineStr">
        <is>
          <t>CC de la Haute Somme (Combles - Péronne - Roisel)</t>
        </is>
      </c>
      <c r="B1106" t="inlineStr">
        <is>
          <t>Communauté de communes</t>
        </is>
      </c>
      <c r="C1106" t="inlineStr">
        <is>
          <t>200037059</t>
        </is>
      </c>
      <c r="D1106" t="inlineStr">
        <is>
          <t>80</t>
        </is>
      </c>
      <c r="E1106" t="inlineStr">
        <is>
          <t>Somme</t>
        </is>
      </c>
      <c r="F1106" t="inlineStr">
        <is>
          <t>Hauts-de-France</t>
        </is>
      </c>
      <c r="G1106" s="3" t="n">
        <v>26454</v>
      </c>
      <c r="H1106" t="n">
        <v>60</v>
      </c>
      <c r="I1106" t="inlineStr">
        <is>
          <t>23 avenue de l'Europe</t>
        </is>
      </c>
      <c r="J1106" t="inlineStr">
        <is>
          <t>8020</t>
        </is>
      </c>
      <c r="K1106" t="inlineStr">
        <is>
          <t>Péronne</t>
        </is>
      </c>
      <c r="L1106" t="inlineStr">
        <is>
          <t>03 22 84 27 51</t>
        </is>
      </c>
      <c r="M1106" s="4" t="inlineStr">
        <is>
          <t>cchs@cchs.fr</t>
        </is>
      </c>
      <c r="N1106" s="4" t="inlineStr">
        <is>
          <t>https://www.coeurhautesomme.fr/</t>
        </is>
      </c>
      <c r="O1106" s="4" t="inlineStr">
        <is>
          <t>https://www.coeurhautesomme.fr/communaute-de-communes/contact/</t>
        </is>
      </c>
      <c r="P1106" s="4" t="inlineStr">
        <is>
          <t>https://lannuaire.service-public.gouv.fr/hauts-de-france/somme/35fa7871-a479-48e6-9ba9-6253ea8e2f08</t>
        </is>
      </c>
      <c r="Q1106" t="inlineStr">
        <is>
          <t>Annuaire Service-public.fr</t>
        </is>
      </c>
      <c r="R1106" t="inlineStr"/>
      <c r="S1106" t="inlineStr"/>
      <c r="T1106" t="inlineStr"/>
    </row>
    <row r="1107">
      <c r="A1107" t="inlineStr">
        <is>
          <t>CC du Grand Roye</t>
        </is>
      </c>
      <c r="B1107" t="inlineStr">
        <is>
          <t>Communauté de communes</t>
        </is>
      </c>
      <c r="C1107" t="inlineStr">
        <is>
          <t>200070977</t>
        </is>
      </c>
      <c r="D1107" t="inlineStr">
        <is>
          <t>80</t>
        </is>
      </c>
      <c r="E1107" t="inlineStr">
        <is>
          <t>Somme</t>
        </is>
      </c>
      <c r="F1107" t="inlineStr">
        <is>
          <t>Hauts-de-France</t>
        </is>
      </c>
      <c r="G1107" s="3" t="n">
        <v>25268</v>
      </c>
      <c r="H1107" t="n">
        <v>62</v>
      </c>
      <c r="I1107" t="inlineStr">
        <is>
          <t>1136 rue Pasteur-Prolongée</t>
        </is>
      </c>
      <c r="J1107" t="inlineStr">
        <is>
          <t>80500</t>
        </is>
      </c>
      <c r="K1107" t="inlineStr">
        <is>
          <t>Montdidier</t>
        </is>
      </c>
      <c r="L1107" t="inlineStr">
        <is>
          <t>03 22 37 50 50</t>
        </is>
      </c>
      <c r="M1107" s="4" t="inlineStr">
        <is>
          <t>contact@grandroye.fr</t>
        </is>
      </c>
      <c r="N1107" s="4" t="inlineStr">
        <is>
          <t>https://www.grandroye.fr/</t>
        </is>
      </c>
      <c r="O1107" t="inlineStr"/>
      <c r="P1107" s="4" t="inlineStr">
        <is>
          <t>https://lannuaire.service-public.gouv.fr/hauts-de-france/somme/bc076ee1-b496-4076-a406-c73e76c9fd77</t>
        </is>
      </c>
      <c r="Q1107" t="inlineStr">
        <is>
          <t>Annuaire Service-public.fr</t>
        </is>
      </c>
      <c r="R1107" t="inlineStr"/>
      <c r="S1107" t="inlineStr"/>
      <c r="T1107" t="inlineStr"/>
    </row>
    <row r="1108">
      <c r="A1108" t="inlineStr">
        <is>
          <t>CC du Pays du Coquelicot</t>
        </is>
      </c>
      <c r="B1108" t="inlineStr">
        <is>
          <t>Communauté de communes</t>
        </is>
      </c>
      <c r="C1108" t="inlineStr">
        <is>
          <t>248000747</t>
        </is>
      </c>
      <c r="D1108" t="inlineStr">
        <is>
          <t>80</t>
        </is>
      </c>
      <c r="E1108" t="inlineStr">
        <is>
          <t>Somme</t>
        </is>
      </c>
      <c r="F1108" t="inlineStr">
        <is>
          <t>Hauts-de-France</t>
        </is>
      </c>
      <c r="G1108" s="3" t="n">
        <v>27909</v>
      </c>
      <c r="H1108" t="n">
        <v>65</v>
      </c>
      <c r="I1108" t="inlineStr">
        <is>
          <t>6 rue Émile-Zola</t>
        </is>
      </c>
      <c r="J1108" t="inlineStr">
        <is>
          <t>80300</t>
        </is>
      </c>
      <c r="K1108" t="inlineStr">
        <is>
          <t>Albert</t>
        </is>
      </c>
      <c r="L1108" t="inlineStr">
        <is>
          <t>03 22 64 10 30</t>
        </is>
      </c>
      <c r="M1108" s="4" t="inlineStr">
        <is>
          <t>comdecom@paysducoquelicot.com</t>
        </is>
      </c>
      <c r="N1108" s="4" t="inlineStr">
        <is>
          <t>https://www.paysducoquelicot.com/</t>
        </is>
      </c>
      <c r="O1108" s="4" t="inlineStr">
        <is>
          <t>https://www.paysducoquelicot.com/contact</t>
        </is>
      </c>
      <c r="P1108" s="4" t="inlineStr">
        <is>
          <t>https://lannuaire.service-public.gouv.fr/hauts-de-france/somme/a6f0c180-e33a-4250-9b88-a8d6b6ac78a8</t>
        </is>
      </c>
      <c r="Q1108" t="inlineStr">
        <is>
          <t>Annuaire Service-public.fr</t>
        </is>
      </c>
      <c r="R1108" t="inlineStr"/>
      <c r="S1108" t="inlineStr"/>
      <c r="T1108" t="inlineStr"/>
    </row>
    <row r="1109">
      <c r="A1109" t="inlineStr">
        <is>
          <t>CC du Territoire Nord Picardie</t>
        </is>
      </c>
      <c r="B1109" t="inlineStr">
        <is>
          <t>Communauté de communes</t>
        </is>
      </c>
      <c r="C1109" t="inlineStr">
        <is>
          <t>200070951</t>
        </is>
      </c>
      <c r="D1109" t="inlineStr">
        <is>
          <t>80</t>
        </is>
      </c>
      <c r="E1109" t="inlineStr">
        <is>
          <t>Somme</t>
        </is>
      </c>
      <c r="F1109" t="inlineStr">
        <is>
          <t>Hauts-de-France</t>
        </is>
      </c>
      <c r="G1109" s="3" t="n">
        <v>30818</v>
      </c>
      <c r="H1109" t="n">
        <v>65</v>
      </c>
      <c r="I1109" t="inlineStr">
        <is>
          <t>2 rue des Soeurs-Grises</t>
        </is>
      </c>
      <c r="J1109" t="inlineStr">
        <is>
          <t>80600</t>
        </is>
      </c>
      <c r="K1109" t="inlineStr">
        <is>
          <t>Doullens</t>
        </is>
      </c>
      <c r="L1109" t="inlineStr">
        <is>
          <t>03 22 77 80 00</t>
        </is>
      </c>
      <c r="M1109" s="4" t="inlineStr">
        <is>
          <t>contact@cctnp.fr</t>
        </is>
      </c>
      <c r="N1109" s="4" t="inlineStr">
        <is>
          <t>https://www.cctnp.fr/</t>
        </is>
      </c>
      <c r="O1109" s="4" t="inlineStr">
        <is>
          <t>https://www.cctnp.fr/contact/</t>
        </is>
      </c>
      <c r="P1109" s="4" t="inlineStr">
        <is>
          <t>https://lannuaire.service-public.gouv.fr/hauts-de-france/somme/6e716b30-1dbc-4a04-9f74-f1d39879f9dc</t>
        </is>
      </c>
      <c r="Q1109" t="inlineStr">
        <is>
          <t>Annuaire Service-public.fr</t>
        </is>
      </c>
      <c r="R1109" t="inlineStr"/>
      <c r="S1109" t="inlineStr"/>
      <c r="T1109" t="inlineStr"/>
    </row>
    <row r="1110">
      <c r="A1110" t="inlineStr">
        <is>
          <t>CC du Val de Somme</t>
        </is>
      </c>
      <c r="B1110" t="inlineStr">
        <is>
          <t>Communauté de communes</t>
        </is>
      </c>
      <c r="C1110" t="inlineStr">
        <is>
          <t>248000499</t>
        </is>
      </c>
      <c r="D1110" t="inlineStr">
        <is>
          <t>80</t>
        </is>
      </c>
      <c r="E1110" t="inlineStr">
        <is>
          <t>Somme</t>
        </is>
      </c>
      <c r="F1110" t="inlineStr">
        <is>
          <t>Hauts-de-France</t>
        </is>
      </c>
      <c r="G1110" s="3" t="n">
        <v>26501</v>
      </c>
      <c r="H1110" t="n">
        <v>33</v>
      </c>
      <c r="I1110" t="inlineStr">
        <is>
          <t>Enclos de l'Abbaye, 31 ter rue Gambetta</t>
        </is>
      </c>
      <c r="J1110" t="inlineStr">
        <is>
          <t>80800</t>
        </is>
      </c>
      <c r="K1110" t="inlineStr">
        <is>
          <t>Corbie</t>
        </is>
      </c>
      <c r="L1110" t="inlineStr">
        <is>
          <t>03 22 96 05 96</t>
        </is>
      </c>
      <c r="M1110" s="4" t="inlineStr">
        <is>
          <t>comdecom@valdesomme.com</t>
        </is>
      </c>
      <c r="N1110" s="4" t="inlineStr">
        <is>
          <t>https://www.valdesomme.com/</t>
        </is>
      </c>
      <c r="O1110" t="inlineStr"/>
      <c r="P1110" s="4" t="inlineStr">
        <is>
          <t>https://lannuaire.service-public.gouv.fr/hauts-de-france/somme/05a77901-f128-4689-bd91-a4a8db957298</t>
        </is>
      </c>
      <c r="Q1110" t="inlineStr">
        <is>
          <t>Annuaire Service-public.fr</t>
        </is>
      </c>
      <c r="R1110" t="inlineStr"/>
      <c r="S1110" t="inlineStr"/>
      <c r="T1110" t="inlineStr"/>
    </row>
    <row r="1111">
      <c r="A1111" t="inlineStr">
        <is>
          <t>CC du Vimeu</t>
        </is>
      </c>
      <c r="B1111" t="inlineStr">
        <is>
          <t>Communauté de communes</t>
        </is>
      </c>
      <c r="C1111" t="inlineStr">
        <is>
          <t>200070944</t>
        </is>
      </c>
      <c r="D1111" t="inlineStr">
        <is>
          <t>80</t>
        </is>
      </c>
      <c r="E1111" t="inlineStr">
        <is>
          <t>Somme</t>
        </is>
      </c>
      <c r="F1111" t="inlineStr">
        <is>
          <t>Hauts-de-France</t>
        </is>
      </c>
      <c r="G1111" s="3" t="n">
        <v>22234</v>
      </c>
      <c r="H1111" t="n">
        <v>25</v>
      </c>
      <c r="I1111" t="inlineStr">
        <is>
          <t>18 avenue Albert-Thomas</t>
        </is>
      </c>
      <c r="J1111" t="inlineStr">
        <is>
          <t>80130</t>
        </is>
      </c>
      <c r="K1111" t="inlineStr">
        <is>
          <t>Friville-Escarbotin</t>
        </is>
      </c>
      <c r="L1111" t="inlineStr">
        <is>
          <t>03 22 30 40 42</t>
        </is>
      </c>
      <c r="M1111" s="4" t="inlineStr">
        <is>
          <t>contact@cc-vimeu.fr</t>
        </is>
      </c>
      <c r="N1111" s="4" t="inlineStr">
        <is>
          <t>https://ccvimeu.fr/</t>
        </is>
      </c>
      <c r="O1111" s="4" t="inlineStr">
        <is>
          <t>https://ccvimeu.fr/</t>
        </is>
      </c>
      <c r="P1111" s="4" t="inlineStr">
        <is>
          <t>https://lannuaire.service-public.gouv.fr/hauts-de-france/somme/237dbc92-e853-4006-8e7e-15d528fcd7bb</t>
        </is>
      </c>
      <c r="Q1111" t="inlineStr">
        <is>
          <t>Annuaire Service-public.fr</t>
        </is>
      </c>
      <c r="R1111" t="inlineStr"/>
      <c r="S1111" t="inlineStr"/>
      <c r="T1111" t="inlineStr"/>
    </row>
    <row r="1112">
      <c r="A1112" t="inlineStr">
        <is>
          <t>CA Gaillac-Graulhet</t>
        </is>
      </c>
      <c r="B1112" t="inlineStr">
        <is>
          <t>Communauté d’agglomération</t>
        </is>
      </c>
      <c r="C1112" t="inlineStr">
        <is>
          <t>200066124</t>
        </is>
      </c>
      <c r="D1112" t="inlineStr">
        <is>
          <t>81</t>
        </is>
      </c>
      <c r="E1112" t="inlineStr">
        <is>
          <t>Tarn</t>
        </is>
      </c>
      <c r="F1112" t="inlineStr">
        <is>
          <t>Occitanie</t>
        </is>
      </c>
      <c r="G1112" s="3" t="n">
        <v>76216</v>
      </c>
      <c r="H1112" t="n">
        <v>56</v>
      </c>
      <c r="I1112" t="inlineStr">
        <is>
          <t>Le Nay-Técou</t>
        </is>
      </c>
      <c r="J1112" t="inlineStr">
        <is>
          <t>81600</t>
        </is>
      </c>
      <c r="K1112" t="inlineStr">
        <is>
          <t>Gaillac</t>
        </is>
      </c>
      <c r="L1112" t="inlineStr">
        <is>
          <t>05 63 83 61 61</t>
        </is>
      </c>
      <c r="M1112" s="4" t="inlineStr">
        <is>
          <t>accueil@gaillac-graulhet.fr</t>
        </is>
      </c>
      <c r="N1112" s="4" t="inlineStr">
        <is>
          <t>https://www.gaillac-graulhet.fr/</t>
        </is>
      </c>
      <c r="O1112" s="4" t="inlineStr">
        <is>
          <t>https://www.gaillac-graulhet.fr/contactez-nous/</t>
        </is>
      </c>
      <c r="P1112" s="4" t="inlineStr">
        <is>
          <t>https://lannuaire.service-public.gouv.fr/occitanie/tarn/4ee89124-76c9-4e53-9b46-84d8da2707e0</t>
        </is>
      </c>
      <c r="Q1112" t="inlineStr">
        <is>
          <t>Annuaire Service-public.fr</t>
        </is>
      </c>
      <c r="R1112" t="inlineStr"/>
      <c r="S1112" t="inlineStr"/>
      <c r="T1112" t="inlineStr"/>
    </row>
    <row r="1113">
      <c r="A1113" t="inlineStr">
        <is>
          <t>CA de Castres Mazamet</t>
        </is>
      </c>
      <c r="B1113" t="inlineStr">
        <is>
          <t>Communauté d’agglomération</t>
        </is>
      </c>
      <c r="C1113" t="inlineStr">
        <is>
          <t>248100430</t>
        </is>
      </c>
      <c r="D1113" t="inlineStr">
        <is>
          <t>81</t>
        </is>
      </c>
      <c r="E1113" t="inlineStr">
        <is>
          <t>Tarn</t>
        </is>
      </c>
      <c r="F1113" t="inlineStr">
        <is>
          <t>Occitanie</t>
        </is>
      </c>
      <c r="G1113" s="3" t="n">
        <v>78974</v>
      </c>
      <c r="H1113" t="n">
        <v>14</v>
      </c>
      <c r="I1113" t="inlineStr">
        <is>
          <t>40 avenue de la Montagne Noire, Le Causse-d'Entreprises</t>
        </is>
      </c>
      <c r="J1113" t="inlineStr">
        <is>
          <t>81100</t>
        </is>
      </c>
      <c r="K1113" t="inlineStr">
        <is>
          <t>Castres</t>
        </is>
      </c>
      <c r="L1113" t="inlineStr">
        <is>
          <t>05 63 73 50 00</t>
        </is>
      </c>
      <c r="M1113" s="4" t="inlineStr">
        <is>
          <t>agglomeration@castres-mazamet.com</t>
        </is>
      </c>
      <c r="N1113" s="4" t="inlineStr">
        <is>
          <t>https://www.castres-mazamet.fr/</t>
        </is>
      </c>
      <c r="O1113" s="4" t="inlineStr">
        <is>
          <t>https://www.castres-mazamet.fr/contact</t>
        </is>
      </c>
      <c r="P1113" s="4" t="inlineStr">
        <is>
          <t>https://lannuaire.service-public.gouv.fr/occitanie/tarn/b20a4cf4-2920-4cb8-897a-ea66b4be388c</t>
        </is>
      </c>
      <c r="Q1113" t="inlineStr">
        <is>
          <t>Annuaire Service-public.fr</t>
        </is>
      </c>
      <c r="R1113" t="inlineStr"/>
      <c r="S1113" t="inlineStr"/>
      <c r="T1113" t="inlineStr"/>
    </row>
    <row r="1114">
      <c r="A1114" t="inlineStr">
        <is>
          <t>CA de l'Albigeois (C2A)</t>
        </is>
      </c>
      <c r="B1114" t="inlineStr">
        <is>
          <t>Communauté d’agglomération</t>
        </is>
      </c>
      <c r="C1114" t="inlineStr">
        <is>
          <t>248100737</t>
        </is>
      </c>
      <c r="D1114" t="inlineStr">
        <is>
          <t>81</t>
        </is>
      </c>
      <c r="E1114" t="inlineStr">
        <is>
          <t>Tarn</t>
        </is>
      </c>
      <c r="F1114" t="inlineStr">
        <is>
          <t>Occitanie</t>
        </is>
      </c>
      <c r="G1114" s="3" t="n">
        <v>84183</v>
      </c>
      <c r="H1114" t="n">
        <v>16</v>
      </c>
      <c r="I1114" t="inlineStr">
        <is>
          <t>Parc François-Mitterrand</t>
        </is>
      </c>
      <c r="J1114" t="inlineStr">
        <is>
          <t>81160</t>
        </is>
      </c>
      <c r="K1114" t="inlineStr">
        <is>
          <t>Saint-Juéry</t>
        </is>
      </c>
      <c r="L1114" t="inlineStr">
        <is>
          <t>05 63 76 06 06</t>
        </is>
      </c>
      <c r="M1114" s="4" t="inlineStr">
        <is>
          <t>secretariat.general@grand-albigeois.fr</t>
        </is>
      </c>
      <c r="N1114" s="4" t="inlineStr">
        <is>
          <t>https://www.grand-albigeois.fr/</t>
        </is>
      </c>
      <c r="O1114" s="4" t="inlineStr">
        <is>
          <t>https://www.grand-albigeois.fr/nous-contacter/</t>
        </is>
      </c>
      <c r="P1114" s="4" t="inlineStr">
        <is>
          <t>https://lannuaire.service-public.gouv.fr/occitanie/tarn/9becab73-9a6f-48ac-bee7-69c4eebd080e</t>
        </is>
      </c>
      <c r="Q1114" t="inlineStr">
        <is>
          <t>Annuaire Service-public.fr</t>
        </is>
      </c>
      <c r="R1114" t="inlineStr"/>
      <c r="S1114" t="inlineStr"/>
      <c r="T1114" t="inlineStr"/>
    </row>
    <row r="1115">
      <c r="A1115" t="inlineStr">
        <is>
          <t>CC Carmausin-Ségala</t>
        </is>
      </c>
      <c r="B1115" t="inlineStr">
        <is>
          <t>Communauté de communes</t>
        </is>
      </c>
      <c r="C1115" t="inlineStr">
        <is>
          <t>200040905</t>
        </is>
      </c>
      <c r="D1115" t="inlineStr">
        <is>
          <t>81</t>
        </is>
      </c>
      <c r="E1115" t="inlineStr">
        <is>
          <t>Tarn</t>
        </is>
      </c>
      <c r="F1115" t="inlineStr">
        <is>
          <t>Occitanie</t>
        </is>
      </c>
      <c r="G1115" s="3" t="n">
        <v>30115</v>
      </c>
      <c r="H1115" t="n">
        <v>31</v>
      </c>
      <c r="I1115" t="inlineStr">
        <is>
          <t>53bis avenue Bouloc-Torcatis</t>
        </is>
      </c>
      <c r="J1115" t="inlineStr">
        <is>
          <t>81400</t>
        </is>
      </c>
      <c r="K1115" t="inlineStr">
        <is>
          <t>Carmaux</t>
        </is>
      </c>
      <c r="L1115" t="inlineStr">
        <is>
          <t>05 63 36 14 03</t>
        </is>
      </c>
      <c r="M1115" s="4" t="inlineStr">
        <is>
          <t>contact@3c-s.fr</t>
        </is>
      </c>
      <c r="N1115" s="4" t="inlineStr">
        <is>
          <t>https://www.carmausin-segala.fr/</t>
        </is>
      </c>
      <c r="O1115" s="4" t="inlineStr">
        <is>
          <t>https://www.carmausin-segala.fr/contact</t>
        </is>
      </c>
      <c r="P1115" s="4" t="inlineStr">
        <is>
          <t>https://lannuaire.service-public.gouv.fr/occitanie/tarn/a47c3a55-3f89-4cb9-9c9a-a500000d87c0</t>
        </is>
      </c>
      <c r="Q1115" t="inlineStr">
        <is>
          <t>Annuaire Service-public.fr</t>
        </is>
      </c>
      <c r="R1115" t="inlineStr"/>
      <c r="S1115" t="inlineStr"/>
      <c r="T1115" t="inlineStr"/>
    </row>
    <row r="1116">
      <c r="A1116" t="inlineStr">
        <is>
          <t>CC Centre Tarn</t>
        </is>
      </c>
      <c r="B1116" t="inlineStr">
        <is>
          <t>Communauté de communes</t>
        </is>
      </c>
      <c r="C1116" t="inlineStr">
        <is>
          <t>200034049</t>
        </is>
      </c>
      <c r="D1116" t="inlineStr">
        <is>
          <t>81</t>
        </is>
      </c>
      <c r="E1116" t="inlineStr">
        <is>
          <t>Tarn</t>
        </is>
      </c>
      <c r="F1116" t="inlineStr">
        <is>
          <t>Occitanie</t>
        </is>
      </c>
      <c r="G1116" s="3" t="n">
        <v>11276</v>
      </c>
      <c r="H1116" t="n">
        <v>11</v>
      </c>
      <c r="I1116" t="inlineStr">
        <is>
          <t>2 bis boulevard Carnot</t>
        </is>
      </c>
      <c r="J1116" t="inlineStr">
        <is>
          <t>81120</t>
        </is>
      </c>
      <c r="K1116" t="inlineStr">
        <is>
          <t>Réalmont</t>
        </is>
      </c>
      <c r="L1116" t="inlineStr">
        <is>
          <t>05 63 79 21 27</t>
        </is>
      </c>
      <c r="M1116" s="4" t="inlineStr">
        <is>
          <t>direction@centretarn.fr</t>
        </is>
      </c>
      <c r="N1116" s="4" t="inlineStr">
        <is>
          <t>https://www.centretarn.fr/</t>
        </is>
      </c>
      <c r="O1116" s="4" t="inlineStr">
        <is>
          <t>https://www.centretarn.fr/contact/</t>
        </is>
      </c>
      <c r="P1116" s="4" t="inlineStr">
        <is>
          <t>https://lannuaire.service-public.gouv.fr/occitanie/tarn/c64af365-273f-4ffe-bdfb-93b88e529d77</t>
        </is>
      </c>
      <c r="Q1116" t="inlineStr">
        <is>
          <t>Annuaire Service-public.fr</t>
        </is>
      </c>
      <c r="R1116" t="inlineStr"/>
      <c r="S1116" t="inlineStr"/>
      <c r="T1116" t="inlineStr"/>
    </row>
    <row r="1117">
      <c r="A1117" t="inlineStr">
        <is>
          <t>CC Sidobre Vals et Plateaux</t>
        </is>
      </c>
      <c r="B1117" t="inlineStr">
        <is>
          <t>Communauté de communes</t>
        </is>
      </c>
      <c r="C1117" t="inlineStr">
        <is>
          <t>200066561</t>
        </is>
      </c>
      <c r="D1117" t="inlineStr">
        <is>
          <t>81</t>
        </is>
      </c>
      <c r="E1117" t="inlineStr">
        <is>
          <t>Tarn</t>
        </is>
      </c>
      <c r="F1117" t="inlineStr">
        <is>
          <t>Occitanie</t>
        </is>
      </c>
      <c r="G1117" s="3" t="n">
        <v>12437</v>
      </c>
      <c r="H1117" t="n">
        <v>16</v>
      </c>
      <c r="I1117" t="inlineStr">
        <is>
          <t>54 route du Lignon, Vialavert</t>
        </is>
      </c>
      <c r="J1117" t="inlineStr">
        <is>
          <t>81260</t>
        </is>
      </c>
      <c r="K1117" t="inlineStr">
        <is>
          <t>Le Bez</t>
        </is>
      </c>
      <c r="L1117" t="inlineStr">
        <is>
          <t>05 63 73 03 86</t>
        </is>
      </c>
      <c r="M1117" s="4" t="inlineStr">
        <is>
          <t>contact@ccsvp.fr</t>
        </is>
      </c>
      <c r="N1117" s="4" t="inlineStr">
        <is>
          <t>https://ccsvp.fr/</t>
        </is>
      </c>
      <c r="O1117" s="4" t="inlineStr">
        <is>
          <t>https://ccsvp.fr/</t>
        </is>
      </c>
      <c r="P1117" s="4" t="inlineStr">
        <is>
          <t>https://lannuaire.service-public.gouv.fr/occitanie/tarn/18ebe4f2-291b-4bfd-92c4-d0c8c051ac03</t>
        </is>
      </c>
      <c r="Q1117" t="inlineStr">
        <is>
          <t>Annuaire Service-public.fr</t>
        </is>
      </c>
      <c r="R1117" t="inlineStr"/>
      <c r="S1117" t="inlineStr"/>
      <c r="T1117" t="inlineStr"/>
    </row>
    <row r="1118">
      <c r="A1118" t="inlineStr">
        <is>
          <t>CC Thoré Montagne Noire</t>
        </is>
      </c>
      <c r="B1118" t="inlineStr">
        <is>
          <t>Communauté de communes</t>
        </is>
      </c>
      <c r="C1118" t="inlineStr">
        <is>
          <t>248100745</t>
        </is>
      </c>
      <c r="D1118" t="inlineStr">
        <is>
          <t>81</t>
        </is>
      </c>
      <c r="E1118" t="inlineStr">
        <is>
          <t>Tarn</t>
        </is>
      </c>
      <c r="F1118" t="inlineStr">
        <is>
          <t>Occitanie</t>
        </is>
      </c>
      <c r="G1118" s="3" t="n">
        <v>5057</v>
      </c>
      <c r="H1118" t="n">
        <v>9</v>
      </c>
      <c r="I1118" t="inlineStr">
        <is>
          <t>13 avenue de la Ribaute</t>
        </is>
      </c>
      <c r="J1118" t="inlineStr">
        <is>
          <t>81240</t>
        </is>
      </c>
      <c r="K1118" t="inlineStr">
        <is>
          <t>Albine</t>
        </is>
      </c>
      <c r="L1118" t="inlineStr">
        <is>
          <t>05 63 97 98 08</t>
        </is>
      </c>
      <c r="M1118" s="4" t="inlineStr">
        <is>
          <t>contact@cc-thoremontagnenoire.fr</t>
        </is>
      </c>
      <c r="N1118" s="4" t="inlineStr">
        <is>
          <t>https://www.cc-thoremontagnenoire.fr/</t>
        </is>
      </c>
      <c r="O1118" s="4" t="inlineStr">
        <is>
          <t>https://www.cc-thoremontagnenoire.fr/contact</t>
        </is>
      </c>
      <c r="P1118" s="4" t="inlineStr">
        <is>
          <t>https://lannuaire.service-public.gouv.fr/occitanie/tarn/edf18c54-2c68-4ffe-86f8-899ecae8219e</t>
        </is>
      </c>
      <c r="Q1118" t="inlineStr">
        <is>
          <t>Annuaire Service-public.fr</t>
        </is>
      </c>
      <c r="R1118" t="inlineStr"/>
      <c r="S1118" t="inlineStr"/>
      <c r="T1118" t="inlineStr"/>
    </row>
    <row r="1119">
      <c r="A1119" t="inlineStr">
        <is>
          <t>CC Val 81</t>
        </is>
      </c>
      <c r="B1119" t="inlineStr">
        <is>
          <t>Communauté de communes</t>
        </is>
      </c>
      <c r="C1119" t="inlineStr">
        <is>
          <t>248100497</t>
        </is>
      </c>
      <c r="D1119" t="inlineStr">
        <is>
          <t>81</t>
        </is>
      </c>
      <c r="E1119" t="inlineStr">
        <is>
          <t>Tarn</t>
        </is>
      </c>
      <c r="F1119" t="inlineStr">
        <is>
          <t>Occitanie</t>
        </is>
      </c>
      <c r="G1119" s="3" t="n">
        <v>5559</v>
      </c>
      <c r="H1119" t="n">
        <v>19</v>
      </c>
      <c r="I1119" t="inlineStr">
        <is>
          <t>45 avenue Pierre-Souyris, Pôle d'activités Val 81</t>
        </is>
      </c>
      <c r="J1119" t="inlineStr">
        <is>
          <t>81340</t>
        </is>
      </c>
      <c r="K1119" t="inlineStr">
        <is>
          <t>Valence-d'Albigeois</t>
        </is>
      </c>
      <c r="L1119" t="inlineStr">
        <is>
          <t>05 63 53 79 00</t>
        </is>
      </c>
      <c r="M1119" s="4" t="inlineStr">
        <is>
          <t>val-81@orange.fr</t>
        </is>
      </c>
      <c r="N1119" s="4" t="inlineStr">
        <is>
          <t>https://www.val81.fr/</t>
        </is>
      </c>
      <c r="O1119" t="inlineStr"/>
      <c r="P1119" s="4" t="inlineStr">
        <is>
          <t>https://lannuaire.service-public.gouv.fr/occitanie/tarn/e7306869-f4aa-42cf-b3eb-c4f9e629ef08</t>
        </is>
      </c>
      <c r="Q1119" t="inlineStr">
        <is>
          <t>Annuaire Service-public.fr</t>
        </is>
      </c>
      <c r="R1119" t="inlineStr"/>
      <c r="S1119" t="inlineStr"/>
      <c r="T1119" t="inlineStr"/>
    </row>
    <row r="1120">
      <c r="A1120" t="inlineStr">
        <is>
          <t>CC des Monts d'Alban et du Villefranchois</t>
        </is>
      </c>
      <c r="B1120" t="inlineStr">
        <is>
          <t>Communauté de communes</t>
        </is>
      </c>
      <c r="C1120" t="inlineStr">
        <is>
          <t>200034031</t>
        </is>
      </c>
      <c r="D1120" t="inlineStr">
        <is>
          <t>81</t>
        </is>
      </c>
      <c r="E1120" t="inlineStr">
        <is>
          <t>Tarn</t>
        </is>
      </c>
      <c r="F1120" t="inlineStr">
        <is>
          <t>Occitanie</t>
        </is>
      </c>
      <c r="G1120" s="3" t="n">
        <v>6360</v>
      </c>
      <c r="H1120" t="n">
        <v>14</v>
      </c>
      <c r="I1120" t="inlineStr">
        <is>
          <t>1 rue du Sénateur-Boularan</t>
        </is>
      </c>
      <c r="J1120" t="inlineStr">
        <is>
          <t>81250</t>
        </is>
      </c>
      <c r="K1120" t="inlineStr">
        <is>
          <t>Alban</t>
        </is>
      </c>
      <c r="L1120" t="inlineStr">
        <is>
          <t>05 63 79 26 70</t>
        </is>
      </c>
      <c r="M1120" s="4" t="inlineStr">
        <is>
          <t>accueil@ccmav.fr</t>
        </is>
      </c>
      <c r="N1120" s="4" t="inlineStr">
        <is>
          <t>https://www.montsalban-villefranchois.fr/web/home/2-accueil.php</t>
        </is>
      </c>
      <c r="O1120" s="4" t="inlineStr">
        <is>
          <t>https://www.montsalban-villefranchois.fr/contact/</t>
        </is>
      </c>
      <c r="P1120" s="4" t="inlineStr">
        <is>
          <t>https://lannuaire.service-public.gouv.fr/occitanie/tarn/12338982-3296-4d16-814a-5a41830c8aa1</t>
        </is>
      </c>
      <c r="Q1120" t="inlineStr">
        <is>
          <t>Annuaire Service-public.fr</t>
        </is>
      </c>
      <c r="R1120" t="inlineStr"/>
      <c r="S1120" t="inlineStr"/>
      <c r="T1120" t="inlineStr"/>
    </row>
    <row r="1121">
      <c r="A1121" t="inlineStr">
        <is>
          <t>CC du Cordais et du Causse (4 C)</t>
        </is>
      </c>
      <c r="B1121" t="inlineStr">
        <is>
          <t>Communauté de communes</t>
        </is>
      </c>
      <c r="C1121" t="inlineStr">
        <is>
          <t>200034064</t>
        </is>
      </c>
      <c r="D1121" t="inlineStr">
        <is>
          <t>81</t>
        </is>
      </c>
      <c r="E1121" t="inlineStr">
        <is>
          <t>Tarn</t>
        </is>
      </c>
      <c r="F1121" t="inlineStr">
        <is>
          <t>Occitanie</t>
        </is>
      </c>
      <c r="G1121" s="3" t="n">
        <v>5381</v>
      </c>
      <c r="H1121" t="n">
        <v>25</v>
      </c>
      <c r="I1121" t="inlineStr">
        <is>
          <t>33 promenade de l'Autan</t>
        </is>
      </c>
      <c r="J1121" t="inlineStr">
        <is>
          <t>81170</t>
        </is>
      </c>
      <c r="K1121" t="inlineStr">
        <is>
          <t>Les Cabannes</t>
        </is>
      </c>
      <c r="L1121" t="inlineStr">
        <is>
          <t>05 63 56 07 02</t>
        </is>
      </c>
      <c r="M1121" s="4" t="inlineStr">
        <is>
          <t>direction.4c@orange.fr</t>
        </is>
      </c>
      <c r="N1121" s="4" t="inlineStr">
        <is>
          <t>http://4c81.fr</t>
        </is>
      </c>
      <c r="O1121" s="4" t="inlineStr">
        <is>
          <t>https://4c81.fr/contacts-2/</t>
        </is>
      </c>
      <c r="P1121" s="4" t="inlineStr">
        <is>
          <t>https://lannuaire.service-public.gouv.fr/occitanie/tarn/51b5b010-0ec1-42a7-abf5-14b8e5a886b7</t>
        </is>
      </c>
      <c r="Q1121" t="inlineStr">
        <is>
          <t>Annuaire Service-public.fr</t>
        </is>
      </c>
      <c r="R1121" t="inlineStr"/>
      <c r="S1121" t="inlineStr"/>
      <c r="T1121" t="inlineStr"/>
    </row>
    <row r="1122">
      <c r="A1122" t="inlineStr">
        <is>
          <t>CC du Lautrécois et du Pays d'Agout</t>
        </is>
      </c>
      <c r="B1122" t="inlineStr">
        <is>
          <t>Communauté de communes</t>
        </is>
      </c>
      <c r="C1122" t="inlineStr">
        <is>
          <t>200034056</t>
        </is>
      </c>
      <c r="D1122" t="inlineStr">
        <is>
          <t>81</t>
        </is>
      </c>
      <c r="E1122" t="inlineStr">
        <is>
          <t>Tarn</t>
        </is>
      </c>
      <c r="F1122" t="inlineStr">
        <is>
          <t>Occitanie</t>
        </is>
      </c>
      <c r="G1122" s="3" t="n">
        <v>14303</v>
      </c>
      <c r="H1122" t="n">
        <v>28</v>
      </c>
      <c r="I1122" t="inlineStr">
        <is>
          <t>La Baudonie, Maison du Pays</t>
        </is>
      </c>
      <c r="J1122" t="inlineStr">
        <is>
          <t>81220</t>
        </is>
      </c>
      <c r="K1122" t="inlineStr">
        <is>
          <t>Servies</t>
        </is>
      </c>
      <c r="L1122" t="inlineStr">
        <is>
          <t>05 63 70 52 67</t>
        </is>
      </c>
      <c r="M1122" s="4" t="inlineStr">
        <is>
          <t>contact@cclpa.fr</t>
        </is>
      </c>
      <c r="N1122" s="4" t="inlineStr">
        <is>
          <t>https://www.cclpa.fr/</t>
        </is>
      </c>
      <c r="O1122" s="4" t="inlineStr">
        <is>
          <t>https://www.cclpa.fr/contact</t>
        </is>
      </c>
      <c r="P1122" s="4" t="inlineStr">
        <is>
          <t>https://lannuaire.service-public.gouv.fr/occitanie/tarn/d0c01337-c513-4386-8657-4a9db0eab643</t>
        </is>
      </c>
      <c r="Q1122" t="inlineStr">
        <is>
          <t>Annuaire Service-public.fr</t>
        </is>
      </c>
      <c r="R1122" t="inlineStr"/>
      <c r="S1122" t="inlineStr"/>
      <c r="T1122" t="inlineStr"/>
    </row>
    <row r="1123">
      <c r="A1123" t="inlineStr">
        <is>
          <t>CC du Sor et de l'Agout</t>
        </is>
      </c>
      <c r="B1123" t="inlineStr">
        <is>
          <t>Communauté de communes</t>
        </is>
      </c>
      <c r="C1123" t="inlineStr">
        <is>
          <t>248100158</t>
        </is>
      </c>
      <c r="D1123" t="inlineStr">
        <is>
          <t>81</t>
        </is>
      </c>
      <c r="E1123" t="inlineStr">
        <is>
          <t>Tarn</t>
        </is>
      </c>
      <c r="F1123" t="inlineStr">
        <is>
          <t>Occitanie</t>
        </is>
      </c>
      <c r="G1123" s="3" t="n">
        <v>23206</v>
      </c>
      <c r="H1123" t="n">
        <v>26</v>
      </c>
      <c r="I1123" t="inlineStr">
        <is>
          <t>550 chemin des héronnières</t>
        </is>
      </c>
      <c r="J1123" t="inlineStr">
        <is>
          <t>81710</t>
        </is>
      </c>
      <c r="K1123" t="inlineStr">
        <is>
          <t>Saïx</t>
        </is>
      </c>
      <c r="L1123" t="inlineStr">
        <is>
          <t>05 63 72 84 84</t>
        </is>
      </c>
      <c r="M1123" s="4" t="inlineStr">
        <is>
          <t>contact@communautesoragout.fr</t>
        </is>
      </c>
      <c r="N1123" s="4" t="inlineStr">
        <is>
          <t>https://www.communautesoragout.fr/</t>
        </is>
      </c>
      <c r="O1123" s="4" t="inlineStr">
        <is>
          <t>https://www.communautesoragout.fr/contact</t>
        </is>
      </c>
      <c r="P1123" s="4" t="inlineStr">
        <is>
          <t>https://lannuaire.service-public.gouv.fr/occitanie/tarn/2279bbd2-37d8-4c4f-98dd-67211eb0de0e</t>
        </is>
      </c>
      <c r="Q1123" t="inlineStr">
        <is>
          <t>Annuaire Service-public.fr</t>
        </is>
      </c>
      <c r="R1123" t="inlineStr"/>
      <c r="S1123" t="inlineStr"/>
      <c r="T1123" t="inlineStr"/>
    </row>
    <row r="1124">
      <c r="A1124" t="inlineStr">
        <is>
          <t>CC du Quercy Rouergue et des Gorges de l'Aveyron</t>
        </is>
      </c>
      <c r="B1124" t="inlineStr">
        <is>
          <t>Communauté de communes</t>
        </is>
      </c>
      <c r="C1124" t="inlineStr">
        <is>
          <t>248200107</t>
        </is>
      </c>
      <c r="D1124" t="inlineStr">
        <is>
          <t>81, 82</t>
        </is>
      </c>
      <c r="E1124" t="inlineStr">
        <is>
          <t>Tarn, Tarn-et-Garonne</t>
        </is>
      </c>
      <c r="F1124" t="inlineStr">
        <is>
          <t>Occitanie</t>
        </is>
      </c>
      <c r="G1124" s="3" t="n">
        <v>7848</v>
      </c>
      <c r="H1124" t="n">
        <v>17</v>
      </c>
      <c r="I1124" t="inlineStr">
        <is>
          <t>Place de la Mairie</t>
        </is>
      </c>
      <c r="J1124" t="inlineStr">
        <is>
          <t>82140</t>
        </is>
      </c>
      <c r="K1124" t="inlineStr">
        <is>
          <t>Saint-Antonin-Noble-Val</t>
        </is>
      </c>
      <c r="L1124" t="inlineStr">
        <is>
          <t>05 63 30 67 01</t>
        </is>
      </c>
      <c r="M1124" s="4" t="inlineStr">
        <is>
          <t>accueil@cc-qrga.fr</t>
        </is>
      </c>
      <c r="N1124" s="4" t="inlineStr">
        <is>
          <t>https://cc-qrga.fr/</t>
        </is>
      </c>
      <c r="O1124" t="inlineStr"/>
      <c r="P1124" s="4" t="inlineStr">
        <is>
          <t>https://lannuaire.service-public.gouv.fr/occitanie/tarn-et-garonne/f2050ddc-1341-49d5-ba1d-eb8d1cff7e65</t>
        </is>
      </c>
      <c r="Q1124" t="inlineStr">
        <is>
          <t>Annuaire Service-public.fr</t>
        </is>
      </c>
      <c r="R1124" t="inlineStr"/>
      <c r="S1124" t="inlineStr"/>
      <c r="T1124" t="inlineStr"/>
    </row>
    <row r="1125">
      <c r="A1125" t="inlineStr">
        <is>
          <t>CA Grand Montauban</t>
        </is>
      </c>
      <c r="B1125" t="inlineStr">
        <is>
          <t>Communauté d’agglomération</t>
        </is>
      </c>
      <c r="C1125" t="inlineStr">
        <is>
          <t>248200099</t>
        </is>
      </c>
      <c r="D1125" t="inlineStr">
        <is>
          <t>82</t>
        </is>
      </c>
      <c r="E1125" t="inlineStr">
        <is>
          <t>Tarn-et-Garonne</t>
        </is>
      </c>
      <c r="F1125" t="inlineStr">
        <is>
          <t>Occitanie</t>
        </is>
      </c>
      <c r="G1125" s="3" t="n">
        <v>81397</v>
      </c>
      <c r="H1125" t="n">
        <v>12</v>
      </c>
      <c r="I1125" t="inlineStr">
        <is>
          <t>9 rue de lHôtel-de-Ville</t>
        </is>
      </c>
      <c r="J1125" t="inlineStr">
        <is>
          <t>82000</t>
        </is>
      </c>
      <c r="K1125" t="inlineStr">
        <is>
          <t>Montauban</t>
        </is>
      </c>
      <c r="L1125" t="inlineStr">
        <is>
          <t>05 63 22 12 00</t>
        </is>
      </c>
      <c r="M1125" s="4" t="inlineStr">
        <is>
          <t>contact@ville-montauban.fr</t>
        </is>
      </c>
      <c r="N1125" s="4" t="inlineStr">
        <is>
          <t>https://www.montauban.com/</t>
        </is>
      </c>
      <c r="O1125" t="inlineStr"/>
      <c r="P1125" s="4" t="inlineStr">
        <is>
          <t>https://lannuaire.service-public.gouv.fr/occitanie/tarn-et-garonne/d7f6b316-ae1a-4251-a85c-f4e92c26386e</t>
        </is>
      </c>
      <c r="Q1125" t="inlineStr">
        <is>
          <t>Annuaire Service-public.fr</t>
        </is>
      </c>
      <c r="R1125" t="inlineStr"/>
      <c r="S1125" t="inlineStr"/>
      <c r="T1125" t="inlineStr"/>
    </row>
    <row r="1126">
      <c r="A1126" t="inlineStr">
        <is>
          <t>CC Grand Sud Tarn-et-Garonne</t>
        </is>
      </c>
      <c r="B1126" t="inlineStr">
        <is>
          <t>Communauté de communes</t>
        </is>
      </c>
      <c r="C1126" t="inlineStr">
        <is>
          <t>200066652</t>
        </is>
      </c>
      <c r="D1126" t="inlineStr">
        <is>
          <t>82</t>
        </is>
      </c>
      <c r="E1126" t="inlineStr">
        <is>
          <t>Tarn-et-Garonne</t>
        </is>
      </c>
      <c r="F1126" t="inlineStr">
        <is>
          <t>Occitanie</t>
        </is>
      </c>
      <c r="G1126" s="3" t="n">
        <v>43301</v>
      </c>
      <c r="H1126" t="n">
        <v>25</v>
      </c>
      <c r="I1126" t="inlineStr">
        <is>
          <t>120 avenue Jean-Jaurès</t>
        </is>
      </c>
      <c r="J1126" t="inlineStr">
        <is>
          <t>82370</t>
        </is>
      </c>
      <c r="K1126" t="inlineStr">
        <is>
          <t>Labastide-Saint-Pierre</t>
        </is>
      </c>
      <c r="L1126" t="inlineStr">
        <is>
          <t>05 63 30 03 31</t>
        </is>
      </c>
      <c r="M1126" s="4" t="inlineStr">
        <is>
          <t>grandsudtarnetgaronne@grandsud82.fr</t>
        </is>
      </c>
      <c r="N1126" s="4" t="inlineStr">
        <is>
          <t>https://www.grandsud82.fr/</t>
        </is>
      </c>
      <c r="O1126" s="4" t="inlineStr">
        <is>
          <t>https://www.grandsud82.fr/contactez-nous/</t>
        </is>
      </c>
      <c r="P1126" s="4" t="inlineStr">
        <is>
          <t>https://lannuaire.service-public.gouv.fr/occitanie/tarn-et-garonne/825d3041-8bd2-4c69-9974-b8d95795102d</t>
        </is>
      </c>
      <c r="Q1126" t="inlineStr">
        <is>
          <t>Annuaire Service-public.fr</t>
        </is>
      </c>
      <c r="R1126" t="inlineStr"/>
      <c r="S1126" t="inlineStr"/>
      <c r="T1126" t="inlineStr"/>
    </row>
    <row r="1127">
      <c r="A1127" t="inlineStr">
        <is>
          <t>CC Quercy Vert-Aveyron</t>
        </is>
      </c>
      <c r="B1127" t="inlineStr">
        <is>
          <t>Communauté de communes</t>
        </is>
      </c>
      <c r="C1127" t="inlineStr">
        <is>
          <t>200066884</t>
        </is>
      </c>
      <c r="D1127" t="inlineStr">
        <is>
          <t>82</t>
        </is>
      </c>
      <c r="E1127" t="inlineStr">
        <is>
          <t>Tarn-et-Garonne</t>
        </is>
      </c>
      <c r="F1127" t="inlineStr">
        <is>
          <t>Occitanie</t>
        </is>
      </c>
      <c r="G1127" s="3" t="n">
        <v>21707</v>
      </c>
      <c r="H1127" t="n">
        <v>12</v>
      </c>
      <c r="I1127" t="inlineStr">
        <is>
          <t>370 avenue du 8-Mai-1945</t>
        </is>
      </c>
      <c r="J1127" t="inlineStr">
        <is>
          <t>82800</t>
        </is>
      </c>
      <c r="K1127" t="inlineStr">
        <is>
          <t>Nègrepelisse</t>
        </is>
      </c>
      <c r="L1127" t="inlineStr">
        <is>
          <t>05 63 30 90 90</t>
        </is>
      </c>
      <c r="M1127" s="4" t="inlineStr">
        <is>
          <t>contact@quercyvertaveyron.fr</t>
        </is>
      </c>
      <c r="N1127" s="4" t="inlineStr">
        <is>
          <t>https://www.quercyvertaveyron.fr/</t>
        </is>
      </c>
      <c r="O1127" s="4" t="inlineStr">
        <is>
          <t>https://www.quercyvertaveyron.fr/nous-joindre/</t>
        </is>
      </c>
      <c r="P1127" s="4" t="inlineStr">
        <is>
          <t>https://lannuaire.service-public.gouv.fr/occitanie/tarn-et-garonne/58b9fe05-c8f2-4894-a8ab-82a985f751ca</t>
        </is>
      </c>
      <c r="Q1127" t="inlineStr">
        <is>
          <t>Annuaire Service-public.fr</t>
        </is>
      </c>
      <c r="R1127" t="inlineStr"/>
      <c r="S1127" t="inlineStr"/>
      <c r="T1127" t="inlineStr"/>
    </row>
    <row r="1128">
      <c r="A1128" t="inlineStr">
        <is>
          <t>CC Terres des Confluences</t>
        </is>
      </c>
      <c r="B1128" t="inlineStr">
        <is>
          <t>Communauté de communes</t>
        </is>
      </c>
      <c r="C1128" t="inlineStr">
        <is>
          <t>200066322</t>
        </is>
      </c>
      <c r="D1128" t="inlineStr">
        <is>
          <t>82</t>
        </is>
      </c>
      <c r="E1128" t="inlineStr">
        <is>
          <t>Tarn-et-Garonne</t>
        </is>
      </c>
      <c r="F1128" t="inlineStr">
        <is>
          <t>Occitanie</t>
        </is>
      </c>
      <c r="G1128" s="3" t="n">
        <v>42367</v>
      </c>
      <c r="H1128" t="n">
        <v>22</v>
      </c>
      <c r="I1128" t="inlineStr">
        <is>
          <t>636 rue des Confluences</t>
        </is>
      </c>
      <c r="J1128" t="inlineStr">
        <is>
          <t>82100</t>
        </is>
      </c>
      <c r="K1128" t="inlineStr">
        <is>
          <t>Castelsarrasin</t>
        </is>
      </c>
      <c r="L1128" t="inlineStr">
        <is>
          <t>05 63 95 56 00</t>
        </is>
      </c>
      <c r="M1128" s="4" t="inlineStr">
        <is>
          <t>accueil@terresdesconfluences.fr</t>
        </is>
      </c>
      <c r="N1128" s="4" t="inlineStr">
        <is>
          <t>https://www.terresdesconfluences.fr/</t>
        </is>
      </c>
      <c r="O1128" s="4" t="inlineStr">
        <is>
          <t>https://www.terresdesconfluences.fr/je-souhaite-contacter-la-communaute-de-communes</t>
        </is>
      </c>
      <c r="P1128" s="4" t="inlineStr">
        <is>
          <t>https://lannuaire.service-public.gouv.fr/occitanie/tarn-et-garonne/f07f515b-5913-4511-b67d-95cf22ebc3df</t>
        </is>
      </c>
      <c r="Q1128" t="inlineStr">
        <is>
          <t>Annuaire Service-public.fr</t>
        </is>
      </c>
      <c r="R1128" t="inlineStr"/>
      <c r="S1128" t="inlineStr"/>
      <c r="T1128" t="inlineStr"/>
    </row>
    <row r="1129">
      <c r="A1129" t="inlineStr">
        <is>
          <t>CC de la Lomagne Tarn-et-Garonnaise</t>
        </is>
      </c>
      <c r="B1129" t="inlineStr">
        <is>
          <t>Communauté de communes</t>
        </is>
      </c>
      <c r="C1129" t="inlineStr">
        <is>
          <t>248200065</t>
        </is>
      </c>
      <c r="D1129" t="inlineStr">
        <is>
          <t>82</t>
        </is>
      </c>
      <c r="E1129" t="inlineStr">
        <is>
          <t>Tarn-et-Garonne</t>
        </is>
      </c>
      <c r="F1129" t="inlineStr">
        <is>
          <t>Occitanie</t>
        </is>
      </c>
      <c r="G1129" s="3" t="n">
        <v>10003</v>
      </c>
      <c r="H1129" t="n">
        <v>31</v>
      </c>
      <c r="I1129" t="inlineStr">
        <is>
          <t>413 rue d'Esparsac</t>
        </is>
      </c>
      <c r="J1129" t="inlineStr">
        <is>
          <t>82500</t>
        </is>
      </c>
      <c r="K1129" t="inlineStr">
        <is>
          <t>Beaumont-de-Lomagne</t>
        </is>
      </c>
      <c r="L1129" t="inlineStr">
        <is>
          <t>05 63 65 34 26</t>
        </is>
      </c>
      <c r="M1129" s="4" t="inlineStr">
        <is>
          <t>contact@cc-lomagne82.fr</t>
        </is>
      </c>
      <c r="N1129" s="4" t="inlineStr">
        <is>
          <t>https://cc82.malomagne.com/</t>
        </is>
      </c>
      <c r="O1129" s="4" t="inlineStr">
        <is>
          <t>https://cc82.malomagne.com/nous-contacter/</t>
        </is>
      </c>
      <c r="P1129" s="4" t="inlineStr">
        <is>
          <t>https://lannuaire.service-public.gouv.fr/occitanie/tarn-et-garonne/f2de9df2-f6eb-496f-9356-aa1c88a32b99</t>
        </is>
      </c>
      <c r="Q1129" t="inlineStr">
        <is>
          <t>Annuaire Service-public.fr</t>
        </is>
      </c>
      <c r="R1129" t="inlineStr"/>
      <c r="S1129" t="inlineStr"/>
      <c r="T1129" t="inlineStr"/>
    </row>
    <row r="1130">
      <c r="A1130" t="inlineStr">
        <is>
          <t>CC du Pays de Lafrançaise</t>
        </is>
      </c>
      <c r="B1130" t="inlineStr">
        <is>
          <t>Communauté de communes</t>
        </is>
      </c>
      <c r="C1130" t="inlineStr">
        <is>
          <t>200067122</t>
        </is>
      </c>
      <c r="D1130" t="inlineStr">
        <is>
          <t>82</t>
        </is>
      </c>
      <c r="E1130" t="inlineStr">
        <is>
          <t>Tarn-et-Garonne</t>
        </is>
      </c>
      <c r="F1130" t="inlineStr">
        <is>
          <t>Occitanie</t>
        </is>
      </c>
      <c r="G1130" s="3" t="n">
        <v>11246</v>
      </c>
      <c r="H1130" t="n">
        <v>11</v>
      </c>
      <c r="I1130" t="inlineStr">
        <is>
          <t>33 rue Mary-Lafon</t>
        </is>
      </c>
      <c r="J1130" t="inlineStr">
        <is>
          <t>82130</t>
        </is>
      </c>
      <c r="K1130" t="inlineStr">
        <is>
          <t>Lafrançaise</t>
        </is>
      </c>
      <c r="L1130" t="inlineStr">
        <is>
          <t>05 63 65 91 90</t>
        </is>
      </c>
      <c r="M1130" s="4" t="inlineStr">
        <is>
          <t>contact@cc-paysdelafrancaise.fr</t>
        </is>
      </c>
      <c r="N1130" s="4" t="inlineStr">
        <is>
          <t>https://www.paysdelafrancaise.fr/</t>
        </is>
      </c>
      <c r="O1130" s="4" t="inlineStr">
        <is>
          <t>https://www.paysdelafrancaise.fr/contact/</t>
        </is>
      </c>
      <c r="P1130" s="4" t="inlineStr">
        <is>
          <t>https://lannuaire.service-public.gouv.fr/occitanie/tarn-et-garonne/1e91bc15-c2c6-48f5-a605-d6b84fdef7c4</t>
        </is>
      </c>
      <c r="Q1130" t="inlineStr">
        <is>
          <t>Annuaire Service-public.fr</t>
        </is>
      </c>
      <c r="R1130" t="inlineStr"/>
      <c r="S1130" t="inlineStr"/>
      <c r="T1130" t="inlineStr"/>
    </row>
    <row r="1131">
      <c r="A1131" t="inlineStr">
        <is>
          <t>CC du Pays de Serres en Quercy</t>
        </is>
      </c>
      <c r="B1131" t="inlineStr">
        <is>
          <t>Communauté de communes</t>
        </is>
      </c>
      <c r="C1131" t="inlineStr">
        <is>
          <t>200040418</t>
        </is>
      </c>
      <c r="D1131" t="inlineStr">
        <is>
          <t>82</t>
        </is>
      </c>
      <c r="E1131" t="inlineStr">
        <is>
          <t>Tarn-et-Garonne</t>
        </is>
      </c>
      <c r="F1131" t="inlineStr">
        <is>
          <t>Occitanie</t>
        </is>
      </c>
      <c r="G1131" s="3" t="n">
        <v>8386</v>
      </c>
      <c r="H1131" t="n">
        <v>22</v>
      </c>
      <c r="I1131" t="inlineStr">
        <is>
          <t>293 Chemin Vignoble</t>
        </is>
      </c>
      <c r="J1131" t="inlineStr">
        <is>
          <t>82150</t>
        </is>
      </c>
      <c r="K1131" t="inlineStr">
        <is>
          <t>Montaigu-de-Quercy</t>
        </is>
      </c>
      <c r="L1131" t="inlineStr">
        <is>
          <t>05 63 94 64 78</t>
        </is>
      </c>
      <c r="M1131" s="4" t="inlineStr">
        <is>
          <t>accueil@cdc-psq.fr</t>
        </is>
      </c>
      <c r="N1131" s="4" t="inlineStr">
        <is>
          <t>https://cdc-psq.fr/</t>
        </is>
      </c>
      <c r="O1131" t="inlineStr"/>
      <c r="P1131" s="4" t="inlineStr">
        <is>
          <t>https://lannuaire.service-public.gouv.fr/occitanie/tarn-et-garonne/4a9e5198-86f1-4dc2-bc0b-9b17d30fb4d5</t>
        </is>
      </c>
      <c r="Q1131" t="inlineStr">
        <is>
          <t>Annuaire Service-public.fr</t>
        </is>
      </c>
      <c r="R1131" t="inlineStr"/>
      <c r="S1131" t="inlineStr"/>
      <c r="T1131" t="inlineStr"/>
    </row>
    <row r="1132">
      <c r="A1132" t="inlineStr">
        <is>
          <t>CC du Quercy Caussadais</t>
        </is>
      </c>
      <c r="B1132" t="inlineStr">
        <is>
          <t>Communauté de communes</t>
        </is>
      </c>
      <c r="C1132" t="inlineStr">
        <is>
          <t>248200057</t>
        </is>
      </c>
      <c r="D1132" t="inlineStr">
        <is>
          <t>82</t>
        </is>
      </c>
      <c r="E1132" t="inlineStr">
        <is>
          <t>Tarn-et-Garonne</t>
        </is>
      </c>
      <c r="F1132" t="inlineStr">
        <is>
          <t>Occitanie</t>
        </is>
      </c>
      <c r="G1132" s="3" t="n">
        <v>20434</v>
      </c>
      <c r="H1132" t="n">
        <v>19</v>
      </c>
      <c r="I1132" t="inlineStr">
        <is>
          <t>264 route du Treilhou, BP 94</t>
        </is>
      </c>
      <c r="J1132" t="inlineStr">
        <is>
          <t>82300</t>
        </is>
      </c>
      <c r="K1132" t="inlineStr">
        <is>
          <t>Caussade</t>
        </is>
      </c>
      <c r="L1132" t="inlineStr">
        <is>
          <t>05 63 93 28 66</t>
        </is>
      </c>
      <c r="M1132" s="4" t="inlineStr">
        <is>
          <t>communautedecommunes@quercycaussadais.fr</t>
        </is>
      </c>
      <c r="N1132" s="4" t="inlineStr">
        <is>
          <t>https://www.quercycaussadais.fr/</t>
        </is>
      </c>
      <c r="O1132" s="4" t="inlineStr">
        <is>
          <t>https://www.quercycaussadais.fr/contact</t>
        </is>
      </c>
      <c r="P1132" s="4" t="inlineStr">
        <is>
          <t>https://lannuaire.service-public.gouv.fr/occitanie/tarn-et-garonne/becc6e55-31e6-464a-99e2-7c16f9bcdb5c</t>
        </is>
      </c>
      <c r="Q1132" t="inlineStr">
        <is>
          <t>Annuaire Service-public.fr</t>
        </is>
      </c>
      <c r="R1132" t="inlineStr"/>
      <c r="S1132" t="inlineStr"/>
      <c r="T1132" t="inlineStr"/>
    </row>
    <row r="1133">
      <c r="A1133" t="inlineStr">
        <is>
          <t>CA Dracénie Provence Verdon Agglomération</t>
        </is>
      </c>
      <c r="B1133" t="inlineStr">
        <is>
          <t>Communauté d’agglomération</t>
        </is>
      </c>
      <c r="C1133" t="inlineStr">
        <is>
          <t>248300493</t>
        </is>
      </c>
      <c r="D1133" t="inlineStr">
        <is>
          <t>83</t>
        </is>
      </c>
      <c r="E1133" t="inlineStr">
        <is>
          <t>Var</t>
        </is>
      </c>
      <c r="F1133" t="inlineStr">
        <is>
          <t>Provence-Alpes-Côte d'Azur</t>
        </is>
      </c>
      <c r="G1133" s="3" t="n">
        <v>113515</v>
      </c>
      <c r="H1133" t="n">
        <v>23</v>
      </c>
      <c r="I1133" t="inlineStr">
        <is>
          <t>Square Mozart</t>
        </is>
      </c>
      <c r="J1133" t="inlineStr">
        <is>
          <t>83004</t>
        </is>
      </c>
      <c r="K1133" t="inlineStr">
        <is>
          <t>Draguignan</t>
        </is>
      </c>
      <c r="L1133" t="inlineStr">
        <is>
          <t>04 94 50 16 20</t>
        </is>
      </c>
      <c r="M1133" s="4" t="inlineStr">
        <is>
          <t>accueil@dracenie.com</t>
        </is>
      </c>
      <c r="N1133" s="4" t="inlineStr">
        <is>
          <t>https://www.dracenie.com/</t>
        </is>
      </c>
      <c r="O1133" s="4" t="inlineStr">
        <is>
          <t>https://www.dracenie.com/contact</t>
        </is>
      </c>
      <c r="P1133" s="4" t="inlineStr">
        <is>
          <t>https://lannuaire.service-public.gouv.fr/provence-alpes-cote-d-azur/var/a61432f9-b1eb-47b7-9dea-6d9a3ecbd23b</t>
        </is>
      </c>
      <c r="Q1133" t="inlineStr">
        <is>
          <t>Annuaire Service-public.fr</t>
        </is>
      </c>
      <c r="R1133" t="inlineStr"/>
      <c r="S1133" t="inlineStr"/>
      <c r="T1133" t="inlineStr"/>
    </row>
    <row r="1134">
      <c r="A1134" t="inlineStr">
        <is>
          <t>CA Estérel Côte d'Azur Agglomération</t>
        </is>
      </c>
      <c r="B1134" t="inlineStr">
        <is>
          <t>Communauté d’agglomération</t>
        </is>
      </c>
      <c r="C1134" t="inlineStr">
        <is>
          <t>200035319</t>
        </is>
      </c>
      <c r="D1134" t="inlineStr">
        <is>
          <t>83</t>
        </is>
      </c>
      <c r="E1134" t="inlineStr">
        <is>
          <t>Var</t>
        </is>
      </c>
      <c r="F1134" t="inlineStr">
        <is>
          <t>Provence-Alpes-Côte d'Azur</t>
        </is>
      </c>
      <c r="G1134" s="3" t="n">
        <v>121390</v>
      </c>
      <c r="H1134" t="n">
        <v>5</v>
      </c>
      <c r="I1134" t="inlineStr">
        <is>
          <t>624 chemin Aurélien, CS 50133</t>
        </is>
      </c>
      <c r="J1134" t="inlineStr">
        <is>
          <t>83707</t>
        </is>
      </c>
      <c r="K1134" t="inlineStr">
        <is>
          <t>Saint-Raphaël Cedex</t>
        </is>
      </c>
      <c r="L1134" t="inlineStr">
        <is>
          <t>04 94 19 31 00</t>
        </is>
      </c>
      <c r="M1134" s="4" t="inlineStr">
        <is>
          <t>contact@esterelcotedazur-agglo.fr</t>
        </is>
      </c>
      <c r="N1134" s="4" t="inlineStr">
        <is>
          <t>https://esterelcotedazur-agglo.fr/</t>
        </is>
      </c>
      <c r="O1134" s="4" t="inlineStr">
        <is>
          <t>https://esterelcotedazur-agglo.fr/contacter-un-service/</t>
        </is>
      </c>
      <c r="P1134" s="4" t="inlineStr">
        <is>
          <t>https://lannuaire.service-public.gouv.fr/provence-alpes-cote-d-azur/var/49c9d5d0-70d5-4392-9504-19e7319b964d</t>
        </is>
      </c>
      <c r="Q1134" t="inlineStr">
        <is>
          <t>Annuaire Service-public.fr</t>
        </is>
      </c>
      <c r="R1134" t="inlineStr"/>
      <c r="S1134" t="inlineStr"/>
      <c r="T1134" t="inlineStr"/>
    </row>
    <row r="1135">
      <c r="A1135" t="inlineStr">
        <is>
          <t>CA Sud Sainte Baume</t>
        </is>
      </c>
      <c r="B1135" t="inlineStr">
        <is>
          <t>Communauté d’agglomération</t>
        </is>
      </c>
      <c r="C1135" t="inlineStr">
        <is>
          <t>248300394</t>
        </is>
      </c>
      <c r="D1135" t="inlineStr">
        <is>
          <t>83</t>
        </is>
      </c>
      <c r="E1135" t="inlineStr">
        <is>
          <t>Var</t>
        </is>
      </c>
      <c r="F1135" t="inlineStr">
        <is>
          <t>Provence-Alpes-Côte d'Azur</t>
        </is>
      </c>
      <c r="G1135" s="3" t="n">
        <v>65199</v>
      </c>
      <c r="H1135" t="n">
        <v>9</v>
      </c>
      <c r="I1135" t="inlineStr">
        <is>
          <t>155 avenue Henri-Jansoulin</t>
        </is>
      </c>
      <c r="J1135" t="inlineStr">
        <is>
          <t>83740</t>
        </is>
      </c>
      <c r="K1135" t="inlineStr">
        <is>
          <t>La Cadière-d'Azur</t>
        </is>
      </c>
      <c r="L1135" t="inlineStr">
        <is>
          <t>04 94 98 26 60</t>
        </is>
      </c>
      <c r="M1135" s="4" t="inlineStr">
        <is>
          <t>agglo@sudsaintebaume.fr</t>
        </is>
      </c>
      <c r="N1135" s="4" t="inlineStr">
        <is>
          <t>https://www.agglo-sudsaintebaume.fr</t>
        </is>
      </c>
      <c r="O1135" s="4" t="inlineStr">
        <is>
          <t>https://www.agglo-sudsaintebaume.fr/contact/</t>
        </is>
      </c>
      <c r="P1135" s="4" t="inlineStr">
        <is>
          <t>https://lannuaire.service-public.gouv.fr/provence-alpes-cote-d-azur/var/cf2954b7-c7bd-40b7-b96c-a0e9e6536e4f</t>
        </is>
      </c>
      <c r="Q1135" t="inlineStr">
        <is>
          <t>Annuaire Service-public.fr</t>
        </is>
      </c>
      <c r="R1135" t="inlineStr"/>
      <c r="S1135" t="inlineStr"/>
      <c r="T1135" t="inlineStr"/>
    </row>
    <row r="1136">
      <c r="A1136" t="inlineStr">
        <is>
          <t>CA de la Provence Verte</t>
        </is>
      </c>
      <c r="B1136" t="inlineStr">
        <is>
          <t>Communauté d’agglomération</t>
        </is>
      </c>
      <c r="C1136" t="inlineStr">
        <is>
          <t>200068104</t>
        </is>
      </c>
      <c r="D1136" t="inlineStr">
        <is>
          <t>83</t>
        </is>
      </c>
      <c r="E1136" t="inlineStr">
        <is>
          <t>Var</t>
        </is>
      </c>
      <c r="F1136" t="inlineStr">
        <is>
          <t>Provence-Alpes-Côte d'Azur</t>
        </is>
      </c>
      <c r="G1136" s="3" t="n">
        <v>103248</v>
      </c>
      <c r="H1136" t="n">
        <v>28</v>
      </c>
      <c r="I1136" t="inlineStr">
        <is>
          <t>Quartier de Paris, 174 route départementale 554</t>
        </is>
      </c>
      <c r="J1136" t="inlineStr">
        <is>
          <t>83170</t>
        </is>
      </c>
      <c r="K1136" t="inlineStr">
        <is>
          <t>Brignoles</t>
        </is>
      </c>
      <c r="L1136" t="inlineStr">
        <is>
          <t>04 98 05 27 10</t>
        </is>
      </c>
      <c r="M1136" s="4" t="inlineStr">
        <is>
          <t>contact@caprovenceverte.fr</t>
        </is>
      </c>
      <c r="N1136" s="4" t="inlineStr">
        <is>
          <t>https://www.caprovenceverte.fr/</t>
        </is>
      </c>
      <c r="O1136" s="4" t="inlineStr">
        <is>
          <t>https://www.caprovenceverte.fr/contact/</t>
        </is>
      </c>
      <c r="P1136" s="4" t="inlineStr">
        <is>
          <t>https://lannuaire.service-public.gouv.fr/provence-alpes-cote-d-azur/var/aee0f90d-f149-4f3a-971c-10644ebbb0e8</t>
        </is>
      </c>
      <c r="Q1136" t="inlineStr">
        <is>
          <t>Annuaire Service-public.fr</t>
        </is>
      </c>
      <c r="R1136" t="inlineStr"/>
      <c r="S1136" t="inlineStr"/>
      <c r="T1136" t="inlineStr"/>
    </row>
    <row r="1137">
      <c r="A1137" t="inlineStr">
        <is>
          <t>CC Coeur du Var</t>
        </is>
      </c>
      <c r="B1137" t="inlineStr">
        <is>
          <t>Communauté de communes</t>
        </is>
      </c>
      <c r="C1137" t="inlineStr">
        <is>
          <t>248300550</t>
        </is>
      </c>
      <c r="D1137" t="inlineStr">
        <is>
          <t>83</t>
        </is>
      </c>
      <c r="E1137" t="inlineStr">
        <is>
          <t>Var</t>
        </is>
      </c>
      <c r="F1137" t="inlineStr">
        <is>
          <t>Provence-Alpes-Côte d'Azur</t>
        </is>
      </c>
      <c r="G1137" s="3" t="n">
        <v>45824</v>
      </c>
      <c r="H1137" t="n">
        <v>11</v>
      </c>
      <c r="I1137" t="inlineStr">
        <is>
          <t>Quartier Précoumin, Route de Toulon</t>
        </is>
      </c>
      <c r="J1137" t="inlineStr">
        <is>
          <t>83340</t>
        </is>
      </c>
      <c r="K1137" t="inlineStr">
        <is>
          <t>Le Luc</t>
        </is>
      </c>
      <c r="L1137" t="inlineStr">
        <is>
          <t>04 98 10 43 50</t>
        </is>
      </c>
      <c r="M1137" s="4" t="inlineStr">
        <is>
          <t>contact@coeurduvar.com</t>
        </is>
      </c>
      <c r="N1137" s="4" t="inlineStr">
        <is>
          <t>https://www.coeurduvar.com/</t>
        </is>
      </c>
      <c r="O1137" s="4" t="inlineStr">
        <is>
          <t>https://www.coeurduvar.com/contact-coeur-du-var</t>
        </is>
      </c>
      <c r="P1137" s="4" t="inlineStr">
        <is>
          <t>https://lannuaire.service-public.gouv.fr/provence-alpes-cote-d-azur/var/1a2598e0-a7eb-4dfc-b5e2-9c2a75388c5d</t>
        </is>
      </c>
      <c r="Q1137" t="inlineStr">
        <is>
          <t>Annuaire Service-public.fr</t>
        </is>
      </c>
      <c r="R1137" t="inlineStr"/>
      <c r="S1137" t="inlineStr"/>
      <c r="T1137" t="inlineStr"/>
    </row>
    <row r="1138">
      <c r="A1138" t="inlineStr">
        <is>
          <t>CC Lacs et Gorges du Verdon</t>
        </is>
      </c>
      <c r="B1138" t="inlineStr">
        <is>
          <t>Communauté de communes</t>
        </is>
      </c>
      <c r="C1138" t="inlineStr">
        <is>
          <t>200040210</t>
        </is>
      </c>
      <c r="D1138" t="inlineStr">
        <is>
          <t>83</t>
        </is>
      </c>
      <c r="E1138" t="inlineStr">
        <is>
          <t>Var</t>
        </is>
      </c>
      <c r="F1138" t="inlineStr">
        <is>
          <t>Provence-Alpes-Côte d'Azur</t>
        </is>
      </c>
      <c r="G1138" s="3" t="n">
        <v>8984</v>
      </c>
      <c r="H1138" t="n">
        <v>16</v>
      </c>
      <c r="I1138" t="inlineStr">
        <is>
          <t>242 avenue Albert-1er</t>
        </is>
      </c>
      <c r="J1138" t="inlineStr">
        <is>
          <t>83630</t>
        </is>
      </c>
      <c r="K1138" t="inlineStr">
        <is>
          <t>Aups</t>
        </is>
      </c>
      <c r="L1138" t="inlineStr">
        <is>
          <t>04 94 70 19 12</t>
        </is>
      </c>
      <c r="M1138" s="4" t="inlineStr">
        <is>
          <t>accueil@cclgv.fr</t>
        </is>
      </c>
      <c r="N1138" s="4" t="inlineStr">
        <is>
          <t>https://www.cc-lacsgorgesverdon.fr/</t>
        </is>
      </c>
      <c r="O1138" s="4" t="inlineStr">
        <is>
          <t>https://www.cc-lacsgorgesverdon.fr/contacts-comcom</t>
        </is>
      </c>
      <c r="P1138" s="4" t="inlineStr">
        <is>
          <t>https://lannuaire.service-public.gouv.fr/provence-alpes-cote-d-azur/var/3b9ce22d-f7bd-46d9-82d1-8b44c8d08e39</t>
        </is>
      </c>
      <c r="Q1138" t="inlineStr">
        <is>
          <t>Annuaire Service-public.fr</t>
        </is>
      </c>
      <c r="R1138" t="inlineStr"/>
      <c r="S1138" t="inlineStr"/>
      <c r="T1138" t="inlineStr"/>
    </row>
    <row r="1139">
      <c r="A1139" t="inlineStr">
        <is>
          <t>CC Méditerranée Porte des Maures</t>
        </is>
      </c>
      <c r="B1139" t="inlineStr">
        <is>
          <t>Communauté de communes</t>
        </is>
      </c>
      <c r="C1139" t="inlineStr">
        <is>
          <t>200027100</t>
        </is>
      </c>
      <c r="D1139" t="inlineStr">
        <is>
          <t>83</t>
        </is>
      </c>
      <c r="E1139" t="inlineStr">
        <is>
          <t>Var</t>
        </is>
      </c>
      <c r="F1139" t="inlineStr">
        <is>
          <t>Provence-Alpes-Côte d'Azur</t>
        </is>
      </c>
      <c r="G1139" s="3" t="n">
        <v>46540</v>
      </c>
      <c r="H1139" t="n">
        <v>6</v>
      </c>
      <c r="I1139" t="inlineStr">
        <is>
          <t>1 rue du lotissement Les Migraniers</t>
        </is>
      </c>
      <c r="J1139" t="inlineStr">
        <is>
          <t>83250</t>
        </is>
      </c>
      <c r="K1139" t="inlineStr">
        <is>
          <t>La Londe-les-Maures</t>
        </is>
      </c>
      <c r="L1139" t="inlineStr">
        <is>
          <t>04 94 00 05 86</t>
        </is>
      </c>
      <c r="M1139" s="4" t="inlineStr">
        <is>
          <t>contact@ccmpm.fr</t>
        </is>
      </c>
      <c r="N1139" s="4" t="inlineStr">
        <is>
          <t>https://www.ccmpm.fr</t>
        </is>
      </c>
      <c r="O1139" s="4" t="inlineStr">
        <is>
          <t>https://www.ccmpm.fr/nous-contacter/</t>
        </is>
      </c>
      <c r="P1139" s="4" t="inlineStr">
        <is>
          <t>https://lannuaire.service-public.gouv.fr/provence-alpes-cote-d-azur/var/d973f8cf-4b8f-4080-9825-54728a6e9906</t>
        </is>
      </c>
      <c r="Q1139" t="inlineStr">
        <is>
          <t>Annuaire Service-public.fr</t>
        </is>
      </c>
      <c r="R1139" t="inlineStr"/>
      <c r="S1139" t="inlineStr"/>
      <c r="T1139" t="inlineStr"/>
    </row>
    <row r="1140">
      <c r="A1140" t="inlineStr">
        <is>
          <t>CC Provence Verdon</t>
        </is>
      </c>
      <c r="B1140" t="inlineStr">
        <is>
          <t>Communauté de communes</t>
        </is>
      </c>
      <c r="C1140" t="inlineStr">
        <is>
          <t>200040202</t>
        </is>
      </c>
      <c r="D1140" t="inlineStr">
        <is>
          <t>83</t>
        </is>
      </c>
      <c r="E1140" t="inlineStr">
        <is>
          <t>Var</t>
        </is>
      </c>
      <c r="F1140" t="inlineStr">
        <is>
          <t>Provence-Alpes-Côte d'Azur</t>
        </is>
      </c>
      <c r="G1140" s="3" t="n">
        <v>22923</v>
      </c>
      <c r="H1140" t="n">
        <v>15</v>
      </c>
      <c r="I1140" t="inlineStr">
        <is>
          <t>38 avenue de la Foux</t>
        </is>
      </c>
      <c r="J1140" t="inlineStr">
        <is>
          <t>83670</t>
        </is>
      </c>
      <c r="K1140" t="inlineStr">
        <is>
          <t>Varages</t>
        </is>
      </c>
      <c r="L1140" t="inlineStr">
        <is>
          <t>04 94 77 18 53</t>
        </is>
      </c>
      <c r="M1140" s="4" t="inlineStr">
        <is>
          <t>accueil@provenceverdon.fr</t>
        </is>
      </c>
      <c r="N1140" s="4" t="inlineStr">
        <is>
          <t>https://www.provenceverdon.fr/</t>
        </is>
      </c>
      <c r="O1140" s="4" t="inlineStr">
        <is>
          <t>https://www.provenceverdon.fr/</t>
        </is>
      </c>
      <c r="P1140" s="4" t="inlineStr">
        <is>
          <t>https://lannuaire.service-public.gouv.fr/provence-alpes-cote-d-azur/var/710fc744-033b-48b6-be87-9a4a4b14ff16</t>
        </is>
      </c>
      <c r="Q1140" t="inlineStr">
        <is>
          <t>Annuaire Service-public.fr</t>
        </is>
      </c>
      <c r="R1140" t="inlineStr"/>
      <c r="S1140" t="inlineStr"/>
      <c r="T1140" t="inlineStr"/>
    </row>
    <row r="1141">
      <c r="A1141" t="inlineStr">
        <is>
          <t>CC de la Vallée du Gapeau</t>
        </is>
      </c>
      <c r="B1141" t="inlineStr">
        <is>
          <t>Communauté de communes</t>
        </is>
      </c>
      <c r="C1141" t="inlineStr">
        <is>
          <t>248300410</t>
        </is>
      </c>
      <c r="D1141" t="inlineStr">
        <is>
          <t>83</t>
        </is>
      </c>
      <c r="E1141" t="inlineStr">
        <is>
          <t>Var</t>
        </is>
      </c>
      <c r="F1141" t="inlineStr">
        <is>
          <t>Provence-Alpes-Côte d'Azur</t>
        </is>
      </c>
      <c r="G1141" s="3" t="n">
        <v>32961</v>
      </c>
      <c r="H1141" t="n">
        <v>5</v>
      </c>
      <c r="I1141" t="inlineStr">
        <is>
          <t>1193 avenue des Sénès</t>
        </is>
      </c>
      <c r="J1141" t="inlineStr">
        <is>
          <t>83210</t>
        </is>
      </c>
      <c r="K1141" t="inlineStr">
        <is>
          <t>Solliès-Pont</t>
        </is>
      </c>
      <c r="L1141" t="inlineStr">
        <is>
          <t>04 94 33 78 84</t>
        </is>
      </c>
      <c r="M1141" s="4" t="inlineStr">
        <is>
          <t>info@ccvg.fr</t>
        </is>
      </c>
      <c r="N1141" s="4" t="inlineStr">
        <is>
          <t>https://www.ccvg.fr/</t>
        </is>
      </c>
      <c r="O1141" s="4" t="inlineStr">
        <is>
          <t>https://www.ccvg.fr/nous-contacter-5/</t>
        </is>
      </c>
      <c r="P1141" s="4" t="inlineStr">
        <is>
          <t>https://lannuaire.service-public.gouv.fr/provence-alpes-cote-d-azur/var/52737038-0552-47c0-9049-16f23b02b480</t>
        </is>
      </c>
      <c r="Q1141" t="inlineStr">
        <is>
          <t>Annuaire Service-public.fr</t>
        </is>
      </c>
      <c r="R1141" t="inlineStr"/>
      <c r="S1141" t="inlineStr"/>
      <c r="T1141" t="inlineStr"/>
    </row>
    <row r="1142">
      <c r="A1142" t="inlineStr">
        <is>
          <t>CC du Golfe de Saint-Tropez</t>
        </is>
      </c>
      <c r="B1142" t="inlineStr">
        <is>
          <t>Communauté de communes</t>
        </is>
      </c>
      <c r="C1142" t="inlineStr">
        <is>
          <t>200036077</t>
        </is>
      </c>
      <c r="D1142" t="inlineStr">
        <is>
          <t>83</t>
        </is>
      </c>
      <c r="E1142" t="inlineStr">
        <is>
          <t>Var</t>
        </is>
      </c>
      <c r="F1142" t="inlineStr">
        <is>
          <t>Provence-Alpes-Côte d'Azur</t>
        </is>
      </c>
      <c r="G1142" s="3" t="n">
        <v>57965</v>
      </c>
      <c r="H1142" t="n">
        <v>12</v>
      </c>
      <c r="I1142" t="inlineStr">
        <is>
          <t>2 rue Blaise-Pascal, Bâtiment le Grand Sud</t>
        </is>
      </c>
      <c r="J1142" t="inlineStr">
        <is>
          <t>83310</t>
        </is>
      </c>
      <c r="K1142" t="inlineStr">
        <is>
          <t>Cogolin</t>
        </is>
      </c>
      <c r="L1142" t="inlineStr">
        <is>
          <t>04 94 55 70 30</t>
        </is>
      </c>
      <c r="M1142" s="4" t="inlineStr">
        <is>
          <t>contact@cc-golfedesainttropez.fr</t>
        </is>
      </c>
      <c r="N1142" s="4" t="inlineStr">
        <is>
          <t>https://www.golfe-sainttropez.fr/</t>
        </is>
      </c>
      <c r="O1142" s="4" t="inlineStr">
        <is>
          <t>https://www.golfe-sainttropez.fr/nous-contacter/</t>
        </is>
      </c>
      <c r="P1142" s="4" t="inlineStr">
        <is>
          <t>https://lannuaire.service-public.gouv.fr/provence-alpes-cote-d-azur/var/74476cb5-2f20-4385-801b-631666f6c426</t>
        </is>
      </c>
      <c r="Q1142" t="inlineStr">
        <is>
          <t>Annuaire Service-public.fr</t>
        </is>
      </c>
      <c r="R1142" t="inlineStr"/>
      <c r="S1142" t="inlineStr"/>
      <c r="T1142" t="inlineStr"/>
    </row>
    <row r="1143">
      <c r="A1143" t="inlineStr">
        <is>
          <t>CC du Pays de Fayence</t>
        </is>
      </c>
      <c r="B1143" t="inlineStr">
        <is>
          <t>Communauté de communes</t>
        </is>
      </c>
      <c r="C1143" t="inlineStr">
        <is>
          <t>200004802</t>
        </is>
      </c>
      <c r="D1143" t="inlineStr">
        <is>
          <t>83</t>
        </is>
      </c>
      <c r="E1143" t="inlineStr">
        <is>
          <t>Var</t>
        </is>
      </c>
      <c r="F1143" t="inlineStr">
        <is>
          <t>Provence-Alpes-Côte d'Azur</t>
        </is>
      </c>
      <c r="G1143" s="3" t="n">
        <v>29769</v>
      </c>
      <c r="H1143" t="n">
        <v>9</v>
      </c>
      <c r="I1143" t="inlineStr">
        <is>
          <t>1849 route départementale 19, Mas-de-Tassy</t>
        </is>
      </c>
      <c r="J1143" t="inlineStr">
        <is>
          <t>83440</t>
        </is>
      </c>
      <c r="K1143" t="inlineStr">
        <is>
          <t>Tourrettes</t>
        </is>
      </c>
      <c r="L1143" t="inlineStr">
        <is>
          <t>04 94 76 02 03</t>
        </is>
      </c>
      <c r="M1143" s="4" t="inlineStr">
        <is>
          <t>contact@cc-paysdefayence.fr</t>
        </is>
      </c>
      <c r="N1143" s="4" t="inlineStr">
        <is>
          <t>https://www.cc-paysdefayence.fr/</t>
        </is>
      </c>
      <c r="O1143" t="inlineStr"/>
      <c r="P1143" s="4" t="inlineStr">
        <is>
          <t>https://lannuaire.service-public.gouv.fr/provence-alpes-cote-d-azur/var/2e5a0294-cc2c-469a-91d7-5eabf73966d8</t>
        </is>
      </c>
      <c r="Q1143" t="inlineStr">
        <is>
          <t>Annuaire Service-public.fr</t>
        </is>
      </c>
      <c r="R1143" t="inlineStr"/>
      <c r="S1143" t="inlineStr"/>
      <c r="T1143" t="inlineStr"/>
    </row>
    <row r="1144">
      <c r="A1144" t="inlineStr">
        <is>
          <t>Métropole Toulon-Provence-Méditerranée</t>
        </is>
      </c>
      <c r="B1144" t="inlineStr">
        <is>
          <t>Métropole</t>
        </is>
      </c>
      <c r="C1144" t="inlineStr">
        <is>
          <t>248300543</t>
        </is>
      </c>
      <c r="D1144" t="inlineStr">
        <is>
          <t>83</t>
        </is>
      </c>
      <c r="E1144" t="inlineStr">
        <is>
          <t>Var</t>
        </is>
      </c>
      <c r="F1144" t="inlineStr">
        <is>
          <t>Provence-Alpes-Côte d'Azur</t>
        </is>
      </c>
      <c r="G1144" s="3" t="n">
        <v>449782</v>
      </c>
      <c r="H1144" t="n">
        <v>12</v>
      </c>
      <c r="I1144" t="inlineStr">
        <is>
          <t>107 boulevard Henri-Fabre, Hôtel de la métropole</t>
        </is>
      </c>
      <c r="J1144" t="inlineStr">
        <is>
          <t>83041</t>
        </is>
      </c>
      <c r="K1144" t="inlineStr">
        <is>
          <t>Toulon</t>
        </is>
      </c>
      <c r="L1144" t="inlineStr">
        <is>
          <t>04 94 93 83 00</t>
        </is>
      </c>
      <c r="M1144" s="4" t="inlineStr">
        <is>
          <t>contact@metropoletpm.fr</t>
        </is>
      </c>
      <c r="N1144" s="4" t="inlineStr">
        <is>
          <t>https://metropoletpm.fr/</t>
        </is>
      </c>
      <c r="O1144" t="inlineStr"/>
      <c r="P1144" s="4" t="inlineStr">
        <is>
          <t>https://lannuaire.service-public.gouv.fr/provence-alpes-cote-d-azur/var/dfdbc330-f97a-4922-92b8-68dfab3ddcdd</t>
        </is>
      </c>
      <c r="Q1144" t="inlineStr">
        <is>
          <t>Annuaire Service-public.fr</t>
        </is>
      </c>
      <c r="R1144" t="inlineStr"/>
      <c r="S1144" t="inlineStr"/>
      <c r="T1144" t="inlineStr"/>
    </row>
    <row r="1145">
      <c r="A1145" t="inlineStr">
        <is>
          <t>CA Luberon Monts de Vaucluse</t>
        </is>
      </c>
      <c r="B1145" t="inlineStr">
        <is>
          <t>Communauté d’agglomération</t>
        </is>
      </c>
      <c r="C1145" t="inlineStr">
        <is>
          <t>200040442</t>
        </is>
      </c>
      <c r="D1145" t="inlineStr">
        <is>
          <t>84</t>
        </is>
      </c>
      <c r="E1145" t="inlineStr">
        <is>
          <t>Vaucluse</t>
        </is>
      </c>
      <c r="F1145" t="inlineStr">
        <is>
          <t>Provence-Alpes-Côte d'Azur</t>
        </is>
      </c>
      <c r="G1145" s="3" t="n">
        <v>55163</v>
      </c>
      <c r="H1145" t="n">
        <v>16</v>
      </c>
      <c r="I1145" t="inlineStr">
        <is>
          <t>315 avenue Saint-Baldou</t>
        </is>
      </c>
      <c r="J1145" t="inlineStr">
        <is>
          <t>84300</t>
        </is>
      </c>
      <c r="K1145" t="inlineStr">
        <is>
          <t>Cavaillon</t>
        </is>
      </c>
      <c r="L1145" t="inlineStr">
        <is>
          <t>04 90 78 82 30</t>
        </is>
      </c>
      <c r="M1145" s="4" t="inlineStr">
        <is>
          <t>accueil@c-lmv.fr</t>
        </is>
      </c>
      <c r="N1145" s="4" t="inlineStr">
        <is>
          <t>https://www.luberonmontsdevaucluse.fr/</t>
        </is>
      </c>
      <c r="O1145" s="4" t="inlineStr">
        <is>
          <t>https://www.luberonmontsdevaucluse.fr/contactez-nous/</t>
        </is>
      </c>
      <c r="P1145" s="4" t="inlineStr">
        <is>
          <t>https://lannuaire.service-public.gouv.fr/provence-alpes-cote-d-azur/vaucluse/6bf50d99-6688-40c4-99cd-a57024d23dcc</t>
        </is>
      </c>
      <c r="Q1145" t="inlineStr">
        <is>
          <t>Annuaire Service-public.fr</t>
        </is>
      </c>
      <c r="R1145" t="inlineStr"/>
      <c r="S1145" t="inlineStr"/>
      <c r="T1145" t="inlineStr"/>
    </row>
    <row r="1146">
      <c r="A1146" t="inlineStr">
        <is>
          <t>CA Ventoux-Comtat-Venaissin (COVE)</t>
        </is>
      </c>
      <c r="B1146" t="inlineStr">
        <is>
          <t>Communauté d’agglomération</t>
        </is>
      </c>
      <c r="C1146" t="inlineStr">
        <is>
          <t>248400053</t>
        </is>
      </c>
      <c r="D1146" t="inlineStr">
        <is>
          <t>84</t>
        </is>
      </c>
      <c r="E1146" t="inlineStr">
        <is>
          <t>Vaucluse</t>
        </is>
      </c>
      <c r="F1146" t="inlineStr">
        <is>
          <t>Provence-Alpes-Côte d'Azur</t>
        </is>
      </c>
      <c r="G1146" s="3" t="n">
        <v>72174</v>
      </c>
      <c r="H1146" t="n">
        <v>25</v>
      </c>
      <c r="I1146" t="inlineStr">
        <is>
          <t>1171 avenue du Mont-Ventoux, CS 30085</t>
        </is>
      </c>
      <c r="J1146" t="inlineStr">
        <is>
          <t>84203</t>
        </is>
      </c>
      <c r="K1146" t="inlineStr">
        <is>
          <t>Carpentras Cedex</t>
        </is>
      </c>
      <c r="L1146" t="inlineStr">
        <is>
          <t>04 90 67 10 13</t>
        </is>
      </c>
      <c r="M1146" s="4" t="inlineStr">
        <is>
          <t>accueil-cove@lacove.fr</t>
        </is>
      </c>
      <c r="N1146" s="4" t="inlineStr">
        <is>
          <t>https://www.lacove.fr/accueil.html</t>
        </is>
      </c>
      <c r="O1146" s="4" t="inlineStr">
        <is>
          <t>https://www.lacove.fr/nous-contacter.html</t>
        </is>
      </c>
      <c r="P1146" s="4" t="inlineStr">
        <is>
          <t>https://lannuaire.service-public.gouv.fr/provence-alpes-cote-d-azur/vaucluse/9b14f873-e961-4f89-8911-9b6a07dc2ed3</t>
        </is>
      </c>
      <c r="Q1146" t="inlineStr">
        <is>
          <t>Annuaire Service-public.fr</t>
        </is>
      </c>
      <c r="R1146" t="inlineStr"/>
      <c r="S1146" t="inlineStr"/>
      <c r="T1146" t="inlineStr"/>
    </row>
    <row r="1147">
      <c r="A1147" t="inlineStr">
        <is>
          <t>CA des Sorgues du Comtat</t>
        </is>
      </c>
      <c r="B1147" t="inlineStr">
        <is>
          <t>Communauté d’agglomération</t>
        </is>
      </c>
      <c r="C1147" t="inlineStr">
        <is>
          <t>248400293</t>
        </is>
      </c>
      <c r="D1147" t="inlineStr">
        <is>
          <t>84</t>
        </is>
      </c>
      <c r="E1147" t="inlineStr">
        <is>
          <t>Vaucluse</t>
        </is>
      </c>
      <c r="F1147" t="inlineStr">
        <is>
          <t>Provence-Alpes-Côte d'Azur</t>
        </is>
      </c>
      <c r="G1147" s="3" t="n">
        <v>51024</v>
      </c>
      <c r="H1147" t="n">
        <v>5</v>
      </c>
      <c r="I1147" t="inlineStr">
        <is>
          <t>340 boulevard d'Avignon, Communauté d'Agglomération Les Sorgues du Comtat</t>
        </is>
      </c>
      <c r="J1147" t="inlineStr">
        <is>
          <t>84170</t>
        </is>
      </c>
      <c r="K1147" t="inlineStr">
        <is>
          <t>Monteux</t>
        </is>
      </c>
      <c r="L1147" t="inlineStr">
        <is>
          <t>04 90 61 15 50</t>
        </is>
      </c>
      <c r="M1147" s="4" t="inlineStr">
        <is>
          <t>accueil@sorguesducomtat.fr</t>
        </is>
      </c>
      <c r="N1147" s="4" t="inlineStr">
        <is>
          <t>https://sorguesducomtat.fr/fr/</t>
        </is>
      </c>
      <c r="O1147" t="inlineStr"/>
      <c r="P1147" s="4" t="inlineStr">
        <is>
          <t>https://lannuaire.service-public.gouv.fr/provence-alpes-cote-d-azur/vaucluse/ec01309b-1f8c-4aa2-af79-54cb21f195a5</t>
        </is>
      </c>
      <c r="Q1147" t="inlineStr">
        <is>
          <t>Annuaire Service-public.fr</t>
        </is>
      </c>
      <c r="R1147" t="inlineStr"/>
      <c r="S1147" t="inlineStr"/>
      <c r="T1147" t="inlineStr"/>
    </row>
    <row r="1148">
      <c r="A1148" t="inlineStr">
        <is>
          <t>CC Aygues-Ouvèze en Provence (CCAOP)</t>
        </is>
      </c>
      <c r="B1148" t="inlineStr">
        <is>
          <t>Communauté de communes</t>
        </is>
      </c>
      <c r="C1148" t="inlineStr">
        <is>
          <t>248400160</t>
        </is>
      </c>
      <c r="D1148" t="inlineStr">
        <is>
          <t>84</t>
        </is>
      </c>
      <c r="E1148" t="inlineStr">
        <is>
          <t>Vaucluse</t>
        </is>
      </c>
      <c r="F1148" t="inlineStr">
        <is>
          <t>Provence-Alpes-Côte d'Azur</t>
        </is>
      </c>
      <c r="G1148" s="3" t="n">
        <v>20252</v>
      </c>
      <c r="H1148" t="n">
        <v>8</v>
      </c>
      <c r="I1148" t="inlineStr">
        <is>
          <t>ZAE Joncquier &amp; Morelles</t>
        </is>
      </c>
      <c r="J1148" t="inlineStr">
        <is>
          <t>84850</t>
        </is>
      </c>
      <c r="K1148" t="inlineStr">
        <is>
          <t>Camaret-sur-Aygues</t>
        </is>
      </c>
      <c r="L1148" t="inlineStr">
        <is>
          <t>04 90 29 46 10</t>
        </is>
      </c>
      <c r="M1148" s="4" t="inlineStr">
        <is>
          <t>accueil@ccayguesouveze.com</t>
        </is>
      </c>
      <c r="N1148" s="4" t="inlineStr">
        <is>
          <t>https://www.ccayguesouveze.com/</t>
        </is>
      </c>
      <c r="O1148" s="4" t="inlineStr">
        <is>
          <t>http://www.ccayguesouveze.com/contact/</t>
        </is>
      </c>
      <c r="P1148" s="4" t="inlineStr">
        <is>
          <t>https://lannuaire.service-public.gouv.fr/provence-alpes-cote-d-azur/vaucluse/a1980ee2-df14-4c61-adcb-25edfbaf7729</t>
        </is>
      </c>
      <c r="Q1148" t="inlineStr">
        <is>
          <t>Annuaire Service-public.fr</t>
        </is>
      </c>
      <c r="R1148" t="inlineStr"/>
      <c r="S1148" t="inlineStr"/>
      <c r="T1148" t="inlineStr"/>
    </row>
    <row r="1149">
      <c r="A1149" t="inlineStr">
        <is>
          <t>CC Pays d'Orange en Provence</t>
        </is>
      </c>
      <c r="B1149" t="inlineStr">
        <is>
          <t>Communauté de communes</t>
        </is>
      </c>
      <c r="C1149" t="inlineStr">
        <is>
          <t>248400236</t>
        </is>
      </c>
      <c r="D1149" t="inlineStr">
        <is>
          <t>84</t>
        </is>
      </c>
      <c r="E1149" t="inlineStr">
        <is>
          <t>Vaucluse</t>
        </is>
      </c>
      <c r="F1149" t="inlineStr">
        <is>
          <t>Provence-Alpes-Côte d'Azur</t>
        </is>
      </c>
      <c r="G1149" s="3" t="n">
        <v>45401</v>
      </c>
      <c r="H1149" t="n">
        <v>5</v>
      </c>
      <c r="I1149" t="inlineStr">
        <is>
          <t>307 avenue de l'Arc-de-Triomphe</t>
        </is>
      </c>
      <c r="J1149" t="inlineStr">
        <is>
          <t>84100</t>
        </is>
      </c>
      <c r="K1149" t="inlineStr">
        <is>
          <t>Orange</t>
        </is>
      </c>
      <c r="L1149" t="inlineStr">
        <is>
          <t>04 90 03 01 50</t>
        </is>
      </c>
      <c r="M1149" s="4" t="inlineStr">
        <is>
          <t>contact@ccpro.fr</t>
        </is>
      </c>
      <c r="N1149" s="4" t="inlineStr">
        <is>
          <t>https://www.ccpro.fr/</t>
        </is>
      </c>
      <c r="O1149" s="4" t="inlineStr">
        <is>
          <t>https://www.ccpro.fr/contact/</t>
        </is>
      </c>
      <c r="P1149" s="4" t="inlineStr">
        <is>
          <t>https://lannuaire.service-public.gouv.fr/provence-alpes-cote-d-azur/vaucluse/34610ba2-b32b-48ea-8d19-4aeadbfd28f7</t>
        </is>
      </c>
      <c r="Q1149" t="inlineStr">
        <is>
          <t>Annuaire Service-public.fr</t>
        </is>
      </c>
      <c r="R1149" t="inlineStr"/>
      <c r="S1149" t="inlineStr"/>
      <c r="T1149" t="inlineStr"/>
    </row>
    <row r="1150">
      <c r="A1150" t="inlineStr">
        <is>
          <t>CC Rhône Lez Provence</t>
        </is>
      </c>
      <c r="B1150" t="inlineStr">
        <is>
          <t>Communauté de communes</t>
        </is>
      </c>
      <c r="C1150" t="inlineStr">
        <is>
          <t>200000628</t>
        </is>
      </c>
      <c r="D1150" t="inlineStr">
        <is>
          <t>84</t>
        </is>
      </c>
      <c r="E1150" t="inlineStr">
        <is>
          <t>Vaucluse</t>
        </is>
      </c>
      <c r="F1150" t="inlineStr">
        <is>
          <t>Provence-Alpes-Côte d'Azur</t>
        </is>
      </c>
      <c r="G1150" s="3" t="n">
        <v>24385</v>
      </c>
      <c r="H1150" t="n">
        <v>5</v>
      </c>
      <c r="I1150" t="inlineStr">
        <is>
          <t>1260 avenue Théodore-Aubanel</t>
        </is>
      </c>
      <c r="J1150" t="inlineStr">
        <is>
          <t>84500</t>
        </is>
      </c>
      <c r="K1150" t="inlineStr">
        <is>
          <t>Bollène</t>
        </is>
      </c>
      <c r="L1150" t="inlineStr">
        <is>
          <t>04 90 40 01 28</t>
        </is>
      </c>
      <c r="M1150" s="4" t="inlineStr">
        <is>
          <t>accueil@ccrlp.fr</t>
        </is>
      </c>
      <c r="N1150" s="4" t="inlineStr">
        <is>
          <t>http://www.ccrlp.fr</t>
        </is>
      </c>
      <c r="O1150" t="inlineStr"/>
      <c r="P1150" s="4" t="inlineStr">
        <is>
          <t>https://lannuaire.service-public.gouv.fr/provence-alpes-cote-d-azur/vaucluse/053e0e63-ded0-4b06-acef-11502193b3c8</t>
        </is>
      </c>
      <c r="Q1150" t="inlineStr">
        <is>
          <t>Annuaire Service-public.fr</t>
        </is>
      </c>
      <c r="R1150" t="inlineStr"/>
      <c r="S1150" t="inlineStr"/>
      <c r="T1150" t="inlineStr"/>
    </row>
    <row r="1151">
      <c r="A1151" t="inlineStr">
        <is>
          <t>CC Territoriale Sud-Luberon</t>
        </is>
      </c>
      <c r="B1151" t="inlineStr">
        <is>
          <t>Communauté de communes</t>
        </is>
      </c>
      <c r="C1151" t="inlineStr">
        <is>
          <t>248400285</t>
        </is>
      </c>
      <c r="D1151" t="inlineStr">
        <is>
          <t>84</t>
        </is>
      </c>
      <c r="E1151" t="inlineStr">
        <is>
          <t>Vaucluse</t>
        </is>
      </c>
      <c r="F1151" t="inlineStr">
        <is>
          <t>Provence-Alpes-Côte d'Azur</t>
        </is>
      </c>
      <c r="G1151" s="3" t="n">
        <v>25719</v>
      </c>
      <c r="H1151" t="n">
        <v>16</v>
      </c>
      <c r="I1151" t="inlineStr">
        <is>
          <t>Parc d'activité Le Revol, 128 chemin des Vieilles-Vignes, CS 20128</t>
        </is>
      </c>
      <c r="J1151" t="inlineStr">
        <is>
          <t>84240</t>
        </is>
      </c>
      <c r="K1151" t="inlineStr">
        <is>
          <t>La Tour-d'Aigues</t>
        </is>
      </c>
      <c r="L1151" t="inlineStr">
        <is>
          <t>04 90 07 48 12</t>
        </is>
      </c>
      <c r="M1151" s="4" t="inlineStr">
        <is>
          <t>accueil@cotelub.fr</t>
        </is>
      </c>
      <c r="N1151" s="4" t="inlineStr">
        <is>
          <t>https://www.cotelub.fr/</t>
        </is>
      </c>
      <c r="O1151" t="inlineStr"/>
      <c r="P1151" s="4" t="inlineStr">
        <is>
          <t>https://lannuaire.service-public.gouv.fr/provence-alpes-cote-d-azur/vaucluse/13a8c8e5-a3c5-4615-a462-c31309015044</t>
        </is>
      </c>
      <c r="Q1151" t="inlineStr">
        <is>
          <t>Annuaire Service-public.fr</t>
        </is>
      </c>
      <c r="R1151" t="inlineStr"/>
      <c r="S1151" t="inlineStr"/>
      <c r="T1151" t="inlineStr"/>
    </row>
    <row r="1152">
      <c r="A1152" t="inlineStr">
        <is>
          <t>CC du Pays des Sorgues et des Monts de Vaucluse</t>
        </is>
      </c>
      <c r="B1152" t="inlineStr">
        <is>
          <t>Communauté de communes</t>
        </is>
      </c>
      <c r="C1152" t="inlineStr">
        <is>
          <t>248400319</t>
        </is>
      </c>
      <c r="D1152" t="inlineStr">
        <is>
          <t>84</t>
        </is>
      </c>
      <c r="E1152" t="inlineStr">
        <is>
          <t>Vaucluse</t>
        </is>
      </c>
      <c r="F1152" t="inlineStr">
        <is>
          <t>Provence-Alpes-Côte d'Azur</t>
        </is>
      </c>
      <c r="G1152" s="3" t="n">
        <v>34163</v>
      </c>
      <c r="H1152" t="n">
        <v>5</v>
      </c>
      <c r="I1152" t="inlineStr">
        <is>
          <t>350 avenue de la Petite-Marine</t>
        </is>
      </c>
      <c r="J1152" t="inlineStr">
        <is>
          <t>84800</t>
        </is>
      </c>
      <c r="K1152" t="inlineStr">
        <is>
          <t>L'Isle-sur-la-Sorgue</t>
        </is>
      </c>
      <c r="L1152" t="inlineStr">
        <is>
          <t>04 90 21 43 11</t>
        </is>
      </c>
      <c r="M1152" s="4" t="inlineStr">
        <is>
          <t>contact@ccpsmv.fr</t>
        </is>
      </c>
      <c r="N1152" s="4" t="inlineStr">
        <is>
          <t>https://www.paysdessorgues.fr/</t>
        </is>
      </c>
      <c r="O1152" s="4" t="inlineStr">
        <is>
          <t>https://www.paysdessorgues.fr/contact</t>
        </is>
      </c>
      <c r="P1152" s="4" t="inlineStr">
        <is>
          <t>https://lannuaire.service-public.gouv.fr/provence-alpes-cote-d-azur/vaucluse/2a02fb0d-054e-4c80-86b3-4befc91dbbcd</t>
        </is>
      </c>
      <c r="Q1152" t="inlineStr">
        <is>
          <t>Annuaire Service-public.fr</t>
        </is>
      </c>
      <c r="R1152" t="inlineStr"/>
      <c r="S1152" t="inlineStr"/>
      <c r="T1152" t="inlineStr"/>
    </row>
    <row r="1153">
      <c r="A1153" t="inlineStr">
        <is>
          <t>CA La Roche-sur-Yon - Agglomération</t>
        </is>
      </c>
      <c r="B1153" t="inlineStr">
        <is>
          <t>Communauté d’agglomération</t>
        </is>
      </c>
      <c r="C1153" t="inlineStr">
        <is>
          <t>248500589</t>
        </is>
      </c>
      <c r="D1153" t="inlineStr">
        <is>
          <t>85</t>
        </is>
      </c>
      <c r="E1153" t="inlineStr">
        <is>
          <t>Vendée</t>
        </is>
      </c>
      <c r="F1153" t="inlineStr">
        <is>
          <t>Pays de la Loire</t>
        </is>
      </c>
      <c r="G1153" s="3" t="n">
        <v>98488</v>
      </c>
      <c r="H1153" t="n">
        <v>13</v>
      </c>
      <c r="I1153" t="inlineStr">
        <is>
          <t>Place du Théâtre</t>
        </is>
      </c>
      <c r="J1153" t="inlineStr">
        <is>
          <t>85000</t>
        </is>
      </c>
      <c r="K1153" t="inlineStr">
        <is>
          <t>La Roche-sur-Yon</t>
        </is>
      </c>
      <c r="L1153" t="inlineStr">
        <is>
          <t>02 51 47 47 47</t>
        </is>
      </c>
      <c r="M1153" s="4" t="inlineStr">
        <is>
          <t>accueil@larochesuryon.fr</t>
        </is>
      </c>
      <c r="N1153" s="4" t="inlineStr">
        <is>
          <t>https://www.larochesuryon.fr/</t>
        </is>
      </c>
      <c r="O1153" s="4" t="inlineStr">
        <is>
          <t>https://www.espace-citoyens.net/larochesuryon/espace-citoyens/Demande/NouvelleDemande/COURRIER/CONTACT</t>
        </is>
      </c>
      <c r="P1153" s="4" t="inlineStr">
        <is>
          <t>https://lannuaire.service-public.gouv.fr/pays-de-la-loire/vendee/b126aee6-75e9-496b-abc8-84b0360de7ce</t>
        </is>
      </c>
      <c r="Q1153" t="inlineStr">
        <is>
          <t>Annuaire Service-public.fr</t>
        </is>
      </c>
      <c r="R1153" t="inlineStr"/>
      <c r="S1153" t="inlineStr"/>
      <c r="T1153" t="inlineStr"/>
    </row>
    <row r="1154">
      <c r="A1154" t="inlineStr">
        <is>
          <t>CA Les Sables d'Olonne Agglomération</t>
        </is>
      </c>
      <c r="B1154" t="inlineStr">
        <is>
          <t>Communauté d’agglomération</t>
        </is>
      </c>
      <c r="C1154" t="inlineStr">
        <is>
          <t>200071165</t>
        </is>
      </c>
      <c r="D1154" t="inlineStr">
        <is>
          <t>85</t>
        </is>
      </c>
      <c r="E1154" t="inlineStr">
        <is>
          <t>Vendée</t>
        </is>
      </c>
      <c r="F1154" t="inlineStr">
        <is>
          <t>Pays de la Loire</t>
        </is>
      </c>
      <c r="G1154" s="3" t="n">
        <v>58531</v>
      </c>
      <c r="H1154" t="n">
        <v>5</v>
      </c>
      <c r="I1154" t="inlineStr">
        <is>
          <t>21 place du Poilu-de-France</t>
        </is>
      </c>
      <c r="J1154" t="inlineStr">
        <is>
          <t>85100</t>
        </is>
      </c>
      <c r="K1154" t="inlineStr">
        <is>
          <t>Les Sables-d'Olonne</t>
        </is>
      </c>
      <c r="L1154" t="inlineStr">
        <is>
          <t>02 51 23 16 00</t>
        </is>
      </c>
      <c r="M1154" s="4" t="inlineStr">
        <is>
          <t>info@lsoagglo.fr</t>
        </is>
      </c>
      <c r="N1154" s="4" t="inlineStr">
        <is>
          <t>https://www.lsoagglo.fr/</t>
        </is>
      </c>
      <c r="O1154" t="inlineStr"/>
      <c r="P1154" s="4" t="inlineStr">
        <is>
          <t>https://lannuaire.service-public.gouv.fr/pays-de-la-loire/vendee/1c285ec2-4db7-42c1-9f0d-c05fb8b820a1</t>
        </is>
      </c>
      <c r="Q1154" t="inlineStr">
        <is>
          <t>Annuaire Service-public.fr</t>
        </is>
      </c>
      <c r="R1154" t="inlineStr"/>
      <c r="S1154" t="inlineStr"/>
      <c r="T1154" t="inlineStr"/>
    </row>
    <row r="1155">
      <c r="A1155" t="inlineStr">
        <is>
          <t>CA Terres de Montaigu</t>
        </is>
      </c>
      <c r="B1155" t="inlineStr">
        <is>
          <t>Communauté d’agglomération</t>
        </is>
      </c>
      <c r="C1155" t="inlineStr">
        <is>
          <t>200070233</t>
        </is>
      </c>
      <c r="D1155" t="inlineStr">
        <is>
          <t>85</t>
        </is>
      </c>
      <c r="E1155" t="inlineStr">
        <is>
          <t>Vendée</t>
        </is>
      </c>
      <c r="F1155" t="inlineStr">
        <is>
          <t>Pays de la Loire</t>
        </is>
      </c>
      <c r="G1155" s="3" t="n">
        <v>50547</v>
      </c>
      <c r="H1155" t="n">
        <v>9</v>
      </c>
      <c r="I1155" t="inlineStr">
        <is>
          <t>440 rue du Mondial</t>
        </is>
      </c>
      <c r="J1155" t="inlineStr">
        <is>
          <t>85607</t>
        </is>
      </c>
      <c r="K1155" t="inlineStr">
        <is>
          <t>Montaigu-Vendée</t>
        </is>
      </c>
      <c r="L1155" t="inlineStr">
        <is>
          <t>02 51 46 45 45</t>
        </is>
      </c>
      <c r="M1155" s="4" t="inlineStr">
        <is>
          <t>contact@terresdemontaigu.fr</t>
        </is>
      </c>
      <c r="N1155" s="4" t="inlineStr">
        <is>
          <t>https://www.terresdemontaigu.fr/</t>
        </is>
      </c>
      <c r="O1155" s="4" t="inlineStr">
        <is>
          <t>https://www.terresdemontaigu.fr/contact/</t>
        </is>
      </c>
      <c r="P1155" s="4" t="inlineStr">
        <is>
          <t>https://lannuaire.service-public.gouv.fr/pays-de-la-loire/vendee/596ed788-401e-46f2-a5c7-5ba4eebc3a35</t>
        </is>
      </c>
      <c r="Q1155" t="inlineStr">
        <is>
          <t>Annuaire Service-public.fr</t>
        </is>
      </c>
      <c r="R1155" t="inlineStr"/>
      <c r="S1155" t="inlineStr"/>
      <c r="T1155" t="inlineStr"/>
    </row>
    <row r="1156">
      <c r="A1156" t="inlineStr">
        <is>
          <t>CA du Pays de Saint-Gilles-Croix-de-Vie</t>
        </is>
      </c>
      <c r="B1156" t="inlineStr">
        <is>
          <t>Communauté d’agglomération</t>
        </is>
      </c>
      <c r="C1156" t="inlineStr">
        <is>
          <t>200023778</t>
        </is>
      </c>
      <c r="D1156" t="inlineStr">
        <is>
          <t>85</t>
        </is>
      </c>
      <c r="E1156" t="inlineStr">
        <is>
          <t>Vendée</t>
        </is>
      </c>
      <c r="F1156" t="inlineStr">
        <is>
          <t>Pays de la Loire</t>
        </is>
      </c>
      <c r="G1156" s="3" t="n">
        <v>53176</v>
      </c>
      <c r="H1156" t="n">
        <v>14</v>
      </c>
      <c r="I1156" t="inlineStr">
        <is>
          <t>ZAE Le Soleil Levant</t>
        </is>
      </c>
      <c r="J1156" t="inlineStr">
        <is>
          <t>85800</t>
        </is>
      </c>
      <c r="K1156" t="inlineStr">
        <is>
          <t>Saint-Gilles-Croix-de-Vie</t>
        </is>
      </c>
      <c r="L1156" t="inlineStr">
        <is>
          <t>02 51 55 55 55</t>
        </is>
      </c>
      <c r="M1156" s="4" t="inlineStr">
        <is>
          <t>accueil@payssaintgilles.fr</t>
        </is>
      </c>
      <c r="N1156" s="4" t="inlineStr">
        <is>
          <t>https://payssaintgilles.fr/</t>
        </is>
      </c>
      <c r="O1156" s="4" t="inlineStr">
        <is>
          <t>https://payssaintgilles.fr/contact/</t>
        </is>
      </c>
      <c r="P1156" s="4" t="inlineStr">
        <is>
          <t>https://lannuaire.service-public.gouv.fr/pays-de-la-loire/vendee/49fab78b-d1fd-48d8-8eca-892455177b28</t>
        </is>
      </c>
      <c r="Q1156" t="inlineStr">
        <is>
          <t>Annuaire Service-public.fr</t>
        </is>
      </c>
      <c r="R1156" t="inlineStr"/>
      <c r="S1156" t="inlineStr"/>
      <c r="T1156" t="inlineStr"/>
    </row>
    <row r="1157">
      <c r="A1157" t="inlineStr">
        <is>
          <t>CC Challans-Gois Communauté</t>
        </is>
      </c>
      <c r="B1157" t="inlineStr">
        <is>
          <t>Communauté de communes</t>
        </is>
      </c>
      <c r="C1157" t="inlineStr">
        <is>
          <t>200071629</t>
        </is>
      </c>
      <c r="D1157" t="inlineStr">
        <is>
          <t>85</t>
        </is>
      </c>
      <c r="E1157" t="inlineStr">
        <is>
          <t>Vendée</t>
        </is>
      </c>
      <c r="F1157" t="inlineStr">
        <is>
          <t>Pays de la Loire</t>
        </is>
      </c>
      <c r="G1157" s="3" t="n">
        <v>50705</v>
      </c>
      <c r="H1157" t="n">
        <v>11</v>
      </c>
      <c r="I1157" t="inlineStr">
        <is>
          <t>16 rue du Parc-de-Pont-Habert</t>
        </is>
      </c>
      <c r="J1157" t="inlineStr">
        <is>
          <t>85300</t>
        </is>
      </c>
      <c r="K1157" t="inlineStr">
        <is>
          <t>Sallertaine</t>
        </is>
      </c>
      <c r="L1157" t="inlineStr">
        <is>
          <t>02 51 93 56 73</t>
        </is>
      </c>
      <c r="M1157" s="4" t="inlineStr">
        <is>
          <t>contact@challansgois.fr</t>
        </is>
      </c>
      <c r="N1157" s="4" t="inlineStr">
        <is>
          <t>https://www.challansgois.fr/</t>
        </is>
      </c>
      <c r="O1157" s="4" t="inlineStr">
        <is>
          <t>https://www.challansgois.fr/nous-contacter</t>
        </is>
      </c>
      <c r="P1157" s="4" t="inlineStr">
        <is>
          <t>https://lannuaire.service-public.gouv.fr/pays-de-la-loire/vendee/bdc2de03-7b2f-4cb1-ab00-c2356343de15</t>
        </is>
      </c>
      <c r="Q1157" t="inlineStr">
        <is>
          <t>Annuaire Service-public.fr</t>
        </is>
      </c>
      <c r="R1157" t="inlineStr"/>
      <c r="S1157" t="inlineStr"/>
      <c r="T1157" t="inlineStr"/>
    </row>
    <row r="1158">
      <c r="A1158" t="inlineStr">
        <is>
          <t>CC Océan Marais de Monts</t>
        </is>
      </c>
      <c r="B1158" t="inlineStr">
        <is>
          <t>Communauté de communes</t>
        </is>
      </c>
      <c r="C1158" t="inlineStr">
        <is>
          <t>248500258</t>
        </is>
      </c>
      <c r="D1158" t="inlineStr">
        <is>
          <t>85</t>
        </is>
      </c>
      <c r="E1158" t="inlineStr">
        <is>
          <t>Vendée</t>
        </is>
      </c>
      <c r="F1158" t="inlineStr">
        <is>
          <t>Pays de la Loire</t>
        </is>
      </c>
      <c r="G1158" s="3" t="n">
        <v>20203</v>
      </c>
      <c r="H1158" t="n">
        <v>5</v>
      </c>
      <c r="I1158" t="inlineStr">
        <is>
          <t>46 place de la Paix, Maison du développement intercommunal</t>
        </is>
      </c>
      <c r="J1158" t="inlineStr">
        <is>
          <t>85167</t>
        </is>
      </c>
      <c r="K1158" t="inlineStr">
        <is>
          <t>Saint-Jean-de-Monts</t>
        </is>
      </c>
      <c r="L1158" t="inlineStr">
        <is>
          <t>02 51 58 07 89</t>
        </is>
      </c>
      <c r="M1158" s="4" t="inlineStr">
        <is>
          <t>accueil@omdm.fr</t>
        </is>
      </c>
      <c r="N1158" s="4" t="inlineStr">
        <is>
          <t>https://www.oceanmaraisdemonts.fr/</t>
        </is>
      </c>
      <c r="O1158" t="inlineStr"/>
      <c r="P1158" s="4" t="inlineStr">
        <is>
          <t>https://lannuaire.service-public.gouv.fr/pays-de-la-loire/vendee/42d6ad23-333e-404e-9131-79507109580b</t>
        </is>
      </c>
      <c r="Q1158" t="inlineStr">
        <is>
          <t>Annuaire Service-public.fr</t>
        </is>
      </c>
      <c r="R1158" t="inlineStr"/>
      <c r="S1158" t="inlineStr"/>
      <c r="T1158" t="inlineStr"/>
    </row>
    <row r="1159">
      <c r="A1159" t="inlineStr">
        <is>
          <t>CC Pays de Chantonnay</t>
        </is>
      </c>
      <c r="B1159" t="inlineStr">
        <is>
          <t>Communauté de communes</t>
        </is>
      </c>
      <c r="C1159" t="inlineStr">
        <is>
          <t>248500340</t>
        </is>
      </c>
      <c r="D1159" t="inlineStr">
        <is>
          <t>85</t>
        </is>
      </c>
      <c r="E1159" t="inlineStr">
        <is>
          <t>Vendée</t>
        </is>
      </c>
      <c r="F1159" t="inlineStr">
        <is>
          <t>Pays de la Loire</t>
        </is>
      </c>
      <c r="G1159" s="3" t="n">
        <v>23216</v>
      </c>
      <c r="H1159" t="n">
        <v>10</v>
      </c>
      <c r="I1159" t="inlineStr">
        <is>
          <t>65 avenue du Général-de-Gaulle</t>
        </is>
      </c>
      <c r="J1159" t="inlineStr">
        <is>
          <t>85111</t>
        </is>
      </c>
      <c r="K1159" t="inlineStr">
        <is>
          <t>Chantonnay</t>
        </is>
      </c>
      <c r="L1159" t="inlineStr">
        <is>
          <t>02 51 94 40 23</t>
        </is>
      </c>
      <c r="M1159" s="4" t="inlineStr">
        <is>
          <t>contact@cc-paysdechantonnay.fr</t>
        </is>
      </c>
      <c r="N1159" s="4" t="inlineStr">
        <is>
          <t>https://www.paysdechantonnay.fr/</t>
        </is>
      </c>
      <c r="O1159" s="4" t="inlineStr">
        <is>
          <t>https://www.paysdechantonnay.fr/nous-contacter/</t>
        </is>
      </c>
      <c r="P1159" s="4" t="inlineStr">
        <is>
          <t>https://lannuaire.service-public.gouv.fr/pays-de-la-loire/vendee/361f7789-9b70-4275-b61b-e90224c7d9a9</t>
        </is>
      </c>
      <c r="Q1159" t="inlineStr">
        <is>
          <t>Annuaire Service-public.fr</t>
        </is>
      </c>
      <c r="R1159" t="inlineStr"/>
      <c r="S1159" t="inlineStr"/>
      <c r="T1159" t="inlineStr"/>
    </row>
    <row r="1160">
      <c r="A1160" t="inlineStr">
        <is>
          <t>CC Sud Vendée Littoral</t>
        </is>
      </c>
      <c r="B1160" t="inlineStr">
        <is>
          <t>Communauté de communes</t>
        </is>
      </c>
      <c r="C1160" t="inlineStr">
        <is>
          <t>200073260</t>
        </is>
      </c>
      <c r="D1160" t="inlineStr">
        <is>
          <t>85</t>
        </is>
      </c>
      <c r="E1160" t="inlineStr">
        <is>
          <t>Vendée</t>
        </is>
      </c>
      <c r="F1160" t="inlineStr">
        <is>
          <t>Pays de la Loire</t>
        </is>
      </c>
      <c r="G1160" s="3" t="n">
        <v>55649</v>
      </c>
      <c r="H1160" t="n">
        <v>42</v>
      </c>
      <c r="I1160" t="inlineStr">
        <is>
          <t>107 avenue Maréchal-de-Lattre-de-Tassigny</t>
        </is>
      </c>
      <c r="J1160" t="inlineStr">
        <is>
          <t>85400</t>
        </is>
      </c>
      <c r="K1160" t="inlineStr">
        <is>
          <t>Luçon</t>
        </is>
      </c>
      <c r="L1160" t="inlineStr">
        <is>
          <t>02 51 97 64 64</t>
        </is>
      </c>
      <c r="M1160" s="4" t="inlineStr">
        <is>
          <t>accueil@sudvendeelittoral.fr</t>
        </is>
      </c>
      <c r="N1160" s="4" t="inlineStr">
        <is>
          <t>https://www.cc-sudvendeelittoral.fr/</t>
        </is>
      </c>
      <c r="O1160" s="4" t="inlineStr">
        <is>
          <t>https://www.cc-sudvendeelittoral.fr/systeme/nous-contacter/</t>
        </is>
      </c>
      <c r="P1160" s="4" t="inlineStr">
        <is>
          <t>https://lannuaire.service-public.gouv.fr/pays-de-la-loire/vendee/2eaf4b87-e89b-47ff-bf02-b38799a7fd22</t>
        </is>
      </c>
      <c r="Q1160" t="inlineStr">
        <is>
          <t>Annuaire Service-public.fr</t>
        </is>
      </c>
      <c r="R1160" t="inlineStr"/>
      <c r="S1160" t="inlineStr"/>
      <c r="T1160" t="inlineStr"/>
    </row>
    <row r="1161">
      <c r="A1161" t="inlineStr">
        <is>
          <t>CC Vendée Grand Littoral</t>
        </is>
      </c>
      <c r="B1161" t="inlineStr">
        <is>
          <t>Communauté de communes</t>
        </is>
      </c>
      <c r="C1161" t="inlineStr">
        <is>
          <t>200071900</t>
        </is>
      </c>
      <c r="D1161" t="inlineStr">
        <is>
          <t>85</t>
        </is>
      </c>
      <c r="E1161" t="inlineStr">
        <is>
          <t>Vendée</t>
        </is>
      </c>
      <c r="F1161" t="inlineStr">
        <is>
          <t>Pays de la Loire</t>
        </is>
      </c>
      <c r="G1161" s="3" t="n">
        <v>36360</v>
      </c>
      <c r="H1161" t="n">
        <v>20</v>
      </c>
      <c r="I1161" t="inlineStr">
        <is>
          <t>35 impasse du Luthier, ZI du Patis, BP 20</t>
        </is>
      </c>
      <c r="J1161" t="inlineStr">
        <is>
          <t>85440</t>
        </is>
      </c>
      <c r="K1161" t="inlineStr">
        <is>
          <t>Talmont-Saint-Hilaire</t>
        </is>
      </c>
      <c r="L1161" t="inlineStr">
        <is>
          <t>02 51 20 72 07</t>
        </is>
      </c>
      <c r="M1161" s="4" t="inlineStr">
        <is>
          <t>contact@vendeegrandlittoral.fr</t>
        </is>
      </c>
      <c r="N1161" s="4" t="inlineStr">
        <is>
          <t>https://www.vendeegrandlittoral.fr/</t>
        </is>
      </c>
      <c r="O1161" s="4" t="inlineStr">
        <is>
          <t>https://www.vendeegrandlittoral.fr/systeme/contact/</t>
        </is>
      </c>
      <c r="P1161" s="4" t="inlineStr">
        <is>
          <t>https://lannuaire.service-public.gouv.fr/pays-de-la-loire/vendee/14f6b5e5-af7e-416a-8422-953a99d13d74</t>
        </is>
      </c>
      <c r="Q1161" t="inlineStr">
        <is>
          <t>Annuaire Service-public.fr</t>
        </is>
      </c>
      <c r="R1161" t="inlineStr"/>
      <c r="S1161" t="inlineStr"/>
      <c r="T1161" t="inlineStr"/>
    </row>
    <row r="1162">
      <c r="A1162" t="inlineStr">
        <is>
          <t>CC Vendée, Sèvre, Autise</t>
        </is>
      </c>
      <c r="B1162" t="inlineStr">
        <is>
          <t>Communauté de communes</t>
        </is>
      </c>
      <c r="C1162" t="inlineStr">
        <is>
          <t>248500563</t>
        </is>
      </c>
      <c r="D1162" t="inlineStr">
        <is>
          <t>85</t>
        </is>
      </c>
      <c r="E1162" t="inlineStr">
        <is>
          <t>Vendée</t>
        </is>
      </c>
      <c r="F1162" t="inlineStr">
        <is>
          <t>Pays de la Loire</t>
        </is>
      </c>
      <c r="G1162" s="3" t="n">
        <v>16191</v>
      </c>
      <c r="H1162" t="n">
        <v>15</v>
      </c>
      <c r="I1162" t="inlineStr">
        <is>
          <t>25 rue de la Gare</t>
        </is>
      </c>
      <c r="J1162" t="inlineStr">
        <is>
          <t>85420</t>
        </is>
      </c>
      <c r="K1162" t="inlineStr">
        <is>
          <t>Rives-d'Autise</t>
        </is>
      </c>
      <c r="L1162" t="inlineStr">
        <is>
          <t>02 51 50 48 80</t>
        </is>
      </c>
      <c r="M1162" s="4" t="inlineStr">
        <is>
          <t>secretariat@cc-vsa.com</t>
        </is>
      </c>
      <c r="N1162" s="4" t="inlineStr">
        <is>
          <t>https://www.cc-vsa.com/</t>
        </is>
      </c>
      <c r="O1162" s="4" t="inlineStr">
        <is>
          <t>https://www.cc-vsa.com/systeme/nous-contacter/</t>
        </is>
      </c>
      <c r="P1162" s="4" t="inlineStr">
        <is>
          <t>https://lannuaire.service-public.gouv.fr/pays-de-la-loire/vendee/dc455848-f4fd-4c8e-a112-a787b8e4d933</t>
        </is>
      </c>
      <c r="Q1162" t="inlineStr">
        <is>
          <t>Annuaire Service-public.fr</t>
        </is>
      </c>
      <c r="R1162" t="inlineStr"/>
      <c r="S1162" t="inlineStr"/>
      <c r="T1162" t="inlineStr"/>
    </row>
    <row r="1163">
      <c r="A1163" t="inlineStr">
        <is>
          <t>CC de Vie et Boulogne</t>
        </is>
      </c>
      <c r="B1163" t="inlineStr">
        <is>
          <t>Communauté de communes</t>
        </is>
      </c>
      <c r="C1163" t="inlineStr">
        <is>
          <t>200072882</t>
        </is>
      </c>
      <c r="D1163" t="inlineStr">
        <is>
          <t>85</t>
        </is>
      </c>
      <c r="E1163" t="inlineStr">
        <is>
          <t>Vendée</t>
        </is>
      </c>
      <c r="F1163" t="inlineStr">
        <is>
          <t>Pays de la Loire</t>
        </is>
      </c>
      <c r="G1163" s="3" t="n">
        <v>46344</v>
      </c>
      <c r="H1163" t="n">
        <v>15</v>
      </c>
      <c r="I1163" t="inlineStr">
        <is>
          <t>24 rue des Landes</t>
        </is>
      </c>
      <c r="J1163" t="inlineStr">
        <is>
          <t>85170</t>
        </is>
      </c>
      <c r="K1163" t="inlineStr">
        <is>
          <t>Le Poiré-sur-Vie</t>
        </is>
      </c>
      <c r="L1163" t="inlineStr">
        <is>
          <t>02 51 31 60 09</t>
        </is>
      </c>
      <c r="M1163" s="4" t="inlineStr">
        <is>
          <t>accueil@vieetboulogne.fr</t>
        </is>
      </c>
      <c r="N1163" s="4" t="inlineStr">
        <is>
          <t>https://www.vie-et-boulogne.fr/</t>
        </is>
      </c>
      <c r="O1163" s="4" t="inlineStr">
        <is>
          <t>https://www.vie-et-boulogne.fr/nous-contacter/</t>
        </is>
      </c>
      <c r="P1163" s="4" t="inlineStr">
        <is>
          <t>https://lannuaire.service-public.gouv.fr/pays-de-la-loire/vendee/87d14a9d-ef21-48fe-aea6-0f1d0c3c0a4b</t>
        </is>
      </c>
      <c r="Q1163" t="inlineStr">
        <is>
          <t>Annuaire Service-public.fr</t>
        </is>
      </c>
      <c r="R1163" t="inlineStr"/>
      <c r="S1163" t="inlineStr"/>
      <c r="T1163" t="inlineStr"/>
    </row>
    <row r="1164">
      <c r="A1164" t="inlineStr">
        <is>
          <t>CC de l'Ile de Noirmoutier</t>
        </is>
      </c>
      <c r="B1164" t="inlineStr">
        <is>
          <t>Communauté de communes</t>
        </is>
      </c>
      <c r="C1164" t="inlineStr">
        <is>
          <t>248500191</t>
        </is>
      </c>
      <c r="D1164" t="inlineStr">
        <is>
          <t>85</t>
        </is>
      </c>
      <c r="E1164" t="inlineStr">
        <is>
          <t>Vendée</t>
        </is>
      </c>
      <c r="F1164" t="inlineStr">
        <is>
          <t>Pays de la Loire</t>
        </is>
      </c>
      <c r="G1164" s="3" t="n">
        <v>9270</v>
      </c>
      <c r="H1164" t="n">
        <v>4</v>
      </c>
      <c r="I1164" t="inlineStr">
        <is>
          <t>51 rue de la Prée-au-Duc</t>
        </is>
      </c>
      <c r="J1164" t="inlineStr">
        <is>
          <t>85330</t>
        </is>
      </c>
      <c r="K1164" t="inlineStr">
        <is>
          <t>Noirmourtier-en-l'Île</t>
        </is>
      </c>
      <c r="L1164" t="inlineStr">
        <is>
          <t>02 51 35 89 89</t>
        </is>
      </c>
      <c r="M1164" s="4" t="inlineStr">
        <is>
          <t>contact@iledenoirmoutier.org</t>
        </is>
      </c>
      <c r="N1164" s="4" t="inlineStr">
        <is>
          <t>https://www.cdc-iledenoirmoutier.com/</t>
        </is>
      </c>
      <c r="O1164" s="4" t="inlineStr">
        <is>
          <t>https://www.cdc-iledenoirmoutier.com/contact</t>
        </is>
      </c>
      <c r="P1164" s="4" t="inlineStr">
        <is>
          <t>https://lannuaire.service-public.gouv.fr/pays-de-la-loire/vendee/2fbb7f30-dc40-41b7-86a4-40b86b77c3bc</t>
        </is>
      </c>
      <c r="Q1164" t="inlineStr">
        <is>
          <t>Annuaire Service-public.fr</t>
        </is>
      </c>
      <c r="R1164" t="inlineStr"/>
      <c r="S1164" t="inlineStr"/>
      <c r="T1164" t="inlineStr"/>
    </row>
    <row r="1165">
      <c r="A1165" t="inlineStr">
        <is>
          <t>CC du Pays de Fontenay-Vendée</t>
        </is>
      </c>
      <c r="B1165" t="inlineStr">
        <is>
          <t>Communauté de communes</t>
        </is>
      </c>
      <c r="C1165" t="inlineStr">
        <is>
          <t>200071934</t>
        </is>
      </c>
      <c r="D1165" t="inlineStr">
        <is>
          <t>85</t>
        </is>
      </c>
      <c r="E1165" t="inlineStr">
        <is>
          <t>Vendée</t>
        </is>
      </c>
      <c r="F1165" t="inlineStr">
        <is>
          <t>Pays de la Loire</t>
        </is>
      </c>
      <c r="G1165" s="3" t="n">
        <v>35727</v>
      </c>
      <c r="H1165" t="n">
        <v>25</v>
      </c>
      <c r="I1165" t="inlineStr">
        <is>
          <t>16 rue de l'Innovation</t>
        </is>
      </c>
      <c r="J1165" t="inlineStr">
        <is>
          <t>85200</t>
        </is>
      </c>
      <c r="K1165" t="inlineStr">
        <is>
          <t>Fontenay-le-Comte</t>
        </is>
      </c>
      <c r="L1165" t="inlineStr">
        <is>
          <t>02 28 13 07 07</t>
        </is>
      </c>
      <c r="M1165" s="4" t="inlineStr">
        <is>
          <t>accueil@fontenayvendee.fr</t>
        </is>
      </c>
      <c r="N1165" s="4" t="inlineStr">
        <is>
          <t>https://www.fontenayvendee.fr/</t>
        </is>
      </c>
      <c r="O1165" s="4" t="inlineStr">
        <is>
          <t>https://www.fontenayvendee.fr/systeme/contact/</t>
        </is>
      </c>
      <c r="P1165" s="4" t="inlineStr">
        <is>
          <t>https://lannuaire.service-public.gouv.fr/pays-de-la-loire/vendee/257faded-4aa6-4f0f-bf13-43f968b836ce</t>
        </is>
      </c>
      <c r="Q1165" t="inlineStr">
        <is>
          <t>Annuaire Service-public.fr</t>
        </is>
      </c>
      <c r="R1165" t="inlineStr"/>
      <c r="S1165" t="inlineStr"/>
      <c r="T1165" t="inlineStr"/>
    </row>
    <row r="1166">
      <c r="A1166" t="inlineStr">
        <is>
          <t>CC du Pays de Mortagne</t>
        </is>
      </c>
      <c r="B1166" t="inlineStr">
        <is>
          <t>Communauté de communes</t>
        </is>
      </c>
      <c r="C1166" t="inlineStr">
        <is>
          <t>248500662</t>
        </is>
      </c>
      <c r="D1166" t="inlineStr">
        <is>
          <t>85</t>
        </is>
      </c>
      <c r="E1166" t="inlineStr">
        <is>
          <t>Vendée</t>
        </is>
      </c>
      <c r="F1166" t="inlineStr">
        <is>
          <t>Pays de la Loire</t>
        </is>
      </c>
      <c r="G1166" s="3" t="n">
        <v>28234</v>
      </c>
      <c r="H1166" t="n">
        <v>11</v>
      </c>
      <c r="I1166" t="inlineStr">
        <is>
          <t>21 rue Johannes-Gutenberg, La Verrie, Pôle du Landreau</t>
        </is>
      </c>
      <c r="J1166" t="inlineStr">
        <is>
          <t>85130</t>
        </is>
      </c>
      <c r="K1166" t="inlineStr">
        <is>
          <t>Chanverrie</t>
        </is>
      </c>
      <c r="L1166" t="inlineStr">
        <is>
          <t>02 51 63 06 06</t>
        </is>
      </c>
      <c r="M1166" s="4" t="inlineStr">
        <is>
          <t>contact@paysdemortagne.fr</t>
        </is>
      </c>
      <c r="N1166" s="4" t="inlineStr">
        <is>
          <t>https://www.paysdemortagne.fr/</t>
        </is>
      </c>
      <c r="O1166" s="4" t="inlineStr">
        <is>
          <t>https://www.paysdemortagne.fr/contact/</t>
        </is>
      </c>
      <c r="P1166" s="4" t="inlineStr">
        <is>
          <t>https://lannuaire.service-public.gouv.fr/pays-de-la-loire/vendee/99baa63c-66bd-4d0e-8cee-13baa4190695</t>
        </is>
      </c>
      <c r="Q1166" t="inlineStr">
        <is>
          <t>Annuaire Service-public.fr</t>
        </is>
      </c>
      <c r="R1166" t="inlineStr"/>
      <c r="S1166" t="inlineStr"/>
      <c r="T1166" t="inlineStr"/>
    </row>
    <row r="1167">
      <c r="A1167" t="inlineStr">
        <is>
          <t>CC du Pays de Pouzauges</t>
        </is>
      </c>
      <c r="B1167" t="inlineStr">
        <is>
          <t>Communauté de communes</t>
        </is>
      </c>
      <c r="C1167" t="inlineStr">
        <is>
          <t>248500464</t>
        </is>
      </c>
      <c r="D1167" t="inlineStr">
        <is>
          <t>85</t>
        </is>
      </c>
      <c r="E1167" t="inlineStr">
        <is>
          <t>Vendée</t>
        </is>
      </c>
      <c r="F1167" t="inlineStr">
        <is>
          <t>Pays de la Loire</t>
        </is>
      </c>
      <c r="G1167" s="3" t="n">
        <v>23242</v>
      </c>
      <c r="H1167" t="n">
        <v>10</v>
      </c>
      <c r="I1167" t="inlineStr">
        <is>
          <t>18 La Fournière, Maison de l'intercommunalité</t>
        </is>
      </c>
      <c r="J1167" t="inlineStr">
        <is>
          <t>85700</t>
        </is>
      </c>
      <c r="K1167" t="inlineStr">
        <is>
          <t>Pouzauges</t>
        </is>
      </c>
      <c r="L1167" t="inlineStr">
        <is>
          <t>02 51 57 14 23</t>
        </is>
      </c>
      <c r="M1167" s="4" t="inlineStr">
        <is>
          <t>contact@paysdepouzauges.fr</t>
        </is>
      </c>
      <c r="N1167" s="4" t="inlineStr">
        <is>
          <t>https://www.paysdepouzauges.fr/</t>
        </is>
      </c>
      <c r="O1167" s="4" t="inlineStr">
        <is>
          <t>https://www.paysdepouzauges.fr/la-communaute-de-communes/contact/</t>
        </is>
      </c>
      <c r="P1167" s="4" t="inlineStr">
        <is>
          <t>https://lannuaire.service-public.gouv.fr/pays-de-la-loire/vendee/e9324c54-9917-4b03-896c-4f609e16b807</t>
        </is>
      </c>
      <c r="Q1167" t="inlineStr">
        <is>
          <t>Annuaire Service-public.fr</t>
        </is>
      </c>
      <c r="R1167" t="inlineStr"/>
      <c r="S1167" t="inlineStr"/>
      <c r="T1167" t="inlineStr"/>
    </row>
    <row r="1168">
      <c r="A1168" t="inlineStr">
        <is>
          <t>CC du Pays de Saint-Fulgent - Les Essarts</t>
        </is>
      </c>
      <c r="B1168" t="inlineStr">
        <is>
          <t>Communauté de communes</t>
        </is>
      </c>
      <c r="C1168" t="inlineStr">
        <is>
          <t>200071918</t>
        </is>
      </c>
      <c r="D1168" t="inlineStr">
        <is>
          <t>85</t>
        </is>
      </c>
      <c r="E1168" t="inlineStr">
        <is>
          <t>Vendée</t>
        </is>
      </c>
      <c r="F1168" t="inlineStr">
        <is>
          <t>Pays de la Loire</t>
        </is>
      </c>
      <c r="G1168" s="3" t="n">
        <v>29052</v>
      </c>
      <c r="H1168" t="n">
        <v>12</v>
      </c>
      <c r="I1168" t="inlineStr">
        <is>
          <t>2 rue Jules-Verne</t>
        </is>
      </c>
      <c r="J1168" t="inlineStr">
        <is>
          <t>85250</t>
        </is>
      </c>
      <c r="K1168" t="inlineStr">
        <is>
          <t>Saint-Fulgent</t>
        </is>
      </c>
      <c r="L1168" t="inlineStr">
        <is>
          <t>02 51 43 81 61</t>
        </is>
      </c>
      <c r="M1168" s="4" t="inlineStr">
        <is>
          <t>contact@paysfulgentessarts.fr</t>
        </is>
      </c>
      <c r="N1168" s="4" t="inlineStr">
        <is>
          <t>https://www.paysfulgentessarts.fr/</t>
        </is>
      </c>
      <c r="O1168" s="4" t="inlineStr">
        <is>
          <t>https://www.paysfulgentessarts.fr/Contact</t>
        </is>
      </c>
      <c r="P1168" s="4" t="inlineStr">
        <is>
          <t>https://lannuaire.service-public.gouv.fr/pays-de-la-loire/vendee/99ebc9bd-ff35-4d8f-8f68-3c4c4e7a491b</t>
        </is>
      </c>
      <c r="Q1168" t="inlineStr">
        <is>
          <t>Annuaire Service-public.fr</t>
        </is>
      </c>
      <c r="R1168" t="inlineStr"/>
      <c r="S1168" t="inlineStr"/>
      <c r="T1168" t="inlineStr"/>
    </row>
    <row r="1169">
      <c r="A1169" t="inlineStr">
        <is>
          <t>CC du Pays de la Châtaigneraie</t>
        </is>
      </c>
      <c r="B1169" t="inlineStr">
        <is>
          <t>Communauté de communes</t>
        </is>
      </c>
      <c r="C1169" t="inlineStr">
        <is>
          <t>248500415</t>
        </is>
      </c>
      <c r="D1169" t="inlineStr">
        <is>
          <t>85</t>
        </is>
      </c>
      <c r="E1169" t="inlineStr">
        <is>
          <t>Vendée</t>
        </is>
      </c>
      <c r="F1169" t="inlineStr">
        <is>
          <t>Pays de la Loire</t>
        </is>
      </c>
      <c r="G1169" s="3" t="n">
        <v>15605</v>
      </c>
      <c r="H1169" t="n">
        <v>14</v>
      </c>
      <c r="I1169" t="inlineStr">
        <is>
          <t>Rond-point des Sources-de-la-Vendée</t>
        </is>
      </c>
      <c r="J1169" t="inlineStr">
        <is>
          <t>85120</t>
        </is>
      </c>
      <c r="K1169" t="inlineStr">
        <is>
          <t>Terval</t>
        </is>
      </c>
      <c r="L1169" t="inlineStr">
        <is>
          <t>02 51 69 61 43</t>
        </is>
      </c>
      <c r="M1169" s="4" t="inlineStr">
        <is>
          <t>info@ccplc.fr</t>
        </is>
      </c>
      <c r="N1169" s="4" t="inlineStr">
        <is>
          <t>https://www.pays-chataigneraie.fr/</t>
        </is>
      </c>
      <c r="O1169" s="4" t="inlineStr">
        <is>
          <t>https://www.pays-chataigneraie.fr/systeme/contact/</t>
        </is>
      </c>
      <c r="P1169" s="4" t="inlineStr">
        <is>
          <t>https://lannuaire.service-public.gouv.fr/pays-de-la-loire/vendee/7cc2a93e-e9e1-4900-ab8c-ad55eed890fa</t>
        </is>
      </c>
      <c r="Q1169" t="inlineStr">
        <is>
          <t>Annuaire Service-public.fr</t>
        </is>
      </c>
      <c r="R1169" t="inlineStr"/>
      <c r="S1169" t="inlineStr"/>
      <c r="T1169" t="inlineStr"/>
    </row>
    <row r="1170">
      <c r="A1170" t="inlineStr">
        <is>
          <t>CC du Pays des Achards</t>
        </is>
      </c>
      <c r="B1170" t="inlineStr">
        <is>
          <t>Communauté de communes</t>
        </is>
      </c>
      <c r="C1170" t="inlineStr">
        <is>
          <t>248500530</t>
        </is>
      </c>
      <c r="D1170" t="inlineStr">
        <is>
          <t>85</t>
        </is>
      </c>
      <c r="E1170" t="inlineStr">
        <is>
          <t>Vendée</t>
        </is>
      </c>
      <c r="F1170" t="inlineStr">
        <is>
          <t>Pays de la Loire</t>
        </is>
      </c>
      <c r="G1170" s="3" t="n">
        <v>20174</v>
      </c>
      <c r="H1170" t="n">
        <v>9</v>
      </c>
      <c r="I1170" t="inlineStr">
        <is>
          <t>2 rue Michel-Breton, ZA Sud-Est</t>
        </is>
      </c>
      <c r="J1170" t="inlineStr">
        <is>
          <t>85150</t>
        </is>
      </c>
      <c r="K1170" t="inlineStr">
        <is>
          <t>Les Achards</t>
        </is>
      </c>
      <c r="L1170" t="inlineStr">
        <is>
          <t>02 51 05 94 49</t>
        </is>
      </c>
      <c r="M1170" s="4" t="inlineStr">
        <is>
          <t>contact@cc-paysdesachards.fr</t>
        </is>
      </c>
      <c r="N1170" s="4" t="inlineStr">
        <is>
          <t>https://www.cc-paysdesachards.fr/</t>
        </is>
      </c>
      <c r="O1170" s="4" t="inlineStr">
        <is>
          <t>https://www.cc-paysdesachards.fr/contact/</t>
        </is>
      </c>
      <c r="P1170" s="4" t="inlineStr">
        <is>
          <t>https://lannuaire.service-public.gouv.fr/pays-de-la-loire/vendee/a539e3d3-f6fc-41fa-b974-d7b41ce320d9</t>
        </is>
      </c>
      <c r="Q1170" t="inlineStr">
        <is>
          <t>Annuaire Service-public.fr</t>
        </is>
      </c>
      <c r="R1170" t="inlineStr"/>
      <c r="S1170" t="inlineStr"/>
      <c r="T1170" t="inlineStr"/>
    </row>
    <row r="1171">
      <c r="A1171" t="inlineStr">
        <is>
          <t>CC du Pays des Herbiers</t>
        </is>
      </c>
      <c r="B1171" t="inlineStr">
        <is>
          <t>Communauté de communes</t>
        </is>
      </c>
      <c r="C1171" t="inlineStr">
        <is>
          <t>248500621</t>
        </is>
      </c>
      <c r="D1171" t="inlineStr">
        <is>
          <t>85</t>
        </is>
      </c>
      <c r="E1171" t="inlineStr">
        <is>
          <t>Vendée</t>
        </is>
      </c>
      <c r="F1171" t="inlineStr">
        <is>
          <t>Pays de la Loire</t>
        </is>
      </c>
      <c r="G1171" s="3" t="n">
        <v>30742</v>
      </c>
      <c r="H1171" t="n">
        <v>8</v>
      </c>
      <c r="I1171" t="inlineStr">
        <is>
          <t>6 rue du Tourniquet</t>
        </is>
      </c>
      <c r="J1171" t="inlineStr">
        <is>
          <t>85500</t>
        </is>
      </c>
      <c r="K1171" t="inlineStr">
        <is>
          <t>Les Herbiers</t>
        </is>
      </c>
      <c r="L1171" t="inlineStr">
        <is>
          <t>02 51 66 82 27</t>
        </is>
      </c>
      <c r="M1171" s="4" t="inlineStr">
        <is>
          <t>info@paysdesherbiers.fr</t>
        </is>
      </c>
      <c r="N1171" s="4" t="inlineStr">
        <is>
          <t>https://www.paysdesherbiers.fr/</t>
        </is>
      </c>
      <c r="O1171" s="4" t="inlineStr">
        <is>
          <t>https://www.paysdesherbiers.fr/systeme/nous-contacter/</t>
        </is>
      </c>
      <c r="P1171" s="4" t="inlineStr">
        <is>
          <t>https://lannuaire.service-public.gouv.fr/pays-de-la-loire/vendee/ee8f58f5-5ed3-4bcb-aee0-0531c1c7f7bb</t>
        </is>
      </c>
      <c r="Q1171" t="inlineStr">
        <is>
          <t>Annuaire Service-public.fr</t>
        </is>
      </c>
      <c r="R1171" t="inlineStr"/>
      <c r="S1171" t="inlineStr"/>
      <c r="T1171" t="inlineStr"/>
    </row>
    <row r="1172">
      <c r="A1172" t="inlineStr">
        <is>
          <t>CA Grand Châtellerault</t>
        </is>
      </c>
      <c r="B1172" t="inlineStr">
        <is>
          <t>Communauté d’agglomération</t>
        </is>
      </c>
      <c r="C1172" t="inlineStr">
        <is>
          <t>248600413</t>
        </is>
      </c>
      <c r="D1172" t="inlineStr">
        <is>
          <t>86</t>
        </is>
      </c>
      <c r="E1172" t="inlineStr">
        <is>
          <t>Vienne</t>
        </is>
      </c>
      <c r="F1172" t="inlineStr">
        <is>
          <t>Nouvelle-Aquitaine</t>
        </is>
      </c>
      <c r="G1172" s="3" t="n">
        <v>82964</v>
      </c>
      <c r="H1172" t="n">
        <v>47</v>
      </c>
      <c r="I1172" t="inlineStr">
        <is>
          <t>5 rue Jean-Perrin</t>
        </is>
      </c>
      <c r="J1172" t="inlineStr">
        <is>
          <t>86100</t>
        </is>
      </c>
      <c r="K1172" t="inlineStr">
        <is>
          <t>Châtellerault</t>
        </is>
      </c>
      <c r="L1172" t="inlineStr">
        <is>
          <t>05 49 20 30 03</t>
        </is>
      </c>
      <c r="M1172" s="4" t="inlineStr">
        <is>
          <t>communication@grand-chatellerault.fr</t>
        </is>
      </c>
      <c r="N1172" s="4" t="inlineStr">
        <is>
          <t>https://www.grand-chatellerault.fr</t>
        </is>
      </c>
      <c r="O1172" t="inlineStr"/>
      <c r="P1172" s="4" t="inlineStr">
        <is>
          <t>https://lannuaire.service-public.gouv.fr/nouvelle-aquitaine/vienne/c585cbd5-65a3-41a5-b1c6-303320e6a532</t>
        </is>
      </c>
      <c r="Q1172" t="inlineStr">
        <is>
          <t>Annuaire Service-public.fr</t>
        </is>
      </c>
      <c r="R1172" t="inlineStr"/>
      <c r="S1172" t="inlineStr"/>
      <c r="T1172" t="inlineStr"/>
    </row>
    <row r="1173">
      <c r="A1173" t="inlineStr">
        <is>
          <t>CC Vienne et Gartempe</t>
        </is>
      </c>
      <c r="B1173" t="inlineStr">
        <is>
          <t>Communauté de communes</t>
        </is>
      </c>
      <c r="C1173" t="inlineStr">
        <is>
          <t>200070043</t>
        </is>
      </c>
      <c r="D1173" t="inlineStr">
        <is>
          <t>86</t>
        </is>
      </c>
      <c r="E1173" t="inlineStr">
        <is>
          <t>Vienne</t>
        </is>
      </c>
      <c r="F1173" t="inlineStr">
        <is>
          <t>Nouvelle-Aquitaine</t>
        </is>
      </c>
      <c r="G1173" s="3" t="n">
        <v>38694</v>
      </c>
      <c r="H1173" t="n">
        <v>55</v>
      </c>
      <c r="I1173" t="inlineStr">
        <is>
          <t>6 rue Daniel-Cormier</t>
        </is>
      </c>
      <c r="J1173" t="inlineStr">
        <is>
          <t>86500</t>
        </is>
      </c>
      <c r="K1173" t="inlineStr">
        <is>
          <t>Montmorillon</t>
        </is>
      </c>
      <c r="L1173" t="inlineStr">
        <is>
          <t>05 49 91 07 53</t>
        </is>
      </c>
      <c r="M1173" s="4" t="inlineStr">
        <is>
          <t>contact@ccvg86.fr</t>
        </is>
      </c>
      <c r="N1173" s="4" t="inlineStr">
        <is>
          <t>https://www.vienneetgartempe.fr/</t>
        </is>
      </c>
      <c r="O1173" s="4" t="inlineStr">
        <is>
          <t>https://www.vienneetgartempe.fr/contact/</t>
        </is>
      </c>
      <c r="P1173" s="4" t="inlineStr">
        <is>
          <t>https://lannuaire.service-public.gouv.fr/nouvelle-aquitaine/vienne/bca388d4-3e7f-406f-b88a-86cdf2f78ca1</t>
        </is>
      </c>
      <c r="Q1173" t="inlineStr">
        <is>
          <t>Annuaire Service-public.fr</t>
        </is>
      </c>
      <c r="R1173" t="inlineStr"/>
      <c r="S1173" t="inlineStr"/>
      <c r="T1173" t="inlineStr"/>
    </row>
    <row r="1174">
      <c r="A1174" t="inlineStr">
        <is>
          <t>CC des Vallées du Clain</t>
        </is>
      </c>
      <c r="B1174" t="inlineStr">
        <is>
          <t>Communauté de communes</t>
        </is>
      </c>
      <c r="C1174" t="inlineStr">
        <is>
          <t>200043628</t>
        </is>
      </c>
      <c r="D1174" t="inlineStr">
        <is>
          <t>86</t>
        </is>
      </c>
      <c r="E1174" t="inlineStr">
        <is>
          <t>Vienne</t>
        </is>
      </c>
      <c r="F1174" t="inlineStr">
        <is>
          <t>Nouvelle-Aquitaine</t>
        </is>
      </c>
      <c r="G1174" s="3" t="n">
        <v>27158</v>
      </c>
      <c r="H1174" t="n">
        <v>16</v>
      </c>
      <c r="I1174" t="inlineStr">
        <is>
          <t>25 route de Nieuil</t>
        </is>
      </c>
      <c r="J1174" t="inlineStr">
        <is>
          <t>86340</t>
        </is>
      </c>
      <c r="K1174" t="inlineStr">
        <is>
          <t>La Villedieu-du-Clain</t>
        </is>
      </c>
      <c r="L1174" t="inlineStr">
        <is>
          <t>05 49 89 02 89</t>
        </is>
      </c>
      <c r="M1174" s="4" t="inlineStr">
        <is>
          <t>accueil@valleesduclain.fr</t>
        </is>
      </c>
      <c r="N1174" s="4" t="inlineStr">
        <is>
          <t>https://www.valleesduclain.fr/</t>
        </is>
      </c>
      <c r="O1174" t="inlineStr"/>
      <c r="P1174" s="4" t="inlineStr">
        <is>
          <t>https://lannuaire.service-public.gouv.fr/nouvelle-aquitaine/vienne/14417d18-1921-4644-b0a4-513b6e4140cc</t>
        </is>
      </c>
      <c r="Q1174" t="inlineStr">
        <is>
          <t>Annuaire Service-public.fr</t>
        </is>
      </c>
      <c r="R1174" t="inlineStr"/>
      <c r="S1174" t="inlineStr"/>
      <c r="T1174" t="inlineStr"/>
    </row>
    <row r="1175">
      <c r="A1175" t="inlineStr">
        <is>
          <t>CC du Civraisien en Poitou</t>
        </is>
      </c>
      <c r="B1175" t="inlineStr">
        <is>
          <t>Communauté de communes</t>
        </is>
      </c>
      <c r="C1175" t="inlineStr">
        <is>
          <t>200070035</t>
        </is>
      </c>
      <c r="D1175" t="inlineStr">
        <is>
          <t>86</t>
        </is>
      </c>
      <c r="E1175" t="inlineStr">
        <is>
          <t>Vienne</t>
        </is>
      </c>
      <c r="F1175" t="inlineStr">
        <is>
          <t>Nouvelle-Aquitaine</t>
        </is>
      </c>
      <c r="G1175" s="3" t="n">
        <v>26737</v>
      </c>
      <c r="H1175" t="n">
        <v>35</v>
      </c>
      <c r="I1175" t="inlineStr">
        <is>
          <t>10 avenue de la Gare</t>
        </is>
      </c>
      <c r="J1175" t="inlineStr">
        <is>
          <t>86400</t>
        </is>
      </c>
      <c r="K1175" t="inlineStr">
        <is>
          <t>Civray</t>
        </is>
      </c>
      <c r="L1175" t="inlineStr">
        <is>
          <t>05 49 87 67 88</t>
        </is>
      </c>
      <c r="M1175" s="4" t="inlineStr">
        <is>
          <t>contact@civraisienpoitou.fr</t>
        </is>
      </c>
      <c r="N1175" s="4" t="inlineStr">
        <is>
          <t>https://www.civraisienpoitou.fr/</t>
        </is>
      </c>
      <c r="O1175" s="4" t="inlineStr">
        <is>
          <t>https://www.civraisienpoitou.fr/contact</t>
        </is>
      </c>
      <c r="P1175" s="4" t="inlineStr">
        <is>
          <t>https://lannuaire.service-public.gouv.fr/nouvelle-aquitaine/vienne/509efa56-4fd7-47b2-b750-aff09858c34c</t>
        </is>
      </c>
      <c r="Q1175" t="inlineStr">
        <is>
          <t>Annuaire Service-public.fr</t>
        </is>
      </c>
      <c r="R1175" t="inlineStr"/>
      <c r="S1175" t="inlineStr"/>
      <c r="T1175" t="inlineStr"/>
    </row>
    <row r="1176">
      <c r="A1176" t="inlineStr">
        <is>
          <t>CC du Haut Poitou</t>
        </is>
      </c>
      <c r="B1176" t="inlineStr">
        <is>
          <t>Communauté de communes</t>
        </is>
      </c>
      <c r="C1176" t="inlineStr">
        <is>
          <t>200069763</t>
        </is>
      </c>
      <c r="D1176" t="inlineStr">
        <is>
          <t>86</t>
        </is>
      </c>
      <c r="E1176" t="inlineStr">
        <is>
          <t>Vienne</t>
        </is>
      </c>
      <c r="F1176" t="inlineStr">
        <is>
          <t>Nouvelle-Aquitaine</t>
        </is>
      </c>
      <c r="G1176" s="3" t="n">
        <v>41934</v>
      </c>
      <c r="H1176" t="n">
        <v>27</v>
      </c>
      <c r="I1176" t="inlineStr">
        <is>
          <t>10 avenue de l'Europe</t>
        </is>
      </c>
      <c r="J1176" t="inlineStr">
        <is>
          <t>86170</t>
        </is>
      </c>
      <c r="K1176" t="inlineStr">
        <is>
          <t>Neuville-du-Poitou</t>
        </is>
      </c>
      <c r="L1176" t="inlineStr">
        <is>
          <t>05 49 51 93 07</t>
        </is>
      </c>
      <c r="M1176" s="4" t="inlineStr">
        <is>
          <t>contact@cc-hautpoitou.fr</t>
        </is>
      </c>
      <c r="N1176" s="4" t="inlineStr">
        <is>
          <t>https://cc-hautpoitou.fr/</t>
        </is>
      </c>
      <c r="O1176" t="inlineStr"/>
      <c r="P1176" s="4" t="inlineStr">
        <is>
          <t>https://lannuaire.service-public.gouv.fr/nouvelle-aquitaine/vienne/4978a8ed-23cb-4375-81c6-99ceb4d3340e</t>
        </is>
      </c>
      <c r="Q1176" t="inlineStr">
        <is>
          <t>Annuaire Service-public.fr</t>
        </is>
      </c>
      <c r="R1176" t="inlineStr"/>
      <c r="S1176" t="inlineStr"/>
      <c r="T1176" t="inlineStr"/>
    </row>
    <row r="1177">
      <c r="A1177" t="inlineStr">
        <is>
          <t>CC du Pays Loudunais</t>
        </is>
      </c>
      <c r="B1177" t="inlineStr">
        <is>
          <t>Communauté de communes</t>
        </is>
      </c>
      <c r="C1177" t="inlineStr">
        <is>
          <t>248600447</t>
        </is>
      </c>
      <c r="D1177" t="inlineStr">
        <is>
          <t>86</t>
        </is>
      </c>
      <c r="E1177" t="inlineStr">
        <is>
          <t>Vienne</t>
        </is>
      </c>
      <c r="F1177" t="inlineStr">
        <is>
          <t>Nouvelle-Aquitaine</t>
        </is>
      </c>
      <c r="G1177" s="3" t="n">
        <v>24352</v>
      </c>
      <c r="H1177" t="n">
        <v>45</v>
      </c>
      <c r="I1177" t="inlineStr">
        <is>
          <t>2 rue de la Fontaine-d'Adam</t>
        </is>
      </c>
      <c r="J1177" t="inlineStr">
        <is>
          <t>86200</t>
        </is>
      </c>
      <c r="K1177" t="inlineStr">
        <is>
          <t>Loudun</t>
        </is>
      </c>
      <c r="L1177" t="inlineStr">
        <is>
          <t>05 49 22 54 02</t>
        </is>
      </c>
      <c r="M1177" s="4" t="inlineStr">
        <is>
          <t>contact@pays-loudunais.fr</t>
        </is>
      </c>
      <c r="N1177" s="4" t="inlineStr">
        <is>
          <t>https://www.pays-loudunais.fr/</t>
        </is>
      </c>
      <c r="O1177" s="4" t="inlineStr">
        <is>
          <t>https://www.pays-loudunais.fr/contact/</t>
        </is>
      </c>
      <c r="P1177" s="4" t="inlineStr">
        <is>
          <t>https://lannuaire.service-public.gouv.fr/nouvelle-aquitaine/vienne/244e8e3a-921e-43a5-be30-c56e07e78c77</t>
        </is>
      </c>
      <c r="Q1177" t="inlineStr">
        <is>
          <t>Annuaire Service-public.fr</t>
        </is>
      </c>
      <c r="R1177" t="inlineStr"/>
      <c r="S1177" t="inlineStr"/>
      <c r="T1177" t="inlineStr"/>
    </row>
    <row r="1178">
      <c r="A1178" t="inlineStr">
        <is>
          <t>CU du Grand Poitiers</t>
        </is>
      </c>
      <c r="B1178" t="inlineStr">
        <is>
          <t>Communauté urbaine</t>
        </is>
      </c>
      <c r="C1178" t="inlineStr">
        <is>
          <t>200069854</t>
        </is>
      </c>
      <c r="D1178" t="inlineStr">
        <is>
          <t>86</t>
        </is>
      </c>
      <c r="E1178" t="inlineStr">
        <is>
          <t>Vienne</t>
        </is>
      </c>
      <c r="F1178" t="inlineStr">
        <is>
          <t>Nouvelle-Aquitaine</t>
        </is>
      </c>
      <c r="G1178" s="3" t="n">
        <v>196849</v>
      </c>
      <c r="H1178" t="n">
        <v>40</v>
      </c>
      <c r="I1178" t="inlineStr">
        <is>
          <t>84 rue des Carmélites</t>
        </is>
      </c>
      <c r="J1178" t="inlineStr">
        <is>
          <t>86000</t>
        </is>
      </c>
      <c r="K1178" t="inlineStr">
        <is>
          <t>Poitiers</t>
        </is>
      </c>
      <c r="L1178" t="inlineStr">
        <is>
          <t>05 49 52 35 35</t>
        </is>
      </c>
      <c r="M1178" s="4" t="inlineStr">
        <is>
          <t>communication@grandpoitiers.fr</t>
        </is>
      </c>
      <c r="N1178" s="4" t="inlineStr">
        <is>
          <t>https://www.grandpoitiers.fr/</t>
        </is>
      </c>
      <c r="O1178" s="4" t="inlineStr">
        <is>
          <t>https://www.grandpoitiers.fr/informations-pratiques/contact</t>
        </is>
      </c>
      <c r="P1178" s="4" t="inlineStr">
        <is>
          <t>https://lannuaire.service-public.gouv.fr/nouvelle-aquitaine/vienne/24e7b7c8-6a27-474b-8542-42ee50759869</t>
        </is>
      </c>
      <c r="Q1178" t="inlineStr">
        <is>
          <t>Annuaire Service-public.fr</t>
        </is>
      </c>
      <c r="R1178" t="inlineStr"/>
      <c r="S1178" t="inlineStr"/>
      <c r="T1178" t="inlineStr"/>
    </row>
    <row r="1179">
      <c r="A1179" t="inlineStr">
        <is>
          <t>CC Briance Sud Haute Vienne</t>
        </is>
      </c>
      <c r="B1179" t="inlineStr">
        <is>
          <t>Communauté de communes</t>
        </is>
      </c>
      <c r="C1179" t="inlineStr">
        <is>
          <t>200040814</t>
        </is>
      </c>
      <c r="D1179" t="inlineStr">
        <is>
          <t>87</t>
        </is>
      </c>
      <c r="E1179" t="inlineStr">
        <is>
          <t>Haute-Vienne</t>
        </is>
      </c>
      <c r="F1179" t="inlineStr">
        <is>
          <t>Nouvelle-Aquitaine</t>
        </is>
      </c>
      <c r="G1179" s="3" t="n">
        <v>9158</v>
      </c>
      <c r="H1179" t="n">
        <v>11</v>
      </c>
      <c r="I1179" t="inlineStr">
        <is>
          <t>381 Chabanas</t>
        </is>
      </c>
      <c r="J1179" t="inlineStr">
        <is>
          <t>87260</t>
        </is>
      </c>
      <c r="K1179" t="inlineStr">
        <is>
          <t>Pierre-Buffière</t>
        </is>
      </c>
      <c r="L1179" t="inlineStr">
        <is>
          <t>05 55 58 78 93</t>
        </is>
      </c>
      <c r="M1179" s="4" t="inlineStr">
        <is>
          <t>contact@briancesudhautevienne.fr</t>
        </is>
      </c>
      <c r="N1179" s="4" t="inlineStr">
        <is>
          <t>https://www.briancesudhautevienne.fr/</t>
        </is>
      </c>
      <c r="O1179" s="4" t="inlineStr">
        <is>
          <t>https://www.briancesudhautevienne.fr/Contact</t>
        </is>
      </c>
      <c r="P1179" s="4" t="inlineStr">
        <is>
          <t>https://lannuaire.service-public.gouv.fr/nouvelle-aquitaine/haute-vienne/537e8fe4-9c1d-42b2-bdb2-ce8d707cce0e</t>
        </is>
      </c>
      <c r="Q1179" t="inlineStr">
        <is>
          <t>Annuaire Service-public.fr</t>
        </is>
      </c>
      <c r="R1179" t="inlineStr"/>
      <c r="S1179" t="inlineStr"/>
      <c r="T1179" t="inlineStr"/>
    </row>
    <row r="1180">
      <c r="A1180" t="inlineStr">
        <is>
          <t>CC Briance-Combade</t>
        </is>
      </c>
      <c r="B1180" t="inlineStr">
        <is>
          <t>Communauté de communes</t>
        </is>
      </c>
      <c r="C1180" t="inlineStr">
        <is>
          <t>248719338</t>
        </is>
      </c>
      <c r="D1180" t="inlineStr">
        <is>
          <t>87</t>
        </is>
      </c>
      <c r="E1180" t="inlineStr">
        <is>
          <t>Haute-Vienne</t>
        </is>
      </c>
      <c r="F1180" t="inlineStr">
        <is>
          <t>Nouvelle-Aquitaine</t>
        </is>
      </c>
      <c r="G1180" s="3" t="n">
        <v>5380</v>
      </c>
      <c r="H1180" t="n">
        <v>10</v>
      </c>
      <c r="I1180" t="inlineStr">
        <is>
          <t>12 avenue Amédée-Tarrade, Maison Jane Limousin</t>
        </is>
      </c>
      <c r="J1180" t="inlineStr">
        <is>
          <t>87130</t>
        </is>
      </c>
      <c r="K1180" t="inlineStr">
        <is>
          <t>Châteauneuf-la-Forêt</t>
        </is>
      </c>
      <c r="L1180" t="inlineStr">
        <is>
          <t>05 55 69 39 32</t>
        </is>
      </c>
      <c r="M1180" s="4" t="inlineStr">
        <is>
          <t>cdc@briancecombade.fr</t>
        </is>
      </c>
      <c r="N1180" s="4" t="inlineStr">
        <is>
          <t>https://briancecombade.fr/</t>
        </is>
      </c>
      <c r="O1180" s="4" t="inlineStr">
        <is>
          <t>https://briancecombade.fr/communication/contact</t>
        </is>
      </c>
      <c r="P1180" s="4" t="inlineStr">
        <is>
          <t>https://lannuaire.service-public.gouv.fr/nouvelle-aquitaine/haute-vienne/6ee93216-6b89-4801-afc9-f87939b46ad7</t>
        </is>
      </c>
      <c r="Q1180" t="inlineStr">
        <is>
          <t>Annuaire Service-public.fr</t>
        </is>
      </c>
      <c r="R1180" t="inlineStr"/>
      <c r="S1180" t="inlineStr"/>
      <c r="T1180" t="inlineStr"/>
    </row>
    <row r="1181">
      <c r="A1181" t="inlineStr">
        <is>
          <t>CC Gartempe - Saint Pardoux</t>
        </is>
      </c>
      <c r="B1181" t="inlineStr">
        <is>
          <t>Communauté de communes</t>
        </is>
      </c>
      <c r="C1181" t="inlineStr">
        <is>
          <t>248719262</t>
        </is>
      </c>
      <c r="D1181" t="inlineStr">
        <is>
          <t>87</t>
        </is>
      </c>
      <c r="E1181" t="inlineStr">
        <is>
          <t>Haute-Vienne</t>
        </is>
      </c>
      <c r="F1181" t="inlineStr">
        <is>
          <t>Nouvelle-Aquitaine</t>
        </is>
      </c>
      <c r="G1181" s="3" t="n">
        <v>5115</v>
      </c>
      <c r="H1181" t="n">
        <v>6</v>
      </c>
      <c r="I1181" t="inlineStr">
        <is>
          <t>13 Place Xavier-Mazurier</t>
        </is>
      </c>
      <c r="J1181" t="inlineStr">
        <is>
          <t>87290</t>
        </is>
      </c>
      <c r="K1181" t="inlineStr">
        <is>
          <t>Châteauponsac</t>
        </is>
      </c>
      <c r="L1181" t="inlineStr">
        <is>
          <t>05 55 60 93 10</t>
        </is>
      </c>
      <c r="M1181" s="4" t="inlineStr">
        <is>
          <t>secretariat@gartempe-saint-pardoux.fr</t>
        </is>
      </c>
      <c r="N1181" s="4" t="inlineStr">
        <is>
          <t>https://gartempe-saint-pardoux.fr/fr/</t>
        </is>
      </c>
      <c r="O1181" s="4" t="inlineStr">
        <is>
          <t>https://gartempe-saint-pardoux.fr/fr/</t>
        </is>
      </c>
      <c r="P1181" s="4" t="inlineStr">
        <is>
          <t>https://lannuaire.service-public.gouv.fr/nouvelle-aquitaine/haute-vienne/b202371f-a2d9-4397-aae3-8dc43f4f3263</t>
        </is>
      </c>
      <c r="Q1181" t="inlineStr">
        <is>
          <t>Annuaire Service-public.fr</t>
        </is>
      </c>
      <c r="R1181" t="inlineStr"/>
      <c r="S1181" t="inlineStr"/>
      <c r="T1181" t="inlineStr"/>
    </row>
    <row r="1182">
      <c r="A1182" t="inlineStr">
        <is>
          <t>CC Haut Limousin en Marche</t>
        </is>
      </c>
      <c r="B1182" t="inlineStr">
        <is>
          <t>Communauté de communes</t>
        </is>
      </c>
      <c r="C1182" t="inlineStr">
        <is>
          <t>200071942</t>
        </is>
      </c>
      <c r="D1182" t="inlineStr">
        <is>
          <t>87</t>
        </is>
      </c>
      <c r="E1182" t="inlineStr">
        <is>
          <t>Haute-Vienne</t>
        </is>
      </c>
      <c r="F1182" t="inlineStr">
        <is>
          <t>Nouvelle-Aquitaine</t>
        </is>
      </c>
      <c r="G1182" s="3" t="n">
        <v>22394</v>
      </c>
      <c r="H1182" t="n">
        <v>40</v>
      </c>
      <c r="I1182" t="inlineStr">
        <is>
          <t>12 avenue Jean-Jaurès</t>
        </is>
      </c>
      <c r="J1182" t="inlineStr">
        <is>
          <t>87300</t>
        </is>
      </c>
      <c r="K1182" t="inlineStr">
        <is>
          <t>Bellac</t>
        </is>
      </c>
      <c r="L1182" t="inlineStr">
        <is>
          <t>05 55 60 09 99</t>
        </is>
      </c>
      <c r="M1182" s="4" t="inlineStr">
        <is>
          <t>hautlimousinenmarche@cchlem.fr</t>
        </is>
      </c>
      <c r="N1182" s="4" t="inlineStr">
        <is>
          <t>https://hautlimousinenmarche.fr/</t>
        </is>
      </c>
      <c r="O1182" s="4" t="inlineStr">
        <is>
          <t>https://hautlimousinenmarche.fr/contact/</t>
        </is>
      </c>
      <c r="P1182" s="4" t="inlineStr">
        <is>
          <t>https://lannuaire.service-public.gouv.fr/nouvelle-aquitaine/haute-vienne/c4680509-caec-4784-ab65-6e5bc2d4118f</t>
        </is>
      </c>
      <c r="Q1182" t="inlineStr">
        <is>
          <t>Annuaire Service-public.fr</t>
        </is>
      </c>
      <c r="R1182" t="inlineStr"/>
      <c r="S1182" t="inlineStr"/>
      <c r="T1182" t="inlineStr"/>
    </row>
    <row r="1183">
      <c r="A1183" t="inlineStr">
        <is>
          <t>CC Ouest Limousin</t>
        </is>
      </c>
      <c r="B1183" t="inlineStr">
        <is>
          <t>Communauté de communes</t>
        </is>
      </c>
      <c r="C1183" t="inlineStr">
        <is>
          <t>200066520</t>
        </is>
      </c>
      <c r="D1183" t="inlineStr">
        <is>
          <t>87</t>
        </is>
      </c>
      <c r="E1183" t="inlineStr">
        <is>
          <t>Haute-Vienne</t>
        </is>
      </c>
      <c r="F1183" t="inlineStr">
        <is>
          <t>Nouvelle-Aquitaine</t>
        </is>
      </c>
      <c r="G1183" s="3" t="n">
        <v>11370</v>
      </c>
      <c r="H1183" t="n">
        <v>16</v>
      </c>
      <c r="I1183" t="inlineStr">
        <is>
          <t>La Monnerie</t>
        </is>
      </c>
      <c r="J1183" t="inlineStr">
        <is>
          <t>87150</t>
        </is>
      </c>
      <c r="K1183" t="inlineStr">
        <is>
          <t>Cussac</t>
        </is>
      </c>
      <c r="L1183" t="inlineStr">
        <is>
          <t>05 55 78 84 07</t>
        </is>
      </c>
      <c r="M1183" s="4" t="inlineStr">
        <is>
          <t>contact@ouestlimousin.com</t>
        </is>
      </c>
      <c r="N1183" s="4" t="inlineStr">
        <is>
          <t>https://www.ouestlimousin.com/</t>
        </is>
      </c>
      <c r="O1183" t="inlineStr"/>
      <c r="P1183" s="4" t="inlineStr">
        <is>
          <t>https://lannuaire.service-public.gouv.fr/nouvelle-aquitaine/haute-vienne/38aacb95-2c79-4290-a556-c3040ca3001d</t>
        </is>
      </c>
      <c r="Q1183" t="inlineStr">
        <is>
          <t>Annuaire Service-public.fr</t>
        </is>
      </c>
      <c r="R1183" t="inlineStr"/>
      <c r="S1183" t="inlineStr"/>
      <c r="T1183" t="inlineStr"/>
    </row>
    <row r="1184">
      <c r="A1184" t="inlineStr">
        <is>
          <t>CC Pays de Nexon Monts de Chalus</t>
        </is>
      </c>
      <c r="B1184" t="inlineStr">
        <is>
          <t>Communauté de communes</t>
        </is>
      </c>
      <c r="C1184" t="inlineStr">
        <is>
          <t>200070506</t>
        </is>
      </c>
      <c r="D1184" t="inlineStr">
        <is>
          <t>87</t>
        </is>
      </c>
      <c r="E1184" t="inlineStr">
        <is>
          <t>Haute-Vienne</t>
        </is>
      </c>
      <c r="F1184" t="inlineStr">
        <is>
          <t>Nouvelle-Aquitaine</t>
        </is>
      </c>
      <c r="G1184" s="3" t="n">
        <v>13133</v>
      </c>
      <c r="H1184" t="n">
        <v>15</v>
      </c>
      <c r="I1184" t="inlineStr">
        <is>
          <t>28 avenue François-Mitterrand</t>
        </is>
      </c>
      <c r="J1184" t="inlineStr">
        <is>
          <t>87230</t>
        </is>
      </c>
      <c r="K1184" t="inlineStr">
        <is>
          <t>Chalus</t>
        </is>
      </c>
      <c r="L1184" t="inlineStr">
        <is>
          <t>05 55 78 29 29</t>
        </is>
      </c>
      <c r="M1184" s="4" t="inlineStr">
        <is>
          <t>accueil@paysdenexon-montsdechalus.fr</t>
        </is>
      </c>
      <c r="N1184" s="4" t="inlineStr">
        <is>
          <t>https://www.paysdenexon-montsdechalus.fr</t>
        </is>
      </c>
      <c r="O1184" s="4" t="inlineStr">
        <is>
          <t>https://www.paysdenexon-montsdechalus.fr/contacts.html</t>
        </is>
      </c>
      <c r="P1184" s="4" t="inlineStr">
        <is>
          <t>https://lannuaire.service-public.gouv.fr/nouvelle-aquitaine/haute-vienne/4b178f0e-57c1-4a2f-9945-213ef921d9f6</t>
        </is>
      </c>
      <c r="Q1184" t="inlineStr">
        <is>
          <t>Annuaire Service-public.fr</t>
        </is>
      </c>
      <c r="R1184" t="inlineStr"/>
      <c r="S1184" t="inlineStr"/>
      <c r="T1184" t="inlineStr"/>
    </row>
    <row r="1185">
      <c r="A1185" t="inlineStr">
        <is>
          <t>CC Porte Océane du Limousin</t>
        </is>
      </c>
      <c r="B1185" t="inlineStr">
        <is>
          <t>Communauté de communes</t>
        </is>
      </c>
      <c r="C1185" t="inlineStr">
        <is>
          <t>200059400</t>
        </is>
      </c>
      <c r="D1185" t="inlineStr">
        <is>
          <t>87</t>
        </is>
      </c>
      <c r="E1185" t="inlineStr">
        <is>
          <t>Haute-Vienne</t>
        </is>
      </c>
      <c r="F1185" t="inlineStr">
        <is>
          <t>Nouvelle-Aquitaine</t>
        </is>
      </c>
      <c r="G1185" s="3" t="n">
        <v>25686</v>
      </c>
      <c r="H1185" t="n">
        <v>13</v>
      </c>
      <c r="I1185" t="inlineStr">
        <is>
          <t>1 avenue Voltaire</t>
        </is>
      </c>
      <c r="J1185" t="inlineStr">
        <is>
          <t>87200</t>
        </is>
      </c>
      <c r="K1185" t="inlineStr">
        <is>
          <t>Saint-Junien</t>
        </is>
      </c>
      <c r="L1185" t="inlineStr">
        <is>
          <t>05 55 02 14 60</t>
        </is>
      </c>
      <c r="M1185" s="4" t="inlineStr">
        <is>
          <t>contact@pol-cdc.fr</t>
        </is>
      </c>
      <c r="N1185" s="4" t="inlineStr">
        <is>
          <t>https://www.porteoceane-dulimousin.fr/</t>
        </is>
      </c>
      <c r="O1185" t="inlineStr"/>
      <c r="P1185" s="4" t="inlineStr">
        <is>
          <t>https://lannuaire.service-public.gouv.fr/nouvelle-aquitaine/haute-vienne/e11c45fa-4fb2-42cf-a910-6df71d15a7b1</t>
        </is>
      </c>
      <c r="Q1185" t="inlineStr">
        <is>
          <t>Annuaire Service-public.fr</t>
        </is>
      </c>
      <c r="R1185" t="inlineStr"/>
      <c r="S1185" t="inlineStr"/>
      <c r="T1185" t="inlineStr"/>
    </row>
    <row r="1186">
      <c r="A1186" t="inlineStr">
        <is>
          <t>CC de Noblat</t>
        </is>
      </c>
      <c r="B1186" t="inlineStr">
        <is>
          <t>Communauté de communes</t>
        </is>
      </c>
      <c r="C1186" t="inlineStr">
        <is>
          <t>248719361</t>
        </is>
      </c>
      <c r="D1186" t="inlineStr">
        <is>
          <t>87</t>
        </is>
      </c>
      <c r="E1186" t="inlineStr">
        <is>
          <t>Haute-Vienne</t>
        </is>
      </c>
      <c r="F1186" t="inlineStr">
        <is>
          <t>Nouvelle-Aquitaine</t>
        </is>
      </c>
      <c r="G1186" s="3" t="n">
        <v>11745</v>
      </c>
      <c r="H1186" t="n">
        <v>12</v>
      </c>
      <c r="I1186" t="inlineStr">
        <is>
          <t>6 ZA de Soumagne</t>
        </is>
      </c>
      <c r="J1186" t="inlineStr">
        <is>
          <t>87400</t>
        </is>
      </c>
      <c r="K1186" t="inlineStr">
        <is>
          <t>Saint-Léonard-de-Noblat</t>
        </is>
      </c>
      <c r="L1186" t="inlineStr">
        <is>
          <t>05 87 22 99 00</t>
        </is>
      </c>
      <c r="M1186" s="4" t="inlineStr">
        <is>
          <t>accueil@ccnoblat.fr</t>
        </is>
      </c>
      <c r="N1186" s="4" t="inlineStr">
        <is>
          <t>https://ccnoblat.fr/</t>
        </is>
      </c>
      <c r="O1186" t="inlineStr"/>
      <c r="P1186" s="4" t="inlineStr">
        <is>
          <t>https://lannuaire.service-public.gouv.fr/nouvelle-aquitaine/haute-vienne/407fa58a-4bfc-4d77-b349-1e6508b88c95</t>
        </is>
      </c>
      <c r="Q1186" t="inlineStr">
        <is>
          <t>Annuaire Service-public.fr</t>
        </is>
      </c>
      <c r="R1186" t="inlineStr"/>
      <c r="S1186" t="inlineStr"/>
      <c r="T1186" t="inlineStr"/>
    </row>
    <row r="1187">
      <c r="A1187" t="inlineStr">
        <is>
          <t>CC des Portes de Vassivière</t>
        </is>
      </c>
      <c r="B1187" t="inlineStr">
        <is>
          <t>Communauté de communes</t>
        </is>
      </c>
      <c r="C1187" t="inlineStr">
        <is>
          <t>248719353</t>
        </is>
      </c>
      <c r="D1187" t="inlineStr">
        <is>
          <t>87</t>
        </is>
      </c>
      <c r="E1187" t="inlineStr">
        <is>
          <t>Haute-Vienne</t>
        </is>
      </c>
      <c r="F1187" t="inlineStr">
        <is>
          <t>Nouvelle-Aquitaine</t>
        </is>
      </c>
      <c r="G1187" s="3" t="n">
        <v>5698</v>
      </c>
      <c r="H1187" t="n">
        <v>12</v>
      </c>
      <c r="I1187" t="inlineStr">
        <is>
          <t>5 rue de la Liberté</t>
        </is>
      </c>
      <c r="J1187" t="inlineStr">
        <is>
          <t>87120</t>
        </is>
      </c>
      <c r="K1187" t="inlineStr">
        <is>
          <t>Eymoutiers</t>
        </is>
      </c>
      <c r="L1187" t="inlineStr">
        <is>
          <t>05 55 04 06 06</t>
        </is>
      </c>
      <c r="M1187" s="4" t="inlineStr">
        <is>
          <t>contact@cc-portesdevassiviere.fr</t>
        </is>
      </c>
      <c r="N1187" s="4" t="inlineStr">
        <is>
          <t>https://www.cc-portesdevassiviere.fr/</t>
        </is>
      </c>
      <c r="O1187" s="4" t="inlineStr">
        <is>
          <t>https://www.cc-portesdevassiviere.fr/contact-et-liens/</t>
        </is>
      </c>
      <c r="P1187" s="4" t="inlineStr">
        <is>
          <t>https://lannuaire.service-public.gouv.fr/nouvelle-aquitaine/haute-vienne/865c9208-8d02-41eb-8f16-6c1bc20dccd1</t>
        </is>
      </c>
      <c r="Q1187" t="inlineStr">
        <is>
          <t>Annuaire Service-public.fr</t>
        </is>
      </c>
      <c r="R1187" t="inlineStr"/>
      <c r="S1187" t="inlineStr"/>
      <c r="T1187" t="inlineStr"/>
    </row>
    <row r="1188">
      <c r="A1188" t="inlineStr">
        <is>
          <t>CC du Val de Vienne</t>
        </is>
      </c>
      <c r="B1188" t="inlineStr">
        <is>
          <t>Communauté de communes</t>
        </is>
      </c>
      <c r="C1188" t="inlineStr">
        <is>
          <t>248719288</t>
        </is>
      </c>
      <c r="D1188" t="inlineStr">
        <is>
          <t>87</t>
        </is>
      </c>
      <c r="E1188" t="inlineStr">
        <is>
          <t>Haute-Vienne</t>
        </is>
      </c>
      <c r="F1188" t="inlineStr">
        <is>
          <t>Nouvelle-Aquitaine</t>
        </is>
      </c>
      <c r="G1188" s="3" t="n">
        <v>16305</v>
      </c>
      <c r="H1188" t="n">
        <v>9</v>
      </c>
      <c r="I1188" t="inlineStr">
        <is>
          <t>24 avenue du Président-Wilson</t>
        </is>
      </c>
      <c r="J1188" t="inlineStr">
        <is>
          <t>87700</t>
        </is>
      </c>
      <c r="K1188" t="inlineStr">
        <is>
          <t>Aixe-sur-Vienne</t>
        </is>
      </c>
      <c r="L1188" t="inlineStr">
        <is>
          <t>05 55 70 02 69</t>
        </is>
      </c>
      <c r="M1188" s="4" t="inlineStr">
        <is>
          <t>info@cc-valdevienne.fr</t>
        </is>
      </c>
      <c r="N1188" s="4" t="inlineStr">
        <is>
          <t>https://valdevienne.fr/</t>
        </is>
      </c>
      <c r="O1188" s="4" t="inlineStr">
        <is>
          <t>https://valdevienne.fr/val-de-vienne-ccvv/contact/</t>
        </is>
      </c>
      <c r="P1188" s="4" t="inlineStr">
        <is>
          <t>https://lannuaire.service-public.gouv.fr/nouvelle-aquitaine/haute-vienne/963708ba-98ab-41da-91a8-4ad49fd4602d</t>
        </is>
      </c>
      <c r="Q1188" t="inlineStr">
        <is>
          <t>Annuaire Service-public.fr</t>
        </is>
      </c>
      <c r="R1188" t="inlineStr"/>
      <c r="S1188" t="inlineStr"/>
      <c r="T1188" t="inlineStr"/>
    </row>
    <row r="1189">
      <c r="A1189" t="inlineStr">
        <is>
          <t>CC Élan Limousin Avenir Nature</t>
        </is>
      </c>
      <c r="B1189" t="inlineStr">
        <is>
          <t>Communauté de communes</t>
        </is>
      </c>
      <c r="C1189" t="inlineStr">
        <is>
          <t>200066512</t>
        </is>
      </c>
      <c r="D1189" t="inlineStr">
        <is>
          <t>87</t>
        </is>
      </c>
      <c r="E1189" t="inlineStr">
        <is>
          <t>Haute-Vienne</t>
        </is>
      </c>
      <c r="F1189" t="inlineStr">
        <is>
          <t>Nouvelle-Aquitaine</t>
        </is>
      </c>
      <c r="G1189" s="3" t="n">
        <v>27459</v>
      </c>
      <c r="H1189" t="n">
        <v>24</v>
      </c>
      <c r="I1189" t="inlineStr">
        <is>
          <t>13 rue Gay-Lussac</t>
        </is>
      </c>
      <c r="J1189" t="inlineStr">
        <is>
          <t>87240</t>
        </is>
      </c>
      <c r="K1189" t="inlineStr">
        <is>
          <t>Ambazac</t>
        </is>
      </c>
      <c r="L1189" t="inlineStr">
        <is>
          <t>05 55 56 04 84</t>
        </is>
      </c>
      <c r="M1189" s="4" t="inlineStr">
        <is>
          <t>accueil@elan87.fr</t>
        </is>
      </c>
      <c r="N1189" s="4" t="inlineStr">
        <is>
          <t>https://www.elan87.fr/</t>
        </is>
      </c>
      <c r="O1189" s="4" t="inlineStr">
        <is>
          <t>https://www.elan87.fr/contact/</t>
        </is>
      </c>
      <c r="P1189" s="4" t="inlineStr">
        <is>
          <t>https://lannuaire.service-public.gouv.fr/nouvelle-aquitaine/haute-vienne/9c0bc49a-b66e-4be7-8562-b17cc778a80b</t>
        </is>
      </c>
      <c r="Q1189" t="inlineStr">
        <is>
          <t>Annuaire Service-public.fr</t>
        </is>
      </c>
      <c r="R1189" t="inlineStr"/>
      <c r="S1189" t="inlineStr"/>
      <c r="T1189" t="inlineStr"/>
    </row>
    <row r="1190">
      <c r="A1190" t="inlineStr">
        <is>
          <t>CU Limoges Métropole</t>
        </is>
      </c>
      <c r="B1190" t="inlineStr">
        <is>
          <t>Communauté urbaine</t>
        </is>
      </c>
      <c r="C1190" t="inlineStr">
        <is>
          <t>248719312</t>
        </is>
      </c>
      <c r="D1190" t="inlineStr">
        <is>
          <t>87</t>
        </is>
      </c>
      <c r="E1190" t="inlineStr">
        <is>
          <t>Haute-Vienne</t>
        </is>
      </c>
      <c r="F1190" t="inlineStr">
        <is>
          <t>Nouvelle-Aquitaine</t>
        </is>
      </c>
      <c r="G1190" s="3" t="n">
        <v>207147</v>
      </c>
      <c r="H1190" t="n">
        <v>20</v>
      </c>
      <c r="I1190" t="inlineStr">
        <is>
          <t>19 rue Bernard-Palissy</t>
        </is>
      </c>
      <c r="J1190" t="inlineStr">
        <is>
          <t>87031</t>
        </is>
      </c>
      <c r="K1190" t="inlineStr">
        <is>
          <t>Limoges</t>
        </is>
      </c>
      <c r="L1190" t="inlineStr">
        <is>
          <t>05 55 45 79 00</t>
        </is>
      </c>
      <c r="M1190" s="4" t="inlineStr">
        <is>
          <t>communaute-urbaine@limoges-metropole.fr</t>
        </is>
      </c>
      <c r="N1190" s="4" t="inlineStr">
        <is>
          <t>https://www.limoges-metropole.fr</t>
        </is>
      </c>
      <c r="O1190" s="4" t="inlineStr">
        <is>
          <t>https://www.limoges-metropole.fr/informations-pratiques/nous-contacter</t>
        </is>
      </c>
      <c r="P1190" s="4" t="inlineStr">
        <is>
          <t>https://lannuaire.service-public.gouv.fr/nouvelle-aquitaine/haute-vienne/e85a63e9-98d7-4172-b885-f483445de877</t>
        </is>
      </c>
      <c r="Q1190" t="inlineStr">
        <is>
          <t>Annuaire Service-public.fr</t>
        </is>
      </c>
      <c r="R1190" t="inlineStr"/>
      <c r="S1190" t="inlineStr"/>
      <c r="T1190" t="inlineStr"/>
    </row>
    <row r="1191">
      <c r="A1191" t="inlineStr">
        <is>
          <t>CA d'Epinal</t>
        </is>
      </c>
      <c r="B1191" t="inlineStr">
        <is>
          <t>Communauté d’agglomération</t>
        </is>
      </c>
      <c r="C1191" t="inlineStr">
        <is>
          <t>200068757</t>
        </is>
      </c>
      <c r="D1191" t="inlineStr">
        <is>
          <t>88</t>
        </is>
      </c>
      <c r="E1191" t="inlineStr">
        <is>
          <t>Vosges</t>
        </is>
      </c>
      <c r="F1191" t="inlineStr">
        <is>
          <t>Grand Est</t>
        </is>
      </c>
      <c r="G1191" s="3" t="n">
        <v>110099</v>
      </c>
      <c r="H1191" t="n">
        <v>78</v>
      </c>
      <c r="I1191" t="inlineStr">
        <is>
          <t>1 avenue  Dutac</t>
        </is>
      </c>
      <c r="J1191" t="inlineStr">
        <is>
          <t>88000</t>
        </is>
      </c>
      <c r="K1191" t="inlineStr">
        <is>
          <t>Epinal</t>
        </is>
      </c>
      <c r="L1191" t="inlineStr">
        <is>
          <t>03 29 37 54 60</t>
        </is>
      </c>
      <c r="M1191" s="4" t="inlineStr">
        <is>
          <t>direction@agglo-epinal.fr</t>
        </is>
      </c>
      <c r="N1191" s="4" t="inlineStr">
        <is>
          <t>https://www.agglo-epinal.fr/</t>
        </is>
      </c>
      <c r="O1191" s="4" t="inlineStr">
        <is>
          <t>https://www.agglo-epinal.fr/nous-contacter/</t>
        </is>
      </c>
      <c r="P1191" s="4" t="inlineStr">
        <is>
          <t>https://lannuaire.service-public.gouv.fr/grand-est/vosges/58c63a10-6527-4e6b-8ab3-17d8c26a6ffe</t>
        </is>
      </c>
      <c r="Q1191" t="inlineStr">
        <is>
          <t>Annuaire Service-public.fr</t>
        </is>
      </c>
      <c r="R1191" t="inlineStr"/>
      <c r="S1191" t="inlineStr"/>
      <c r="T1191" t="inlineStr"/>
    </row>
    <row r="1192">
      <c r="A1192" t="inlineStr">
        <is>
          <t>CC Bruyères-Vallons des Vosges</t>
        </is>
      </c>
      <c r="B1192" t="inlineStr">
        <is>
          <t>Communauté de communes</t>
        </is>
      </c>
      <c r="C1192" t="inlineStr">
        <is>
          <t>200042000</t>
        </is>
      </c>
      <c r="D1192" t="inlineStr">
        <is>
          <t>88</t>
        </is>
      </c>
      <c r="E1192" t="inlineStr">
        <is>
          <t>Vosges</t>
        </is>
      </c>
      <c r="F1192" t="inlineStr">
        <is>
          <t>Grand Est</t>
        </is>
      </c>
      <c r="G1192" s="3" t="n">
        <v>14808</v>
      </c>
      <c r="H1192" t="n">
        <v>34</v>
      </c>
      <c r="I1192" t="inlineStr">
        <is>
          <t>4 rue de la 36e-Division-Us</t>
        </is>
      </c>
      <c r="J1192" t="inlineStr">
        <is>
          <t>88600</t>
        </is>
      </c>
      <c r="K1192" t="inlineStr">
        <is>
          <t>Bruyères</t>
        </is>
      </c>
      <c r="L1192" t="inlineStr">
        <is>
          <t>03 29 57 80 69</t>
        </is>
      </c>
      <c r="M1192" s="4" t="inlineStr">
        <is>
          <t>accueil@cc-bruyeres.fr</t>
        </is>
      </c>
      <c r="N1192" s="4" t="inlineStr">
        <is>
          <t>https://www.ccb2v.fr/</t>
        </is>
      </c>
      <c r="O1192" s="4" t="inlineStr">
        <is>
          <t>https://www.ccb2v.fr/formulaire-de-contact/</t>
        </is>
      </c>
      <c r="P1192" s="4" t="inlineStr">
        <is>
          <t>https://lannuaire.service-public.gouv.fr/grand-est/vosges/37f79312-678a-496c-81cb-1f9bd868f04b</t>
        </is>
      </c>
      <c r="Q1192" t="inlineStr">
        <is>
          <t>Annuaire Service-public.fr</t>
        </is>
      </c>
      <c r="R1192" t="inlineStr"/>
      <c r="S1192" t="inlineStr"/>
      <c r="T1192" t="inlineStr"/>
    </row>
    <row r="1193">
      <c r="A1193" t="inlineStr">
        <is>
          <t>CC Gérardmer Hautes Vosges</t>
        </is>
      </c>
      <c r="B1193" t="inlineStr">
        <is>
          <t>Communauté de communes</t>
        </is>
      </c>
      <c r="C1193" t="inlineStr">
        <is>
          <t>200096642</t>
        </is>
      </c>
      <c r="D1193" t="inlineStr">
        <is>
          <t>88</t>
        </is>
      </c>
      <c r="E1193" t="inlineStr">
        <is>
          <t>Vosges</t>
        </is>
      </c>
      <c r="F1193" t="inlineStr">
        <is>
          <t>Grand Est</t>
        </is>
      </c>
      <c r="G1193" s="3" t="n">
        <v>13990</v>
      </c>
      <c r="H1193" t="n">
        <v>8</v>
      </c>
      <c r="I1193" t="inlineStr">
        <is>
          <t>16 rue Charles-de-Gaulle</t>
        </is>
      </c>
      <c r="J1193" t="inlineStr">
        <is>
          <t>88400</t>
        </is>
      </c>
      <c r="K1193" t="inlineStr">
        <is>
          <t>Gérardmer</t>
        </is>
      </c>
      <c r="L1193" t="inlineStr">
        <is>
          <t>03 29 27 29 04</t>
        </is>
      </c>
      <c r="M1193" s="4" t="inlineStr">
        <is>
          <t>contact@ccghv.fr</t>
        </is>
      </c>
      <c r="N1193" s="4" t="inlineStr">
        <is>
          <t>https://ccghv.fr/</t>
        </is>
      </c>
      <c r="O1193" s="4" t="inlineStr">
        <is>
          <t>https://ccghv.fr/contact/</t>
        </is>
      </c>
      <c r="P1193" s="4" t="inlineStr">
        <is>
          <t>https://lannuaire.service-public.gouv.fr/grand-est/vosges/aa56f59f-0db8-4c12-877d-effd34e6f7d9</t>
        </is>
      </c>
      <c r="Q1193" t="inlineStr">
        <is>
          <t>Annuaire Service-public.fr</t>
        </is>
      </c>
      <c r="R1193" t="inlineStr"/>
      <c r="S1193" t="inlineStr"/>
      <c r="T1193" t="inlineStr"/>
    </row>
    <row r="1194">
      <c r="A1194" t="inlineStr">
        <is>
          <t>CC Terre d'Eau</t>
        </is>
      </c>
      <c r="B1194" t="inlineStr">
        <is>
          <t>Communauté de communes</t>
        </is>
      </c>
      <c r="C1194" t="inlineStr">
        <is>
          <t>200068682</t>
        </is>
      </c>
      <c r="D1194" t="inlineStr">
        <is>
          <t>88</t>
        </is>
      </c>
      <c r="E1194" t="inlineStr">
        <is>
          <t>Vosges</t>
        </is>
      </c>
      <c r="F1194" t="inlineStr">
        <is>
          <t>Grand Est</t>
        </is>
      </c>
      <c r="G1194" s="3" t="n">
        <v>17043</v>
      </c>
      <c r="H1194" t="n">
        <v>45</v>
      </c>
      <c r="I1194" t="inlineStr">
        <is>
          <t>58 rue des Anciennes-Halles</t>
        </is>
      </c>
      <c r="J1194" t="inlineStr">
        <is>
          <t>88140</t>
        </is>
      </c>
      <c r="K1194" t="inlineStr">
        <is>
          <t>Bulgnéville</t>
        </is>
      </c>
      <c r="L1194" t="inlineStr">
        <is>
          <t>03 29 05 29 24</t>
        </is>
      </c>
      <c r="M1194" s="4" t="inlineStr">
        <is>
          <t>contact@cc-terredeau.fr</t>
        </is>
      </c>
      <c r="N1194" s="4" t="inlineStr">
        <is>
          <t>https://www.cc-terredeau.fr/</t>
        </is>
      </c>
      <c r="O1194" s="4" t="inlineStr">
        <is>
          <t>https://www.cc-terredeau.fr/fr/contact.html</t>
        </is>
      </c>
      <c r="P1194" s="4" t="inlineStr">
        <is>
          <t>https://lannuaire.service-public.gouv.fr/grand-est/vosges/e8a7f59c-9b57-4c8a-826c-c0d8953c20a4</t>
        </is>
      </c>
      <c r="Q1194" t="inlineStr">
        <is>
          <t>Annuaire Service-public.fr</t>
        </is>
      </c>
      <c r="R1194" t="inlineStr"/>
      <c r="S1194" t="inlineStr"/>
      <c r="T1194" t="inlineStr"/>
    </row>
    <row r="1195">
      <c r="A1195" t="inlineStr">
        <is>
          <t>CC de Mirecourt Dompaire</t>
        </is>
      </c>
      <c r="B1195" t="inlineStr">
        <is>
          <t>Communauté de communes</t>
        </is>
      </c>
      <c r="C1195" t="inlineStr">
        <is>
          <t>200068369</t>
        </is>
      </c>
      <c r="D1195" t="inlineStr">
        <is>
          <t>88</t>
        </is>
      </c>
      <c r="E1195" t="inlineStr">
        <is>
          <t>Vosges</t>
        </is>
      </c>
      <c r="F1195" t="inlineStr">
        <is>
          <t>Grand Est</t>
        </is>
      </c>
      <c r="G1195" s="3" t="n">
        <v>18441</v>
      </c>
      <c r="H1195" t="n">
        <v>76</v>
      </c>
      <c r="I1195" t="inlineStr">
        <is>
          <t>32 rue du Général-Leclerc, BP 161</t>
        </is>
      </c>
      <c r="J1195" t="inlineStr">
        <is>
          <t>88503</t>
        </is>
      </c>
      <c r="K1195" t="inlineStr">
        <is>
          <t>Mirecourt Cedex</t>
        </is>
      </c>
      <c r="L1195" t="inlineStr">
        <is>
          <t>03 29 37 88 01</t>
        </is>
      </c>
      <c r="M1195" s="4" t="inlineStr">
        <is>
          <t>secretariat@ccmirecourtdompaire.fr</t>
        </is>
      </c>
      <c r="N1195" s="4" t="inlineStr">
        <is>
          <t>https://www.ccmirecourtdompaire.fr/</t>
        </is>
      </c>
      <c r="O1195" s="4" t="inlineStr">
        <is>
          <t>https://www.ccmirecourtdompaire.fr/communaute-de-communes/contact/</t>
        </is>
      </c>
      <c r="P1195" s="4" t="inlineStr">
        <is>
          <t>https://lannuaire.service-public.gouv.fr/grand-est/vosges/a853e7aa-47e6-4b88-b946-55d799720265</t>
        </is>
      </c>
      <c r="Q1195" t="inlineStr">
        <is>
          <t>Annuaire Service-public.fr</t>
        </is>
      </c>
      <c r="R1195" t="inlineStr"/>
      <c r="S1195" t="inlineStr"/>
      <c r="T1195" t="inlineStr"/>
    </row>
    <row r="1196">
      <c r="A1196" t="inlineStr">
        <is>
          <t>CC de la Porte des Vosges Méridionales</t>
        </is>
      </c>
      <c r="B1196" t="inlineStr">
        <is>
          <t>Communauté de communes</t>
        </is>
      </c>
      <c r="C1196" t="inlineStr">
        <is>
          <t>200068377</t>
        </is>
      </c>
      <c r="D1196" t="inlineStr">
        <is>
          <t>88</t>
        </is>
      </c>
      <c r="E1196" t="inlineStr">
        <is>
          <t>Vosges</t>
        </is>
      </c>
      <c r="F1196" t="inlineStr">
        <is>
          <t>Grand Est</t>
        </is>
      </c>
      <c r="G1196" s="3" t="n">
        <v>29017</v>
      </c>
      <c r="H1196" t="n">
        <v>10</v>
      </c>
      <c r="I1196" t="inlineStr">
        <is>
          <t>4 rue des Grands-Moulins</t>
        </is>
      </c>
      <c r="J1196" t="inlineStr">
        <is>
          <t>88200</t>
        </is>
      </c>
      <c r="K1196" t="inlineStr">
        <is>
          <t>Saint-Étienne-lès-Remiremont</t>
        </is>
      </c>
      <c r="L1196" t="inlineStr">
        <is>
          <t>03 29 22 11 63</t>
        </is>
      </c>
      <c r="M1196" s="4" t="inlineStr">
        <is>
          <t>bureaux@ccpvm.fr</t>
        </is>
      </c>
      <c r="N1196" s="4" t="inlineStr">
        <is>
          <t>https://www.ccpvm.fr/</t>
        </is>
      </c>
      <c r="O1196" s="4" t="inlineStr">
        <is>
          <t>https://www.ccpvm.fr/contactez-nous/</t>
        </is>
      </c>
      <c r="P1196" s="4" t="inlineStr">
        <is>
          <t>https://lannuaire.service-public.gouv.fr/grand-est/vosges/f4110c81-dbb2-4b90-8c9a-3385fc6da9b7</t>
        </is>
      </c>
      <c r="Q1196" t="inlineStr">
        <is>
          <t>Annuaire Service-public.fr</t>
        </is>
      </c>
      <c r="R1196" t="inlineStr"/>
      <c r="S1196" t="inlineStr"/>
      <c r="T1196" t="inlineStr"/>
    </row>
    <row r="1197">
      <c r="A1197" t="inlineStr">
        <is>
          <t>CC de la Région de Rambervillers</t>
        </is>
      </c>
      <c r="B1197" t="inlineStr">
        <is>
          <t>Communauté de communes</t>
        </is>
      </c>
      <c r="C1197" t="inlineStr">
        <is>
          <t>200005957</t>
        </is>
      </c>
      <c r="D1197" t="inlineStr">
        <is>
          <t>88</t>
        </is>
      </c>
      <c r="E1197" t="inlineStr">
        <is>
          <t>Vosges</t>
        </is>
      </c>
      <c r="F1197" t="inlineStr">
        <is>
          <t>Grand Est</t>
        </is>
      </c>
      <c r="G1197" s="3" t="n">
        <v>12833</v>
      </c>
      <c r="H1197" t="n">
        <v>30</v>
      </c>
      <c r="I1197" t="inlineStr">
        <is>
          <t>Quartier Richard, Maison du Territoire, 59B Avenue du 11 novembre</t>
        </is>
      </c>
      <c r="J1197" t="inlineStr">
        <is>
          <t>88700</t>
        </is>
      </c>
      <c r="K1197" t="inlineStr">
        <is>
          <t>Rambervillers</t>
        </is>
      </c>
      <c r="L1197" t="inlineStr">
        <is>
          <t>03 29 29 42 06</t>
        </is>
      </c>
      <c r="M1197" s="4" t="inlineStr">
        <is>
          <t>accueil@2c2r.fr</t>
        </is>
      </c>
      <c r="N1197" s="4" t="inlineStr">
        <is>
          <t>https://www.2c2r.fr/</t>
        </is>
      </c>
      <c r="O1197" s="4" t="inlineStr">
        <is>
          <t>https://www.2c2r.fr/contact/</t>
        </is>
      </c>
      <c r="P1197" s="4" t="inlineStr">
        <is>
          <t>https://lannuaire.service-public.gouv.fr/grand-est/vosges/e2b6d8fe-2c76-4e58-8901-0b6599ff975d</t>
        </is>
      </c>
      <c r="Q1197" t="inlineStr">
        <is>
          <t>Annuaire Service-public.fr</t>
        </is>
      </c>
      <c r="R1197" t="inlineStr"/>
      <c r="S1197" t="inlineStr"/>
      <c r="T1197" t="inlineStr"/>
    </row>
    <row r="1198">
      <c r="A1198" t="inlineStr">
        <is>
          <t>CC des Ballons des Hautes-Vosges</t>
        </is>
      </c>
      <c r="B1198" t="inlineStr">
        <is>
          <t>Communauté de communes</t>
        </is>
      </c>
      <c r="C1198" t="inlineStr">
        <is>
          <t>200033868</t>
        </is>
      </c>
      <c r="D1198" t="inlineStr">
        <is>
          <t>88</t>
        </is>
      </c>
      <c r="E1198" t="inlineStr">
        <is>
          <t>Vosges</t>
        </is>
      </c>
      <c r="F1198" t="inlineStr">
        <is>
          <t>Grand Est</t>
        </is>
      </c>
      <c r="G1198" s="3" t="n">
        <v>14503</v>
      </c>
      <c r="H1198" t="n">
        <v>8</v>
      </c>
      <c r="I1198" t="inlineStr">
        <is>
          <t>1 Pl Du Mal De Lattre De Tassigny</t>
        </is>
      </c>
      <c r="J1198" t="inlineStr">
        <is>
          <t>88160</t>
        </is>
      </c>
      <c r="K1198" t="inlineStr">
        <is>
          <t>Le Thillot</t>
        </is>
      </c>
      <c r="L1198" t="inlineStr"/>
      <c r="M1198" t="inlineStr"/>
      <c r="N1198" t="inlineStr"/>
      <c r="O1198" t="inlineStr"/>
      <c r="P1198" t="inlineStr"/>
      <c r="Q1198" t="inlineStr">
        <is>
          <t>SIRENE (siège) : pas de fiche dans l’annuaire</t>
        </is>
      </c>
      <c r="R1198" t="inlineStr"/>
      <c r="S1198" t="inlineStr"/>
      <c r="T1198" t="inlineStr"/>
    </row>
    <row r="1199">
      <c r="A1199" t="inlineStr">
        <is>
          <t>CC des Hautes Vosges</t>
        </is>
      </c>
      <c r="B1199" t="inlineStr">
        <is>
          <t>Communauté de communes</t>
        </is>
      </c>
      <c r="C1199" t="inlineStr">
        <is>
          <t>200096634</t>
        </is>
      </c>
      <c r="D1199" t="inlineStr">
        <is>
          <t>88</t>
        </is>
      </c>
      <c r="E1199" t="inlineStr">
        <is>
          <t>Vosges</t>
        </is>
      </c>
      <c r="F1199" t="inlineStr">
        <is>
          <t>Grand Est</t>
        </is>
      </c>
      <c r="G1199" s="3" t="n">
        <v>20854</v>
      </c>
      <c r="H1199" t="n">
        <v>14</v>
      </c>
      <c r="I1199" t="inlineStr">
        <is>
          <t>24 rue de la 3ème DIA</t>
        </is>
      </c>
      <c r="J1199" t="inlineStr">
        <is>
          <t>88310</t>
        </is>
      </c>
      <c r="K1199" t="inlineStr">
        <is>
          <t>Cornimont</t>
        </is>
      </c>
      <c r="L1199" t="inlineStr">
        <is>
          <t>03 29 24 02 88</t>
        </is>
      </c>
      <c r="M1199" s="4" t="inlineStr">
        <is>
          <t>contact@cchautesvosges.fr</t>
        </is>
      </c>
      <c r="N1199" s="4" t="inlineStr">
        <is>
          <t>https://www.cchautesvosges.fr/</t>
        </is>
      </c>
      <c r="O1199" s="4" t="inlineStr">
        <is>
          <t>https://www.cchautesvosges.fr/contact</t>
        </is>
      </c>
      <c r="P1199" s="4" t="inlineStr">
        <is>
          <t>https://lannuaire.service-public.gouv.fr/grand-est/vosges/15ce96ad-bc51-4984-99fb-a1150dc0aad3</t>
        </is>
      </c>
      <c r="Q1199" t="inlineStr">
        <is>
          <t>Annuaire Service-public.fr</t>
        </is>
      </c>
      <c r="R1199" t="inlineStr"/>
      <c r="S1199" t="inlineStr"/>
      <c r="T1199" t="inlineStr"/>
    </row>
    <row r="1200">
      <c r="A1200" t="inlineStr">
        <is>
          <t>CC des Vosges côté Sud Ouest</t>
        </is>
      </c>
      <c r="B1200" t="inlineStr">
        <is>
          <t>Communauté de communes</t>
        </is>
      </c>
      <c r="C1200" t="inlineStr">
        <is>
          <t>200068773</t>
        </is>
      </c>
      <c r="D1200" t="inlineStr">
        <is>
          <t>88</t>
        </is>
      </c>
      <c r="E1200" t="inlineStr">
        <is>
          <t>Vosges</t>
        </is>
      </c>
      <c r="F1200" t="inlineStr">
        <is>
          <t>Grand Est</t>
        </is>
      </c>
      <c r="G1200" s="3" t="n">
        <v>11564</v>
      </c>
      <c r="H1200" t="n">
        <v>60</v>
      </c>
      <c r="I1200" t="inlineStr">
        <is>
          <t>Impasse du groupe scolaire</t>
        </is>
      </c>
      <c r="J1200" t="inlineStr">
        <is>
          <t>88260</t>
        </is>
      </c>
      <c r="K1200" t="inlineStr">
        <is>
          <t>Darney</t>
        </is>
      </c>
      <c r="L1200" t="inlineStr">
        <is>
          <t>03 29 09 43 16</t>
        </is>
      </c>
      <c r="M1200" s="4" t="inlineStr">
        <is>
          <t>contact@vosgescotesudouest.fr</t>
        </is>
      </c>
      <c r="N1200" s="4" t="inlineStr">
        <is>
          <t>http://www.vosgescotesudouest.fr</t>
        </is>
      </c>
      <c r="O1200" s="4" t="inlineStr">
        <is>
          <t>http://www.vosgescotesudouest.fr/?c=contact&amp;id=8</t>
        </is>
      </c>
      <c r="P1200" s="4" t="inlineStr">
        <is>
          <t>https://lannuaire.service-public.gouv.fr/grand-est/vosges/f504cb0c-7dd2-4eed-b342-14d4aa7b3d04</t>
        </is>
      </c>
      <c r="Q1200" t="inlineStr">
        <is>
          <t>Annuaire Service-public.fr</t>
        </is>
      </c>
      <c r="R1200" t="inlineStr"/>
      <c r="S1200" t="inlineStr"/>
      <c r="T1200" t="inlineStr"/>
    </row>
    <row r="1201">
      <c r="A1201" t="inlineStr">
        <is>
          <t>CA de l'Auxerrois</t>
        </is>
      </c>
      <c r="B1201" t="inlineStr">
        <is>
          <t>Communauté d’agglomération</t>
        </is>
      </c>
      <c r="C1201" t="inlineStr">
        <is>
          <t>200067114</t>
        </is>
      </c>
      <c r="D1201" t="inlineStr">
        <is>
          <t>89</t>
        </is>
      </c>
      <c r="E1201" t="inlineStr">
        <is>
          <t>Yonne</t>
        </is>
      </c>
      <c r="F1201" t="inlineStr">
        <is>
          <t>Bourgogne-Franche-Comté</t>
        </is>
      </c>
      <c r="G1201" s="3" t="n">
        <v>68012</v>
      </c>
      <c r="H1201" t="n">
        <v>29</v>
      </c>
      <c r="I1201" t="inlineStr">
        <is>
          <t>6 bis du Maréchal-Leclerc</t>
        </is>
      </c>
      <c r="J1201" t="inlineStr">
        <is>
          <t>89010</t>
        </is>
      </c>
      <c r="K1201" t="inlineStr">
        <is>
          <t>Auxerre Cedex</t>
        </is>
      </c>
      <c r="L1201" t="inlineStr">
        <is>
          <t>03 86 72 43 00</t>
        </is>
      </c>
      <c r="M1201" s="4" t="inlineStr">
        <is>
          <t>contact@agglo-auxerrois.fr</t>
        </is>
      </c>
      <c r="N1201" s="4" t="inlineStr">
        <is>
          <t>https://www.agglo-auxerrois.fr</t>
        </is>
      </c>
      <c r="O1201" s="4" t="inlineStr">
        <is>
          <t>https://www.agglo-auxerrois.fr/nous-contacter-0</t>
        </is>
      </c>
      <c r="P1201" s="4" t="inlineStr">
        <is>
          <t>https://lannuaire.service-public.gouv.fr/bourgogne-franche-comte/yonne/a113637f-5ba3-48d7-8ea2-148d4e0099c1</t>
        </is>
      </c>
      <c r="Q1201" t="inlineStr">
        <is>
          <t>Annuaire Service-public.fr</t>
        </is>
      </c>
      <c r="R1201" t="inlineStr"/>
      <c r="S1201" t="inlineStr"/>
      <c r="T1201" t="inlineStr"/>
    </row>
    <row r="1202">
      <c r="A1202" t="inlineStr">
        <is>
          <t>CA du Grand Sénonais</t>
        </is>
      </c>
      <c r="B1202" t="inlineStr">
        <is>
          <t>Communauté d’agglomération</t>
        </is>
      </c>
      <c r="C1202" t="inlineStr">
        <is>
          <t>248900334</t>
        </is>
      </c>
      <c r="D1202" t="inlineStr">
        <is>
          <t>89</t>
        </is>
      </c>
      <c r="E1202" t="inlineStr">
        <is>
          <t>Yonne</t>
        </is>
      </c>
      <c r="F1202" t="inlineStr">
        <is>
          <t>Bourgogne-Franche-Comté</t>
        </is>
      </c>
      <c r="G1202" s="3" t="n">
        <v>59911</v>
      </c>
      <c r="H1202" t="n">
        <v>27</v>
      </c>
      <c r="I1202" t="inlineStr">
        <is>
          <t>21 boulevard du 14-Juillet, CS 80552</t>
        </is>
      </c>
      <c r="J1202" t="inlineStr">
        <is>
          <t>89105</t>
        </is>
      </c>
      <c r="K1202" t="inlineStr">
        <is>
          <t>Sens Cedex</t>
        </is>
      </c>
      <c r="L1202" t="inlineStr">
        <is>
          <t>03 86 65 89 00</t>
        </is>
      </c>
      <c r="M1202" s="4" t="inlineStr">
        <is>
          <t>courrier@grand-senonais.fr</t>
        </is>
      </c>
      <c r="N1202" s="4" t="inlineStr">
        <is>
          <t>https://www.grand-senonais.fr</t>
        </is>
      </c>
      <c r="O1202" s="4" t="inlineStr">
        <is>
          <t>https://www.grand-senonais.fr/contact/</t>
        </is>
      </c>
      <c r="P1202" s="4" t="inlineStr">
        <is>
          <t>https://lannuaire.service-public.gouv.fr/bourgogne-franche-comte/yonne/931df22e-72d8-4d50-8245-52ca90c884fc</t>
        </is>
      </c>
      <c r="Q1202" t="inlineStr">
        <is>
          <t>Annuaire Service-public.fr</t>
        </is>
      </c>
      <c r="R1202" t="inlineStr"/>
      <c r="S1202" t="inlineStr"/>
      <c r="T1202" t="inlineStr"/>
    </row>
    <row r="1203">
      <c r="A1203" t="inlineStr">
        <is>
          <t>CC Avallon, Vézelay, Morvan</t>
        </is>
      </c>
      <c r="B1203" t="inlineStr">
        <is>
          <t>Communauté de communes</t>
        </is>
      </c>
      <c r="C1203" t="inlineStr">
        <is>
          <t>200039758</t>
        </is>
      </c>
      <c r="D1203" t="inlineStr">
        <is>
          <t>89</t>
        </is>
      </c>
      <c r="E1203" t="inlineStr">
        <is>
          <t>Yonne</t>
        </is>
      </c>
      <c r="F1203" t="inlineStr">
        <is>
          <t>Bourgogne-Franche-Comté</t>
        </is>
      </c>
      <c r="G1203" s="3" t="n">
        <v>18488</v>
      </c>
      <c r="H1203" t="n">
        <v>48</v>
      </c>
      <c r="I1203" t="inlineStr">
        <is>
          <t>9 rue Carnot</t>
        </is>
      </c>
      <c r="J1203" t="inlineStr">
        <is>
          <t>89200</t>
        </is>
      </c>
      <c r="K1203" t="inlineStr">
        <is>
          <t>Avallon</t>
        </is>
      </c>
      <c r="L1203" t="inlineStr">
        <is>
          <t>03 86 34 38 06</t>
        </is>
      </c>
      <c r="M1203" s="4" t="inlineStr">
        <is>
          <t>contact@cc-avm.fr</t>
        </is>
      </c>
      <c r="N1203" s="4" t="inlineStr">
        <is>
          <t>https://cc-avm.com/</t>
        </is>
      </c>
      <c r="O1203" s="4" t="inlineStr">
        <is>
          <t>https://www.cc-avm.fr/contact</t>
        </is>
      </c>
      <c r="P1203" s="4" t="inlineStr">
        <is>
          <t>https://lannuaire.service-public.gouv.fr/bourgogne-franche-comte/yonne/b67e8260-3570-48f2-a22d-6b30d98384bf</t>
        </is>
      </c>
      <c r="Q1203" t="inlineStr">
        <is>
          <t>Annuaire Service-public.fr</t>
        </is>
      </c>
      <c r="R1203" t="inlineStr"/>
      <c r="S1203" t="inlineStr"/>
      <c r="T1203" t="inlineStr"/>
    </row>
    <row r="1204">
      <c r="A1204" t="inlineStr">
        <is>
          <t>CC Chablis Villages et Terroirs</t>
        </is>
      </c>
      <c r="B1204" t="inlineStr">
        <is>
          <t>Communauté de communes</t>
        </is>
      </c>
      <c r="C1204" t="inlineStr">
        <is>
          <t>200067080</t>
        </is>
      </c>
      <c r="D1204" t="inlineStr">
        <is>
          <t>89</t>
        </is>
      </c>
      <c r="E1204" t="inlineStr">
        <is>
          <t>Yonne</t>
        </is>
      </c>
      <c r="F1204" t="inlineStr">
        <is>
          <t>Bourgogne-Franche-Comté</t>
        </is>
      </c>
      <c r="G1204" s="3" t="n">
        <v>14638</v>
      </c>
      <c r="H1204" t="n">
        <v>36</v>
      </c>
      <c r="I1204" t="inlineStr">
        <is>
          <t>2 rue du Serein, BP 65</t>
        </is>
      </c>
      <c r="J1204" t="inlineStr">
        <is>
          <t>89800</t>
        </is>
      </c>
      <c r="K1204" t="inlineStr">
        <is>
          <t>Chablis</t>
        </is>
      </c>
      <c r="L1204" t="inlineStr">
        <is>
          <t>03 86 18 91 16</t>
        </is>
      </c>
      <c r="M1204" s="4" t="inlineStr">
        <is>
          <t>secretariat.direction@3cvt.fr</t>
        </is>
      </c>
      <c r="N1204" s="4" t="inlineStr">
        <is>
          <t>https://www.3cvt.fr/</t>
        </is>
      </c>
      <c r="O1204" s="4" t="inlineStr">
        <is>
          <t>https://www.3cvt.fr/formulaire-de-saisine/</t>
        </is>
      </c>
      <c r="P1204" s="4" t="inlineStr">
        <is>
          <t>https://lannuaire.service-public.gouv.fr/bourgogne-franche-comte/yonne/7ffd30df-c070-4492-ab4f-bff9f42d1d0b</t>
        </is>
      </c>
      <c r="Q1204" t="inlineStr">
        <is>
          <t>Annuaire Service-public.fr</t>
        </is>
      </c>
      <c r="R1204" t="inlineStr"/>
      <c r="S1204" t="inlineStr"/>
      <c r="T1204" t="inlineStr"/>
    </row>
    <row r="1205">
      <c r="A1205" t="inlineStr">
        <is>
          <t>CC Le Tonnerrois en Bourgogne</t>
        </is>
      </c>
      <c r="B1205" t="inlineStr">
        <is>
          <t>Communauté de communes</t>
        </is>
      </c>
      <c r="C1205" t="inlineStr">
        <is>
          <t>200039642</t>
        </is>
      </c>
      <c r="D1205" t="inlineStr">
        <is>
          <t>89</t>
        </is>
      </c>
      <c r="E1205" t="inlineStr">
        <is>
          <t>Yonne</t>
        </is>
      </c>
      <c r="F1205" t="inlineStr">
        <is>
          <t>Bourgogne-Franche-Comté</t>
        </is>
      </c>
      <c r="G1205" s="3" t="n">
        <v>15138</v>
      </c>
      <c r="H1205" t="n">
        <v>52</v>
      </c>
      <c r="I1205" t="inlineStr">
        <is>
          <t>2 avenue de la Gare</t>
        </is>
      </c>
      <c r="J1205" t="inlineStr">
        <is>
          <t>89700</t>
        </is>
      </c>
      <c r="K1205" t="inlineStr">
        <is>
          <t>Tonnerre</t>
        </is>
      </c>
      <c r="L1205" t="inlineStr">
        <is>
          <t>03 86 54 86 11</t>
        </is>
      </c>
      <c r="M1205" s="4" t="inlineStr">
        <is>
          <t>contact@ccltb.fr</t>
        </is>
      </c>
      <c r="N1205" s="4" t="inlineStr">
        <is>
          <t>https://www.letonnerroisenbourgogne.fr/</t>
        </is>
      </c>
      <c r="O1205" s="4" t="inlineStr">
        <is>
          <t>https://www.letonnerroisenbourgogne.fr/nous-contacter</t>
        </is>
      </c>
      <c r="P1205" s="4" t="inlineStr">
        <is>
          <t>https://lannuaire.service-public.gouv.fr/bourgogne-franche-comte/yonne/2ed681da-f374-4a7f-a3dd-9e0e8489ac85</t>
        </is>
      </c>
      <c r="Q1205" t="inlineStr">
        <is>
          <t>Annuaire Service-public.fr</t>
        </is>
      </c>
      <c r="R1205" t="inlineStr"/>
      <c r="S1205" t="inlineStr"/>
      <c r="T1205" t="inlineStr"/>
    </row>
    <row r="1206">
      <c r="A1206" t="inlineStr">
        <is>
          <t>CC Serein et Armance</t>
        </is>
      </c>
      <c r="B1206" t="inlineStr">
        <is>
          <t>Communauté de communes</t>
        </is>
      </c>
      <c r="C1206" t="inlineStr">
        <is>
          <t>200067304</t>
        </is>
      </c>
      <c r="D1206" t="inlineStr">
        <is>
          <t>89</t>
        </is>
      </c>
      <c r="E1206" t="inlineStr">
        <is>
          <t>Yonne</t>
        </is>
      </c>
      <c r="F1206" t="inlineStr">
        <is>
          <t>Bourgogne-Franche-Comté</t>
        </is>
      </c>
      <c r="G1206" s="3" t="n">
        <v>23421</v>
      </c>
      <c r="H1206" t="n">
        <v>29</v>
      </c>
      <c r="I1206" t="inlineStr">
        <is>
          <t>37 avenue du Général-Leclerc</t>
        </is>
      </c>
      <c r="J1206" t="inlineStr">
        <is>
          <t>89600</t>
        </is>
      </c>
      <c r="K1206" t="inlineStr">
        <is>
          <t>Saint-Florentin</t>
        </is>
      </c>
      <c r="L1206" t="inlineStr">
        <is>
          <t>03 86 80 50 50</t>
        </is>
      </c>
      <c r="M1206" s="4" t="inlineStr">
        <is>
          <t>contact@cc-sereinarmance.fr</t>
        </is>
      </c>
      <c r="N1206" s="4" t="inlineStr">
        <is>
          <t>https://cc-sereinarmance.fr/</t>
        </is>
      </c>
      <c r="O1206" s="4" t="inlineStr">
        <is>
          <t>https://cc-sereinarmance.fr/contacter-nos-services/</t>
        </is>
      </c>
      <c r="P1206" s="4" t="inlineStr">
        <is>
          <t>https://lannuaire.service-public.gouv.fr/bourgogne-franche-comte/yonne/54c1f0bb-c349-4a85-b390-23f93d3d6c06</t>
        </is>
      </c>
      <c r="Q1206" t="inlineStr">
        <is>
          <t>Annuaire Service-public.fr</t>
        </is>
      </c>
      <c r="R1206" t="inlineStr"/>
      <c r="S1206" t="inlineStr"/>
      <c r="T1206" t="inlineStr"/>
    </row>
    <row r="1207">
      <c r="A1207" t="inlineStr">
        <is>
          <t>CC Yonne Nord</t>
        </is>
      </c>
      <c r="B1207" t="inlineStr">
        <is>
          <t>Communauté de communes</t>
        </is>
      </c>
      <c r="C1207" t="inlineStr">
        <is>
          <t>248900896</t>
        </is>
      </c>
      <c r="D1207" t="inlineStr">
        <is>
          <t>89</t>
        </is>
      </c>
      <c r="E1207" t="inlineStr">
        <is>
          <t>Yonne</t>
        </is>
      </c>
      <c r="F1207" t="inlineStr">
        <is>
          <t>Bourgogne-Franche-Comté</t>
        </is>
      </c>
      <c r="G1207" s="3" t="n">
        <v>24434</v>
      </c>
      <c r="H1207" t="n">
        <v>23</v>
      </c>
      <c r="I1207" t="inlineStr">
        <is>
          <t>52 faubourg de Villeperrot</t>
        </is>
      </c>
      <c r="J1207" t="inlineStr">
        <is>
          <t>89140</t>
        </is>
      </c>
      <c r="K1207" t="inlineStr">
        <is>
          <t>Pont-sur-Yonne</t>
        </is>
      </c>
      <c r="L1207" t="inlineStr">
        <is>
          <t>03 86 67 99 00</t>
        </is>
      </c>
      <c r="M1207" s="4" t="inlineStr">
        <is>
          <t>ccyn@ccyn.fr</t>
        </is>
      </c>
      <c r="N1207" s="4" t="inlineStr">
        <is>
          <t>https://yonne-nord.fr/</t>
        </is>
      </c>
      <c r="O1207" s="4" t="inlineStr">
        <is>
          <t>https://yonne-nord.fr/contact/</t>
        </is>
      </c>
      <c r="P1207" s="4" t="inlineStr">
        <is>
          <t>https://lannuaire.service-public.gouv.fr/bourgogne-franche-comte/yonne/436403ba-e7c9-45b9-9448-8efcde0818d5</t>
        </is>
      </c>
      <c r="Q1207" t="inlineStr">
        <is>
          <t>Annuaire Service-public.fr</t>
        </is>
      </c>
      <c r="R1207" t="inlineStr"/>
      <c r="S1207" t="inlineStr"/>
      <c r="T1207" t="inlineStr"/>
    </row>
    <row r="1208">
      <c r="A1208" t="inlineStr">
        <is>
          <t>CC de l'Agglomération Migennoise</t>
        </is>
      </c>
      <c r="B1208" t="inlineStr">
        <is>
          <t>Communauté de communes</t>
        </is>
      </c>
      <c r="C1208" t="inlineStr">
        <is>
          <t>248900383</t>
        </is>
      </c>
      <c r="D1208" t="inlineStr">
        <is>
          <t>89</t>
        </is>
      </c>
      <c r="E1208" t="inlineStr">
        <is>
          <t>Yonne</t>
        </is>
      </c>
      <c r="F1208" t="inlineStr">
        <is>
          <t>Bourgogne-Franche-Comté</t>
        </is>
      </c>
      <c r="G1208" s="3" t="n">
        <v>14353</v>
      </c>
      <c r="H1208" t="n">
        <v>8</v>
      </c>
      <c r="I1208" t="inlineStr">
        <is>
          <t>1 bis rue des Écoles</t>
        </is>
      </c>
      <c r="J1208" t="inlineStr">
        <is>
          <t>89400</t>
        </is>
      </c>
      <c r="K1208" t="inlineStr">
        <is>
          <t>Migennes</t>
        </is>
      </c>
      <c r="L1208" t="inlineStr">
        <is>
          <t>03 86 92 66 85</t>
        </is>
      </c>
      <c r="M1208" s="4" t="inlineStr">
        <is>
          <t>ccam@migennois.fr</t>
        </is>
      </c>
      <c r="N1208" s="4" t="inlineStr">
        <is>
          <t>https://www.migennois.fr/</t>
        </is>
      </c>
      <c r="O1208" s="4" t="inlineStr">
        <is>
          <t>https://www.migennois.fr/contact</t>
        </is>
      </c>
      <c r="P1208" s="4" t="inlineStr">
        <is>
          <t>https://lannuaire.service-public.gouv.fr/bourgogne-franche-comte/yonne/9bc86382-27cb-424b-8f60-e226d938ee48</t>
        </is>
      </c>
      <c r="Q1208" t="inlineStr">
        <is>
          <t>Annuaire Service-public.fr</t>
        </is>
      </c>
      <c r="R1208" t="inlineStr"/>
      <c r="S1208" t="inlineStr"/>
      <c r="T1208" t="inlineStr"/>
    </row>
    <row r="1209">
      <c r="A1209" t="inlineStr">
        <is>
          <t>CC de l'Aillantais en Bourgogne</t>
        </is>
      </c>
      <c r="B1209" t="inlineStr">
        <is>
          <t>Communauté de communes</t>
        </is>
      </c>
      <c r="C1209" t="inlineStr">
        <is>
          <t>248900524</t>
        </is>
      </c>
      <c r="D1209" t="inlineStr">
        <is>
          <t>89</t>
        </is>
      </c>
      <c r="E1209" t="inlineStr">
        <is>
          <t>Yonne</t>
        </is>
      </c>
      <c r="F1209" t="inlineStr">
        <is>
          <t>Bourgogne-Franche-Comté</t>
        </is>
      </c>
      <c r="G1209" s="3" t="n">
        <v>10116</v>
      </c>
      <c r="H1209" t="n">
        <v>13</v>
      </c>
      <c r="I1209" t="inlineStr">
        <is>
          <t>9 rue des Perrières, Aillant-sur-Tholon</t>
        </is>
      </c>
      <c r="J1209" t="inlineStr">
        <is>
          <t>89110</t>
        </is>
      </c>
      <c r="K1209" t="inlineStr">
        <is>
          <t>Montholon</t>
        </is>
      </c>
      <c r="L1209" t="inlineStr">
        <is>
          <t>03 86 63 56 63</t>
        </is>
      </c>
      <c r="M1209" s="4" t="inlineStr">
        <is>
          <t>contact@ccaillantais.fr</t>
        </is>
      </c>
      <c r="N1209" s="4" t="inlineStr">
        <is>
          <t>https://www.ccaillantais.fr/</t>
        </is>
      </c>
      <c r="O1209" s="4" t="inlineStr">
        <is>
          <t>https://www.ccaillantais.fr/contact/</t>
        </is>
      </c>
      <c r="P1209" s="4" t="inlineStr">
        <is>
          <t>https://lannuaire.service-public.gouv.fr/bourgogne-franche-comte/yonne/75ed7bbb-56fe-4e71-8504-aea4223fd04e</t>
        </is>
      </c>
      <c r="Q1209" t="inlineStr">
        <is>
          <t>Annuaire Service-public.fr</t>
        </is>
      </c>
      <c r="R1209" t="inlineStr"/>
      <c r="S1209" t="inlineStr"/>
      <c r="T1209" t="inlineStr"/>
    </row>
    <row r="1210">
      <c r="A1210" t="inlineStr">
        <is>
          <t>CC de la Vanne et du Pays d'Othe</t>
        </is>
      </c>
      <c r="B1210" t="inlineStr">
        <is>
          <t>Communauté de communes</t>
        </is>
      </c>
      <c r="C1210" t="inlineStr">
        <is>
          <t>248900664</t>
        </is>
      </c>
      <c r="D1210" t="inlineStr">
        <is>
          <t>89</t>
        </is>
      </c>
      <c r="E1210" t="inlineStr">
        <is>
          <t>Yonne</t>
        </is>
      </c>
      <c r="F1210" t="inlineStr">
        <is>
          <t>Bourgogne-Franche-Comté</t>
        </is>
      </c>
      <c r="G1210" s="3" t="n">
        <v>8609</v>
      </c>
      <c r="H1210" t="n">
        <v>22</v>
      </c>
      <c r="I1210" t="inlineStr">
        <is>
          <t>36-38 rue de la République</t>
        </is>
      </c>
      <c r="J1210" t="inlineStr">
        <is>
          <t>89190</t>
        </is>
      </c>
      <c r="K1210" t="inlineStr">
        <is>
          <t>Villeneuve-l'Archevêque</t>
        </is>
      </c>
      <c r="L1210" t="inlineStr">
        <is>
          <t>03 86 86 70 99</t>
        </is>
      </c>
      <c r="M1210" s="4" t="inlineStr">
        <is>
          <t>accueil@ccvpo.fr</t>
        </is>
      </c>
      <c r="N1210" s="4" t="inlineStr">
        <is>
          <t>https://ccvannepaysothe.fr/</t>
        </is>
      </c>
      <c r="O1210" t="inlineStr"/>
      <c r="P1210" s="4" t="inlineStr">
        <is>
          <t>https://lannuaire.service-public.gouv.fr/bourgogne-franche-comte/yonne/4cdec979-1d16-4e95-9f7d-0c5515fc86e9</t>
        </is>
      </c>
      <c r="Q1210" t="inlineStr">
        <is>
          <t>Annuaire Service-public.fr</t>
        </is>
      </c>
      <c r="R1210" t="inlineStr"/>
      <c r="S1210" t="inlineStr"/>
      <c r="T1210" t="inlineStr"/>
    </row>
    <row r="1211">
      <c r="A1211" t="inlineStr">
        <is>
          <t>CC du Gâtinais en Bourgogne</t>
        </is>
      </c>
      <c r="B1211" t="inlineStr">
        <is>
          <t>Communauté de communes</t>
        </is>
      </c>
      <c r="C1211" t="inlineStr">
        <is>
          <t>248900748</t>
        </is>
      </c>
      <c r="D1211" t="inlineStr">
        <is>
          <t>89</t>
        </is>
      </c>
      <c r="E1211" t="inlineStr">
        <is>
          <t>Yonne</t>
        </is>
      </c>
      <c r="F1211" t="inlineStr">
        <is>
          <t>Bourgogne-Franche-Comté</t>
        </is>
      </c>
      <c r="G1211" s="3" t="n">
        <v>17619</v>
      </c>
      <c r="H1211" t="n">
        <v>26</v>
      </c>
      <c r="I1211" t="inlineStr">
        <is>
          <t>6 rue Danton</t>
        </is>
      </c>
      <c r="J1211" t="inlineStr">
        <is>
          <t>89690</t>
        </is>
      </c>
      <c r="K1211" t="inlineStr">
        <is>
          <t>Chéroy</t>
        </is>
      </c>
      <c r="L1211" t="inlineStr">
        <is>
          <t>03 86 97 71 94</t>
        </is>
      </c>
      <c r="M1211" s="4" t="inlineStr">
        <is>
          <t>contact@gatinais-bourgogne.fr</t>
        </is>
      </c>
      <c r="N1211" s="4" t="inlineStr">
        <is>
          <t>http://www.gatinais-bourgogne.fr</t>
        </is>
      </c>
      <c r="O1211" t="inlineStr"/>
      <c r="P1211" s="4" t="inlineStr">
        <is>
          <t>https://lannuaire.service-public.gouv.fr/bourgogne-franche-comte/yonne/f3215eaa-a826-4457-b36c-fd9bf6983d6f</t>
        </is>
      </c>
      <c r="Q1211" t="inlineStr">
        <is>
          <t>Annuaire Service-public.fr</t>
        </is>
      </c>
      <c r="R1211" t="inlineStr"/>
      <c r="S1211" t="inlineStr"/>
      <c r="T1211" t="inlineStr"/>
    </row>
    <row r="1212">
      <c r="A1212" t="inlineStr">
        <is>
          <t>CC du Jovinien</t>
        </is>
      </c>
      <c r="B1212" t="inlineStr">
        <is>
          <t>Communauté de communes</t>
        </is>
      </c>
      <c r="C1212" t="inlineStr">
        <is>
          <t>248900938</t>
        </is>
      </c>
      <c r="D1212" t="inlineStr">
        <is>
          <t>89</t>
        </is>
      </c>
      <c r="E1212" t="inlineStr">
        <is>
          <t>Yonne</t>
        </is>
      </c>
      <c r="F1212" t="inlineStr">
        <is>
          <t>Bourgogne-Franche-Comté</t>
        </is>
      </c>
      <c r="G1212" s="3" t="n">
        <v>20500</v>
      </c>
      <c r="H1212" t="n">
        <v>19</v>
      </c>
      <c r="I1212" t="inlineStr">
        <is>
          <t>11 quai du 1er-Dragons</t>
        </is>
      </c>
      <c r="J1212" t="inlineStr">
        <is>
          <t>89300</t>
        </is>
      </c>
      <c r="K1212" t="inlineStr">
        <is>
          <t>Joigny</t>
        </is>
      </c>
      <c r="L1212" t="inlineStr">
        <is>
          <t>03 86 62 47 95</t>
        </is>
      </c>
      <c r="M1212" s="4" t="inlineStr">
        <is>
          <t>accueil@ccjovinien.fr</t>
        </is>
      </c>
      <c r="N1212" s="4" t="inlineStr">
        <is>
          <t>https://www.ccjovinien.fr/</t>
        </is>
      </c>
      <c r="O1212" t="inlineStr"/>
      <c r="P1212" s="4" t="inlineStr">
        <is>
          <t>https://lannuaire.service-public.gouv.fr/bourgogne-franche-comte/yonne/fe12ee36-5e0b-4272-b755-24353d5dc66d</t>
        </is>
      </c>
      <c r="Q1212" t="inlineStr">
        <is>
          <t>Annuaire Service-public.fr</t>
        </is>
      </c>
      <c r="R1212" t="inlineStr"/>
      <c r="S1212" t="inlineStr"/>
      <c r="T1212" t="inlineStr"/>
    </row>
    <row r="1213">
      <c r="A1213" t="inlineStr">
        <is>
          <t>CC du Serein</t>
        </is>
      </c>
      <c r="B1213" t="inlineStr">
        <is>
          <t>Communauté de communes</t>
        </is>
      </c>
      <c r="C1213" t="inlineStr">
        <is>
          <t>200039709</t>
        </is>
      </c>
      <c r="D1213" t="inlineStr">
        <is>
          <t>89</t>
        </is>
      </c>
      <c r="E1213" t="inlineStr">
        <is>
          <t>Yonne</t>
        </is>
      </c>
      <c r="F1213" t="inlineStr">
        <is>
          <t>Bourgogne-Franche-Comté</t>
        </is>
      </c>
      <c r="G1213" s="3" t="n">
        <v>7043</v>
      </c>
      <c r="H1213" t="n">
        <v>35</v>
      </c>
      <c r="I1213" t="inlineStr">
        <is>
          <t>1 place Saint-Georges</t>
        </is>
      </c>
      <c r="J1213" t="inlineStr">
        <is>
          <t>89440</t>
        </is>
      </c>
      <c r="K1213" t="inlineStr">
        <is>
          <t>L'Isle-sur-Serein</t>
        </is>
      </c>
      <c r="L1213" t="inlineStr">
        <is>
          <t>03 86 33 33 99</t>
        </is>
      </c>
      <c r="M1213" s="4" t="inlineStr">
        <is>
          <t>accueil@ccduserein.fr</t>
        </is>
      </c>
      <c r="N1213" s="4" t="inlineStr">
        <is>
          <t>https://www.ccduserein.fr/</t>
        </is>
      </c>
      <c r="O1213" s="4" t="inlineStr">
        <is>
          <t>https://www.ccduserein.fr/contact-cc-serein-89_fr.html</t>
        </is>
      </c>
      <c r="P1213" s="4" t="inlineStr">
        <is>
          <t>https://lannuaire.service-public.gouv.fr/bourgogne-franche-comte/yonne/ecb5ddb1-6fc5-49af-81d6-afa9a681bddb</t>
        </is>
      </c>
      <c r="Q1213" t="inlineStr">
        <is>
          <t>Annuaire Service-public.fr</t>
        </is>
      </c>
      <c r="R1213" t="inlineStr"/>
      <c r="S1213" t="inlineStr"/>
      <c r="T1213" t="inlineStr"/>
    </row>
    <row r="1214">
      <c r="A1214" t="inlineStr">
        <is>
          <t>CA Grand Belfort</t>
        </is>
      </c>
      <c r="B1214" t="inlineStr">
        <is>
          <t>Communauté d’agglomération</t>
        </is>
      </c>
      <c r="C1214" t="inlineStr">
        <is>
          <t>200069052</t>
        </is>
      </c>
      <c r="D1214" t="inlineStr">
        <is>
          <t>90</t>
        </is>
      </c>
      <c r="E1214" t="inlineStr">
        <is>
          <t>Territoire de Belfort</t>
        </is>
      </c>
      <c r="F1214" t="inlineStr">
        <is>
          <t>Bourgogne-Franche-Comté</t>
        </is>
      </c>
      <c r="G1214" s="3" t="n">
        <v>101451</v>
      </c>
      <c r="H1214" t="n">
        <v>52</v>
      </c>
      <c r="I1214" t="inlineStr">
        <is>
          <t>Place d'Armes</t>
        </is>
      </c>
      <c r="J1214" t="inlineStr">
        <is>
          <t>90020</t>
        </is>
      </c>
      <c r="K1214" t="inlineStr">
        <is>
          <t>Belfort</t>
        </is>
      </c>
      <c r="L1214" t="inlineStr">
        <is>
          <t>03 84 54 24 24</t>
        </is>
      </c>
      <c r="M1214" s="4" t="inlineStr">
        <is>
          <t>courrier@grandbelfort.fr</t>
        </is>
      </c>
      <c r="N1214" s="4" t="inlineStr">
        <is>
          <t>https://www.grandbelfort.fr/</t>
        </is>
      </c>
      <c r="O1214" s="4" t="inlineStr">
        <is>
          <t>https://www.grandbelfort.fr/contact.html</t>
        </is>
      </c>
      <c r="P1214" s="4" t="inlineStr">
        <is>
          <t>https://lannuaire.service-public.gouv.fr/bourgogne-franche-comte/territoire-de-belfort/70434e10-3df2-45fe-9ec3-04c4570d03f4</t>
        </is>
      </c>
      <c r="Q1214" t="inlineStr">
        <is>
          <t>Annuaire Service-public.fr</t>
        </is>
      </c>
      <c r="R1214" t="inlineStr"/>
      <c r="S1214" t="inlineStr"/>
      <c r="T1214" t="inlineStr"/>
    </row>
    <row r="1215">
      <c r="A1215" t="inlineStr">
        <is>
          <t>CC des Vosges du Sud</t>
        </is>
      </c>
      <c r="B1215" t="inlineStr">
        <is>
          <t>Communauté de communes</t>
        </is>
      </c>
      <c r="C1215" t="inlineStr">
        <is>
          <t>200069060</t>
        </is>
      </c>
      <c r="D1215" t="inlineStr">
        <is>
          <t>90</t>
        </is>
      </c>
      <c r="E1215" t="inlineStr">
        <is>
          <t>Territoire de Belfort</t>
        </is>
      </c>
      <c r="F1215" t="inlineStr">
        <is>
          <t>Bourgogne-Franche-Comté</t>
        </is>
      </c>
      <c r="G1215" s="3" t="n">
        <v>15046</v>
      </c>
      <c r="H1215" t="n">
        <v>22</v>
      </c>
      <c r="I1215" t="inlineStr">
        <is>
          <t>26 bis Grande rue</t>
        </is>
      </c>
      <c r="J1215" t="inlineStr">
        <is>
          <t>90170</t>
        </is>
      </c>
      <c r="K1215" t="inlineStr">
        <is>
          <t>Etueffont</t>
        </is>
      </c>
      <c r="L1215" t="inlineStr">
        <is>
          <t>03 84 54 70 80</t>
        </is>
      </c>
      <c r="M1215" s="4" t="inlineStr">
        <is>
          <t>contact@ccvosgesdusud.fr</t>
        </is>
      </c>
      <c r="N1215" s="4" t="inlineStr">
        <is>
          <t>https://www.ccvosgesdusud.fr/</t>
        </is>
      </c>
      <c r="O1215" t="inlineStr"/>
      <c r="P1215" s="4" t="inlineStr">
        <is>
          <t>https://lannuaire.service-public.gouv.fr/bourgogne-franche-comte/territoire-de-belfort/dce39bac-5cd1-4595-9cf9-bb7e1d707c34</t>
        </is>
      </c>
      <c r="Q1215" t="inlineStr">
        <is>
          <t>Annuaire Service-public.fr</t>
        </is>
      </c>
      <c r="R1215" t="inlineStr"/>
      <c r="S1215" t="inlineStr"/>
      <c r="T1215" t="inlineStr"/>
    </row>
    <row r="1216">
      <c r="A1216" t="inlineStr">
        <is>
          <t>CC du Sud Territoire</t>
        </is>
      </c>
      <c r="B1216" t="inlineStr">
        <is>
          <t>Communauté de communes</t>
        </is>
      </c>
      <c r="C1216" t="inlineStr">
        <is>
          <t>249000241</t>
        </is>
      </c>
      <c r="D1216" t="inlineStr">
        <is>
          <t>90</t>
        </is>
      </c>
      <c r="E1216" t="inlineStr">
        <is>
          <t>Territoire de Belfort</t>
        </is>
      </c>
      <c r="F1216" t="inlineStr">
        <is>
          <t>Bourgogne-Franche-Comté</t>
        </is>
      </c>
      <c r="G1216" s="3" t="n">
        <v>23585</v>
      </c>
      <c r="H1216" t="n">
        <v>27</v>
      </c>
      <c r="I1216" t="inlineStr">
        <is>
          <t>8 place Raymond-Forni</t>
        </is>
      </c>
      <c r="J1216" t="inlineStr">
        <is>
          <t>90100</t>
        </is>
      </c>
      <c r="K1216" t="inlineStr">
        <is>
          <t>Delle</t>
        </is>
      </c>
      <c r="L1216" t="inlineStr">
        <is>
          <t>03 84 56 26 07</t>
        </is>
      </c>
      <c r="M1216" s="4" t="inlineStr">
        <is>
          <t>ccst90@cc-sud-territoire.fr</t>
        </is>
      </c>
      <c r="N1216" s="4" t="inlineStr">
        <is>
          <t>https://www.cc-sud-territoire.fr/</t>
        </is>
      </c>
      <c r="O1216" s="4" t="inlineStr">
        <is>
          <t>https://www.cc-sud-territoire.fr/contact.htm</t>
        </is>
      </c>
      <c r="P1216" s="4" t="inlineStr">
        <is>
          <t>https://lannuaire.service-public.gouv.fr/bourgogne-franche-comte/territoire-de-belfort/c7530b17-24e5-4333-ab12-0a0bd2d7946f</t>
        </is>
      </c>
      <c r="Q1216" t="inlineStr">
        <is>
          <t>Annuaire Service-public.fr</t>
        </is>
      </c>
      <c r="R1216" t="inlineStr"/>
      <c r="S1216" t="inlineStr"/>
      <c r="T1216" t="inlineStr"/>
    </row>
    <row r="1217">
      <c r="A1217" t="inlineStr">
        <is>
          <t>CA Coeur d'Essonne Agglomération</t>
        </is>
      </c>
      <c r="B1217" t="inlineStr">
        <is>
          <t>Communauté d’agglomération</t>
        </is>
      </c>
      <c r="C1217" t="inlineStr">
        <is>
          <t>200057859</t>
        </is>
      </c>
      <c r="D1217" t="inlineStr">
        <is>
          <t>91</t>
        </is>
      </c>
      <c r="E1217" t="inlineStr">
        <is>
          <t>Essonne</t>
        </is>
      </c>
      <c r="F1217" t="inlineStr">
        <is>
          <t>Île-de-France</t>
        </is>
      </c>
      <c r="G1217" s="3" t="n">
        <v>208019</v>
      </c>
      <c r="H1217" t="n">
        <v>21</v>
      </c>
      <c r="I1217" t="inlineStr">
        <is>
          <t>1 place Saint-Exupéry</t>
        </is>
      </c>
      <c r="J1217" t="inlineStr">
        <is>
          <t>91700</t>
        </is>
      </c>
      <c r="K1217" t="inlineStr">
        <is>
          <t>Sainte-Geneviève-des-Bois</t>
        </is>
      </c>
      <c r="L1217" t="inlineStr">
        <is>
          <t>01 69 72 18 00</t>
        </is>
      </c>
      <c r="M1217" s="4" t="inlineStr">
        <is>
          <t>communaute@coeuressonne.fr</t>
        </is>
      </c>
      <c r="N1217" s="4" t="inlineStr">
        <is>
          <t>https://www.coeuressonne.fr/</t>
        </is>
      </c>
      <c r="O1217" s="4" t="inlineStr">
        <is>
          <t>https://www.coeuressonne.fr/nous-contacter/</t>
        </is>
      </c>
      <c r="P1217" s="4" t="inlineStr">
        <is>
          <t>https://lannuaire.service-public.gouv.fr/ile-de-france/essonne/7a59e3bb-f911-48b8-abc3-29a576caf321</t>
        </is>
      </c>
      <c r="Q1217" t="inlineStr">
        <is>
          <t>Annuaire Service-public.fr</t>
        </is>
      </c>
      <c r="R1217" t="inlineStr"/>
      <c r="S1217" t="inlineStr"/>
      <c r="T1217" t="inlineStr"/>
    </row>
    <row r="1218">
      <c r="A1218" t="inlineStr">
        <is>
          <t>CA Communauté Paris-Saclay</t>
        </is>
      </c>
      <c r="B1218" t="inlineStr">
        <is>
          <t>Communauté d’agglomération</t>
        </is>
      </c>
      <c r="C1218" t="inlineStr">
        <is>
          <t>200056232</t>
        </is>
      </c>
      <c r="D1218" t="inlineStr">
        <is>
          <t>91</t>
        </is>
      </c>
      <c r="E1218" t="inlineStr">
        <is>
          <t>Essonne</t>
        </is>
      </c>
      <c r="F1218" t="inlineStr">
        <is>
          <t>Île-de-France</t>
        </is>
      </c>
      <c r="G1218" s="3" t="n">
        <v>319695</v>
      </c>
      <c r="H1218" t="n">
        <v>27</v>
      </c>
      <c r="I1218" t="inlineStr">
        <is>
          <t>21 rue Jean-Rostand</t>
        </is>
      </c>
      <c r="J1218" t="inlineStr">
        <is>
          <t>91898</t>
        </is>
      </c>
      <c r="K1218" t="inlineStr">
        <is>
          <t>Orsay</t>
        </is>
      </c>
      <c r="L1218" t="inlineStr">
        <is>
          <t>01 69 35 60 60</t>
        </is>
      </c>
      <c r="M1218" s="4" t="inlineStr">
        <is>
          <t>contact@paris-saclay.com</t>
        </is>
      </c>
      <c r="N1218" s="4" t="inlineStr">
        <is>
          <t>https://www.paris-saclay.com/accueil-3.html</t>
        </is>
      </c>
      <c r="O1218" s="4" t="inlineStr">
        <is>
          <t>https://www.paris-saclay.com/contact-9.html</t>
        </is>
      </c>
      <c r="P1218" s="4" t="inlineStr">
        <is>
          <t>https://lannuaire.service-public.gouv.fr/ile-de-france/essonne/1cf28bfe-a8f1-4340-83b4-d3bd46acf644</t>
        </is>
      </c>
      <c r="Q1218" t="inlineStr">
        <is>
          <t>Annuaire Service-public.fr</t>
        </is>
      </c>
      <c r="R1218" t="inlineStr"/>
      <c r="S1218" t="inlineStr"/>
      <c r="T1218" t="inlineStr"/>
    </row>
    <row r="1219">
      <c r="A1219" t="inlineStr">
        <is>
          <t>CA Val d'Yerres Val de Seine</t>
        </is>
      </c>
      <c r="B1219" t="inlineStr">
        <is>
          <t>Communauté d’agglomération</t>
        </is>
      </c>
      <c r="C1219" t="inlineStr">
        <is>
          <t>200058477</t>
        </is>
      </c>
      <c r="D1219" t="inlineStr">
        <is>
          <t>91</t>
        </is>
      </c>
      <c r="E1219" t="inlineStr">
        <is>
          <t>Essonne</t>
        </is>
      </c>
      <c r="F1219" t="inlineStr">
        <is>
          <t>Île-de-France</t>
        </is>
      </c>
      <c r="G1219" s="3" t="n">
        <v>177954</v>
      </c>
      <c r="H1219" t="n">
        <v>9</v>
      </c>
      <c r="I1219" t="inlineStr">
        <is>
          <t>78 route nationale 6</t>
        </is>
      </c>
      <c r="J1219" t="inlineStr">
        <is>
          <t>91805</t>
        </is>
      </c>
      <c r="K1219" t="inlineStr">
        <is>
          <t>Brunoy</t>
        </is>
      </c>
      <c r="L1219" t="inlineStr">
        <is>
          <t>01 60 47 94 20</t>
        </is>
      </c>
      <c r="M1219" s="4" t="inlineStr">
        <is>
          <t>accueil@vyvs.fr</t>
        </is>
      </c>
      <c r="N1219" s="4" t="inlineStr">
        <is>
          <t>https://www.vyvs.fr/</t>
        </is>
      </c>
      <c r="O1219" t="inlineStr"/>
      <c r="P1219" s="4" t="inlineStr">
        <is>
          <t>https://lannuaire.service-public.gouv.fr/ile-de-france/essonne/a2294a3e-a979-45ea-b8f7-75910e11ea67</t>
        </is>
      </c>
      <c r="Q1219" t="inlineStr">
        <is>
          <t>Annuaire Service-public.fr</t>
        </is>
      </c>
      <c r="R1219" t="inlineStr"/>
      <c r="S1219" t="inlineStr"/>
      <c r="T1219" t="inlineStr"/>
    </row>
    <row r="1220">
      <c r="A1220" t="inlineStr">
        <is>
          <t>CA Étampois Sud Essonne</t>
        </is>
      </c>
      <c r="B1220" t="inlineStr">
        <is>
          <t>Communauté d’agglomération</t>
        </is>
      </c>
      <c r="C1220" t="inlineStr">
        <is>
          <t>200017846</t>
        </is>
      </c>
      <c r="D1220" t="inlineStr">
        <is>
          <t>91</t>
        </is>
      </c>
      <c r="E1220" t="inlineStr">
        <is>
          <t>Essonne</t>
        </is>
      </c>
      <c r="F1220" t="inlineStr">
        <is>
          <t>Île-de-France</t>
        </is>
      </c>
      <c r="G1220" s="3" t="n">
        <v>55848</v>
      </c>
      <c r="H1220" t="n">
        <v>37</v>
      </c>
      <c r="I1220" t="inlineStr">
        <is>
          <t>76 rue Saint-Jacques</t>
        </is>
      </c>
      <c r="J1220" t="inlineStr">
        <is>
          <t>91150</t>
        </is>
      </c>
      <c r="K1220" t="inlineStr">
        <is>
          <t>Étampes</t>
        </is>
      </c>
      <c r="L1220" t="inlineStr">
        <is>
          <t>01 64 59 26 72</t>
        </is>
      </c>
      <c r="M1220" s="4" t="inlineStr">
        <is>
          <t>contact@caese.fr</t>
        </is>
      </c>
      <c r="N1220" s="4" t="inlineStr">
        <is>
          <t>https://www.caese.fr/</t>
        </is>
      </c>
      <c r="O1220" s="4" t="inlineStr">
        <is>
          <t>https://www.caese.fr/nous-contacter/</t>
        </is>
      </c>
      <c r="P1220" s="4" t="inlineStr">
        <is>
          <t>https://lannuaire.service-public.gouv.fr/ile-de-france/essonne/e1a0f770-0bb1-4543-b787-8df2a511781a</t>
        </is>
      </c>
      <c r="Q1220" t="inlineStr">
        <is>
          <t>Annuaire Service-public.fr</t>
        </is>
      </c>
      <c r="R1220" t="inlineStr"/>
      <c r="S1220" t="inlineStr"/>
      <c r="T1220" t="inlineStr"/>
    </row>
    <row r="1221">
      <c r="A1221" t="inlineStr">
        <is>
          <t>CC Entre Juine et Renarde (CCEJR)</t>
        </is>
      </c>
      <c r="B1221" t="inlineStr">
        <is>
          <t>Communauté de communes</t>
        </is>
      </c>
      <c r="C1221" t="inlineStr">
        <is>
          <t>249100553</t>
        </is>
      </c>
      <c r="D1221" t="inlineStr">
        <is>
          <t>91</t>
        </is>
      </c>
      <c r="E1221" t="inlineStr">
        <is>
          <t>Essonne</t>
        </is>
      </c>
      <c r="F1221" t="inlineStr">
        <is>
          <t>Île-de-France</t>
        </is>
      </c>
      <c r="G1221" s="3" t="n">
        <v>27947</v>
      </c>
      <c r="H1221" t="n">
        <v>16</v>
      </c>
      <c r="I1221" t="inlineStr">
        <is>
          <t>2 rue des Hêtres-Pourpres</t>
        </is>
      </c>
      <c r="J1221" t="inlineStr">
        <is>
          <t>91580</t>
        </is>
      </c>
      <c r="K1221" t="inlineStr">
        <is>
          <t>Étréchy</t>
        </is>
      </c>
      <c r="L1221" t="inlineStr">
        <is>
          <t>01 83 63 70 90</t>
        </is>
      </c>
      <c r="M1221" s="4" t="inlineStr">
        <is>
          <t>accueil@ccejr.org</t>
        </is>
      </c>
      <c r="N1221" s="4" t="inlineStr">
        <is>
          <t>https://www.entrejuineetrenarde.org/</t>
        </is>
      </c>
      <c r="O1221" s="4" t="inlineStr">
        <is>
          <t>https://www.entrejuineetrenarde.org/contacter-la-ccejr</t>
        </is>
      </c>
      <c r="P1221" s="4" t="inlineStr">
        <is>
          <t>https://lannuaire.service-public.gouv.fr/ile-de-france/essonne/b26b7247-ef84-4783-b487-30ad4e1a78cf</t>
        </is>
      </c>
      <c r="Q1221" t="inlineStr">
        <is>
          <t>Annuaire Service-public.fr</t>
        </is>
      </c>
      <c r="R1221" t="inlineStr"/>
      <c r="S1221" t="inlineStr"/>
      <c r="T1221" t="inlineStr"/>
    </row>
    <row r="1222">
      <c r="A1222" t="inlineStr">
        <is>
          <t>CC des 2 Vallées</t>
        </is>
      </c>
      <c r="B1222" t="inlineStr">
        <is>
          <t>Communauté de communes</t>
        </is>
      </c>
      <c r="C1222" t="inlineStr">
        <is>
          <t>249100157</t>
        </is>
      </c>
      <c r="D1222" t="inlineStr">
        <is>
          <t>91</t>
        </is>
      </c>
      <c r="E1222" t="inlineStr">
        <is>
          <t>Essonne</t>
        </is>
      </c>
      <c r="F1222" t="inlineStr">
        <is>
          <t>Île-de-France</t>
        </is>
      </c>
      <c r="G1222" s="3" t="n">
        <v>18701</v>
      </c>
      <c r="H1222" t="n">
        <v>15</v>
      </c>
      <c r="I1222" t="inlineStr">
        <is>
          <t>23 rue de la Chapelle-Saint-Blaise</t>
        </is>
      </c>
      <c r="J1222" t="inlineStr">
        <is>
          <t>91490</t>
        </is>
      </c>
      <c r="K1222" t="inlineStr">
        <is>
          <t>Milly-la-Forêt</t>
        </is>
      </c>
      <c r="L1222" t="inlineStr">
        <is>
          <t>01 64 98 85 19</t>
        </is>
      </c>
      <c r="M1222" s="4" t="inlineStr">
        <is>
          <t>cc2v@cc2v91.fr</t>
        </is>
      </c>
      <c r="N1222" s="4" t="inlineStr">
        <is>
          <t>https://cc2v91.fr/fr/</t>
        </is>
      </c>
      <c r="O1222" s="4" t="inlineStr">
        <is>
          <t>https://cc2v91.fr/fr/</t>
        </is>
      </c>
      <c r="P1222" s="4" t="inlineStr">
        <is>
          <t>https://lannuaire.service-public.gouv.fr/ile-de-france/essonne/6bb5e8ee-12d5-44c1-b0e6-ce3179bc682a</t>
        </is>
      </c>
      <c r="Q1222" t="inlineStr">
        <is>
          <t>Annuaire Service-public.fr</t>
        </is>
      </c>
      <c r="R1222" t="inlineStr"/>
      <c r="S1222" t="inlineStr"/>
      <c r="T1222" t="inlineStr"/>
    </row>
    <row r="1223">
      <c r="A1223" t="inlineStr">
        <is>
          <t>CC du Pays de Limours (CCPL)</t>
        </is>
      </c>
      <c r="B1223" t="inlineStr">
        <is>
          <t>Communauté de communes</t>
        </is>
      </c>
      <c r="C1223" t="inlineStr">
        <is>
          <t>249100074</t>
        </is>
      </c>
      <c r="D1223" t="inlineStr">
        <is>
          <t>91</t>
        </is>
      </c>
      <c r="E1223" t="inlineStr">
        <is>
          <t>Essonne</t>
        </is>
      </c>
      <c r="F1223" t="inlineStr">
        <is>
          <t>Île-de-France</t>
        </is>
      </c>
      <c r="G1223" s="3" t="n">
        <v>27290</v>
      </c>
      <c r="H1223" t="n">
        <v>14</v>
      </c>
      <c r="I1223" t="inlineStr">
        <is>
          <t>615 rue Fontaine-de-Ville</t>
        </is>
      </c>
      <c r="J1223" t="inlineStr">
        <is>
          <t>91640</t>
        </is>
      </c>
      <c r="K1223" t="inlineStr">
        <is>
          <t>Briis-sous-Forges</t>
        </is>
      </c>
      <c r="L1223" t="inlineStr">
        <is>
          <t>01 64 90 79 00</t>
        </is>
      </c>
      <c r="M1223" s="4" t="inlineStr">
        <is>
          <t>accueil@cc-paysdelimours.fr</t>
        </is>
      </c>
      <c r="N1223" s="4" t="inlineStr">
        <is>
          <t>https://www.cc-paysdelimours.fr/</t>
        </is>
      </c>
      <c r="O1223" s="4" t="inlineStr">
        <is>
          <t>https://www.cc-paysdelimours.fr/contact</t>
        </is>
      </c>
      <c r="P1223" s="4" t="inlineStr">
        <is>
          <t>https://lannuaire.service-public.gouv.fr/ile-de-france/essonne/9b8c9bc2-a523-4d97-8ab2-b550196270f5</t>
        </is>
      </c>
      <c r="Q1223" t="inlineStr">
        <is>
          <t>Annuaire Service-public.fr</t>
        </is>
      </c>
      <c r="R1223" t="inlineStr"/>
      <c r="S1223" t="inlineStr"/>
      <c r="T1223" t="inlineStr"/>
    </row>
    <row r="1224">
      <c r="A1224" t="inlineStr">
        <is>
          <t>CC du Val d'Essonne (CCVE)</t>
        </is>
      </c>
      <c r="B1224" t="inlineStr">
        <is>
          <t>Communauté de communes</t>
        </is>
      </c>
      <c r="C1224" t="inlineStr">
        <is>
          <t>249100546</t>
        </is>
      </c>
      <c r="D1224" t="inlineStr">
        <is>
          <t>91</t>
        </is>
      </c>
      <c r="E1224" t="inlineStr">
        <is>
          <t>Essonne</t>
        </is>
      </c>
      <c r="F1224" t="inlineStr">
        <is>
          <t>Île-de-France</t>
        </is>
      </c>
      <c r="G1224" s="3" t="n">
        <v>62746</v>
      </c>
      <c r="H1224" t="n">
        <v>21</v>
      </c>
      <c r="I1224" t="inlineStr">
        <is>
          <t>Parvis des communautés</t>
        </is>
      </c>
      <c r="J1224" t="inlineStr">
        <is>
          <t>91610</t>
        </is>
      </c>
      <c r="K1224" t="inlineStr">
        <is>
          <t>Ballancourt-sur-Essonne</t>
        </is>
      </c>
      <c r="L1224" t="inlineStr">
        <is>
          <t>01 64 93 21 20</t>
        </is>
      </c>
      <c r="M1224" s="4" t="inlineStr">
        <is>
          <t>ccve@ccvalessonne.com</t>
        </is>
      </c>
      <c r="N1224" s="4" t="inlineStr">
        <is>
          <t>https://valessonne.fr/</t>
        </is>
      </c>
      <c r="O1224" t="inlineStr"/>
      <c r="P1224" s="4" t="inlineStr">
        <is>
          <t>https://lannuaire.service-public.gouv.fr/ile-de-france/essonne/2717b775-fd05-4756-b130-c43f246ba8a7</t>
        </is>
      </c>
      <c r="Q1224" t="inlineStr">
        <is>
          <t>Annuaire Service-public.fr</t>
        </is>
      </c>
      <c r="R1224" t="inlineStr"/>
      <c r="S1224" t="inlineStr"/>
      <c r="T1224" t="inlineStr"/>
    </row>
    <row r="1225">
      <c r="A1225" t="inlineStr">
        <is>
          <t>CC le Dourdannais en Hurepoix (CCDH)</t>
        </is>
      </c>
      <c r="B1225" t="inlineStr">
        <is>
          <t>Communauté de communes</t>
        </is>
      </c>
      <c r="C1225" t="inlineStr">
        <is>
          <t>249100595</t>
        </is>
      </c>
      <c r="D1225" t="inlineStr">
        <is>
          <t>91</t>
        </is>
      </c>
      <c r="E1225" t="inlineStr">
        <is>
          <t>Essonne</t>
        </is>
      </c>
      <c r="F1225" t="inlineStr">
        <is>
          <t>Île-de-France</t>
        </is>
      </c>
      <c r="G1225" s="3" t="n">
        <v>26697</v>
      </c>
      <c r="H1225" t="n">
        <v>11</v>
      </c>
      <c r="I1225" t="inlineStr">
        <is>
          <t>17 rue Pierre-Ceccaldi</t>
        </is>
      </c>
      <c r="J1225" t="inlineStr">
        <is>
          <t>91410</t>
        </is>
      </c>
      <c r="K1225" t="inlineStr">
        <is>
          <t>Dourdan</t>
        </is>
      </c>
      <c r="L1225" t="inlineStr">
        <is>
          <t>01 60 81 12 20</t>
        </is>
      </c>
      <c r="M1225" s="4" t="inlineStr">
        <is>
          <t>contact@ccdourdannais.com</t>
        </is>
      </c>
      <c r="N1225" s="4" t="inlineStr">
        <is>
          <t>https://www.ccdourdannais.com/</t>
        </is>
      </c>
      <c r="O1225" s="4" t="inlineStr">
        <is>
          <t>https://www.ccdourdannais.com/contactez-nous/</t>
        </is>
      </c>
      <c r="P1225" s="4" t="inlineStr">
        <is>
          <t>https://lannuaire.service-public.gouv.fr/ile-de-france/essonne/60658850-d285-4f05-8510-f17a3711c5d3</t>
        </is>
      </c>
      <c r="Q1225" t="inlineStr">
        <is>
          <t>Annuaire Service-public.fr</t>
        </is>
      </c>
      <c r="R1225" t="inlineStr"/>
      <c r="S1225" t="inlineStr"/>
      <c r="T1225" t="inlineStr"/>
    </row>
    <row r="1226">
      <c r="A1226" t="inlineStr">
        <is>
          <t>CA Plaine Vallée</t>
        </is>
      </c>
      <c r="B1226" t="inlineStr">
        <is>
          <t>Communauté d’agglomération</t>
        </is>
      </c>
      <c r="C1226" t="inlineStr">
        <is>
          <t>200056380</t>
        </is>
      </c>
      <c r="D1226" t="inlineStr">
        <is>
          <t>95</t>
        </is>
      </c>
      <c r="E1226" t="inlineStr">
        <is>
          <t>Val-d'Oise</t>
        </is>
      </c>
      <c r="F1226" t="inlineStr">
        <is>
          <t>Île-de-France</t>
        </is>
      </c>
      <c r="G1226" s="3" t="n">
        <v>186216</v>
      </c>
      <c r="H1226" t="n">
        <v>18</v>
      </c>
      <c r="I1226" t="inlineStr">
        <is>
          <t>1 rue de lÉgalité</t>
        </is>
      </c>
      <c r="J1226" t="inlineStr">
        <is>
          <t>95230</t>
        </is>
      </c>
      <c r="K1226" t="inlineStr">
        <is>
          <t>Soisy-sous-Montmorency</t>
        </is>
      </c>
      <c r="L1226" t="inlineStr">
        <is>
          <t>01 30 10 91 61</t>
        </is>
      </c>
      <c r="M1226" s="4" t="inlineStr">
        <is>
          <t>contact@agglo-plainevallee.fr</t>
        </is>
      </c>
      <c r="N1226" s="4" t="inlineStr">
        <is>
          <t>https://www.agglo-plainevallee.fr</t>
        </is>
      </c>
      <c r="O1226" s="4" t="inlineStr">
        <is>
          <t>https://www.agglo-plainevallee.fr/nous-contacter/</t>
        </is>
      </c>
      <c r="P1226" s="4" t="inlineStr">
        <is>
          <t>https://lannuaire.service-public.gouv.fr/ile-de-france/val-d-oise/8c33ac93-a890-4ce7-8faf-65e0d09c9634</t>
        </is>
      </c>
      <c r="Q1226" t="inlineStr">
        <is>
          <t>Annuaire Service-public.fr</t>
        </is>
      </c>
      <c r="R1226" t="inlineStr"/>
      <c r="S1226" t="inlineStr"/>
      <c r="T1226" t="inlineStr"/>
    </row>
    <row r="1227">
      <c r="A1227" t="inlineStr">
        <is>
          <t>CA Val Parisis</t>
        </is>
      </c>
      <c r="B1227" t="inlineStr">
        <is>
          <t>Communauté d’agglomération</t>
        </is>
      </c>
      <c r="C1227" t="inlineStr">
        <is>
          <t>200058485</t>
        </is>
      </c>
      <c r="D1227" t="inlineStr">
        <is>
          <t>95</t>
        </is>
      </c>
      <c r="E1227" t="inlineStr">
        <is>
          <t>Val-d'Oise</t>
        </is>
      </c>
      <c r="F1227" t="inlineStr">
        <is>
          <t>Île-de-France</t>
        </is>
      </c>
      <c r="G1227" s="3" t="n">
        <v>288829</v>
      </c>
      <c r="H1227" t="n">
        <v>15</v>
      </c>
      <c r="I1227" t="inlineStr">
        <is>
          <t>271 chaussée Jules-César</t>
        </is>
      </c>
      <c r="J1227" t="inlineStr">
        <is>
          <t>95250</t>
        </is>
      </c>
      <c r="K1227" t="inlineStr">
        <is>
          <t>Beauchamp</t>
        </is>
      </c>
      <c r="L1227" t="inlineStr">
        <is>
          <t>01 30 26 39 41</t>
        </is>
      </c>
      <c r="M1227" s="4" t="inlineStr">
        <is>
          <t>communication@valparisis.fr</t>
        </is>
      </c>
      <c r="N1227" s="4" t="inlineStr">
        <is>
          <t>https://valparisis.fr/</t>
        </is>
      </c>
      <c r="O1227" s="4" t="inlineStr">
        <is>
          <t>https://valparisis.fr/contact</t>
        </is>
      </c>
      <c r="P1227" s="4" t="inlineStr">
        <is>
          <t>https://lannuaire.service-public.gouv.fr/ile-de-france/val-d-oise/a0c620c2-2687-4f3f-b06d-6ead390d41d0</t>
        </is>
      </c>
      <c r="Q1227" t="inlineStr">
        <is>
          <t>Annuaire Service-public.fr</t>
        </is>
      </c>
      <c r="R1227" t="inlineStr"/>
      <c r="S1227" t="inlineStr"/>
      <c r="T1227" t="inlineStr"/>
    </row>
    <row r="1228">
      <c r="A1228" t="inlineStr">
        <is>
          <t>CC Carnelle Pays-de-France</t>
        </is>
      </c>
      <c r="B1228" t="inlineStr">
        <is>
          <t>Communauté de communes</t>
        </is>
      </c>
      <c r="C1228" t="inlineStr">
        <is>
          <t>200073013</t>
        </is>
      </c>
      <c r="D1228" t="inlineStr">
        <is>
          <t>95</t>
        </is>
      </c>
      <c r="E1228" t="inlineStr">
        <is>
          <t>Val-d'Oise</t>
        </is>
      </c>
      <c r="F1228" t="inlineStr">
        <is>
          <t>Île-de-France</t>
        </is>
      </c>
      <c r="G1228" s="3" t="n">
        <v>33539</v>
      </c>
      <c r="H1228" t="n">
        <v>19</v>
      </c>
      <c r="I1228" t="inlineStr">
        <is>
          <t>Domaine de la Motte, 3 rue François-de-Ganay</t>
        </is>
      </c>
      <c r="J1228" t="inlineStr">
        <is>
          <t>95270</t>
        </is>
      </c>
      <c r="K1228" t="inlineStr">
        <is>
          <t>Luzarches</t>
        </is>
      </c>
      <c r="L1228" t="inlineStr">
        <is>
          <t>01 34 71 94 06</t>
        </is>
      </c>
      <c r="M1228" s="4" t="inlineStr">
        <is>
          <t>contact@c3pf.fr</t>
        </is>
      </c>
      <c r="N1228" s="4" t="inlineStr">
        <is>
          <t>https://carnelle-pays-de-france.fr/</t>
        </is>
      </c>
      <c r="O1228" s="4" t="inlineStr">
        <is>
          <t>https://carnelle-pays-de-france.fr/contactez-nous/</t>
        </is>
      </c>
      <c r="P1228" s="4" t="inlineStr">
        <is>
          <t>https://lannuaire.service-public.gouv.fr/ile-de-france/val-d-oise/2f584dfe-1d35-4a11-a390-a9ce74e0d6ee</t>
        </is>
      </c>
      <c r="Q1228" t="inlineStr">
        <is>
          <t>Annuaire Service-public.fr</t>
        </is>
      </c>
      <c r="R1228" t="inlineStr"/>
      <c r="S1228" t="inlineStr"/>
      <c r="T1228" t="inlineStr"/>
    </row>
    <row r="1229">
      <c r="A1229" t="inlineStr">
        <is>
          <t>CC Sausseron Impressionnistes</t>
        </is>
      </c>
      <c r="B1229" t="inlineStr">
        <is>
          <t>Communauté de communes</t>
        </is>
      </c>
      <c r="C1229" t="inlineStr">
        <is>
          <t>249500430</t>
        </is>
      </c>
      <c r="D1229" t="inlineStr">
        <is>
          <t>95</t>
        </is>
      </c>
      <c r="E1229" t="inlineStr">
        <is>
          <t>Val-d'Oise</t>
        </is>
      </c>
      <c r="F1229" t="inlineStr">
        <is>
          <t>Île-de-France</t>
        </is>
      </c>
      <c r="G1229" s="3" t="n">
        <v>19049</v>
      </c>
      <c r="H1229" t="n">
        <v>15</v>
      </c>
      <c r="I1229" t="inlineStr">
        <is>
          <t>38 rue du Général-de-Gaulle, Mairie, Parc Van-Gogh</t>
        </is>
      </c>
      <c r="J1229" t="inlineStr">
        <is>
          <t>95430</t>
        </is>
      </c>
      <c r="K1229" t="inlineStr">
        <is>
          <t>Auvers-sur-Oise</t>
        </is>
      </c>
      <c r="L1229" t="inlineStr">
        <is>
          <t>01 85 38 03 70</t>
        </is>
      </c>
      <c r="M1229" s="4" t="inlineStr">
        <is>
          <t>secretariat@sausseron-impressionnistes.fr</t>
        </is>
      </c>
      <c r="N1229" s="4" t="inlineStr">
        <is>
          <t>http://www.sausseron-impressionnistes.fr</t>
        </is>
      </c>
      <c r="O1229" t="inlineStr"/>
      <c r="P1229" s="4" t="inlineStr">
        <is>
          <t>https://lannuaire.service-public.gouv.fr/ile-de-france/val-d-oise/0c63942b-b5a0-40dc-9111-78e93e55543c</t>
        </is>
      </c>
      <c r="Q1229" t="inlineStr">
        <is>
          <t>Annuaire Service-public.fr</t>
        </is>
      </c>
      <c r="R1229" t="inlineStr"/>
      <c r="S1229" t="inlineStr"/>
      <c r="T1229" t="inlineStr"/>
    </row>
    <row r="1230">
      <c r="A1230" t="inlineStr">
        <is>
          <t>CC Vexin Centre</t>
        </is>
      </c>
      <c r="B1230" t="inlineStr">
        <is>
          <t>Communauté de communes</t>
        </is>
      </c>
      <c r="C1230" t="inlineStr">
        <is>
          <t>200035970</t>
        </is>
      </c>
      <c r="D1230" t="inlineStr">
        <is>
          <t>95</t>
        </is>
      </c>
      <c r="E1230" t="inlineStr">
        <is>
          <t>Val-d'Oise</t>
        </is>
      </c>
      <c r="F1230" t="inlineStr">
        <is>
          <t>Île-de-France</t>
        </is>
      </c>
      <c r="G1230" s="3" t="n">
        <v>25137</v>
      </c>
      <c r="H1230" t="n">
        <v>33</v>
      </c>
      <c r="I1230" t="inlineStr">
        <is>
          <t>1 rue de Rouen</t>
        </is>
      </c>
      <c r="J1230" t="inlineStr">
        <is>
          <t>95450</t>
        </is>
      </c>
      <c r="K1230" t="inlineStr">
        <is>
          <t>Vigny</t>
        </is>
      </c>
      <c r="L1230" t="inlineStr">
        <is>
          <t>01 30 39 23 34</t>
        </is>
      </c>
      <c r="M1230" s="4" t="inlineStr">
        <is>
          <t>administration@ccvexincentre.fr</t>
        </is>
      </c>
      <c r="N1230" s="4" t="inlineStr">
        <is>
          <t>https://ccvexincentre.fr/</t>
        </is>
      </c>
      <c r="O1230" s="4" t="inlineStr">
        <is>
          <t>https://ccvexincentre.fr/</t>
        </is>
      </c>
      <c r="P1230" s="4" t="inlineStr">
        <is>
          <t>https://lannuaire.service-public.gouv.fr/ile-de-france/val-d-oise/7fbccef9-cd26-465f-82d0-771156eee9e6</t>
        </is>
      </c>
      <c r="Q1230" t="inlineStr">
        <is>
          <t>Annuaire Service-public.fr</t>
        </is>
      </c>
      <c r="R1230" t="inlineStr"/>
      <c r="S1230" t="inlineStr"/>
      <c r="T1230" t="inlineStr"/>
    </row>
    <row r="1231">
      <c r="A1231" t="inlineStr">
        <is>
          <t>CC de la Vallée de l'Oise et des Trois Forêts</t>
        </is>
      </c>
      <c r="B1231" t="inlineStr">
        <is>
          <t>Communauté de communes</t>
        </is>
      </c>
      <c r="C1231" t="inlineStr">
        <is>
          <t>249500455</t>
        </is>
      </c>
      <c r="D1231" t="inlineStr">
        <is>
          <t>95</t>
        </is>
      </c>
      <c r="E1231" t="inlineStr">
        <is>
          <t>Val-d'Oise</t>
        </is>
      </c>
      <c r="F1231" t="inlineStr">
        <is>
          <t>Île-de-France</t>
        </is>
      </c>
      <c r="G1231" s="3" t="n">
        <v>39681</v>
      </c>
      <c r="H1231" t="n">
        <v>9</v>
      </c>
      <c r="I1231" t="inlineStr">
        <is>
          <t>1 avenue Jules-Dupré</t>
        </is>
      </c>
      <c r="J1231" t="inlineStr">
        <is>
          <t>95290</t>
        </is>
      </c>
      <c r="K1231" t="inlineStr">
        <is>
          <t>L'Isle-Adam</t>
        </is>
      </c>
      <c r="L1231" t="inlineStr">
        <is>
          <t>01 34 69 12 06</t>
        </is>
      </c>
      <c r="M1231" s="4" t="inlineStr">
        <is>
          <t>contact@ccvo3f.fr</t>
        </is>
      </c>
      <c r="N1231" s="4" t="inlineStr">
        <is>
          <t>https://www.ccvo3f.fr/fr/</t>
        </is>
      </c>
      <c r="O1231" s="4" t="inlineStr">
        <is>
          <t>https://www.ccvo3f.fr/fr/contact</t>
        </is>
      </c>
      <c r="P1231" s="4" t="inlineStr">
        <is>
          <t>https://lannuaire.service-public.gouv.fr/ile-de-france/val-d-oise/dfba97ae-a5f8-4f2e-b855-8fbfb8f19cbe</t>
        </is>
      </c>
      <c r="Q1231" t="inlineStr">
        <is>
          <t>Annuaire Service-public.fr</t>
        </is>
      </c>
      <c r="R1231" t="inlineStr"/>
      <c r="S1231" t="inlineStr"/>
      <c r="T1231" t="inlineStr"/>
    </row>
    <row r="1232">
      <c r="A1232" t="inlineStr">
        <is>
          <t>CC du Haut Val d'Oise</t>
        </is>
      </c>
      <c r="B1232" t="inlineStr">
        <is>
          <t>Communauté de communes</t>
        </is>
      </c>
      <c r="C1232" t="inlineStr">
        <is>
          <t>249500489</t>
        </is>
      </c>
      <c r="D1232" t="inlineStr">
        <is>
          <t>95</t>
        </is>
      </c>
      <c r="E1232" t="inlineStr">
        <is>
          <t>Val-d'Oise</t>
        </is>
      </c>
      <c r="F1232" t="inlineStr">
        <is>
          <t>Île-de-France</t>
        </is>
      </c>
      <c r="G1232" s="3" t="n">
        <v>40950</v>
      </c>
      <c r="H1232" t="n">
        <v>9</v>
      </c>
      <c r="I1232" t="inlineStr">
        <is>
          <t>16 rue Nationale, CS 10600</t>
        </is>
      </c>
      <c r="J1232" t="inlineStr">
        <is>
          <t>95260</t>
        </is>
      </c>
      <c r="K1232" t="inlineStr">
        <is>
          <t>Beaumont-sur-Oise</t>
        </is>
      </c>
      <c r="L1232" t="inlineStr">
        <is>
          <t>01 39 37 59 70</t>
        </is>
      </c>
      <c r="M1232" s="4" t="inlineStr">
        <is>
          <t>accueil@cchvo.com</t>
        </is>
      </c>
      <c r="N1232" s="4" t="inlineStr">
        <is>
          <t>https://cc-hautvaldoise.fr/fr/</t>
        </is>
      </c>
      <c r="O1232" t="inlineStr"/>
      <c r="P1232" s="4" t="inlineStr">
        <is>
          <t>https://lannuaire.service-public.gouv.fr/ile-de-france/val-d-oise/7682524d-c84d-4e47-8009-5ece035ba07c</t>
        </is>
      </c>
      <c r="Q1232" t="inlineStr">
        <is>
          <t>Annuaire Service-public.fr</t>
        </is>
      </c>
      <c r="R1232" t="inlineStr"/>
      <c r="S1232" t="inlineStr"/>
      <c r="T1232" t="inlineStr"/>
    </row>
    <row r="1233">
      <c r="A1233" t="inlineStr">
        <is>
          <t>CC du Vexin-Val de Seine</t>
        </is>
      </c>
      <c r="B1233" t="inlineStr">
        <is>
          <t>Communauté de communes</t>
        </is>
      </c>
      <c r="C1233" t="inlineStr">
        <is>
          <t>249500513</t>
        </is>
      </c>
      <c r="D1233" t="inlineStr">
        <is>
          <t>95</t>
        </is>
      </c>
      <c r="E1233" t="inlineStr">
        <is>
          <t>Val-d'Oise</t>
        </is>
      </c>
      <c r="F1233" t="inlineStr">
        <is>
          <t>Île-de-France</t>
        </is>
      </c>
      <c r="G1233" s="3" t="n">
        <v>16545</v>
      </c>
      <c r="H1233" t="n">
        <v>26</v>
      </c>
      <c r="I1233" t="inlineStr">
        <is>
          <t>12 rue des Frères-Montgolfier</t>
        </is>
      </c>
      <c r="J1233" t="inlineStr">
        <is>
          <t>95420</t>
        </is>
      </c>
      <c r="K1233" t="inlineStr">
        <is>
          <t>Magny-en-Vexin</t>
        </is>
      </c>
      <c r="L1233" t="inlineStr">
        <is>
          <t>01 86 35 00 36</t>
        </is>
      </c>
      <c r="M1233" s="4" t="inlineStr">
        <is>
          <t>secretariat@vexinvaldeseine.fr</t>
        </is>
      </c>
      <c r="N1233" s="4" t="inlineStr">
        <is>
          <t>https://vexinvaldeseine.fr/</t>
        </is>
      </c>
      <c r="O1233" s="4" t="inlineStr">
        <is>
          <t>https://vexinvaldeseine.fr/contactez-la-ccvvs/</t>
        </is>
      </c>
      <c r="P1233" s="4" t="inlineStr">
        <is>
          <t>https://lannuaire.service-public.gouv.fr/ile-de-france/val-d-oise/31862daa-7cdf-44ad-a4cf-911c1c97782e</t>
        </is>
      </c>
      <c r="Q1233" t="inlineStr">
        <is>
          <t>Annuaire Service-public.fr</t>
        </is>
      </c>
      <c r="R1233" t="inlineStr"/>
      <c r="S1233" t="inlineStr"/>
      <c r="T1233" t="inlineStr"/>
    </row>
    <row r="1234">
      <c r="A1234" t="inlineStr">
        <is>
          <t>CA CAP Excellence</t>
        </is>
      </c>
      <c r="B1234" t="inlineStr">
        <is>
          <t>Communauté d’agglomération</t>
        </is>
      </c>
      <c r="C1234" t="inlineStr">
        <is>
          <t>200018653</t>
        </is>
      </c>
      <c r="D1234" t="inlineStr">
        <is>
          <t>971</t>
        </is>
      </c>
      <c r="E1234" t="inlineStr">
        <is>
          <t>Guadeloupe</t>
        </is>
      </c>
      <c r="F1234" t="inlineStr">
        <is>
          <t>Guadeloupe</t>
        </is>
      </c>
      <c r="G1234" s="3" t="n">
        <v>97558</v>
      </c>
      <c r="H1234" t="n">
        <v>3</v>
      </c>
      <c r="I1234" t="inlineStr">
        <is>
          <t>18 boulevard Légitimus</t>
        </is>
      </c>
      <c r="J1234" t="inlineStr">
        <is>
          <t>97110</t>
        </is>
      </c>
      <c r="K1234" t="inlineStr">
        <is>
          <t>Pointe-à-Pitre</t>
        </is>
      </c>
      <c r="L1234" t="inlineStr">
        <is>
          <t>05 90 68 92 92</t>
        </is>
      </c>
      <c r="M1234" s="4" t="inlineStr">
        <is>
          <t>contact@capexcellence.net</t>
        </is>
      </c>
      <c r="N1234" s="4" t="inlineStr">
        <is>
          <t>https://www.capexcellence.net/</t>
        </is>
      </c>
      <c r="O1234" t="inlineStr"/>
      <c r="P1234" s="4" t="inlineStr">
        <is>
          <t>https://lannuaire.service-public.gouv.fr/guadeloupe/guadeloupe/80e7600c-a7e6-47d3-a0b9-665f6d9e4394</t>
        </is>
      </c>
      <c r="Q1234" t="inlineStr">
        <is>
          <t>Annuaire Service-public.fr</t>
        </is>
      </c>
      <c r="R1234" t="inlineStr"/>
      <c r="S1234" t="inlineStr"/>
      <c r="T1234" t="inlineStr"/>
    </row>
    <row r="1235">
      <c r="A1235" t="inlineStr">
        <is>
          <t>CA Grand Sud Caraïbe</t>
        </is>
      </c>
      <c r="B1235" t="inlineStr">
        <is>
          <t>Communauté d’agglomération</t>
        </is>
      </c>
      <c r="C1235" t="inlineStr">
        <is>
          <t>249710070</t>
        </is>
      </c>
      <c r="D1235" t="inlineStr">
        <is>
          <t>971</t>
        </is>
      </c>
      <c r="E1235" t="inlineStr">
        <is>
          <t>Guadeloupe</t>
        </is>
      </c>
      <c r="F1235" t="inlineStr">
        <is>
          <t>Guadeloupe</t>
        </is>
      </c>
      <c r="G1235" s="3" t="n">
        <v>75104</v>
      </c>
      <c r="H1235" t="n">
        <v>11</v>
      </c>
      <c r="I1235" t="inlineStr">
        <is>
          <t>Place du Père-Magloire, 2 rue Auguste BEBIAN</t>
        </is>
      </c>
      <c r="J1235" t="inlineStr">
        <is>
          <t>97100</t>
        </is>
      </c>
      <c r="K1235" t="inlineStr">
        <is>
          <t>Basse-Terre</t>
        </is>
      </c>
      <c r="L1235" t="inlineStr">
        <is>
          <t>05 90 99 63 20</t>
        </is>
      </c>
      <c r="M1235" s="4" t="inlineStr">
        <is>
          <t>ccsbt2@wanadoo.fr</t>
        </is>
      </c>
      <c r="N1235" s="4" t="inlineStr">
        <is>
          <t>https://www.grandsudcaraibe.fr/</t>
        </is>
      </c>
      <c r="O1235" s="4" t="inlineStr">
        <is>
          <t>https://www.grandsudcaraibe.fr/non-classe/contactez-nous/</t>
        </is>
      </c>
      <c r="P1235" s="4" t="inlineStr">
        <is>
          <t>https://lannuaire.service-public.gouv.fr/guadeloupe/guadeloupe/85d64ea4-9595-4f82-87c7-365285222ea8</t>
        </is>
      </c>
      <c r="Q1235" t="inlineStr">
        <is>
          <t>Annuaire Service-public.fr</t>
        </is>
      </c>
      <c r="R1235" t="inlineStr"/>
      <c r="S1235" t="inlineStr"/>
      <c r="T1235" t="inlineStr"/>
    </row>
    <row r="1236">
      <c r="A1236" t="inlineStr">
        <is>
          <t>CA La Riviéra du Levant</t>
        </is>
      </c>
      <c r="B1236" t="inlineStr">
        <is>
          <t>Communauté d’agglomération</t>
        </is>
      </c>
      <c r="C1236" t="inlineStr">
        <is>
          <t>200041507</t>
        </is>
      </c>
      <c r="D1236" t="inlineStr">
        <is>
          <t>971</t>
        </is>
      </c>
      <c r="E1236" t="inlineStr">
        <is>
          <t>Guadeloupe</t>
        </is>
      </c>
      <c r="F1236" t="inlineStr">
        <is>
          <t>Guadeloupe</t>
        </is>
      </c>
      <c r="G1236" s="3" t="n">
        <v>66218</v>
      </c>
      <c r="H1236" t="n">
        <v>4</v>
      </c>
      <c r="I1236" t="inlineStr">
        <is>
          <t>93 boulevard du Général-de-Gaulle</t>
        </is>
      </c>
      <c r="J1236" t="inlineStr">
        <is>
          <t>97190</t>
        </is>
      </c>
      <c r="K1236" t="inlineStr">
        <is>
          <t>Le Gosier</t>
        </is>
      </c>
      <c r="L1236" t="inlineStr">
        <is>
          <t>05 90 48 47 47</t>
        </is>
      </c>
      <c r="M1236" s="4" t="inlineStr">
        <is>
          <t>carl@rivieradulevant.fr</t>
        </is>
      </c>
      <c r="N1236" s="4" t="inlineStr">
        <is>
          <t>https://www.rivieradulevant.fr</t>
        </is>
      </c>
      <c r="O1236" t="inlineStr"/>
      <c r="P1236" s="4" t="inlineStr">
        <is>
          <t>https://lannuaire.service-public.gouv.fr/guadeloupe/guadeloupe/f7fa91b0-a8d5-4fb1-b7a3-b33802927351</t>
        </is>
      </c>
      <c r="Q1236" t="inlineStr">
        <is>
          <t>Annuaire Service-public.fr</t>
        </is>
      </c>
      <c r="R1236" t="inlineStr"/>
      <c r="S1236" t="inlineStr"/>
      <c r="T1236" t="inlineStr"/>
    </row>
    <row r="1237">
      <c r="A1237" t="inlineStr">
        <is>
          <t>CA du Nord Basse-Terre</t>
        </is>
      </c>
      <c r="B1237" t="inlineStr">
        <is>
          <t>Communauté d’agglomération</t>
        </is>
      </c>
      <c r="C1237" t="inlineStr">
        <is>
          <t>249710062</t>
        </is>
      </c>
      <c r="D1237" t="inlineStr">
        <is>
          <t>971</t>
        </is>
      </c>
      <c r="E1237" t="inlineStr">
        <is>
          <t>Guadeloupe</t>
        </is>
      </c>
      <c r="F1237" t="inlineStr">
        <is>
          <t>Guadeloupe</t>
        </is>
      </c>
      <c r="G1237" s="3" t="n">
        <v>77475</v>
      </c>
      <c r="H1237" t="n">
        <v>6</v>
      </c>
      <c r="I1237" t="inlineStr">
        <is>
          <t>ZAC de Nolivier</t>
        </is>
      </c>
      <c r="J1237" t="inlineStr">
        <is>
          <t>97115</t>
        </is>
      </c>
      <c r="K1237" t="inlineStr">
        <is>
          <t>Sainte-Rose</t>
        </is>
      </c>
      <c r="L1237" t="inlineStr">
        <is>
          <t>05 90 01 00 81</t>
        </is>
      </c>
      <c r="M1237" s="4" t="inlineStr">
        <is>
          <t>contact@canbt.fr</t>
        </is>
      </c>
      <c r="N1237" s="4" t="inlineStr">
        <is>
          <t>https://canbt.fr/</t>
        </is>
      </c>
      <c r="O1237" t="inlineStr"/>
      <c r="P1237" s="4" t="inlineStr">
        <is>
          <t>https://lannuaire.service-public.gouv.fr/guadeloupe/guadeloupe/e68a4a8d-872b-4470-a2eb-b630680d7ada</t>
        </is>
      </c>
      <c r="Q1237" t="inlineStr">
        <is>
          <t>Annuaire Service-public.fr</t>
        </is>
      </c>
      <c r="R1237" t="inlineStr"/>
      <c r="S1237" t="inlineStr"/>
      <c r="T1237" t="inlineStr"/>
    </row>
    <row r="1238">
      <c r="A1238" t="inlineStr">
        <is>
          <t>CA du Nord Grande Terre</t>
        </is>
      </c>
      <c r="B1238" t="inlineStr">
        <is>
          <t>Communauté d’agglomération</t>
        </is>
      </c>
      <c r="C1238" t="inlineStr">
        <is>
          <t>200044691</t>
        </is>
      </c>
      <c r="D1238" t="inlineStr">
        <is>
          <t>971</t>
        </is>
      </c>
      <c r="E1238" t="inlineStr">
        <is>
          <t>Guadeloupe</t>
        </is>
      </c>
      <c r="F1238" t="inlineStr">
        <is>
          <t>Guadeloupe</t>
        </is>
      </c>
      <c r="G1238" s="3" t="n">
        <v>56792</v>
      </c>
      <c r="H1238" t="n">
        <v>5</v>
      </c>
      <c r="I1238" t="inlineStr">
        <is>
          <t>2 lotissement Vallée-de-Roujol, Pôle administratif</t>
        </is>
      </c>
      <c r="J1238" t="inlineStr">
        <is>
          <t>97131</t>
        </is>
      </c>
      <c r="K1238" t="inlineStr">
        <is>
          <t>Petit-Canal</t>
        </is>
      </c>
      <c r="L1238" t="inlineStr">
        <is>
          <t>05 90 48 77 80</t>
        </is>
      </c>
      <c r="M1238" s="4" t="inlineStr">
        <is>
          <t>communaute@cangt-guadeloupe.fr</t>
        </is>
      </c>
      <c r="N1238" s="4" t="inlineStr">
        <is>
          <t>https://www.cangt.fr/</t>
        </is>
      </c>
      <c r="O1238" s="4" t="inlineStr">
        <is>
          <t>https://www.cangt.fr/contact-mairie-de-cangt/</t>
        </is>
      </c>
      <c r="P1238" s="4" t="inlineStr">
        <is>
          <t>https://lannuaire.service-public.gouv.fr/guadeloupe/guadeloupe/50468cee-7965-439d-831d-c76c928318a5</t>
        </is>
      </c>
      <c r="Q1238" t="inlineStr">
        <is>
          <t>Annuaire Service-public.fr</t>
        </is>
      </c>
      <c r="R1238" t="inlineStr"/>
      <c r="S1238" t="inlineStr"/>
      <c r="T1238" t="inlineStr"/>
    </row>
    <row r="1239">
      <c r="A1239" t="inlineStr">
        <is>
          <t>CC de Marie-Galante</t>
        </is>
      </c>
      <c r="B1239" t="inlineStr">
        <is>
          <t>Communauté de communes</t>
        </is>
      </c>
      <c r="C1239" t="inlineStr">
        <is>
          <t>249710047</t>
        </is>
      </c>
      <c r="D1239" t="inlineStr">
        <is>
          <t>971</t>
        </is>
      </c>
      <c r="E1239" t="inlineStr">
        <is>
          <t>Guadeloupe</t>
        </is>
      </c>
      <c r="F1239" t="inlineStr">
        <is>
          <t>Guadeloupe</t>
        </is>
      </c>
      <c r="G1239" s="3" t="n">
        <v>10422</v>
      </c>
      <c r="H1239" t="n">
        <v>3</v>
      </c>
      <c r="I1239" t="inlineStr">
        <is>
          <t>Rue du Fort, BP 48</t>
        </is>
      </c>
      <c r="J1239" t="inlineStr">
        <is>
          <t>97112</t>
        </is>
      </c>
      <c r="K1239" t="inlineStr">
        <is>
          <t>Grand-Bourg</t>
        </is>
      </c>
      <c r="L1239" t="inlineStr">
        <is>
          <t>05 90 97 83 58</t>
        </is>
      </c>
      <c r="M1239" s="4" t="inlineStr">
        <is>
          <t>secretariat@paysmariegalante.fr</t>
        </is>
      </c>
      <c r="N1239" s="4" t="inlineStr">
        <is>
          <t>https://www.paysmariegalante.fr</t>
        </is>
      </c>
      <c r="O1239" s="4" t="inlineStr">
        <is>
          <t>https://paysmariegalante.fr/contact/</t>
        </is>
      </c>
      <c r="P1239" s="4" t="inlineStr">
        <is>
          <t>https://lannuaire.service-public.gouv.fr/guadeloupe/guadeloupe/fe656d4c-4103-491f-822d-788a5975e332</t>
        </is>
      </c>
      <c r="Q1239" t="inlineStr">
        <is>
          <t>Annuaire Service-public.fr</t>
        </is>
      </c>
      <c r="R1239" t="inlineStr"/>
      <c r="S1239" t="inlineStr"/>
      <c r="T1239" t="inlineStr"/>
    </row>
    <row r="1240">
      <c r="A1240" t="inlineStr">
        <is>
          <t>CA de l'Espace Sud de la Martinique</t>
        </is>
      </c>
      <c r="B1240" t="inlineStr">
        <is>
          <t>Communauté d’agglomération</t>
        </is>
      </c>
      <c r="C1240" t="inlineStr">
        <is>
          <t>249720053</t>
        </is>
      </c>
      <c r="D1240" t="inlineStr">
        <is>
          <t>972</t>
        </is>
      </c>
      <c r="E1240" t="inlineStr">
        <is>
          <t>Martinique</t>
        </is>
      </c>
      <c r="F1240" t="inlineStr">
        <is>
          <t>Martinique</t>
        </is>
      </c>
      <c r="G1240" s="3" t="n">
        <v>115038</v>
      </c>
      <c r="H1240" t="n">
        <v>12</v>
      </c>
      <c r="I1240" t="inlineStr">
        <is>
          <t>Zone d'actvité de Maupéou, Espace sud</t>
        </is>
      </c>
      <c r="J1240" t="inlineStr">
        <is>
          <t>97228</t>
        </is>
      </c>
      <c r="K1240" t="inlineStr">
        <is>
          <t>Sainte-Luce</t>
        </is>
      </c>
      <c r="L1240" t="inlineStr">
        <is>
          <t>05 96 62 53 53</t>
        </is>
      </c>
      <c r="M1240" s="4" t="inlineStr">
        <is>
          <t>caesm@espacesud.fr</t>
        </is>
      </c>
      <c r="N1240" s="4" t="inlineStr">
        <is>
          <t>https://espacesud.fr/</t>
        </is>
      </c>
      <c r="O1240" t="inlineStr"/>
      <c r="P1240" s="4" t="inlineStr">
        <is>
          <t>https://lannuaire.service-public.gouv.fr/martinique/martinique/429a43d1-b34c-4fe6-b3f4-e67a867b03d8</t>
        </is>
      </c>
      <c r="Q1240" t="inlineStr">
        <is>
          <t>Annuaire Service-public.fr</t>
        </is>
      </c>
      <c r="R1240" t="inlineStr"/>
      <c r="S1240" t="inlineStr"/>
      <c r="T1240" t="inlineStr"/>
    </row>
    <row r="1241">
      <c r="A1241" t="inlineStr">
        <is>
          <t>CA du Centre de la Martinique</t>
        </is>
      </c>
      <c r="B1241" t="inlineStr">
        <is>
          <t>Communauté d’agglomération</t>
        </is>
      </c>
      <c r="C1241" t="inlineStr">
        <is>
          <t>249720061</t>
        </is>
      </c>
      <c r="D1241" t="inlineStr">
        <is>
          <t>972</t>
        </is>
      </c>
      <c r="E1241" t="inlineStr">
        <is>
          <t>Martinique</t>
        </is>
      </c>
      <c r="F1241" t="inlineStr">
        <is>
          <t>Martinique</t>
        </is>
      </c>
      <c r="G1241" s="3" t="n">
        <v>150323</v>
      </c>
      <c r="H1241" t="n">
        <v>4</v>
      </c>
      <c r="I1241" t="inlineStr">
        <is>
          <t>Immeuble Cascade 3, Place François-Mitterrand, BP 407</t>
        </is>
      </c>
      <c r="J1241" t="inlineStr">
        <is>
          <t>97204</t>
        </is>
      </c>
      <c r="K1241" t="inlineStr">
        <is>
          <t>Fort-de-France Cedex</t>
        </is>
      </c>
      <c r="L1241" t="inlineStr">
        <is>
          <t>05 96 75 82 72</t>
        </is>
      </c>
      <c r="M1241" s="4" t="inlineStr">
        <is>
          <t>contact@cacem-mq.org</t>
        </is>
      </c>
      <c r="N1241" s="4" t="inlineStr">
        <is>
          <t>https://www.cacem.org/</t>
        </is>
      </c>
      <c r="O1241" s="4" t="inlineStr">
        <is>
          <t>https://www.cacem.org/contact/</t>
        </is>
      </c>
      <c r="P1241" s="4" t="inlineStr">
        <is>
          <t>https://lannuaire.service-public.gouv.fr/martinique/martinique/3c58359a-4232-4f56-898e-d98c4c3581c4</t>
        </is>
      </c>
      <c r="Q1241" t="inlineStr">
        <is>
          <t>Annuaire Service-public.fr</t>
        </is>
      </c>
      <c r="R1241" t="inlineStr"/>
      <c r="S1241" t="inlineStr"/>
      <c r="T1241" t="inlineStr"/>
    </row>
    <row r="1242">
      <c r="A1242" t="inlineStr">
        <is>
          <t>CA du Pays Nord Martinique</t>
        </is>
      </c>
      <c r="B1242" t="inlineStr">
        <is>
          <t>Communauté d’agglomération</t>
        </is>
      </c>
      <c r="C1242" t="inlineStr">
        <is>
          <t>200041788</t>
        </is>
      </c>
      <c r="D1242" t="inlineStr">
        <is>
          <t>972</t>
        </is>
      </c>
      <c r="E1242" t="inlineStr">
        <is>
          <t>Martinique</t>
        </is>
      </c>
      <c r="F1242" t="inlineStr">
        <is>
          <t>Martinique</t>
        </is>
      </c>
      <c r="G1242" s="3" t="n">
        <v>95658</v>
      </c>
      <c r="H1242" t="n">
        <v>18</v>
      </c>
      <c r="I1242" t="inlineStr">
        <is>
          <t>39 lotissement la Marie</t>
        </is>
      </c>
      <c r="J1242" t="inlineStr">
        <is>
          <t>97225</t>
        </is>
      </c>
      <c r="K1242" t="inlineStr">
        <is>
          <t>Le Marigot</t>
        </is>
      </c>
      <c r="L1242" t="inlineStr">
        <is>
          <t>05 96 53 50 23</t>
        </is>
      </c>
      <c r="M1242" s="4" t="inlineStr">
        <is>
          <t>contact@capnordmartinique.fr</t>
        </is>
      </c>
      <c r="N1242" s="4" t="inlineStr">
        <is>
          <t>http://www.capnordmartinique.fr</t>
        </is>
      </c>
      <c r="O1242" s="4" t="inlineStr">
        <is>
          <t>http://www.capnordmartinique.fr/contact</t>
        </is>
      </c>
      <c r="P1242" s="4" t="inlineStr">
        <is>
          <t>https://lannuaire.service-public.gouv.fr/martinique/martinique/b22db8ba-c4c5-4cac-8b0c-ffdc6c5209c1</t>
        </is>
      </c>
      <c r="Q1242" t="inlineStr">
        <is>
          <t>Annuaire Service-public.fr</t>
        </is>
      </c>
      <c r="R1242" t="inlineStr"/>
      <c r="S1242" t="inlineStr"/>
      <c r="T1242" t="inlineStr"/>
    </row>
    <row r="1243">
      <c r="A1243" t="inlineStr">
        <is>
          <t>CA du Centre Littoral</t>
        </is>
      </c>
      <c r="B1243" t="inlineStr">
        <is>
          <t>Communauté d’agglomération</t>
        </is>
      </c>
      <c r="C1243" t="inlineStr">
        <is>
          <t>249730045</t>
        </is>
      </c>
      <c r="D1243" t="inlineStr">
        <is>
          <t>973</t>
        </is>
      </c>
      <c r="E1243" t="inlineStr">
        <is>
          <t>Guyane</t>
        </is>
      </c>
      <c r="F1243" t="inlineStr">
        <is>
          <t>Guyane</t>
        </is>
      </c>
      <c r="G1243" s="3" t="n">
        <v>152190</v>
      </c>
      <c r="H1243" t="n">
        <v>6</v>
      </c>
      <c r="I1243" t="inlineStr">
        <is>
          <t>4 esplanade de la Cité-d'Affaires</t>
        </is>
      </c>
      <c r="J1243" t="inlineStr">
        <is>
          <t>97351</t>
        </is>
      </c>
      <c r="K1243" t="inlineStr">
        <is>
          <t>Matoury</t>
        </is>
      </c>
      <c r="L1243" t="inlineStr">
        <is>
          <t>05 94 28 28 28</t>
        </is>
      </c>
      <c r="M1243" s="4" t="inlineStr">
        <is>
          <t>infos@cacl-guyane.fr</t>
        </is>
      </c>
      <c r="N1243" s="4" t="inlineStr">
        <is>
          <t>https://www.cacl-guyane.fr/</t>
        </is>
      </c>
      <c r="O1243" s="4" t="inlineStr">
        <is>
          <t>https://www.cacl-guyane.fr/</t>
        </is>
      </c>
      <c r="P1243" s="4" t="inlineStr">
        <is>
          <t>https://lannuaire.service-public.gouv.fr/guyane/guyane/d6fc63a0-9d09-44d3-afb1-ad471694bc01</t>
        </is>
      </c>
      <c r="Q1243" t="inlineStr">
        <is>
          <t>Annuaire Service-public.fr</t>
        </is>
      </c>
      <c r="R1243" t="inlineStr"/>
      <c r="S1243" t="inlineStr"/>
      <c r="T1243" t="inlineStr"/>
    </row>
    <row r="1244">
      <c r="A1244" t="inlineStr">
        <is>
          <t>CC de l'Est Guyanais</t>
        </is>
      </c>
      <c r="B1244" t="inlineStr">
        <is>
          <t>Communauté de communes</t>
        </is>
      </c>
      <c r="C1244" t="inlineStr">
        <is>
          <t>249730052</t>
        </is>
      </c>
      <c r="D1244" t="inlineStr">
        <is>
          <t>973</t>
        </is>
      </c>
      <c r="E1244" t="inlineStr">
        <is>
          <t>Guyane</t>
        </is>
      </c>
      <c r="F1244" t="inlineStr">
        <is>
          <t>Guyane</t>
        </is>
      </c>
      <c r="G1244" s="3" t="n">
        <v>8735</v>
      </c>
      <c r="H1244" t="n">
        <v>4</v>
      </c>
      <c r="I1244" t="inlineStr">
        <is>
          <t>8 rue Urbain Goudet, BP 20</t>
        </is>
      </c>
      <c r="J1244" t="inlineStr">
        <is>
          <t>97313</t>
        </is>
      </c>
      <c r="K1244" t="inlineStr">
        <is>
          <t>Saint-Georges</t>
        </is>
      </c>
      <c r="L1244" t="inlineStr">
        <is>
          <t>05 94 28 09 44</t>
        </is>
      </c>
      <c r="M1244" s="4" t="inlineStr">
        <is>
          <t>contact@cceg-973.fr</t>
        </is>
      </c>
      <c r="N1244" s="4" t="inlineStr">
        <is>
          <t>https://www.guyane-amazonie.fr/je-decouvre/territoires/est-guyanais/</t>
        </is>
      </c>
      <c r="O1244" s="4" t="inlineStr">
        <is>
          <t>https://ouestguyane.fr/</t>
        </is>
      </c>
      <c r="P1244" s="4" t="inlineStr">
        <is>
          <t>https://lannuaire.service-public.gouv.fr/guyane/guyane/acba5ff3-501c-4f27-b1bf-6b17eddb757f</t>
        </is>
      </c>
      <c r="Q1244" t="inlineStr">
        <is>
          <t>Annuaire Service-public.fr</t>
        </is>
      </c>
      <c r="R1244" t="inlineStr"/>
      <c r="S1244" t="inlineStr"/>
      <c r="T1244" t="inlineStr"/>
    </row>
    <row r="1245">
      <c r="A1245" t="inlineStr">
        <is>
          <t>CC de l'Ouest Guyanais</t>
        </is>
      </c>
      <c r="B1245" t="inlineStr">
        <is>
          <t>Communauté de communes</t>
        </is>
      </c>
      <c r="C1245" t="inlineStr">
        <is>
          <t>249730037</t>
        </is>
      </c>
      <c r="D1245" t="inlineStr">
        <is>
          <t>973</t>
        </is>
      </c>
      <c r="E1245" t="inlineStr">
        <is>
          <t>Guyane</t>
        </is>
      </c>
      <c r="F1245" t="inlineStr">
        <is>
          <t>Guyane</t>
        </is>
      </c>
      <c r="G1245" s="3" t="n">
        <v>98344</v>
      </c>
      <c r="H1245" t="n">
        <v>8</v>
      </c>
      <c r="I1245" t="inlineStr">
        <is>
          <t>2 rue Bruno-Aubert, ZA Gaston-Césaire, BP 26</t>
        </is>
      </c>
      <c r="J1245" t="inlineStr">
        <is>
          <t>97360</t>
        </is>
      </c>
      <c r="K1245" t="inlineStr">
        <is>
          <t>Mana</t>
        </is>
      </c>
      <c r="L1245" t="inlineStr">
        <is>
          <t>05 94 34 34 94</t>
        </is>
      </c>
      <c r="M1245" s="4" t="inlineStr">
        <is>
          <t>info@ouestguyane.fr</t>
        </is>
      </c>
      <c r="N1245" s="4" t="inlineStr">
        <is>
          <t>https://ouestguyane.fr/</t>
        </is>
      </c>
      <c r="O1245" s="4" t="inlineStr">
        <is>
          <t>https://ouestguyane.fr/</t>
        </is>
      </c>
      <c r="P1245" s="4" t="inlineStr">
        <is>
          <t>https://lannuaire.service-public.gouv.fr/guyane/guyane/65254aa3-d0b2-40a7-a730-62896efa351e</t>
        </is>
      </c>
      <c r="Q1245" t="inlineStr">
        <is>
          <t>Annuaire Service-public.fr</t>
        </is>
      </c>
      <c r="R1245" t="inlineStr"/>
      <c r="S1245" t="inlineStr"/>
      <c r="T1245" t="inlineStr"/>
    </row>
    <row r="1246">
      <c r="A1246" t="inlineStr">
        <is>
          <t>CC des Savanes</t>
        </is>
      </c>
      <c r="B1246" t="inlineStr">
        <is>
          <t>Communauté de communes</t>
        </is>
      </c>
      <c r="C1246" t="inlineStr">
        <is>
          <t>200027548</t>
        </is>
      </c>
      <c r="D1246" t="inlineStr">
        <is>
          <t>973</t>
        </is>
      </c>
      <c r="E1246" t="inlineStr">
        <is>
          <t>Guyane</t>
        </is>
      </c>
      <c r="F1246" t="inlineStr">
        <is>
          <t>Guyane</t>
        </is>
      </c>
      <c r="G1246" s="3" t="n">
        <v>29113</v>
      </c>
      <c r="H1246" t="n">
        <v>4</v>
      </c>
      <c r="I1246" t="inlineStr">
        <is>
          <t>1 rue Raymond-Cresson, Quartier Cabalou</t>
        </is>
      </c>
      <c r="J1246" t="inlineStr">
        <is>
          <t>97310</t>
        </is>
      </c>
      <c r="K1246" t="inlineStr">
        <is>
          <t>Kourou</t>
        </is>
      </c>
      <c r="L1246" t="inlineStr">
        <is>
          <t>05 94 22 00 17</t>
        </is>
      </c>
      <c r="M1246" s="4" t="inlineStr">
        <is>
          <t>info@ccdsguyane.fr</t>
        </is>
      </c>
      <c r="N1246" s="4" t="inlineStr">
        <is>
          <t>https://www.ccdsguyane.fr/</t>
        </is>
      </c>
      <c r="O1246" s="4" t="inlineStr">
        <is>
          <t>https://www.ccdsguyane.fr/contact/</t>
        </is>
      </c>
      <c r="P1246" s="4" t="inlineStr">
        <is>
          <t>https://lannuaire.service-public.gouv.fr/guyane/guyane/5bc85fe4-648e-4baf-8480-8ad0f3e9cca6</t>
        </is>
      </c>
      <c r="Q1246" t="inlineStr">
        <is>
          <t>Annuaire Service-public.fr</t>
        </is>
      </c>
      <c r="R1246" t="inlineStr"/>
      <c r="S1246" t="inlineStr"/>
      <c r="T1246" t="inlineStr"/>
    </row>
    <row r="1247">
      <c r="A1247" t="inlineStr">
        <is>
          <t>CA CIVIS (Communauté Intercommunale des Villes Solidaires)</t>
        </is>
      </c>
      <c r="B1247" t="inlineStr">
        <is>
          <t>Communauté d’agglomération</t>
        </is>
      </c>
      <c r="C1247" t="inlineStr">
        <is>
          <t>249740077</t>
        </is>
      </c>
      <c r="D1247" t="inlineStr">
        <is>
          <t>974</t>
        </is>
      </c>
      <c r="E1247" t="inlineStr">
        <is>
          <t>La Réunion</t>
        </is>
      </c>
      <c r="F1247" t="inlineStr">
        <is>
          <t>La Réunion</t>
        </is>
      </c>
      <c r="G1247" s="3" t="n">
        <v>183641</v>
      </c>
      <c r="H1247" t="n">
        <v>6</v>
      </c>
      <c r="I1247" t="inlineStr">
        <is>
          <t>29 route de l'Entre-Deux</t>
        </is>
      </c>
      <c r="J1247" t="inlineStr">
        <is>
          <t>97410</t>
        </is>
      </c>
      <c r="K1247" t="inlineStr">
        <is>
          <t>Saint-Pierre-Pierrefonds</t>
        </is>
      </c>
      <c r="L1247" t="inlineStr">
        <is>
          <t>02 62 49 96 00</t>
        </is>
      </c>
      <c r="M1247" s="4" t="inlineStr">
        <is>
          <t>accueil@civis.re</t>
        </is>
      </c>
      <c r="N1247" s="4" t="inlineStr">
        <is>
          <t>https://www.civis.re/</t>
        </is>
      </c>
      <c r="O1247" t="inlineStr"/>
      <c r="P1247" s="4" t="inlineStr">
        <is>
          <t>https://lannuaire.service-public.gouv.fr/la-reunion/la-reunion/c4e462e5-7603-4569-9be4-a2c887951483</t>
        </is>
      </c>
      <c r="Q1247" t="inlineStr">
        <is>
          <t>Annuaire Service-public.fr</t>
        </is>
      </c>
      <c r="R1247" t="inlineStr"/>
      <c r="S1247" t="inlineStr"/>
      <c r="T1247" t="inlineStr"/>
    </row>
    <row r="1248">
      <c r="A1248" t="inlineStr">
        <is>
          <t>CA Intercommunale de la Réunion Est (CIREST)</t>
        </is>
      </c>
      <c r="B1248" t="inlineStr">
        <is>
          <t>Communauté d’agglomération</t>
        </is>
      </c>
      <c r="C1248" t="inlineStr">
        <is>
          <t>249740093</t>
        </is>
      </c>
      <c r="D1248" t="inlineStr">
        <is>
          <t>974</t>
        </is>
      </c>
      <c r="E1248" t="inlineStr">
        <is>
          <t>La Réunion</t>
        </is>
      </c>
      <c r="F1248" t="inlineStr">
        <is>
          <t>La Réunion</t>
        </is>
      </c>
      <c r="G1248" s="3" t="n">
        <v>128965</v>
      </c>
      <c r="H1248" t="n">
        <v>6</v>
      </c>
      <c r="I1248" t="inlineStr">
        <is>
          <t>28 rue des Tamarins, pôle bois</t>
        </is>
      </c>
      <c r="J1248" t="inlineStr">
        <is>
          <t>97470</t>
        </is>
      </c>
      <c r="K1248" t="inlineStr">
        <is>
          <t>Saint-Benoît</t>
        </is>
      </c>
      <c r="L1248" t="inlineStr">
        <is>
          <t>02 62 94 70 00</t>
        </is>
      </c>
      <c r="M1248" s="4" t="inlineStr">
        <is>
          <t>cirest@cirest.fr</t>
        </is>
      </c>
      <c r="N1248" s="4" t="inlineStr">
        <is>
          <t>https://www.cirest.fr/</t>
        </is>
      </c>
      <c r="O1248" s="4" t="inlineStr">
        <is>
          <t>https://www.cirest.fr/contact/</t>
        </is>
      </c>
      <c r="P1248" s="4" t="inlineStr">
        <is>
          <t>https://lannuaire.service-public.gouv.fr/la-reunion/la-reunion/629659a0-949b-445b-9004-dfe32147b5d9</t>
        </is>
      </c>
      <c r="Q1248" t="inlineStr">
        <is>
          <t>Annuaire Service-public.fr</t>
        </is>
      </c>
      <c r="R1248" t="inlineStr"/>
      <c r="S1248" t="inlineStr"/>
      <c r="T1248" t="inlineStr"/>
    </row>
    <row r="1249">
      <c r="A1249" t="inlineStr">
        <is>
          <t>CA Intercommunale du Nord de la Réunion (CINOR)</t>
        </is>
      </c>
      <c r="B1249" t="inlineStr">
        <is>
          <t>Communauté d’agglomération</t>
        </is>
      </c>
      <c r="C1249" t="inlineStr">
        <is>
          <t>249740119</t>
        </is>
      </c>
      <c r="D1249" t="inlineStr">
        <is>
          <t>974</t>
        </is>
      </c>
      <c r="E1249" t="inlineStr">
        <is>
          <t>La Réunion</t>
        </is>
      </c>
      <c r="F1249" t="inlineStr">
        <is>
          <t>La Réunion</t>
        </is>
      </c>
      <c r="G1249" s="3" t="n">
        <v>216588</v>
      </c>
      <c r="H1249" t="n">
        <v>3</v>
      </c>
      <c r="I1249" t="inlineStr">
        <is>
          <t>3 rue de la Solidarité, CS 61025</t>
        </is>
      </c>
      <c r="J1249" t="inlineStr">
        <is>
          <t>97495</t>
        </is>
      </c>
      <c r="K1249" t="inlineStr">
        <is>
          <t>Sainte-Clotilde Cedex</t>
        </is>
      </c>
      <c r="L1249" t="inlineStr">
        <is>
          <t>02 62 92 49 00</t>
        </is>
      </c>
      <c r="M1249" s="4" t="inlineStr">
        <is>
          <t>direction.generale@cinor.org</t>
        </is>
      </c>
      <c r="N1249" s="4" t="inlineStr">
        <is>
          <t>https://www.cinor.re/</t>
        </is>
      </c>
      <c r="O1249" s="4" t="inlineStr">
        <is>
          <t>https://www.cinor.re/contact/</t>
        </is>
      </c>
      <c r="P1249" s="4" t="inlineStr">
        <is>
          <t>https://lannuaire.service-public.gouv.fr/la-reunion/la-reunion/4a664769-1a44-49fe-aab5-b7c4b350db34</t>
        </is>
      </c>
      <c r="Q1249" t="inlineStr">
        <is>
          <t>Annuaire Service-public.fr</t>
        </is>
      </c>
      <c r="R1249" t="inlineStr"/>
      <c r="S1249" t="inlineStr"/>
      <c r="T1249" t="inlineStr"/>
    </row>
    <row r="1250">
      <c r="A1250" t="inlineStr">
        <is>
          <t>CA Territoire de la Côte Ouest (TCO)</t>
        </is>
      </c>
      <c r="B1250" t="inlineStr">
        <is>
          <t>Communauté d’agglomération</t>
        </is>
      </c>
      <c r="C1250" t="inlineStr">
        <is>
          <t>249740101</t>
        </is>
      </c>
      <c r="D1250" t="inlineStr">
        <is>
          <t>974</t>
        </is>
      </c>
      <c r="E1250" t="inlineStr">
        <is>
          <t>La Réunion</t>
        </is>
      </c>
      <c r="F1250" t="inlineStr">
        <is>
          <t>La Réunion</t>
        </is>
      </c>
      <c r="G1250" s="3" t="n">
        <v>218990</v>
      </c>
      <c r="H1250" t="n">
        <v>5</v>
      </c>
      <c r="I1250" t="inlineStr">
        <is>
          <t>1 rue Eliard-Laude</t>
        </is>
      </c>
      <c r="J1250" t="inlineStr">
        <is>
          <t>97420</t>
        </is>
      </c>
      <c r="K1250" t="inlineStr">
        <is>
          <t>Le Port</t>
        </is>
      </c>
      <c r="L1250" t="inlineStr">
        <is>
          <t>02 62 32 12 12</t>
        </is>
      </c>
      <c r="M1250" s="4" t="inlineStr">
        <is>
          <t>courrier@tco.re</t>
        </is>
      </c>
      <c r="N1250" s="4" t="inlineStr">
        <is>
          <t>https://www.tco.re/</t>
        </is>
      </c>
      <c r="O1250" t="inlineStr"/>
      <c r="P1250" s="4" t="inlineStr">
        <is>
          <t>https://lannuaire.service-public.gouv.fr/la-reunion/la-reunion/1cd57a4f-44c8-4435-8f32-18b0cdd9e225</t>
        </is>
      </c>
      <c r="Q1250" t="inlineStr">
        <is>
          <t>Annuaire Service-public.fr</t>
        </is>
      </c>
      <c r="R1250" t="inlineStr"/>
      <c r="S1250" t="inlineStr"/>
      <c r="T1250" t="inlineStr"/>
    </row>
    <row r="1251">
      <c r="A1251" t="inlineStr">
        <is>
          <t>CA du Sud</t>
        </is>
      </c>
      <c r="B1251" t="inlineStr">
        <is>
          <t>Communauté d’agglomération</t>
        </is>
      </c>
      <c r="C1251" t="inlineStr">
        <is>
          <t>249740085</t>
        </is>
      </c>
      <c r="D1251" t="inlineStr">
        <is>
          <t>974</t>
        </is>
      </c>
      <c r="E1251" t="inlineStr">
        <is>
          <t>La Réunion</t>
        </is>
      </c>
      <c r="F1251" t="inlineStr">
        <is>
          <t>La Réunion</t>
        </is>
      </c>
      <c r="G1251" s="3" t="n">
        <v>133164</v>
      </c>
      <c r="H1251" t="n">
        <v>4</v>
      </c>
      <c r="I1251" t="inlineStr">
        <is>
          <t>379 rue Hubert-Delisle, BP 437</t>
        </is>
      </c>
      <c r="J1251" t="inlineStr">
        <is>
          <t>97430</t>
        </is>
      </c>
      <c r="K1251" t="inlineStr">
        <is>
          <t>Le Tampon</t>
        </is>
      </c>
      <c r="L1251" t="inlineStr">
        <is>
          <t>02 62 57 97 77</t>
        </is>
      </c>
      <c r="M1251" s="4" t="inlineStr">
        <is>
          <t>contact@casud.re</t>
        </is>
      </c>
      <c r="N1251" s="4" t="inlineStr">
        <is>
          <t>https://www.casud.re/</t>
        </is>
      </c>
      <c r="O1251" s="4" t="inlineStr">
        <is>
          <t>https://www.casud.re/contactez-nous</t>
        </is>
      </c>
      <c r="P1251" s="4" t="inlineStr">
        <is>
          <t>https://lannuaire.service-public.gouv.fr/la-reunion/la-reunion/72c04217-fc47-4cd8-93bf-35f9f363ad93</t>
        </is>
      </c>
      <c r="Q1251" t="inlineStr">
        <is>
          <t>Annuaire Service-public.fr</t>
        </is>
      </c>
      <c r="R1251" t="inlineStr"/>
      <c r="S1251" t="inlineStr"/>
      <c r="T1251" t="inlineStr"/>
    </row>
    <row r="1252">
      <c r="A1252" t="inlineStr">
        <is>
          <t>CA de Dembeni / Mamoudzou</t>
        </is>
      </c>
      <c r="B1252" t="inlineStr">
        <is>
          <t>Communauté d’agglomération</t>
        </is>
      </c>
      <c r="C1252" t="inlineStr">
        <is>
          <t>200060457</t>
        </is>
      </c>
      <c r="D1252" t="inlineStr">
        <is>
          <t>976</t>
        </is>
      </c>
      <c r="E1252" t="inlineStr">
        <is>
          <t>Mayotte</t>
        </is>
      </c>
      <c r="F1252" t="inlineStr">
        <is>
          <t>Mayotte</t>
        </is>
      </c>
      <c r="G1252" s="3" t="n">
        <v>87285</v>
      </c>
      <c r="H1252" t="n">
        <v>2</v>
      </c>
      <c r="I1252" t="inlineStr">
        <is>
          <t>106 Boulevard Halidi, Sélémani</t>
        </is>
      </c>
      <c r="J1252" t="inlineStr">
        <is>
          <t>97600</t>
        </is>
      </c>
      <c r="K1252" t="inlineStr">
        <is>
          <t>Mamoudzou</t>
        </is>
      </c>
      <c r="L1252" t="inlineStr">
        <is>
          <t>02 69 53 00 00</t>
        </is>
      </c>
      <c r="M1252" s="4" t="inlineStr">
        <is>
          <t>contact@cadema.yt</t>
        </is>
      </c>
      <c r="N1252" s="4" t="inlineStr">
        <is>
          <t>https://cadema.yt/</t>
        </is>
      </c>
      <c r="O1252" s="4" t="inlineStr">
        <is>
          <t>https://cadema.yt/nous-contacter/</t>
        </is>
      </c>
      <c r="P1252" s="4" t="inlineStr">
        <is>
          <t>https://lannuaire.service-public.gouv.fr/mayotte/mayotte/7e8faba9-b32b-4f05-b160-4f89dc64b910</t>
        </is>
      </c>
      <c r="Q1252" t="inlineStr">
        <is>
          <t>Annuaire Service-public.fr</t>
        </is>
      </c>
      <c r="R1252" t="inlineStr"/>
      <c r="S1252" t="inlineStr"/>
      <c r="T1252" t="inlineStr"/>
    </row>
    <row r="1253">
      <c r="A1253" t="inlineStr">
        <is>
          <t>CA du Grand Nord de Mayotte</t>
        </is>
      </c>
      <c r="B1253" t="inlineStr">
        <is>
          <t>Communauté d’agglomération</t>
        </is>
      </c>
      <c r="C1253" t="inlineStr">
        <is>
          <t>200060465</t>
        </is>
      </c>
      <c r="D1253" t="inlineStr">
        <is>
          <t>976</t>
        </is>
      </c>
      <c r="E1253" t="inlineStr">
        <is>
          <t>Mayotte</t>
        </is>
      </c>
      <c r="F1253" t="inlineStr">
        <is>
          <t>Mayotte</t>
        </is>
      </c>
      <c r="G1253" s="3" t="n">
        <v>59042</v>
      </c>
      <c r="H1253" t="n">
        <v>4</v>
      </c>
      <c r="I1253" t="inlineStr">
        <is>
          <t>Impasse Bouyouni Maternelle</t>
        </is>
      </c>
      <c r="J1253" t="inlineStr">
        <is>
          <t>97650</t>
        </is>
      </c>
      <c r="K1253" t="inlineStr">
        <is>
          <t>Bandraboua</t>
        </is>
      </c>
      <c r="L1253" t="inlineStr">
        <is>
          <t>06 39 68 88 55</t>
        </is>
      </c>
      <c r="M1253" s="4" t="inlineStr">
        <is>
          <t>communication.cagnm@cagnm.fr</t>
        </is>
      </c>
      <c r="N1253" s="4" t="inlineStr">
        <is>
          <t>https://www.cagnm.yt</t>
        </is>
      </c>
      <c r="O1253" s="4" t="inlineStr">
        <is>
          <t>https://www.cagnm.yt/nous-contacter/</t>
        </is>
      </c>
      <c r="P1253" s="4" t="inlineStr">
        <is>
          <t>https://lannuaire.service-public.gouv.fr/mayotte/mayotte/9029bd0a-5953-4aab-ab34-c592eb6d724b</t>
        </is>
      </c>
      <c r="Q1253" t="inlineStr">
        <is>
          <t>Annuaire Service-public.fr</t>
        </is>
      </c>
      <c r="R1253" t="inlineStr"/>
      <c r="S1253" t="inlineStr"/>
      <c r="T1253" t="inlineStr"/>
    </row>
    <row r="1254">
      <c r="A1254" t="inlineStr">
        <is>
          <t>CC de Petite-Terre</t>
        </is>
      </c>
      <c r="B1254" t="inlineStr">
        <is>
          <t>Communauté de communes</t>
        </is>
      </c>
      <c r="C1254" t="inlineStr">
        <is>
          <t>200050532</t>
        </is>
      </c>
      <c r="D1254" t="inlineStr">
        <is>
          <t>976</t>
        </is>
      </c>
      <c r="E1254" t="inlineStr">
        <is>
          <t>Mayotte</t>
        </is>
      </c>
      <c r="F1254" t="inlineStr">
        <is>
          <t>Mayotte</t>
        </is>
      </c>
      <c r="G1254" s="3" t="n">
        <v>29273</v>
      </c>
      <c r="H1254" t="n">
        <v>2</v>
      </c>
      <c r="I1254" t="inlineStr">
        <is>
          <t>rue PPF, BP 55</t>
        </is>
      </c>
      <c r="J1254" t="inlineStr">
        <is>
          <t>97615</t>
        </is>
      </c>
      <c r="K1254" t="inlineStr">
        <is>
          <t>Pamandzi</t>
        </is>
      </c>
      <c r="L1254" t="inlineStr">
        <is>
          <t>02 62 60 12 82</t>
        </is>
      </c>
      <c r="M1254" t="inlineStr"/>
      <c r="N1254" t="inlineStr"/>
      <c r="O1254" t="inlineStr"/>
      <c r="P1254" s="4" t="inlineStr">
        <is>
          <t>https://lannuaire.service-public.gouv.fr/mayotte/mayotte/60c3433e-1338-4695-8d95-1e417818039e</t>
        </is>
      </c>
      <c r="Q1254" t="inlineStr">
        <is>
          <t>Annuaire Service-public.fr</t>
        </is>
      </c>
      <c r="R1254" t="inlineStr"/>
      <c r="S1254" t="inlineStr"/>
      <c r="T1254" t="inlineStr"/>
    </row>
    <row r="1255">
      <c r="A1255" t="inlineStr">
        <is>
          <t>CC du Centre-Ouest</t>
        </is>
      </c>
      <c r="B1255" t="inlineStr">
        <is>
          <t>Communauté de communes</t>
        </is>
      </c>
      <c r="C1255" t="inlineStr">
        <is>
          <t>200059871</t>
        </is>
      </c>
      <c r="D1255" t="inlineStr">
        <is>
          <t>976</t>
        </is>
      </c>
      <c r="E1255" t="inlineStr">
        <is>
          <t>Mayotte</t>
        </is>
      </c>
      <c r="F1255" t="inlineStr">
        <is>
          <t>Mayotte</t>
        </is>
      </c>
      <c r="G1255" s="3" t="n">
        <v>50020</v>
      </c>
      <c r="H1255" t="n">
        <v>5</v>
      </c>
      <c r="I1255" t="inlineStr">
        <is>
          <t>1444 avenue Zoubert-Adinani, Mroalé</t>
        </is>
      </c>
      <c r="J1255" t="inlineStr">
        <is>
          <t>97680</t>
        </is>
      </c>
      <c r="K1255" t="inlineStr">
        <is>
          <t>Tsingoni</t>
        </is>
      </c>
      <c r="L1255" t="inlineStr">
        <is>
          <t>02 69 63 76 76</t>
        </is>
      </c>
      <c r="M1255" s="4" t="inlineStr">
        <is>
          <t>accueil@3co-mayotte.fr</t>
        </is>
      </c>
      <c r="N1255" s="4" t="inlineStr">
        <is>
          <t>https://www.3co-mayotte.fr</t>
        </is>
      </c>
      <c r="O1255" s="4" t="inlineStr">
        <is>
          <t>https://www.3co-mayotte.fr/contacts/</t>
        </is>
      </c>
      <c r="P1255" s="4" t="inlineStr">
        <is>
          <t>https://lannuaire.service-public.gouv.fr/mayotte/mayotte/4d2e62b6-b02f-4ab1-963f-6d10f896f187</t>
        </is>
      </c>
      <c r="Q1255" t="inlineStr">
        <is>
          <t>Annuaire Service-public.fr</t>
        </is>
      </c>
      <c r="R1255" t="inlineStr"/>
      <c r="S1255" t="inlineStr"/>
      <c r="T1255" t="inlineStr"/>
    </row>
    <row r="1256">
      <c r="A1256" t="inlineStr">
        <is>
          <t>CC du Sud</t>
        </is>
      </c>
      <c r="B1256" t="inlineStr">
        <is>
          <t>Communauté de communes</t>
        </is>
      </c>
      <c r="C1256" t="inlineStr">
        <is>
          <t>200060473</t>
        </is>
      </c>
      <c r="D1256" t="inlineStr">
        <is>
          <t>976</t>
        </is>
      </c>
      <c r="E1256" t="inlineStr">
        <is>
          <t>Mayotte</t>
        </is>
      </c>
      <c r="F1256" t="inlineStr">
        <is>
          <t>Mayotte</t>
        </is>
      </c>
      <c r="G1256" s="3" t="n">
        <v>30898</v>
      </c>
      <c r="H1256" t="n">
        <v>4</v>
      </c>
      <c r="I1256" t="inlineStr">
        <is>
          <t>Ancienne mairie de Bandrélé</t>
        </is>
      </c>
      <c r="J1256" t="inlineStr">
        <is>
          <t>97660</t>
        </is>
      </c>
      <c r="K1256" t="inlineStr">
        <is>
          <t>Bandrélé</t>
        </is>
      </c>
      <c r="L1256" t="inlineStr">
        <is>
          <t>02 69 62 27 44</t>
        </is>
      </c>
      <c r="M1256" s="4" t="inlineStr">
        <is>
          <t>contact@ccsud.yt</t>
        </is>
      </c>
      <c r="N1256" t="inlineStr"/>
      <c r="O1256" t="inlineStr"/>
      <c r="P1256" s="4" t="inlineStr">
        <is>
          <t>https://lannuaire.service-public.gouv.fr/mayotte/mayotte/ed3cd2df-ee8e-4651-b809-6795ac6b3fe9</t>
        </is>
      </c>
      <c r="Q1256" t="inlineStr">
        <is>
          <t>Annuaire Service-public.fr</t>
        </is>
      </c>
      <c r="R1256" t="inlineStr"/>
      <c r="S1256" t="inlineStr"/>
      <c r="T1256" t="inlineStr"/>
    </row>
  </sheetData>
  <autoFilter ref="A1:T1256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M3" r:id="rId5"/>
    <hyperlink xmlns:r="http://schemas.openxmlformats.org/officeDocument/2006/relationships" ref="N3" r:id="rId6"/>
    <hyperlink xmlns:r="http://schemas.openxmlformats.org/officeDocument/2006/relationships" ref="O3" r:id="rId7"/>
    <hyperlink xmlns:r="http://schemas.openxmlformats.org/officeDocument/2006/relationships" ref="P3" r:id="rId8"/>
    <hyperlink xmlns:r="http://schemas.openxmlformats.org/officeDocument/2006/relationships" ref="M4" r:id="rId9"/>
    <hyperlink xmlns:r="http://schemas.openxmlformats.org/officeDocument/2006/relationships" ref="N4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M5" r:id="rId13"/>
    <hyperlink xmlns:r="http://schemas.openxmlformats.org/officeDocument/2006/relationships" ref="N5" r:id="rId14"/>
    <hyperlink xmlns:r="http://schemas.openxmlformats.org/officeDocument/2006/relationships" ref="O5" r:id="rId15"/>
    <hyperlink xmlns:r="http://schemas.openxmlformats.org/officeDocument/2006/relationships" ref="P5" r:id="rId16"/>
    <hyperlink xmlns:r="http://schemas.openxmlformats.org/officeDocument/2006/relationships" ref="M6" r:id="rId17"/>
    <hyperlink xmlns:r="http://schemas.openxmlformats.org/officeDocument/2006/relationships" ref="N6" r:id="rId18"/>
    <hyperlink xmlns:r="http://schemas.openxmlformats.org/officeDocument/2006/relationships" ref="O6" r:id="rId19"/>
    <hyperlink xmlns:r="http://schemas.openxmlformats.org/officeDocument/2006/relationships" ref="P6" r:id="rId20"/>
    <hyperlink xmlns:r="http://schemas.openxmlformats.org/officeDocument/2006/relationships" ref="M7" r:id="rId21"/>
    <hyperlink xmlns:r="http://schemas.openxmlformats.org/officeDocument/2006/relationships" ref="N7" r:id="rId22"/>
    <hyperlink xmlns:r="http://schemas.openxmlformats.org/officeDocument/2006/relationships" ref="P7" r:id="rId23"/>
    <hyperlink xmlns:r="http://schemas.openxmlformats.org/officeDocument/2006/relationships" ref="M8" r:id="rId24"/>
    <hyperlink xmlns:r="http://schemas.openxmlformats.org/officeDocument/2006/relationships" ref="N8" r:id="rId25"/>
    <hyperlink xmlns:r="http://schemas.openxmlformats.org/officeDocument/2006/relationships" ref="O8" r:id="rId26"/>
    <hyperlink xmlns:r="http://schemas.openxmlformats.org/officeDocument/2006/relationships" ref="P8" r:id="rId27"/>
    <hyperlink xmlns:r="http://schemas.openxmlformats.org/officeDocument/2006/relationships" ref="M9" r:id="rId28"/>
    <hyperlink xmlns:r="http://schemas.openxmlformats.org/officeDocument/2006/relationships" ref="N9" r:id="rId29"/>
    <hyperlink xmlns:r="http://schemas.openxmlformats.org/officeDocument/2006/relationships" ref="P9" r:id="rId30"/>
    <hyperlink xmlns:r="http://schemas.openxmlformats.org/officeDocument/2006/relationships" ref="M10" r:id="rId31"/>
    <hyperlink xmlns:r="http://schemas.openxmlformats.org/officeDocument/2006/relationships" ref="N10" r:id="rId32"/>
    <hyperlink xmlns:r="http://schemas.openxmlformats.org/officeDocument/2006/relationships" ref="P10" r:id="rId33"/>
    <hyperlink xmlns:r="http://schemas.openxmlformats.org/officeDocument/2006/relationships" ref="M11" r:id="rId34"/>
    <hyperlink xmlns:r="http://schemas.openxmlformats.org/officeDocument/2006/relationships" ref="N11" r:id="rId35"/>
    <hyperlink xmlns:r="http://schemas.openxmlformats.org/officeDocument/2006/relationships" ref="P11" r:id="rId36"/>
    <hyperlink xmlns:r="http://schemas.openxmlformats.org/officeDocument/2006/relationships" ref="M12" r:id="rId37"/>
    <hyperlink xmlns:r="http://schemas.openxmlformats.org/officeDocument/2006/relationships" ref="N12" r:id="rId38"/>
    <hyperlink xmlns:r="http://schemas.openxmlformats.org/officeDocument/2006/relationships" ref="P12" r:id="rId39"/>
    <hyperlink xmlns:r="http://schemas.openxmlformats.org/officeDocument/2006/relationships" ref="M13" r:id="rId40"/>
    <hyperlink xmlns:r="http://schemas.openxmlformats.org/officeDocument/2006/relationships" ref="N13" r:id="rId41"/>
    <hyperlink xmlns:r="http://schemas.openxmlformats.org/officeDocument/2006/relationships" ref="O13" r:id="rId42"/>
    <hyperlink xmlns:r="http://schemas.openxmlformats.org/officeDocument/2006/relationships" ref="P13" r:id="rId43"/>
    <hyperlink xmlns:r="http://schemas.openxmlformats.org/officeDocument/2006/relationships" ref="M14" r:id="rId44"/>
    <hyperlink xmlns:r="http://schemas.openxmlformats.org/officeDocument/2006/relationships" ref="N14" r:id="rId45"/>
    <hyperlink xmlns:r="http://schemas.openxmlformats.org/officeDocument/2006/relationships" ref="O14" r:id="rId46"/>
    <hyperlink xmlns:r="http://schemas.openxmlformats.org/officeDocument/2006/relationships" ref="P14" r:id="rId47"/>
    <hyperlink xmlns:r="http://schemas.openxmlformats.org/officeDocument/2006/relationships" ref="M15" r:id="rId48"/>
    <hyperlink xmlns:r="http://schemas.openxmlformats.org/officeDocument/2006/relationships" ref="N15" r:id="rId49"/>
    <hyperlink xmlns:r="http://schemas.openxmlformats.org/officeDocument/2006/relationships" ref="P15" r:id="rId50"/>
    <hyperlink xmlns:r="http://schemas.openxmlformats.org/officeDocument/2006/relationships" ref="M16" r:id="rId51"/>
    <hyperlink xmlns:r="http://schemas.openxmlformats.org/officeDocument/2006/relationships" ref="N16" r:id="rId52"/>
    <hyperlink xmlns:r="http://schemas.openxmlformats.org/officeDocument/2006/relationships" ref="O16" r:id="rId53"/>
    <hyperlink xmlns:r="http://schemas.openxmlformats.org/officeDocument/2006/relationships" ref="P16" r:id="rId54"/>
    <hyperlink xmlns:r="http://schemas.openxmlformats.org/officeDocument/2006/relationships" ref="M17" r:id="rId55"/>
    <hyperlink xmlns:r="http://schemas.openxmlformats.org/officeDocument/2006/relationships" ref="N17" r:id="rId56"/>
    <hyperlink xmlns:r="http://schemas.openxmlformats.org/officeDocument/2006/relationships" ref="O17" r:id="rId57"/>
    <hyperlink xmlns:r="http://schemas.openxmlformats.org/officeDocument/2006/relationships" ref="P17" r:id="rId58"/>
    <hyperlink xmlns:r="http://schemas.openxmlformats.org/officeDocument/2006/relationships" ref="M18" r:id="rId59"/>
    <hyperlink xmlns:r="http://schemas.openxmlformats.org/officeDocument/2006/relationships" ref="N18" r:id="rId60"/>
    <hyperlink xmlns:r="http://schemas.openxmlformats.org/officeDocument/2006/relationships" ref="P18" r:id="rId61"/>
    <hyperlink xmlns:r="http://schemas.openxmlformats.org/officeDocument/2006/relationships" ref="M19" r:id="rId62"/>
    <hyperlink xmlns:r="http://schemas.openxmlformats.org/officeDocument/2006/relationships" ref="N19" r:id="rId63"/>
    <hyperlink xmlns:r="http://schemas.openxmlformats.org/officeDocument/2006/relationships" ref="P19" r:id="rId64"/>
    <hyperlink xmlns:r="http://schemas.openxmlformats.org/officeDocument/2006/relationships" ref="M20" r:id="rId65"/>
    <hyperlink xmlns:r="http://schemas.openxmlformats.org/officeDocument/2006/relationships" ref="N20" r:id="rId66"/>
    <hyperlink xmlns:r="http://schemas.openxmlformats.org/officeDocument/2006/relationships" ref="O20" r:id="rId67"/>
    <hyperlink xmlns:r="http://schemas.openxmlformats.org/officeDocument/2006/relationships" ref="P20" r:id="rId68"/>
    <hyperlink xmlns:r="http://schemas.openxmlformats.org/officeDocument/2006/relationships" ref="M21" r:id="rId69"/>
    <hyperlink xmlns:r="http://schemas.openxmlformats.org/officeDocument/2006/relationships" ref="N21" r:id="rId70"/>
    <hyperlink xmlns:r="http://schemas.openxmlformats.org/officeDocument/2006/relationships" ref="O21" r:id="rId71"/>
    <hyperlink xmlns:r="http://schemas.openxmlformats.org/officeDocument/2006/relationships" ref="P21" r:id="rId72"/>
    <hyperlink xmlns:r="http://schemas.openxmlformats.org/officeDocument/2006/relationships" ref="M22" r:id="rId73"/>
    <hyperlink xmlns:r="http://schemas.openxmlformats.org/officeDocument/2006/relationships" ref="N22" r:id="rId74"/>
    <hyperlink xmlns:r="http://schemas.openxmlformats.org/officeDocument/2006/relationships" ref="O22" r:id="rId75"/>
    <hyperlink xmlns:r="http://schemas.openxmlformats.org/officeDocument/2006/relationships" ref="P22" r:id="rId76"/>
    <hyperlink xmlns:r="http://schemas.openxmlformats.org/officeDocument/2006/relationships" ref="M23" r:id="rId77"/>
    <hyperlink xmlns:r="http://schemas.openxmlformats.org/officeDocument/2006/relationships" ref="N23" r:id="rId78"/>
    <hyperlink xmlns:r="http://schemas.openxmlformats.org/officeDocument/2006/relationships" ref="O23" r:id="rId79"/>
    <hyperlink xmlns:r="http://schemas.openxmlformats.org/officeDocument/2006/relationships" ref="P23" r:id="rId80"/>
    <hyperlink xmlns:r="http://schemas.openxmlformats.org/officeDocument/2006/relationships" ref="M24" r:id="rId81"/>
    <hyperlink xmlns:r="http://schemas.openxmlformats.org/officeDocument/2006/relationships" ref="N24" r:id="rId82"/>
    <hyperlink xmlns:r="http://schemas.openxmlformats.org/officeDocument/2006/relationships" ref="P24" r:id="rId83"/>
    <hyperlink xmlns:r="http://schemas.openxmlformats.org/officeDocument/2006/relationships" ref="M25" r:id="rId84"/>
    <hyperlink xmlns:r="http://schemas.openxmlformats.org/officeDocument/2006/relationships" ref="N25" r:id="rId85"/>
    <hyperlink xmlns:r="http://schemas.openxmlformats.org/officeDocument/2006/relationships" ref="O25" r:id="rId86"/>
    <hyperlink xmlns:r="http://schemas.openxmlformats.org/officeDocument/2006/relationships" ref="P25" r:id="rId87"/>
    <hyperlink xmlns:r="http://schemas.openxmlformats.org/officeDocument/2006/relationships" ref="M26" r:id="rId88"/>
    <hyperlink xmlns:r="http://schemas.openxmlformats.org/officeDocument/2006/relationships" ref="N26" r:id="rId89"/>
    <hyperlink xmlns:r="http://schemas.openxmlformats.org/officeDocument/2006/relationships" ref="O26" r:id="rId90"/>
    <hyperlink xmlns:r="http://schemas.openxmlformats.org/officeDocument/2006/relationships" ref="P26" r:id="rId91"/>
    <hyperlink xmlns:r="http://schemas.openxmlformats.org/officeDocument/2006/relationships" ref="M27" r:id="rId92"/>
    <hyperlink xmlns:r="http://schemas.openxmlformats.org/officeDocument/2006/relationships" ref="N27" r:id="rId93"/>
    <hyperlink xmlns:r="http://schemas.openxmlformats.org/officeDocument/2006/relationships" ref="O27" r:id="rId94"/>
    <hyperlink xmlns:r="http://schemas.openxmlformats.org/officeDocument/2006/relationships" ref="P27" r:id="rId95"/>
    <hyperlink xmlns:r="http://schemas.openxmlformats.org/officeDocument/2006/relationships" ref="M28" r:id="rId96"/>
    <hyperlink xmlns:r="http://schemas.openxmlformats.org/officeDocument/2006/relationships" ref="P28" r:id="rId97"/>
    <hyperlink xmlns:r="http://schemas.openxmlformats.org/officeDocument/2006/relationships" ref="M29" r:id="rId98"/>
    <hyperlink xmlns:r="http://schemas.openxmlformats.org/officeDocument/2006/relationships" ref="N29" r:id="rId99"/>
    <hyperlink xmlns:r="http://schemas.openxmlformats.org/officeDocument/2006/relationships" ref="O29" r:id="rId100"/>
    <hyperlink xmlns:r="http://schemas.openxmlformats.org/officeDocument/2006/relationships" ref="P29" r:id="rId101"/>
    <hyperlink xmlns:r="http://schemas.openxmlformats.org/officeDocument/2006/relationships" ref="M30" r:id="rId102"/>
    <hyperlink xmlns:r="http://schemas.openxmlformats.org/officeDocument/2006/relationships" ref="N30" r:id="rId103"/>
    <hyperlink xmlns:r="http://schemas.openxmlformats.org/officeDocument/2006/relationships" ref="O30" r:id="rId104"/>
    <hyperlink xmlns:r="http://schemas.openxmlformats.org/officeDocument/2006/relationships" ref="P30" r:id="rId105"/>
    <hyperlink xmlns:r="http://schemas.openxmlformats.org/officeDocument/2006/relationships" ref="M31" r:id="rId106"/>
    <hyperlink xmlns:r="http://schemas.openxmlformats.org/officeDocument/2006/relationships" ref="N31" r:id="rId107"/>
    <hyperlink xmlns:r="http://schemas.openxmlformats.org/officeDocument/2006/relationships" ref="O31" r:id="rId108"/>
    <hyperlink xmlns:r="http://schemas.openxmlformats.org/officeDocument/2006/relationships" ref="P31" r:id="rId109"/>
    <hyperlink xmlns:r="http://schemas.openxmlformats.org/officeDocument/2006/relationships" ref="M32" r:id="rId110"/>
    <hyperlink xmlns:r="http://schemas.openxmlformats.org/officeDocument/2006/relationships" ref="N32" r:id="rId111"/>
    <hyperlink xmlns:r="http://schemas.openxmlformats.org/officeDocument/2006/relationships" ref="P32" r:id="rId112"/>
    <hyperlink xmlns:r="http://schemas.openxmlformats.org/officeDocument/2006/relationships" ref="M33" r:id="rId113"/>
    <hyperlink xmlns:r="http://schemas.openxmlformats.org/officeDocument/2006/relationships" ref="N33" r:id="rId114"/>
    <hyperlink xmlns:r="http://schemas.openxmlformats.org/officeDocument/2006/relationships" ref="O33" r:id="rId115"/>
    <hyperlink xmlns:r="http://schemas.openxmlformats.org/officeDocument/2006/relationships" ref="P33" r:id="rId116"/>
    <hyperlink xmlns:r="http://schemas.openxmlformats.org/officeDocument/2006/relationships" ref="M34" r:id="rId117"/>
    <hyperlink xmlns:r="http://schemas.openxmlformats.org/officeDocument/2006/relationships" ref="N34" r:id="rId118"/>
    <hyperlink xmlns:r="http://schemas.openxmlformats.org/officeDocument/2006/relationships" ref="O34" r:id="rId119"/>
    <hyperlink xmlns:r="http://schemas.openxmlformats.org/officeDocument/2006/relationships" ref="P34" r:id="rId120"/>
    <hyperlink xmlns:r="http://schemas.openxmlformats.org/officeDocument/2006/relationships" ref="M35" r:id="rId121"/>
    <hyperlink xmlns:r="http://schemas.openxmlformats.org/officeDocument/2006/relationships" ref="N35" r:id="rId122"/>
    <hyperlink xmlns:r="http://schemas.openxmlformats.org/officeDocument/2006/relationships" ref="O35" r:id="rId123"/>
    <hyperlink xmlns:r="http://schemas.openxmlformats.org/officeDocument/2006/relationships" ref="P35" r:id="rId124"/>
    <hyperlink xmlns:r="http://schemas.openxmlformats.org/officeDocument/2006/relationships" ref="M36" r:id="rId125"/>
    <hyperlink xmlns:r="http://schemas.openxmlformats.org/officeDocument/2006/relationships" ref="N36" r:id="rId126"/>
    <hyperlink xmlns:r="http://schemas.openxmlformats.org/officeDocument/2006/relationships" ref="P36" r:id="rId127"/>
    <hyperlink xmlns:r="http://schemas.openxmlformats.org/officeDocument/2006/relationships" ref="M37" r:id="rId128"/>
    <hyperlink xmlns:r="http://schemas.openxmlformats.org/officeDocument/2006/relationships" ref="N37" r:id="rId129"/>
    <hyperlink xmlns:r="http://schemas.openxmlformats.org/officeDocument/2006/relationships" ref="P37" r:id="rId130"/>
    <hyperlink xmlns:r="http://schemas.openxmlformats.org/officeDocument/2006/relationships" ref="M38" r:id="rId131"/>
    <hyperlink xmlns:r="http://schemas.openxmlformats.org/officeDocument/2006/relationships" ref="N38" r:id="rId132"/>
    <hyperlink xmlns:r="http://schemas.openxmlformats.org/officeDocument/2006/relationships" ref="P38" r:id="rId133"/>
    <hyperlink xmlns:r="http://schemas.openxmlformats.org/officeDocument/2006/relationships" ref="M39" r:id="rId134"/>
    <hyperlink xmlns:r="http://schemas.openxmlformats.org/officeDocument/2006/relationships" ref="N39" r:id="rId135"/>
    <hyperlink xmlns:r="http://schemas.openxmlformats.org/officeDocument/2006/relationships" ref="O39" r:id="rId136"/>
    <hyperlink xmlns:r="http://schemas.openxmlformats.org/officeDocument/2006/relationships" ref="P39" r:id="rId137"/>
    <hyperlink xmlns:r="http://schemas.openxmlformats.org/officeDocument/2006/relationships" ref="M40" r:id="rId138"/>
    <hyperlink xmlns:r="http://schemas.openxmlformats.org/officeDocument/2006/relationships" ref="N40" r:id="rId139"/>
    <hyperlink xmlns:r="http://schemas.openxmlformats.org/officeDocument/2006/relationships" ref="O40" r:id="rId140"/>
    <hyperlink xmlns:r="http://schemas.openxmlformats.org/officeDocument/2006/relationships" ref="P40" r:id="rId141"/>
    <hyperlink xmlns:r="http://schemas.openxmlformats.org/officeDocument/2006/relationships" ref="M41" r:id="rId142"/>
    <hyperlink xmlns:r="http://schemas.openxmlformats.org/officeDocument/2006/relationships" ref="N41" r:id="rId143"/>
    <hyperlink xmlns:r="http://schemas.openxmlformats.org/officeDocument/2006/relationships" ref="P41" r:id="rId144"/>
    <hyperlink xmlns:r="http://schemas.openxmlformats.org/officeDocument/2006/relationships" ref="M42" r:id="rId145"/>
    <hyperlink xmlns:r="http://schemas.openxmlformats.org/officeDocument/2006/relationships" ref="N42" r:id="rId146"/>
    <hyperlink xmlns:r="http://schemas.openxmlformats.org/officeDocument/2006/relationships" ref="O42" r:id="rId147"/>
    <hyperlink xmlns:r="http://schemas.openxmlformats.org/officeDocument/2006/relationships" ref="P42" r:id="rId148"/>
    <hyperlink xmlns:r="http://schemas.openxmlformats.org/officeDocument/2006/relationships" ref="M43" r:id="rId149"/>
    <hyperlink xmlns:r="http://schemas.openxmlformats.org/officeDocument/2006/relationships" ref="N43" r:id="rId150"/>
    <hyperlink xmlns:r="http://schemas.openxmlformats.org/officeDocument/2006/relationships" ref="O43" r:id="rId151"/>
    <hyperlink xmlns:r="http://schemas.openxmlformats.org/officeDocument/2006/relationships" ref="P43" r:id="rId152"/>
    <hyperlink xmlns:r="http://schemas.openxmlformats.org/officeDocument/2006/relationships" ref="M44" r:id="rId153"/>
    <hyperlink xmlns:r="http://schemas.openxmlformats.org/officeDocument/2006/relationships" ref="N44" r:id="rId154"/>
    <hyperlink xmlns:r="http://schemas.openxmlformats.org/officeDocument/2006/relationships" ref="O44" r:id="rId155"/>
    <hyperlink xmlns:r="http://schemas.openxmlformats.org/officeDocument/2006/relationships" ref="P44" r:id="rId156"/>
    <hyperlink xmlns:r="http://schemas.openxmlformats.org/officeDocument/2006/relationships" ref="M45" r:id="rId157"/>
    <hyperlink xmlns:r="http://schemas.openxmlformats.org/officeDocument/2006/relationships" ref="N45" r:id="rId158"/>
    <hyperlink xmlns:r="http://schemas.openxmlformats.org/officeDocument/2006/relationships" ref="O45" r:id="rId159"/>
    <hyperlink xmlns:r="http://schemas.openxmlformats.org/officeDocument/2006/relationships" ref="P45" r:id="rId160"/>
    <hyperlink xmlns:r="http://schemas.openxmlformats.org/officeDocument/2006/relationships" ref="M46" r:id="rId161"/>
    <hyperlink xmlns:r="http://schemas.openxmlformats.org/officeDocument/2006/relationships" ref="N46" r:id="rId162"/>
    <hyperlink xmlns:r="http://schemas.openxmlformats.org/officeDocument/2006/relationships" ref="O46" r:id="rId163"/>
    <hyperlink xmlns:r="http://schemas.openxmlformats.org/officeDocument/2006/relationships" ref="P46" r:id="rId164"/>
    <hyperlink xmlns:r="http://schemas.openxmlformats.org/officeDocument/2006/relationships" ref="M47" r:id="rId165"/>
    <hyperlink xmlns:r="http://schemas.openxmlformats.org/officeDocument/2006/relationships" ref="N47" r:id="rId166"/>
    <hyperlink xmlns:r="http://schemas.openxmlformats.org/officeDocument/2006/relationships" ref="O47" r:id="rId167"/>
    <hyperlink xmlns:r="http://schemas.openxmlformats.org/officeDocument/2006/relationships" ref="P47" r:id="rId168"/>
    <hyperlink xmlns:r="http://schemas.openxmlformats.org/officeDocument/2006/relationships" ref="M48" r:id="rId169"/>
    <hyperlink xmlns:r="http://schemas.openxmlformats.org/officeDocument/2006/relationships" ref="N48" r:id="rId170"/>
    <hyperlink xmlns:r="http://schemas.openxmlformats.org/officeDocument/2006/relationships" ref="O48" r:id="rId171"/>
    <hyperlink xmlns:r="http://schemas.openxmlformats.org/officeDocument/2006/relationships" ref="P48" r:id="rId172"/>
    <hyperlink xmlns:r="http://schemas.openxmlformats.org/officeDocument/2006/relationships" ref="M49" r:id="rId173"/>
    <hyperlink xmlns:r="http://schemas.openxmlformats.org/officeDocument/2006/relationships" ref="N49" r:id="rId174"/>
    <hyperlink xmlns:r="http://schemas.openxmlformats.org/officeDocument/2006/relationships" ref="O49" r:id="rId175"/>
    <hyperlink xmlns:r="http://schemas.openxmlformats.org/officeDocument/2006/relationships" ref="P49" r:id="rId176"/>
    <hyperlink xmlns:r="http://schemas.openxmlformats.org/officeDocument/2006/relationships" ref="M50" r:id="rId177"/>
    <hyperlink xmlns:r="http://schemas.openxmlformats.org/officeDocument/2006/relationships" ref="N50" r:id="rId178"/>
    <hyperlink xmlns:r="http://schemas.openxmlformats.org/officeDocument/2006/relationships" ref="O50" r:id="rId179"/>
    <hyperlink xmlns:r="http://schemas.openxmlformats.org/officeDocument/2006/relationships" ref="P50" r:id="rId180"/>
    <hyperlink xmlns:r="http://schemas.openxmlformats.org/officeDocument/2006/relationships" ref="M51" r:id="rId181"/>
    <hyperlink xmlns:r="http://schemas.openxmlformats.org/officeDocument/2006/relationships" ref="N51" r:id="rId182"/>
    <hyperlink xmlns:r="http://schemas.openxmlformats.org/officeDocument/2006/relationships" ref="O51" r:id="rId183"/>
    <hyperlink xmlns:r="http://schemas.openxmlformats.org/officeDocument/2006/relationships" ref="P51" r:id="rId184"/>
    <hyperlink xmlns:r="http://schemas.openxmlformats.org/officeDocument/2006/relationships" ref="M52" r:id="rId185"/>
    <hyperlink xmlns:r="http://schemas.openxmlformats.org/officeDocument/2006/relationships" ref="N52" r:id="rId186"/>
    <hyperlink xmlns:r="http://schemas.openxmlformats.org/officeDocument/2006/relationships" ref="O52" r:id="rId187"/>
    <hyperlink xmlns:r="http://schemas.openxmlformats.org/officeDocument/2006/relationships" ref="P52" r:id="rId188"/>
    <hyperlink xmlns:r="http://schemas.openxmlformats.org/officeDocument/2006/relationships" ref="M53" r:id="rId189"/>
    <hyperlink xmlns:r="http://schemas.openxmlformats.org/officeDocument/2006/relationships" ref="N53" r:id="rId190"/>
    <hyperlink xmlns:r="http://schemas.openxmlformats.org/officeDocument/2006/relationships" ref="O53" r:id="rId191"/>
    <hyperlink xmlns:r="http://schemas.openxmlformats.org/officeDocument/2006/relationships" ref="P53" r:id="rId192"/>
    <hyperlink xmlns:r="http://schemas.openxmlformats.org/officeDocument/2006/relationships" ref="M54" r:id="rId193"/>
    <hyperlink xmlns:r="http://schemas.openxmlformats.org/officeDocument/2006/relationships" ref="N54" r:id="rId194"/>
    <hyperlink xmlns:r="http://schemas.openxmlformats.org/officeDocument/2006/relationships" ref="O54" r:id="rId195"/>
    <hyperlink xmlns:r="http://schemas.openxmlformats.org/officeDocument/2006/relationships" ref="P54" r:id="rId196"/>
    <hyperlink xmlns:r="http://schemas.openxmlformats.org/officeDocument/2006/relationships" ref="M55" r:id="rId197"/>
    <hyperlink xmlns:r="http://schemas.openxmlformats.org/officeDocument/2006/relationships" ref="N55" r:id="rId198"/>
    <hyperlink xmlns:r="http://schemas.openxmlformats.org/officeDocument/2006/relationships" ref="O55" r:id="rId199"/>
    <hyperlink xmlns:r="http://schemas.openxmlformats.org/officeDocument/2006/relationships" ref="P55" r:id="rId200"/>
    <hyperlink xmlns:r="http://schemas.openxmlformats.org/officeDocument/2006/relationships" ref="M56" r:id="rId201"/>
    <hyperlink xmlns:r="http://schemas.openxmlformats.org/officeDocument/2006/relationships" ref="N56" r:id="rId202"/>
    <hyperlink xmlns:r="http://schemas.openxmlformats.org/officeDocument/2006/relationships" ref="P56" r:id="rId203"/>
    <hyperlink xmlns:r="http://schemas.openxmlformats.org/officeDocument/2006/relationships" ref="M57" r:id="rId204"/>
    <hyperlink xmlns:r="http://schemas.openxmlformats.org/officeDocument/2006/relationships" ref="N57" r:id="rId205"/>
    <hyperlink xmlns:r="http://schemas.openxmlformats.org/officeDocument/2006/relationships" ref="O57" r:id="rId206"/>
    <hyperlink xmlns:r="http://schemas.openxmlformats.org/officeDocument/2006/relationships" ref="P57" r:id="rId207"/>
    <hyperlink xmlns:r="http://schemas.openxmlformats.org/officeDocument/2006/relationships" ref="M58" r:id="rId208"/>
    <hyperlink xmlns:r="http://schemas.openxmlformats.org/officeDocument/2006/relationships" ref="N58" r:id="rId209"/>
    <hyperlink xmlns:r="http://schemas.openxmlformats.org/officeDocument/2006/relationships" ref="O58" r:id="rId210"/>
    <hyperlink xmlns:r="http://schemas.openxmlformats.org/officeDocument/2006/relationships" ref="P58" r:id="rId211"/>
    <hyperlink xmlns:r="http://schemas.openxmlformats.org/officeDocument/2006/relationships" ref="M59" r:id="rId212"/>
    <hyperlink xmlns:r="http://schemas.openxmlformats.org/officeDocument/2006/relationships" ref="N59" r:id="rId213"/>
    <hyperlink xmlns:r="http://schemas.openxmlformats.org/officeDocument/2006/relationships" ref="O59" r:id="rId214"/>
    <hyperlink xmlns:r="http://schemas.openxmlformats.org/officeDocument/2006/relationships" ref="P59" r:id="rId215"/>
    <hyperlink xmlns:r="http://schemas.openxmlformats.org/officeDocument/2006/relationships" ref="M60" r:id="rId216"/>
    <hyperlink xmlns:r="http://schemas.openxmlformats.org/officeDocument/2006/relationships" ref="N60" r:id="rId217"/>
    <hyperlink xmlns:r="http://schemas.openxmlformats.org/officeDocument/2006/relationships" ref="P60" r:id="rId218"/>
    <hyperlink xmlns:r="http://schemas.openxmlformats.org/officeDocument/2006/relationships" ref="M61" r:id="rId219"/>
    <hyperlink xmlns:r="http://schemas.openxmlformats.org/officeDocument/2006/relationships" ref="N61" r:id="rId220"/>
    <hyperlink xmlns:r="http://schemas.openxmlformats.org/officeDocument/2006/relationships" ref="O61" r:id="rId221"/>
    <hyperlink xmlns:r="http://schemas.openxmlformats.org/officeDocument/2006/relationships" ref="P61" r:id="rId222"/>
    <hyperlink xmlns:r="http://schemas.openxmlformats.org/officeDocument/2006/relationships" ref="M62" r:id="rId223"/>
    <hyperlink xmlns:r="http://schemas.openxmlformats.org/officeDocument/2006/relationships" ref="N62" r:id="rId224"/>
    <hyperlink xmlns:r="http://schemas.openxmlformats.org/officeDocument/2006/relationships" ref="O62" r:id="rId225"/>
    <hyperlink xmlns:r="http://schemas.openxmlformats.org/officeDocument/2006/relationships" ref="P62" r:id="rId226"/>
    <hyperlink xmlns:r="http://schemas.openxmlformats.org/officeDocument/2006/relationships" ref="M63" r:id="rId227"/>
    <hyperlink xmlns:r="http://schemas.openxmlformats.org/officeDocument/2006/relationships" ref="N63" r:id="rId228"/>
    <hyperlink xmlns:r="http://schemas.openxmlformats.org/officeDocument/2006/relationships" ref="O63" r:id="rId229"/>
    <hyperlink xmlns:r="http://schemas.openxmlformats.org/officeDocument/2006/relationships" ref="P63" r:id="rId230"/>
    <hyperlink xmlns:r="http://schemas.openxmlformats.org/officeDocument/2006/relationships" ref="M64" r:id="rId231"/>
    <hyperlink xmlns:r="http://schemas.openxmlformats.org/officeDocument/2006/relationships" ref="N64" r:id="rId232"/>
    <hyperlink xmlns:r="http://schemas.openxmlformats.org/officeDocument/2006/relationships" ref="O64" r:id="rId233"/>
    <hyperlink xmlns:r="http://schemas.openxmlformats.org/officeDocument/2006/relationships" ref="P64" r:id="rId234"/>
    <hyperlink xmlns:r="http://schemas.openxmlformats.org/officeDocument/2006/relationships" ref="M65" r:id="rId235"/>
    <hyperlink xmlns:r="http://schemas.openxmlformats.org/officeDocument/2006/relationships" ref="N65" r:id="rId236"/>
    <hyperlink xmlns:r="http://schemas.openxmlformats.org/officeDocument/2006/relationships" ref="O65" r:id="rId237"/>
    <hyperlink xmlns:r="http://schemas.openxmlformats.org/officeDocument/2006/relationships" ref="P65" r:id="rId238"/>
    <hyperlink xmlns:r="http://schemas.openxmlformats.org/officeDocument/2006/relationships" ref="M66" r:id="rId239"/>
    <hyperlink xmlns:r="http://schemas.openxmlformats.org/officeDocument/2006/relationships" ref="N66" r:id="rId240"/>
    <hyperlink xmlns:r="http://schemas.openxmlformats.org/officeDocument/2006/relationships" ref="O66" r:id="rId241"/>
    <hyperlink xmlns:r="http://schemas.openxmlformats.org/officeDocument/2006/relationships" ref="P66" r:id="rId242"/>
    <hyperlink xmlns:r="http://schemas.openxmlformats.org/officeDocument/2006/relationships" ref="M67" r:id="rId243"/>
    <hyperlink xmlns:r="http://schemas.openxmlformats.org/officeDocument/2006/relationships" ref="N67" r:id="rId244"/>
    <hyperlink xmlns:r="http://schemas.openxmlformats.org/officeDocument/2006/relationships" ref="O67" r:id="rId245"/>
    <hyperlink xmlns:r="http://schemas.openxmlformats.org/officeDocument/2006/relationships" ref="P67" r:id="rId246"/>
    <hyperlink xmlns:r="http://schemas.openxmlformats.org/officeDocument/2006/relationships" ref="M68" r:id="rId247"/>
    <hyperlink xmlns:r="http://schemas.openxmlformats.org/officeDocument/2006/relationships" ref="N68" r:id="rId248"/>
    <hyperlink xmlns:r="http://schemas.openxmlformats.org/officeDocument/2006/relationships" ref="O68" r:id="rId249"/>
    <hyperlink xmlns:r="http://schemas.openxmlformats.org/officeDocument/2006/relationships" ref="P68" r:id="rId250"/>
    <hyperlink xmlns:r="http://schemas.openxmlformats.org/officeDocument/2006/relationships" ref="M69" r:id="rId251"/>
    <hyperlink xmlns:r="http://schemas.openxmlformats.org/officeDocument/2006/relationships" ref="N69" r:id="rId252"/>
    <hyperlink xmlns:r="http://schemas.openxmlformats.org/officeDocument/2006/relationships" ref="O69" r:id="rId253"/>
    <hyperlink xmlns:r="http://schemas.openxmlformats.org/officeDocument/2006/relationships" ref="P69" r:id="rId254"/>
    <hyperlink xmlns:r="http://schemas.openxmlformats.org/officeDocument/2006/relationships" ref="M70" r:id="rId255"/>
    <hyperlink xmlns:r="http://schemas.openxmlformats.org/officeDocument/2006/relationships" ref="N70" r:id="rId256"/>
    <hyperlink xmlns:r="http://schemas.openxmlformats.org/officeDocument/2006/relationships" ref="P70" r:id="rId257"/>
    <hyperlink xmlns:r="http://schemas.openxmlformats.org/officeDocument/2006/relationships" ref="M71" r:id="rId258"/>
    <hyperlink xmlns:r="http://schemas.openxmlformats.org/officeDocument/2006/relationships" ref="N71" r:id="rId259"/>
    <hyperlink xmlns:r="http://schemas.openxmlformats.org/officeDocument/2006/relationships" ref="P71" r:id="rId260"/>
    <hyperlink xmlns:r="http://schemas.openxmlformats.org/officeDocument/2006/relationships" ref="M72" r:id="rId261"/>
    <hyperlink xmlns:r="http://schemas.openxmlformats.org/officeDocument/2006/relationships" ref="P72" r:id="rId262"/>
    <hyperlink xmlns:r="http://schemas.openxmlformats.org/officeDocument/2006/relationships" ref="M73" r:id="rId263"/>
    <hyperlink xmlns:r="http://schemas.openxmlformats.org/officeDocument/2006/relationships" ref="N73" r:id="rId264"/>
    <hyperlink xmlns:r="http://schemas.openxmlformats.org/officeDocument/2006/relationships" ref="P73" r:id="rId265"/>
    <hyperlink xmlns:r="http://schemas.openxmlformats.org/officeDocument/2006/relationships" ref="N74" r:id="rId266"/>
    <hyperlink xmlns:r="http://schemas.openxmlformats.org/officeDocument/2006/relationships" ref="O74" r:id="rId267"/>
    <hyperlink xmlns:r="http://schemas.openxmlformats.org/officeDocument/2006/relationships" ref="P74" r:id="rId268"/>
    <hyperlink xmlns:r="http://schemas.openxmlformats.org/officeDocument/2006/relationships" ref="M75" r:id="rId269"/>
    <hyperlink xmlns:r="http://schemas.openxmlformats.org/officeDocument/2006/relationships" ref="N75" r:id="rId270"/>
    <hyperlink xmlns:r="http://schemas.openxmlformats.org/officeDocument/2006/relationships" ref="O75" r:id="rId271"/>
    <hyperlink xmlns:r="http://schemas.openxmlformats.org/officeDocument/2006/relationships" ref="P75" r:id="rId272"/>
    <hyperlink xmlns:r="http://schemas.openxmlformats.org/officeDocument/2006/relationships" ref="M76" r:id="rId273"/>
    <hyperlink xmlns:r="http://schemas.openxmlformats.org/officeDocument/2006/relationships" ref="N76" r:id="rId274"/>
    <hyperlink xmlns:r="http://schemas.openxmlformats.org/officeDocument/2006/relationships" ref="O76" r:id="rId275"/>
    <hyperlink xmlns:r="http://schemas.openxmlformats.org/officeDocument/2006/relationships" ref="P76" r:id="rId276"/>
    <hyperlink xmlns:r="http://schemas.openxmlformats.org/officeDocument/2006/relationships" ref="M77" r:id="rId277"/>
    <hyperlink xmlns:r="http://schemas.openxmlformats.org/officeDocument/2006/relationships" ref="N77" r:id="rId278"/>
    <hyperlink xmlns:r="http://schemas.openxmlformats.org/officeDocument/2006/relationships" ref="O77" r:id="rId279"/>
    <hyperlink xmlns:r="http://schemas.openxmlformats.org/officeDocument/2006/relationships" ref="P77" r:id="rId280"/>
    <hyperlink xmlns:r="http://schemas.openxmlformats.org/officeDocument/2006/relationships" ref="M78" r:id="rId281"/>
    <hyperlink xmlns:r="http://schemas.openxmlformats.org/officeDocument/2006/relationships" ref="N78" r:id="rId282"/>
    <hyperlink xmlns:r="http://schemas.openxmlformats.org/officeDocument/2006/relationships" ref="P78" r:id="rId283"/>
    <hyperlink xmlns:r="http://schemas.openxmlformats.org/officeDocument/2006/relationships" ref="M79" r:id="rId284"/>
    <hyperlink xmlns:r="http://schemas.openxmlformats.org/officeDocument/2006/relationships" ref="N79" r:id="rId285"/>
    <hyperlink xmlns:r="http://schemas.openxmlformats.org/officeDocument/2006/relationships" ref="O79" r:id="rId286"/>
    <hyperlink xmlns:r="http://schemas.openxmlformats.org/officeDocument/2006/relationships" ref="P79" r:id="rId287"/>
    <hyperlink xmlns:r="http://schemas.openxmlformats.org/officeDocument/2006/relationships" ref="M80" r:id="rId288"/>
    <hyperlink xmlns:r="http://schemas.openxmlformats.org/officeDocument/2006/relationships" ref="N80" r:id="rId289"/>
    <hyperlink xmlns:r="http://schemas.openxmlformats.org/officeDocument/2006/relationships" ref="O80" r:id="rId290"/>
    <hyperlink xmlns:r="http://schemas.openxmlformats.org/officeDocument/2006/relationships" ref="P80" r:id="rId291"/>
    <hyperlink xmlns:r="http://schemas.openxmlformats.org/officeDocument/2006/relationships" ref="M81" r:id="rId292"/>
    <hyperlink xmlns:r="http://schemas.openxmlformats.org/officeDocument/2006/relationships" ref="N81" r:id="rId293"/>
    <hyperlink xmlns:r="http://schemas.openxmlformats.org/officeDocument/2006/relationships" ref="O81" r:id="rId294"/>
    <hyperlink xmlns:r="http://schemas.openxmlformats.org/officeDocument/2006/relationships" ref="P81" r:id="rId295"/>
    <hyperlink xmlns:r="http://schemas.openxmlformats.org/officeDocument/2006/relationships" ref="M82" r:id="rId296"/>
    <hyperlink xmlns:r="http://schemas.openxmlformats.org/officeDocument/2006/relationships" ref="N82" r:id="rId297"/>
    <hyperlink xmlns:r="http://schemas.openxmlformats.org/officeDocument/2006/relationships" ref="P82" r:id="rId298"/>
    <hyperlink xmlns:r="http://schemas.openxmlformats.org/officeDocument/2006/relationships" ref="M83" r:id="rId299"/>
    <hyperlink xmlns:r="http://schemas.openxmlformats.org/officeDocument/2006/relationships" ref="N83" r:id="rId300"/>
    <hyperlink xmlns:r="http://schemas.openxmlformats.org/officeDocument/2006/relationships" ref="O83" r:id="rId301"/>
    <hyperlink xmlns:r="http://schemas.openxmlformats.org/officeDocument/2006/relationships" ref="P83" r:id="rId302"/>
    <hyperlink xmlns:r="http://schemas.openxmlformats.org/officeDocument/2006/relationships" ref="M84" r:id="rId303"/>
    <hyperlink xmlns:r="http://schemas.openxmlformats.org/officeDocument/2006/relationships" ref="N84" r:id="rId304"/>
    <hyperlink xmlns:r="http://schemas.openxmlformats.org/officeDocument/2006/relationships" ref="P84" r:id="rId305"/>
    <hyperlink xmlns:r="http://schemas.openxmlformats.org/officeDocument/2006/relationships" ref="M85" r:id="rId306"/>
    <hyperlink xmlns:r="http://schemas.openxmlformats.org/officeDocument/2006/relationships" ref="N85" r:id="rId307"/>
    <hyperlink xmlns:r="http://schemas.openxmlformats.org/officeDocument/2006/relationships" ref="O85" r:id="rId308"/>
    <hyperlink xmlns:r="http://schemas.openxmlformats.org/officeDocument/2006/relationships" ref="P85" r:id="rId309"/>
    <hyperlink xmlns:r="http://schemas.openxmlformats.org/officeDocument/2006/relationships" ref="M86" r:id="rId310"/>
    <hyperlink xmlns:r="http://schemas.openxmlformats.org/officeDocument/2006/relationships" ref="N86" r:id="rId311"/>
    <hyperlink xmlns:r="http://schemas.openxmlformats.org/officeDocument/2006/relationships" ref="O86" r:id="rId312"/>
    <hyperlink xmlns:r="http://schemas.openxmlformats.org/officeDocument/2006/relationships" ref="P86" r:id="rId313"/>
    <hyperlink xmlns:r="http://schemas.openxmlformats.org/officeDocument/2006/relationships" ref="M87" r:id="rId314"/>
    <hyperlink xmlns:r="http://schemas.openxmlformats.org/officeDocument/2006/relationships" ref="N87" r:id="rId315"/>
    <hyperlink xmlns:r="http://schemas.openxmlformats.org/officeDocument/2006/relationships" ref="O87" r:id="rId316"/>
    <hyperlink xmlns:r="http://schemas.openxmlformats.org/officeDocument/2006/relationships" ref="P87" r:id="rId317"/>
    <hyperlink xmlns:r="http://schemas.openxmlformats.org/officeDocument/2006/relationships" ref="M88" r:id="rId318"/>
    <hyperlink xmlns:r="http://schemas.openxmlformats.org/officeDocument/2006/relationships" ref="N88" r:id="rId319"/>
    <hyperlink xmlns:r="http://schemas.openxmlformats.org/officeDocument/2006/relationships" ref="O88" r:id="rId320"/>
    <hyperlink xmlns:r="http://schemas.openxmlformats.org/officeDocument/2006/relationships" ref="P88" r:id="rId321"/>
    <hyperlink xmlns:r="http://schemas.openxmlformats.org/officeDocument/2006/relationships" ref="M89" r:id="rId322"/>
    <hyperlink xmlns:r="http://schemas.openxmlformats.org/officeDocument/2006/relationships" ref="N89" r:id="rId323"/>
    <hyperlink xmlns:r="http://schemas.openxmlformats.org/officeDocument/2006/relationships" ref="O89" r:id="rId324"/>
    <hyperlink xmlns:r="http://schemas.openxmlformats.org/officeDocument/2006/relationships" ref="P89" r:id="rId325"/>
    <hyperlink xmlns:r="http://schemas.openxmlformats.org/officeDocument/2006/relationships" ref="M90" r:id="rId326"/>
    <hyperlink xmlns:r="http://schemas.openxmlformats.org/officeDocument/2006/relationships" ref="N90" r:id="rId327"/>
    <hyperlink xmlns:r="http://schemas.openxmlformats.org/officeDocument/2006/relationships" ref="P90" r:id="rId328"/>
    <hyperlink xmlns:r="http://schemas.openxmlformats.org/officeDocument/2006/relationships" ref="M91" r:id="rId329"/>
    <hyperlink xmlns:r="http://schemas.openxmlformats.org/officeDocument/2006/relationships" ref="N91" r:id="rId330"/>
    <hyperlink xmlns:r="http://schemas.openxmlformats.org/officeDocument/2006/relationships" ref="O91" r:id="rId331"/>
    <hyperlink xmlns:r="http://schemas.openxmlformats.org/officeDocument/2006/relationships" ref="P91" r:id="rId332"/>
    <hyperlink xmlns:r="http://schemas.openxmlformats.org/officeDocument/2006/relationships" ref="M92" r:id="rId333"/>
    <hyperlink xmlns:r="http://schemas.openxmlformats.org/officeDocument/2006/relationships" ref="N92" r:id="rId334"/>
    <hyperlink xmlns:r="http://schemas.openxmlformats.org/officeDocument/2006/relationships" ref="O92" r:id="rId335"/>
    <hyperlink xmlns:r="http://schemas.openxmlformats.org/officeDocument/2006/relationships" ref="P92" r:id="rId336"/>
    <hyperlink xmlns:r="http://schemas.openxmlformats.org/officeDocument/2006/relationships" ref="M93" r:id="rId337"/>
    <hyperlink xmlns:r="http://schemas.openxmlformats.org/officeDocument/2006/relationships" ref="N93" r:id="rId338"/>
    <hyperlink xmlns:r="http://schemas.openxmlformats.org/officeDocument/2006/relationships" ref="O93" r:id="rId339"/>
    <hyperlink xmlns:r="http://schemas.openxmlformats.org/officeDocument/2006/relationships" ref="P93" r:id="rId340"/>
    <hyperlink xmlns:r="http://schemas.openxmlformats.org/officeDocument/2006/relationships" ref="M94" r:id="rId341"/>
    <hyperlink xmlns:r="http://schemas.openxmlformats.org/officeDocument/2006/relationships" ref="N94" r:id="rId342"/>
    <hyperlink xmlns:r="http://schemas.openxmlformats.org/officeDocument/2006/relationships" ref="O94" r:id="rId343"/>
    <hyperlink xmlns:r="http://schemas.openxmlformats.org/officeDocument/2006/relationships" ref="P94" r:id="rId344"/>
    <hyperlink xmlns:r="http://schemas.openxmlformats.org/officeDocument/2006/relationships" ref="M95" r:id="rId345"/>
    <hyperlink xmlns:r="http://schemas.openxmlformats.org/officeDocument/2006/relationships" ref="N95" r:id="rId346"/>
    <hyperlink xmlns:r="http://schemas.openxmlformats.org/officeDocument/2006/relationships" ref="P95" r:id="rId347"/>
    <hyperlink xmlns:r="http://schemas.openxmlformats.org/officeDocument/2006/relationships" ref="M96" r:id="rId348"/>
    <hyperlink xmlns:r="http://schemas.openxmlformats.org/officeDocument/2006/relationships" ref="N96" r:id="rId349"/>
    <hyperlink xmlns:r="http://schemas.openxmlformats.org/officeDocument/2006/relationships" ref="P96" r:id="rId350"/>
    <hyperlink xmlns:r="http://schemas.openxmlformats.org/officeDocument/2006/relationships" ref="M97" r:id="rId351"/>
    <hyperlink xmlns:r="http://schemas.openxmlformats.org/officeDocument/2006/relationships" ref="N97" r:id="rId352"/>
    <hyperlink xmlns:r="http://schemas.openxmlformats.org/officeDocument/2006/relationships" ref="O97" r:id="rId353"/>
    <hyperlink xmlns:r="http://schemas.openxmlformats.org/officeDocument/2006/relationships" ref="P97" r:id="rId354"/>
    <hyperlink xmlns:r="http://schemas.openxmlformats.org/officeDocument/2006/relationships" ref="M98" r:id="rId355"/>
    <hyperlink xmlns:r="http://schemas.openxmlformats.org/officeDocument/2006/relationships" ref="N98" r:id="rId356"/>
    <hyperlink xmlns:r="http://schemas.openxmlformats.org/officeDocument/2006/relationships" ref="O98" r:id="rId357"/>
    <hyperlink xmlns:r="http://schemas.openxmlformats.org/officeDocument/2006/relationships" ref="P98" r:id="rId358"/>
    <hyperlink xmlns:r="http://schemas.openxmlformats.org/officeDocument/2006/relationships" ref="M99" r:id="rId359"/>
    <hyperlink xmlns:r="http://schemas.openxmlformats.org/officeDocument/2006/relationships" ref="N99" r:id="rId360"/>
    <hyperlink xmlns:r="http://schemas.openxmlformats.org/officeDocument/2006/relationships" ref="O99" r:id="rId361"/>
    <hyperlink xmlns:r="http://schemas.openxmlformats.org/officeDocument/2006/relationships" ref="P99" r:id="rId362"/>
    <hyperlink xmlns:r="http://schemas.openxmlformats.org/officeDocument/2006/relationships" ref="M100" r:id="rId363"/>
    <hyperlink xmlns:r="http://schemas.openxmlformats.org/officeDocument/2006/relationships" ref="N100" r:id="rId364"/>
    <hyperlink xmlns:r="http://schemas.openxmlformats.org/officeDocument/2006/relationships" ref="O100" r:id="rId365"/>
    <hyperlink xmlns:r="http://schemas.openxmlformats.org/officeDocument/2006/relationships" ref="P100" r:id="rId366"/>
    <hyperlink xmlns:r="http://schemas.openxmlformats.org/officeDocument/2006/relationships" ref="M101" r:id="rId367"/>
    <hyperlink xmlns:r="http://schemas.openxmlformats.org/officeDocument/2006/relationships" ref="N101" r:id="rId368"/>
    <hyperlink xmlns:r="http://schemas.openxmlformats.org/officeDocument/2006/relationships" ref="O101" r:id="rId369"/>
    <hyperlink xmlns:r="http://schemas.openxmlformats.org/officeDocument/2006/relationships" ref="P101" r:id="rId370"/>
    <hyperlink xmlns:r="http://schemas.openxmlformats.org/officeDocument/2006/relationships" ref="M102" r:id="rId371"/>
    <hyperlink xmlns:r="http://schemas.openxmlformats.org/officeDocument/2006/relationships" ref="N102" r:id="rId372"/>
    <hyperlink xmlns:r="http://schemas.openxmlformats.org/officeDocument/2006/relationships" ref="O102" r:id="rId373"/>
    <hyperlink xmlns:r="http://schemas.openxmlformats.org/officeDocument/2006/relationships" ref="P102" r:id="rId374"/>
    <hyperlink xmlns:r="http://schemas.openxmlformats.org/officeDocument/2006/relationships" ref="M103" r:id="rId375"/>
    <hyperlink xmlns:r="http://schemas.openxmlformats.org/officeDocument/2006/relationships" ref="N103" r:id="rId376"/>
    <hyperlink xmlns:r="http://schemas.openxmlformats.org/officeDocument/2006/relationships" ref="P103" r:id="rId377"/>
    <hyperlink xmlns:r="http://schemas.openxmlformats.org/officeDocument/2006/relationships" ref="M104" r:id="rId378"/>
    <hyperlink xmlns:r="http://schemas.openxmlformats.org/officeDocument/2006/relationships" ref="N104" r:id="rId379"/>
    <hyperlink xmlns:r="http://schemas.openxmlformats.org/officeDocument/2006/relationships" ref="O104" r:id="rId380"/>
    <hyperlink xmlns:r="http://schemas.openxmlformats.org/officeDocument/2006/relationships" ref="P104" r:id="rId381"/>
    <hyperlink xmlns:r="http://schemas.openxmlformats.org/officeDocument/2006/relationships" ref="M105" r:id="rId382"/>
    <hyperlink xmlns:r="http://schemas.openxmlformats.org/officeDocument/2006/relationships" ref="N105" r:id="rId383"/>
    <hyperlink xmlns:r="http://schemas.openxmlformats.org/officeDocument/2006/relationships" ref="O105" r:id="rId384"/>
    <hyperlink xmlns:r="http://schemas.openxmlformats.org/officeDocument/2006/relationships" ref="P105" r:id="rId385"/>
    <hyperlink xmlns:r="http://schemas.openxmlformats.org/officeDocument/2006/relationships" ref="M106" r:id="rId386"/>
    <hyperlink xmlns:r="http://schemas.openxmlformats.org/officeDocument/2006/relationships" ref="N106" r:id="rId387"/>
    <hyperlink xmlns:r="http://schemas.openxmlformats.org/officeDocument/2006/relationships" ref="O106" r:id="rId388"/>
    <hyperlink xmlns:r="http://schemas.openxmlformats.org/officeDocument/2006/relationships" ref="P106" r:id="rId389"/>
    <hyperlink xmlns:r="http://schemas.openxmlformats.org/officeDocument/2006/relationships" ref="M107" r:id="rId390"/>
    <hyperlink xmlns:r="http://schemas.openxmlformats.org/officeDocument/2006/relationships" ref="N107" r:id="rId391"/>
    <hyperlink xmlns:r="http://schemas.openxmlformats.org/officeDocument/2006/relationships" ref="P107" r:id="rId392"/>
    <hyperlink xmlns:r="http://schemas.openxmlformats.org/officeDocument/2006/relationships" ref="M108" r:id="rId393"/>
    <hyperlink xmlns:r="http://schemas.openxmlformats.org/officeDocument/2006/relationships" ref="N108" r:id="rId394"/>
    <hyperlink xmlns:r="http://schemas.openxmlformats.org/officeDocument/2006/relationships" ref="O108" r:id="rId395"/>
    <hyperlink xmlns:r="http://schemas.openxmlformats.org/officeDocument/2006/relationships" ref="P108" r:id="rId396"/>
    <hyperlink xmlns:r="http://schemas.openxmlformats.org/officeDocument/2006/relationships" ref="M109" r:id="rId397"/>
    <hyperlink xmlns:r="http://schemas.openxmlformats.org/officeDocument/2006/relationships" ref="N109" r:id="rId398"/>
    <hyperlink xmlns:r="http://schemas.openxmlformats.org/officeDocument/2006/relationships" ref="O109" r:id="rId399"/>
    <hyperlink xmlns:r="http://schemas.openxmlformats.org/officeDocument/2006/relationships" ref="P109" r:id="rId400"/>
    <hyperlink xmlns:r="http://schemas.openxmlformats.org/officeDocument/2006/relationships" ref="M110" r:id="rId401"/>
    <hyperlink xmlns:r="http://schemas.openxmlformats.org/officeDocument/2006/relationships" ref="N110" r:id="rId402"/>
    <hyperlink xmlns:r="http://schemas.openxmlformats.org/officeDocument/2006/relationships" ref="P110" r:id="rId403"/>
    <hyperlink xmlns:r="http://schemas.openxmlformats.org/officeDocument/2006/relationships" ref="M111" r:id="rId404"/>
    <hyperlink xmlns:r="http://schemas.openxmlformats.org/officeDocument/2006/relationships" ref="N111" r:id="rId405"/>
    <hyperlink xmlns:r="http://schemas.openxmlformats.org/officeDocument/2006/relationships" ref="O111" r:id="rId406"/>
    <hyperlink xmlns:r="http://schemas.openxmlformats.org/officeDocument/2006/relationships" ref="P111" r:id="rId407"/>
    <hyperlink xmlns:r="http://schemas.openxmlformats.org/officeDocument/2006/relationships" ref="M112" r:id="rId408"/>
    <hyperlink xmlns:r="http://schemas.openxmlformats.org/officeDocument/2006/relationships" ref="N112" r:id="rId409"/>
    <hyperlink xmlns:r="http://schemas.openxmlformats.org/officeDocument/2006/relationships" ref="O112" r:id="rId410"/>
    <hyperlink xmlns:r="http://schemas.openxmlformats.org/officeDocument/2006/relationships" ref="P112" r:id="rId411"/>
    <hyperlink xmlns:r="http://schemas.openxmlformats.org/officeDocument/2006/relationships" ref="M113" r:id="rId412"/>
    <hyperlink xmlns:r="http://schemas.openxmlformats.org/officeDocument/2006/relationships" ref="N113" r:id="rId413"/>
    <hyperlink xmlns:r="http://schemas.openxmlformats.org/officeDocument/2006/relationships" ref="O113" r:id="rId414"/>
    <hyperlink xmlns:r="http://schemas.openxmlformats.org/officeDocument/2006/relationships" ref="P113" r:id="rId415"/>
    <hyperlink xmlns:r="http://schemas.openxmlformats.org/officeDocument/2006/relationships" ref="M114" r:id="rId416"/>
    <hyperlink xmlns:r="http://schemas.openxmlformats.org/officeDocument/2006/relationships" ref="N114" r:id="rId417"/>
    <hyperlink xmlns:r="http://schemas.openxmlformats.org/officeDocument/2006/relationships" ref="P114" r:id="rId418"/>
    <hyperlink xmlns:r="http://schemas.openxmlformats.org/officeDocument/2006/relationships" ref="M115" r:id="rId419"/>
    <hyperlink xmlns:r="http://schemas.openxmlformats.org/officeDocument/2006/relationships" ref="P115" r:id="rId420"/>
    <hyperlink xmlns:r="http://schemas.openxmlformats.org/officeDocument/2006/relationships" ref="M116" r:id="rId421"/>
    <hyperlink xmlns:r="http://schemas.openxmlformats.org/officeDocument/2006/relationships" ref="N116" r:id="rId422"/>
    <hyperlink xmlns:r="http://schemas.openxmlformats.org/officeDocument/2006/relationships" ref="O116" r:id="rId423"/>
    <hyperlink xmlns:r="http://schemas.openxmlformats.org/officeDocument/2006/relationships" ref="P116" r:id="rId424"/>
    <hyperlink xmlns:r="http://schemas.openxmlformats.org/officeDocument/2006/relationships" ref="M117" r:id="rId425"/>
    <hyperlink xmlns:r="http://schemas.openxmlformats.org/officeDocument/2006/relationships" ref="N117" r:id="rId426"/>
    <hyperlink xmlns:r="http://schemas.openxmlformats.org/officeDocument/2006/relationships" ref="P117" r:id="rId427"/>
    <hyperlink xmlns:r="http://schemas.openxmlformats.org/officeDocument/2006/relationships" ref="M118" r:id="rId428"/>
    <hyperlink xmlns:r="http://schemas.openxmlformats.org/officeDocument/2006/relationships" ref="N118" r:id="rId429"/>
    <hyperlink xmlns:r="http://schemas.openxmlformats.org/officeDocument/2006/relationships" ref="O118" r:id="rId430"/>
    <hyperlink xmlns:r="http://schemas.openxmlformats.org/officeDocument/2006/relationships" ref="P118" r:id="rId431"/>
    <hyperlink xmlns:r="http://schemas.openxmlformats.org/officeDocument/2006/relationships" ref="M119" r:id="rId432"/>
    <hyperlink xmlns:r="http://schemas.openxmlformats.org/officeDocument/2006/relationships" ref="N119" r:id="rId433"/>
    <hyperlink xmlns:r="http://schemas.openxmlformats.org/officeDocument/2006/relationships" ref="O119" r:id="rId434"/>
    <hyperlink xmlns:r="http://schemas.openxmlformats.org/officeDocument/2006/relationships" ref="P119" r:id="rId435"/>
    <hyperlink xmlns:r="http://schemas.openxmlformats.org/officeDocument/2006/relationships" ref="M120" r:id="rId436"/>
    <hyperlink xmlns:r="http://schemas.openxmlformats.org/officeDocument/2006/relationships" ref="N120" r:id="rId437"/>
    <hyperlink xmlns:r="http://schemas.openxmlformats.org/officeDocument/2006/relationships" ref="O120" r:id="rId438"/>
    <hyperlink xmlns:r="http://schemas.openxmlformats.org/officeDocument/2006/relationships" ref="P120" r:id="rId439"/>
    <hyperlink xmlns:r="http://schemas.openxmlformats.org/officeDocument/2006/relationships" ref="M121" r:id="rId440"/>
    <hyperlink xmlns:r="http://schemas.openxmlformats.org/officeDocument/2006/relationships" ref="N121" r:id="rId441"/>
    <hyperlink xmlns:r="http://schemas.openxmlformats.org/officeDocument/2006/relationships" ref="O121" r:id="rId442"/>
    <hyperlink xmlns:r="http://schemas.openxmlformats.org/officeDocument/2006/relationships" ref="P121" r:id="rId443"/>
    <hyperlink xmlns:r="http://schemas.openxmlformats.org/officeDocument/2006/relationships" ref="M122" r:id="rId444"/>
    <hyperlink xmlns:r="http://schemas.openxmlformats.org/officeDocument/2006/relationships" ref="N122" r:id="rId445"/>
    <hyperlink xmlns:r="http://schemas.openxmlformats.org/officeDocument/2006/relationships" ref="P122" r:id="rId446"/>
    <hyperlink xmlns:r="http://schemas.openxmlformats.org/officeDocument/2006/relationships" ref="M123" r:id="rId447"/>
    <hyperlink xmlns:r="http://schemas.openxmlformats.org/officeDocument/2006/relationships" ref="N123" r:id="rId448"/>
    <hyperlink xmlns:r="http://schemas.openxmlformats.org/officeDocument/2006/relationships" ref="O123" r:id="rId449"/>
    <hyperlink xmlns:r="http://schemas.openxmlformats.org/officeDocument/2006/relationships" ref="P123" r:id="rId450"/>
    <hyperlink xmlns:r="http://schemas.openxmlformats.org/officeDocument/2006/relationships" ref="M124" r:id="rId451"/>
    <hyperlink xmlns:r="http://schemas.openxmlformats.org/officeDocument/2006/relationships" ref="N124" r:id="rId452"/>
    <hyperlink xmlns:r="http://schemas.openxmlformats.org/officeDocument/2006/relationships" ref="O124" r:id="rId453"/>
    <hyperlink xmlns:r="http://schemas.openxmlformats.org/officeDocument/2006/relationships" ref="P124" r:id="rId454"/>
    <hyperlink xmlns:r="http://schemas.openxmlformats.org/officeDocument/2006/relationships" ref="M125" r:id="rId455"/>
    <hyperlink xmlns:r="http://schemas.openxmlformats.org/officeDocument/2006/relationships" ref="N125" r:id="rId456"/>
    <hyperlink xmlns:r="http://schemas.openxmlformats.org/officeDocument/2006/relationships" ref="O125" r:id="rId457"/>
    <hyperlink xmlns:r="http://schemas.openxmlformats.org/officeDocument/2006/relationships" ref="P125" r:id="rId458"/>
    <hyperlink xmlns:r="http://schemas.openxmlformats.org/officeDocument/2006/relationships" ref="M126" r:id="rId459"/>
    <hyperlink xmlns:r="http://schemas.openxmlformats.org/officeDocument/2006/relationships" ref="N126" r:id="rId460"/>
    <hyperlink xmlns:r="http://schemas.openxmlformats.org/officeDocument/2006/relationships" ref="P126" r:id="rId461"/>
    <hyperlink xmlns:r="http://schemas.openxmlformats.org/officeDocument/2006/relationships" ref="M127" r:id="rId462"/>
    <hyperlink xmlns:r="http://schemas.openxmlformats.org/officeDocument/2006/relationships" ref="N127" r:id="rId463"/>
    <hyperlink xmlns:r="http://schemas.openxmlformats.org/officeDocument/2006/relationships" ref="O127" r:id="rId464"/>
    <hyperlink xmlns:r="http://schemas.openxmlformats.org/officeDocument/2006/relationships" ref="P127" r:id="rId465"/>
    <hyperlink xmlns:r="http://schemas.openxmlformats.org/officeDocument/2006/relationships" ref="M128" r:id="rId466"/>
    <hyperlink xmlns:r="http://schemas.openxmlformats.org/officeDocument/2006/relationships" ref="N128" r:id="rId467"/>
    <hyperlink xmlns:r="http://schemas.openxmlformats.org/officeDocument/2006/relationships" ref="O128" r:id="rId468"/>
    <hyperlink xmlns:r="http://schemas.openxmlformats.org/officeDocument/2006/relationships" ref="P128" r:id="rId469"/>
    <hyperlink xmlns:r="http://schemas.openxmlformats.org/officeDocument/2006/relationships" ref="M129" r:id="rId470"/>
    <hyperlink xmlns:r="http://schemas.openxmlformats.org/officeDocument/2006/relationships" ref="N129" r:id="rId471"/>
    <hyperlink xmlns:r="http://schemas.openxmlformats.org/officeDocument/2006/relationships" ref="O129" r:id="rId472"/>
    <hyperlink xmlns:r="http://schemas.openxmlformats.org/officeDocument/2006/relationships" ref="P129" r:id="rId473"/>
    <hyperlink xmlns:r="http://schemas.openxmlformats.org/officeDocument/2006/relationships" ref="M130" r:id="rId474"/>
    <hyperlink xmlns:r="http://schemas.openxmlformats.org/officeDocument/2006/relationships" ref="N130" r:id="rId475"/>
    <hyperlink xmlns:r="http://schemas.openxmlformats.org/officeDocument/2006/relationships" ref="P130" r:id="rId476"/>
    <hyperlink xmlns:r="http://schemas.openxmlformats.org/officeDocument/2006/relationships" ref="M131" r:id="rId477"/>
    <hyperlink xmlns:r="http://schemas.openxmlformats.org/officeDocument/2006/relationships" ref="N131" r:id="rId478"/>
    <hyperlink xmlns:r="http://schemas.openxmlformats.org/officeDocument/2006/relationships" ref="O131" r:id="rId479"/>
    <hyperlink xmlns:r="http://schemas.openxmlformats.org/officeDocument/2006/relationships" ref="P131" r:id="rId480"/>
    <hyperlink xmlns:r="http://schemas.openxmlformats.org/officeDocument/2006/relationships" ref="M132" r:id="rId481"/>
    <hyperlink xmlns:r="http://schemas.openxmlformats.org/officeDocument/2006/relationships" ref="N132" r:id="rId482"/>
    <hyperlink xmlns:r="http://schemas.openxmlformats.org/officeDocument/2006/relationships" ref="P132" r:id="rId483"/>
    <hyperlink xmlns:r="http://schemas.openxmlformats.org/officeDocument/2006/relationships" ref="M133" r:id="rId484"/>
    <hyperlink xmlns:r="http://schemas.openxmlformats.org/officeDocument/2006/relationships" ref="N133" r:id="rId485"/>
    <hyperlink xmlns:r="http://schemas.openxmlformats.org/officeDocument/2006/relationships" ref="O133" r:id="rId486"/>
    <hyperlink xmlns:r="http://schemas.openxmlformats.org/officeDocument/2006/relationships" ref="P133" r:id="rId487"/>
    <hyperlink xmlns:r="http://schemas.openxmlformats.org/officeDocument/2006/relationships" ref="M134" r:id="rId488"/>
    <hyperlink xmlns:r="http://schemas.openxmlformats.org/officeDocument/2006/relationships" ref="N134" r:id="rId489"/>
    <hyperlink xmlns:r="http://schemas.openxmlformats.org/officeDocument/2006/relationships" ref="O134" r:id="rId490"/>
    <hyperlink xmlns:r="http://schemas.openxmlformats.org/officeDocument/2006/relationships" ref="P134" r:id="rId491"/>
    <hyperlink xmlns:r="http://schemas.openxmlformats.org/officeDocument/2006/relationships" ref="M135" r:id="rId492"/>
    <hyperlink xmlns:r="http://schemas.openxmlformats.org/officeDocument/2006/relationships" ref="N135" r:id="rId493"/>
    <hyperlink xmlns:r="http://schemas.openxmlformats.org/officeDocument/2006/relationships" ref="O135" r:id="rId494"/>
    <hyperlink xmlns:r="http://schemas.openxmlformats.org/officeDocument/2006/relationships" ref="P135" r:id="rId495"/>
    <hyperlink xmlns:r="http://schemas.openxmlformats.org/officeDocument/2006/relationships" ref="M136" r:id="rId496"/>
    <hyperlink xmlns:r="http://schemas.openxmlformats.org/officeDocument/2006/relationships" ref="N136" r:id="rId497"/>
    <hyperlink xmlns:r="http://schemas.openxmlformats.org/officeDocument/2006/relationships" ref="O136" r:id="rId498"/>
    <hyperlink xmlns:r="http://schemas.openxmlformats.org/officeDocument/2006/relationships" ref="P136" r:id="rId499"/>
    <hyperlink xmlns:r="http://schemas.openxmlformats.org/officeDocument/2006/relationships" ref="M137" r:id="rId500"/>
    <hyperlink xmlns:r="http://schemas.openxmlformats.org/officeDocument/2006/relationships" ref="N137" r:id="rId501"/>
    <hyperlink xmlns:r="http://schemas.openxmlformats.org/officeDocument/2006/relationships" ref="P137" r:id="rId502"/>
    <hyperlink xmlns:r="http://schemas.openxmlformats.org/officeDocument/2006/relationships" ref="M138" r:id="rId503"/>
    <hyperlink xmlns:r="http://schemas.openxmlformats.org/officeDocument/2006/relationships" ref="N138" r:id="rId504"/>
    <hyperlink xmlns:r="http://schemas.openxmlformats.org/officeDocument/2006/relationships" ref="O138" r:id="rId505"/>
    <hyperlink xmlns:r="http://schemas.openxmlformats.org/officeDocument/2006/relationships" ref="P138" r:id="rId506"/>
    <hyperlink xmlns:r="http://schemas.openxmlformats.org/officeDocument/2006/relationships" ref="M139" r:id="rId507"/>
    <hyperlink xmlns:r="http://schemas.openxmlformats.org/officeDocument/2006/relationships" ref="N139" r:id="rId508"/>
    <hyperlink xmlns:r="http://schemas.openxmlformats.org/officeDocument/2006/relationships" ref="O139" r:id="rId509"/>
    <hyperlink xmlns:r="http://schemas.openxmlformats.org/officeDocument/2006/relationships" ref="P139" r:id="rId510"/>
    <hyperlink xmlns:r="http://schemas.openxmlformats.org/officeDocument/2006/relationships" ref="M140" r:id="rId511"/>
    <hyperlink xmlns:r="http://schemas.openxmlformats.org/officeDocument/2006/relationships" ref="N140" r:id="rId512"/>
    <hyperlink xmlns:r="http://schemas.openxmlformats.org/officeDocument/2006/relationships" ref="P140" r:id="rId513"/>
    <hyperlink xmlns:r="http://schemas.openxmlformats.org/officeDocument/2006/relationships" ref="M141" r:id="rId514"/>
    <hyperlink xmlns:r="http://schemas.openxmlformats.org/officeDocument/2006/relationships" ref="N141" r:id="rId515"/>
    <hyperlink xmlns:r="http://schemas.openxmlformats.org/officeDocument/2006/relationships" ref="O141" r:id="rId516"/>
    <hyperlink xmlns:r="http://schemas.openxmlformats.org/officeDocument/2006/relationships" ref="P141" r:id="rId517"/>
    <hyperlink xmlns:r="http://schemas.openxmlformats.org/officeDocument/2006/relationships" ref="M142" r:id="rId518"/>
    <hyperlink xmlns:r="http://schemas.openxmlformats.org/officeDocument/2006/relationships" ref="N142" r:id="rId519"/>
    <hyperlink xmlns:r="http://schemas.openxmlformats.org/officeDocument/2006/relationships" ref="O142" r:id="rId520"/>
    <hyperlink xmlns:r="http://schemas.openxmlformats.org/officeDocument/2006/relationships" ref="P142" r:id="rId521"/>
    <hyperlink xmlns:r="http://schemas.openxmlformats.org/officeDocument/2006/relationships" ref="M144" r:id="rId522"/>
    <hyperlink xmlns:r="http://schemas.openxmlformats.org/officeDocument/2006/relationships" ref="N144" r:id="rId523"/>
    <hyperlink xmlns:r="http://schemas.openxmlformats.org/officeDocument/2006/relationships" ref="P144" r:id="rId524"/>
    <hyperlink xmlns:r="http://schemas.openxmlformats.org/officeDocument/2006/relationships" ref="M145" r:id="rId525"/>
    <hyperlink xmlns:r="http://schemas.openxmlformats.org/officeDocument/2006/relationships" ref="N145" r:id="rId526"/>
    <hyperlink xmlns:r="http://schemas.openxmlformats.org/officeDocument/2006/relationships" ref="P145" r:id="rId527"/>
    <hyperlink xmlns:r="http://schemas.openxmlformats.org/officeDocument/2006/relationships" ref="M146" r:id="rId528"/>
    <hyperlink xmlns:r="http://schemas.openxmlformats.org/officeDocument/2006/relationships" ref="N146" r:id="rId529"/>
    <hyperlink xmlns:r="http://schemas.openxmlformats.org/officeDocument/2006/relationships" ref="O146" r:id="rId530"/>
    <hyperlink xmlns:r="http://schemas.openxmlformats.org/officeDocument/2006/relationships" ref="P146" r:id="rId531"/>
    <hyperlink xmlns:r="http://schemas.openxmlformats.org/officeDocument/2006/relationships" ref="M148" r:id="rId532"/>
    <hyperlink xmlns:r="http://schemas.openxmlformats.org/officeDocument/2006/relationships" ref="N148" r:id="rId533"/>
    <hyperlink xmlns:r="http://schemas.openxmlformats.org/officeDocument/2006/relationships" ref="O148" r:id="rId534"/>
    <hyperlink xmlns:r="http://schemas.openxmlformats.org/officeDocument/2006/relationships" ref="P148" r:id="rId535"/>
    <hyperlink xmlns:r="http://schemas.openxmlformats.org/officeDocument/2006/relationships" ref="M149" r:id="rId536"/>
    <hyperlink xmlns:r="http://schemas.openxmlformats.org/officeDocument/2006/relationships" ref="N149" r:id="rId537"/>
    <hyperlink xmlns:r="http://schemas.openxmlformats.org/officeDocument/2006/relationships" ref="O149" r:id="rId538"/>
    <hyperlink xmlns:r="http://schemas.openxmlformats.org/officeDocument/2006/relationships" ref="P149" r:id="rId539"/>
    <hyperlink xmlns:r="http://schemas.openxmlformats.org/officeDocument/2006/relationships" ref="M150" r:id="rId540"/>
    <hyperlink xmlns:r="http://schemas.openxmlformats.org/officeDocument/2006/relationships" ref="N150" r:id="rId541"/>
    <hyperlink xmlns:r="http://schemas.openxmlformats.org/officeDocument/2006/relationships" ref="O150" r:id="rId542"/>
    <hyperlink xmlns:r="http://schemas.openxmlformats.org/officeDocument/2006/relationships" ref="P150" r:id="rId543"/>
    <hyperlink xmlns:r="http://schemas.openxmlformats.org/officeDocument/2006/relationships" ref="M151" r:id="rId544"/>
    <hyperlink xmlns:r="http://schemas.openxmlformats.org/officeDocument/2006/relationships" ref="N151" r:id="rId545"/>
    <hyperlink xmlns:r="http://schemas.openxmlformats.org/officeDocument/2006/relationships" ref="O151" r:id="rId546"/>
    <hyperlink xmlns:r="http://schemas.openxmlformats.org/officeDocument/2006/relationships" ref="P151" r:id="rId547"/>
    <hyperlink xmlns:r="http://schemas.openxmlformats.org/officeDocument/2006/relationships" ref="M152" r:id="rId548"/>
    <hyperlink xmlns:r="http://schemas.openxmlformats.org/officeDocument/2006/relationships" ref="N152" r:id="rId549"/>
    <hyperlink xmlns:r="http://schemas.openxmlformats.org/officeDocument/2006/relationships" ref="O152" r:id="rId550"/>
    <hyperlink xmlns:r="http://schemas.openxmlformats.org/officeDocument/2006/relationships" ref="P152" r:id="rId551"/>
    <hyperlink xmlns:r="http://schemas.openxmlformats.org/officeDocument/2006/relationships" ref="M153" r:id="rId552"/>
    <hyperlink xmlns:r="http://schemas.openxmlformats.org/officeDocument/2006/relationships" ref="N153" r:id="rId553"/>
    <hyperlink xmlns:r="http://schemas.openxmlformats.org/officeDocument/2006/relationships" ref="O153" r:id="rId554"/>
    <hyperlink xmlns:r="http://schemas.openxmlformats.org/officeDocument/2006/relationships" ref="P153" r:id="rId555"/>
    <hyperlink xmlns:r="http://schemas.openxmlformats.org/officeDocument/2006/relationships" ref="M154" r:id="rId556"/>
    <hyperlink xmlns:r="http://schemas.openxmlformats.org/officeDocument/2006/relationships" ref="N154" r:id="rId557"/>
    <hyperlink xmlns:r="http://schemas.openxmlformats.org/officeDocument/2006/relationships" ref="P154" r:id="rId558"/>
    <hyperlink xmlns:r="http://schemas.openxmlformats.org/officeDocument/2006/relationships" ref="M155" r:id="rId559"/>
    <hyperlink xmlns:r="http://schemas.openxmlformats.org/officeDocument/2006/relationships" ref="N155" r:id="rId560"/>
    <hyperlink xmlns:r="http://schemas.openxmlformats.org/officeDocument/2006/relationships" ref="O155" r:id="rId561"/>
    <hyperlink xmlns:r="http://schemas.openxmlformats.org/officeDocument/2006/relationships" ref="P155" r:id="rId562"/>
    <hyperlink xmlns:r="http://schemas.openxmlformats.org/officeDocument/2006/relationships" ref="N156" r:id="rId563"/>
    <hyperlink xmlns:r="http://schemas.openxmlformats.org/officeDocument/2006/relationships" ref="O156" r:id="rId564"/>
    <hyperlink xmlns:r="http://schemas.openxmlformats.org/officeDocument/2006/relationships" ref="P156" r:id="rId565"/>
    <hyperlink xmlns:r="http://schemas.openxmlformats.org/officeDocument/2006/relationships" ref="M157" r:id="rId566"/>
    <hyperlink xmlns:r="http://schemas.openxmlformats.org/officeDocument/2006/relationships" ref="N157" r:id="rId567"/>
    <hyperlink xmlns:r="http://schemas.openxmlformats.org/officeDocument/2006/relationships" ref="O157" r:id="rId568"/>
    <hyperlink xmlns:r="http://schemas.openxmlformats.org/officeDocument/2006/relationships" ref="P157" r:id="rId569"/>
    <hyperlink xmlns:r="http://schemas.openxmlformats.org/officeDocument/2006/relationships" ref="M158" r:id="rId570"/>
    <hyperlink xmlns:r="http://schemas.openxmlformats.org/officeDocument/2006/relationships" ref="N158" r:id="rId571"/>
    <hyperlink xmlns:r="http://schemas.openxmlformats.org/officeDocument/2006/relationships" ref="O158" r:id="rId572"/>
    <hyperlink xmlns:r="http://schemas.openxmlformats.org/officeDocument/2006/relationships" ref="P158" r:id="rId573"/>
    <hyperlink xmlns:r="http://schemas.openxmlformats.org/officeDocument/2006/relationships" ref="M159" r:id="rId574"/>
    <hyperlink xmlns:r="http://schemas.openxmlformats.org/officeDocument/2006/relationships" ref="N159" r:id="rId575"/>
    <hyperlink xmlns:r="http://schemas.openxmlformats.org/officeDocument/2006/relationships" ref="O159" r:id="rId576"/>
    <hyperlink xmlns:r="http://schemas.openxmlformats.org/officeDocument/2006/relationships" ref="P159" r:id="rId577"/>
    <hyperlink xmlns:r="http://schemas.openxmlformats.org/officeDocument/2006/relationships" ref="M160" r:id="rId578"/>
    <hyperlink xmlns:r="http://schemas.openxmlformats.org/officeDocument/2006/relationships" ref="N160" r:id="rId579"/>
    <hyperlink xmlns:r="http://schemas.openxmlformats.org/officeDocument/2006/relationships" ref="O160" r:id="rId580"/>
    <hyperlink xmlns:r="http://schemas.openxmlformats.org/officeDocument/2006/relationships" ref="P160" r:id="rId581"/>
    <hyperlink xmlns:r="http://schemas.openxmlformats.org/officeDocument/2006/relationships" ref="M161" r:id="rId582"/>
    <hyperlink xmlns:r="http://schemas.openxmlformats.org/officeDocument/2006/relationships" ref="N161" r:id="rId583"/>
    <hyperlink xmlns:r="http://schemas.openxmlformats.org/officeDocument/2006/relationships" ref="P161" r:id="rId584"/>
    <hyperlink xmlns:r="http://schemas.openxmlformats.org/officeDocument/2006/relationships" ref="M162" r:id="rId585"/>
    <hyperlink xmlns:r="http://schemas.openxmlformats.org/officeDocument/2006/relationships" ref="N162" r:id="rId586"/>
    <hyperlink xmlns:r="http://schemas.openxmlformats.org/officeDocument/2006/relationships" ref="O162" r:id="rId587"/>
    <hyperlink xmlns:r="http://schemas.openxmlformats.org/officeDocument/2006/relationships" ref="P162" r:id="rId588"/>
    <hyperlink xmlns:r="http://schemas.openxmlformats.org/officeDocument/2006/relationships" ref="M163" r:id="rId589"/>
    <hyperlink xmlns:r="http://schemas.openxmlformats.org/officeDocument/2006/relationships" ref="N163" r:id="rId590"/>
    <hyperlink xmlns:r="http://schemas.openxmlformats.org/officeDocument/2006/relationships" ref="O163" r:id="rId591"/>
    <hyperlink xmlns:r="http://schemas.openxmlformats.org/officeDocument/2006/relationships" ref="P163" r:id="rId592"/>
    <hyperlink xmlns:r="http://schemas.openxmlformats.org/officeDocument/2006/relationships" ref="M164" r:id="rId593"/>
    <hyperlink xmlns:r="http://schemas.openxmlformats.org/officeDocument/2006/relationships" ref="N164" r:id="rId594"/>
    <hyperlink xmlns:r="http://schemas.openxmlformats.org/officeDocument/2006/relationships" ref="P164" r:id="rId595"/>
    <hyperlink xmlns:r="http://schemas.openxmlformats.org/officeDocument/2006/relationships" ref="M165" r:id="rId596"/>
    <hyperlink xmlns:r="http://schemas.openxmlformats.org/officeDocument/2006/relationships" ref="N165" r:id="rId597"/>
    <hyperlink xmlns:r="http://schemas.openxmlformats.org/officeDocument/2006/relationships" ref="O165" r:id="rId598"/>
    <hyperlink xmlns:r="http://schemas.openxmlformats.org/officeDocument/2006/relationships" ref="P165" r:id="rId599"/>
    <hyperlink xmlns:r="http://schemas.openxmlformats.org/officeDocument/2006/relationships" ref="M166" r:id="rId600"/>
    <hyperlink xmlns:r="http://schemas.openxmlformats.org/officeDocument/2006/relationships" ref="N166" r:id="rId601"/>
    <hyperlink xmlns:r="http://schemas.openxmlformats.org/officeDocument/2006/relationships" ref="O166" r:id="rId602"/>
    <hyperlink xmlns:r="http://schemas.openxmlformats.org/officeDocument/2006/relationships" ref="P166" r:id="rId603"/>
    <hyperlink xmlns:r="http://schemas.openxmlformats.org/officeDocument/2006/relationships" ref="M167" r:id="rId604"/>
    <hyperlink xmlns:r="http://schemas.openxmlformats.org/officeDocument/2006/relationships" ref="N167" r:id="rId605"/>
    <hyperlink xmlns:r="http://schemas.openxmlformats.org/officeDocument/2006/relationships" ref="O167" r:id="rId606"/>
    <hyperlink xmlns:r="http://schemas.openxmlformats.org/officeDocument/2006/relationships" ref="P167" r:id="rId607"/>
    <hyperlink xmlns:r="http://schemas.openxmlformats.org/officeDocument/2006/relationships" ref="M168" r:id="rId608"/>
    <hyperlink xmlns:r="http://schemas.openxmlformats.org/officeDocument/2006/relationships" ref="N168" r:id="rId609"/>
    <hyperlink xmlns:r="http://schemas.openxmlformats.org/officeDocument/2006/relationships" ref="O168" r:id="rId610"/>
    <hyperlink xmlns:r="http://schemas.openxmlformats.org/officeDocument/2006/relationships" ref="P168" r:id="rId611"/>
    <hyperlink xmlns:r="http://schemas.openxmlformats.org/officeDocument/2006/relationships" ref="M169" r:id="rId612"/>
    <hyperlink xmlns:r="http://schemas.openxmlformats.org/officeDocument/2006/relationships" ref="N169" r:id="rId613"/>
    <hyperlink xmlns:r="http://schemas.openxmlformats.org/officeDocument/2006/relationships" ref="O169" r:id="rId614"/>
    <hyperlink xmlns:r="http://schemas.openxmlformats.org/officeDocument/2006/relationships" ref="P169" r:id="rId615"/>
    <hyperlink xmlns:r="http://schemas.openxmlformats.org/officeDocument/2006/relationships" ref="M170" r:id="rId616"/>
    <hyperlink xmlns:r="http://schemas.openxmlformats.org/officeDocument/2006/relationships" ref="N170" r:id="rId617"/>
    <hyperlink xmlns:r="http://schemas.openxmlformats.org/officeDocument/2006/relationships" ref="O170" r:id="rId618"/>
    <hyperlink xmlns:r="http://schemas.openxmlformats.org/officeDocument/2006/relationships" ref="P170" r:id="rId619"/>
    <hyperlink xmlns:r="http://schemas.openxmlformats.org/officeDocument/2006/relationships" ref="M171" r:id="rId620"/>
    <hyperlink xmlns:r="http://schemas.openxmlformats.org/officeDocument/2006/relationships" ref="N171" r:id="rId621"/>
    <hyperlink xmlns:r="http://schemas.openxmlformats.org/officeDocument/2006/relationships" ref="O171" r:id="rId622"/>
    <hyperlink xmlns:r="http://schemas.openxmlformats.org/officeDocument/2006/relationships" ref="P171" r:id="rId623"/>
    <hyperlink xmlns:r="http://schemas.openxmlformats.org/officeDocument/2006/relationships" ref="M172" r:id="rId624"/>
    <hyperlink xmlns:r="http://schemas.openxmlformats.org/officeDocument/2006/relationships" ref="N172" r:id="rId625"/>
    <hyperlink xmlns:r="http://schemas.openxmlformats.org/officeDocument/2006/relationships" ref="O172" r:id="rId626"/>
    <hyperlink xmlns:r="http://schemas.openxmlformats.org/officeDocument/2006/relationships" ref="P172" r:id="rId627"/>
    <hyperlink xmlns:r="http://schemas.openxmlformats.org/officeDocument/2006/relationships" ref="M173" r:id="rId628"/>
    <hyperlink xmlns:r="http://schemas.openxmlformats.org/officeDocument/2006/relationships" ref="N173" r:id="rId629"/>
    <hyperlink xmlns:r="http://schemas.openxmlformats.org/officeDocument/2006/relationships" ref="O173" r:id="rId630"/>
    <hyperlink xmlns:r="http://schemas.openxmlformats.org/officeDocument/2006/relationships" ref="P173" r:id="rId631"/>
    <hyperlink xmlns:r="http://schemas.openxmlformats.org/officeDocument/2006/relationships" ref="M174" r:id="rId632"/>
    <hyperlink xmlns:r="http://schemas.openxmlformats.org/officeDocument/2006/relationships" ref="N174" r:id="rId633"/>
    <hyperlink xmlns:r="http://schemas.openxmlformats.org/officeDocument/2006/relationships" ref="O174" r:id="rId634"/>
    <hyperlink xmlns:r="http://schemas.openxmlformats.org/officeDocument/2006/relationships" ref="P174" r:id="rId635"/>
    <hyperlink xmlns:r="http://schemas.openxmlformats.org/officeDocument/2006/relationships" ref="M175" r:id="rId636"/>
    <hyperlink xmlns:r="http://schemas.openxmlformats.org/officeDocument/2006/relationships" ref="N175" r:id="rId637"/>
    <hyperlink xmlns:r="http://schemas.openxmlformats.org/officeDocument/2006/relationships" ref="P175" r:id="rId638"/>
    <hyperlink xmlns:r="http://schemas.openxmlformats.org/officeDocument/2006/relationships" ref="M176" r:id="rId639"/>
    <hyperlink xmlns:r="http://schemas.openxmlformats.org/officeDocument/2006/relationships" ref="N176" r:id="rId640"/>
    <hyperlink xmlns:r="http://schemas.openxmlformats.org/officeDocument/2006/relationships" ref="O176" r:id="rId641"/>
    <hyperlink xmlns:r="http://schemas.openxmlformats.org/officeDocument/2006/relationships" ref="P176" r:id="rId642"/>
    <hyperlink xmlns:r="http://schemas.openxmlformats.org/officeDocument/2006/relationships" ref="M177" r:id="rId643"/>
    <hyperlink xmlns:r="http://schemas.openxmlformats.org/officeDocument/2006/relationships" ref="N177" r:id="rId644"/>
    <hyperlink xmlns:r="http://schemas.openxmlformats.org/officeDocument/2006/relationships" ref="P177" r:id="rId645"/>
    <hyperlink xmlns:r="http://schemas.openxmlformats.org/officeDocument/2006/relationships" ref="M178" r:id="rId646"/>
    <hyperlink xmlns:r="http://schemas.openxmlformats.org/officeDocument/2006/relationships" ref="N178" r:id="rId647"/>
    <hyperlink xmlns:r="http://schemas.openxmlformats.org/officeDocument/2006/relationships" ref="O178" r:id="rId648"/>
    <hyperlink xmlns:r="http://schemas.openxmlformats.org/officeDocument/2006/relationships" ref="P178" r:id="rId649"/>
    <hyperlink xmlns:r="http://schemas.openxmlformats.org/officeDocument/2006/relationships" ref="M179" r:id="rId650"/>
    <hyperlink xmlns:r="http://schemas.openxmlformats.org/officeDocument/2006/relationships" ref="N179" r:id="rId651"/>
    <hyperlink xmlns:r="http://schemas.openxmlformats.org/officeDocument/2006/relationships" ref="P179" r:id="rId652"/>
    <hyperlink xmlns:r="http://schemas.openxmlformats.org/officeDocument/2006/relationships" ref="M180" r:id="rId653"/>
    <hyperlink xmlns:r="http://schemas.openxmlformats.org/officeDocument/2006/relationships" ref="N180" r:id="rId654"/>
    <hyperlink xmlns:r="http://schemas.openxmlformats.org/officeDocument/2006/relationships" ref="P180" r:id="rId655"/>
    <hyperlink xmlns:r="http://schemas.openxmlformats.org/officeDocument/2006/relationships" ref="M181" r:id="rId656"/>
    <hyperlink xmlns:r="http://schemas.openxmlformats.org/officeDocument/2006/relationships" ref="N181" r:id="rId657"/>
    <hyperlink xmlns:r="http://schemas.openxmlformats.org/officeDocument/2006/relationships" ref="O181" r:id="rId658"/>
    <hyperlink xmlns:r="http://schemas.openxmlformats.org/officeDocument/2006/relationships" ref="P181" r:id="rId659"/>
    <hyperlink xmlns:r="http://schemas.openxmlformats.org/officeDocument/2006/relationships" ref="M182" r:id="rId660"/>
    <hyperlink xmlns:r="http://schemas.openxmlformats.org/officeDocument/2006/relationships" ref="N182" r:id="rId661"/>
    <hyperlink xmlns:r="http://schemas.openxmlformats.org/officeDocument/2006/relationships" ref="O182" r:id="rId662"/>
    <hyperlink xmlns:r="http://schemas.openxmlformats.org/officeDocument/2006/relationships" ref="P182" r:id="rId663"/>
    <hyperlink xmlns:r="http://schemas.openxmlformats.org/officeDocument/2006/relationships" ref="M183" r:id="rId664"/>
    <hyperlink xmlns:r="http://schemas.openxmlformats.org/officeDocument/2006/relationships" ref="N183" r:id="rId665"/>
    <hyperlink xmlns:r="http://schemas.openxmlformats.org/officeDocument/2006/relationships" ref="P183" r:id="rId666"/>
    <hyperlink xmlns:r="http://schemas.openxmlformats.org/officeDocument/2006/relationships" ref="M184" r:id="rId667"/>
    <hyperlink xmlns:r="http://schemas.openxmlformats.org/officeDocument/2006/relationships" ref="N184" r:id="rId668"/>
    <hyperlink xmlns:r="http://schemas.openxmlformats.org/officeDocument/2006/relationships" ref="O184" r:id="rId669"/>
    <hyperlink xmlns:r="http://schemas.openxmlformats.org/officeDocument/2006/relationships" ref="P184" r:id="rId670"/>
    <hyperlink xmlns:r="http://schemas.openxmlformats.org/officeDocument/2006/relationships" ref="M185" r:id="rId671"/>
    <hyperlink xmlns:r="http://schemas.openxmlformats.org/officeDocument/2006/relationships" ref="N185" r:id="rId672"/>
    <hyperlink xmlns:r="http://schemas.openxmlformats.org/officeDocument/2006/relationships" ref="O185" r:id="rId673"/>
    <hyperlink xmlns:r="http://schemas.openxmlformats.org/officeDocument/2006/relationships" ref="P185" r:id="rId674"/>
    <hyperlink xmlns:r="http://schemas.openxmlformats.org/officeDocument/2006/relationships" ref="M186" r:id="rId675"/>
    <hyperlink xmlns:r="http://schemas.openxmlformats.org/officeDocument/2006/relationships" ref="N186" r:id="rId676"/>
    <hyperlink xmlns:r="http://schemas.openxmlformats.org/officeDocument/2006/relationships" ref="P186" r:id="rId677"/>
    <hyperlink xmlns:r="http://schemas.openxmlformats.org/officeDocument/2006/relationships" ref="M187" r:id="rId678"/>
    <hyperlink xmlns:r="http://schemas.openxmlformats.org/officeDocument/2006/relationships" ref="N187" r:id="rId679"/>
    <hyperlink xmlns:r="http://schemas.openxmlformats.org/officeDocument/2006/relationships" ref="O187" r:id="rId680"/>
    <hyperlink xmlns:r="http://schemas.openxmlformats.org/officeDocument/2006/relationships" ref="P187" r:id="rId681"/>
    <hyperlink xmlns:r="http://schemas.openxmlformats.org/officeDocument/2006/relationships" ref="M188" r:id="rId682"/>
    <hyperlink xmlns:r="http://schemas.openxmlformats.org/officeDocument/2006/relationships" ref="N188" r:id="rId683"/>
    <hyperlink xmlns:r="http://schemas.openxmlformats.org/officeDocument/2006/relationships" ref="O188" r:id="rId684"/>
    <hyperlink xmlns:r="http://schemas.openxmlformats.org/officeDocument/2006/relationships" ref="P188" r:id="rId685"/>
    <hyperlink xmlns:r="http://schemas.openxmlformats.org/officeDocument/2006/relationships" ref="M189" r:id="rId686"/>
    <hyperlink xmlns:r="http://schemas.openxmlformats.org/officeDocument/2006/relationships" ref="N189" r:id="rId687"/>
    <hyperlink xmlns:r="http://schemas.openxmlformats.org/officeDocument/2006/relationships" ref="O189" r:id="rId688"/>
    <hyperlink xmlns:r="http://schemas.openxmlformats.org/officeDocument/2006/relationships" ref="P189" r:id="rId689"/>
    <hyperlink xmlns:r="http://schemas.openxmlformats.org/officeDocument/2006/relationships" ref="M190" r:id="rId690"/>
    <hyperlink xmlns:r="http://schemas.openxmlformats.org/officeDocument/2006/relationships" ref="N190" r:id="rId691"/>
    <hyperlink xmlns:r="http://schemas.openxmlformats.org/officeDocument/2006/relationships" ref="O190" r:id="rId692"/>
    <hyperlink xmlns:r="http://schemas.openxmlformats.org/officeDocument/2006/relationships" ref="P190" r:id="rId693"/>
    <hyperlink xmlns:r="http://schemas.openxmlformats.org/officeDocument/2006/relationships" ref="M191" r:id="rId694"/>
    <hyperlink xmlns:r="http://schemas.openxmlformats.org/officeDocument/2006/relationships" ref="N191" r:id="rId695"/>
    <hyperlink xmlns:r="http://schemas.openxmlformats.org/officeDocument/2006/relationships" ref="O191" r:id="rId696"/>
    <hyperlink xmlns:r="http://schemas.openxmlformats.org/officeDocument/2006/relationships" ref="P191" r:id="rId697"/>
    <hyperlink xmlns:r="http://schemas.openxmlformats.org/officeDocument/2006/relationships" ref="M192" r:id="rId698"/>
    <hyperlink xmlns:r="http://schemas.openxmlformats.org/officeDocument/2006/relationships" ref="N192" r:id="rId699"/>
    <hyperlink xmlns:r="http://schemas.openxmlformats.org/officeDocument/2006/relationships" ref="P192" r:id="rId700"/>
    <hyperlink xmlns:r="http://schemas.openxmlformats.org/officeDocument/2006/relationships" ref="M193" r:id="rId701"/>
    <hyperlink xmlns:r="http://schemas.openxmlformats.org/officeDocument/2006/relationships" ref="N193" r:id="rId702"/>
    <hyperlink xmlns:r="http://schemas.openxmlformats.org/officeDocument/2006/relationships" ref="O193" r:id="rId703"/>
    <hyperlink xmlns:r="http://schemas.openxmlformats.org/officeDocument/2006/relationships" ref="P193" r:id="rId704"/>
    <hyperlink xmlns:r="http://schemas.openxmlformats.org/officeDocument/2006/relationships" ref="M194" r:id="rId705"/>
    <hyperlink xmlns:r="http://schemas.openxmlformats.org/officeDocument/2006/relationships" ref="N194" r:id="rId706"/>
    <hyperlink xmlns:r="http://schemas.openxmlformats.org/officeDocument/2006/relationships" ref="P194" r:id="rId707"/>
    <hyperlink xmlns:r="http://schemas.openxmlformats.org/officeDocument/2006/relationships" ref="M195" r:id="rId708"/>
    <hyperlink xmlns:r="http://schemas.openxmlformats.org/officeDocument/2006/relationships" ref="N195" r:id="rId709"/>
    <hyperlink xmlns:r="http://schemas.openxmlformats.org/officeDocument/2006/relationships" ref="O195" r:id="rId710"/>
    <hyperlink xmlns:r="http://schemas.openxmlformats.org/officeDocument/2006/relationships" ref="P195" r:id="rId711"/>
    <hyperlink xmlns:r="http://schemas.openxmlformats.org/officeDocument/2006/relationships" ref="M196" r:id="rId712"/>
    <hyperlink xmlns:r="http://schemas.openxmlformats.org/officeDocument/2006/relationships" ref="N196" r:id="rId713"/>
    <hyperlink xmlns:r="http://schemas.openxmlformats.org/officeDocument/2006/relationships" ref="P196" r:id="rId714"/>
    <hyperlink xmlns:r="http://schemas.openxmlformats.org/officeDocument/2006/relationships" ref="M197" r:id="rId715"/>
    <hyperlink xmlns:r="http://schemas.openxmlformats.org/officeDocument/2006/relationships" ref="N197" r:id="rId716"/>
    <hyperlink xmlns:r="http://schemas.openxmlformats.org/officeDocument/2006/relationships" ref="O197" r:id="rId717"/>
    <hyperlink xmlns:r="http://schemas.openxmlformats.org/officeDocument/2006/relationships" ref="P197" r:id="rId718"/>
    <hyperlink xmlns:r="http://schemas.openxmlformats.org/officeDocument/2006/relationships" ref="M198" r:id="rId719"/>
    <hyperlink xmlns:r="http://schemas.openxmlformats.org/officeDocument/2006/relationships" ref="N198" r:id="rId720"/>
    <hyperlink xmlns:r="http://schemas.openxmlformats.org/officeDocument/2006/relationships" ref="O198" r:id="rId721"/>
    <hyperlink xmlns:r="http://schemas.openxmlformats.org/officeDocument/2006/relationships" ref="P198" r:id="rId722"/>
    <hyperlink xmlns:r="http://schemas.openxmlformats.org/officeDocument/2006/relationships" ref="M199" r:id="rId723"/>
    <hyperlink xmlns:r="http://schemas.openxmlformats.org/officeDocument/2006/relationships" ref="N199" r:id="rId724"/>
    <hyperlink xmlns:r="http://schemas.openxmlformats.org/officeDocument/2006/relationships" ref="O199" r:id="rId725"/>
    <hyperlink xmlns:r="http://schemas.openxmlformats.org/officeDocument/2006/relationships" ref="P199" r:id="rId726"/>
    <hyperlink xmlns:r="http://schemas.openxmlformats.org/officeDocument/2006/relationships" ref="M200" r:id="rId727"/>
    <hyperlink xmlns:r="http://schemas.openxmlformats.org/officeDocument/2006/relationships" ref="N200" r:id="rId728"/>
    <hyperlink xmlns:r="http://schemas.openxmlformats.org/officeDocument/2006/relationships" ref="P200" r:id="rId729"/>
    <hyperlink xmlns:r="http://schemas.openxmlformats.org/officeDocument/2006/relationships" ref="M201" r:id="rId730"/>
    <hyperlink xmlns:r="http://schemas.openxmlformats.org/officeDocument/2006/relationships" ref="N201" r:id="rId731"/>
    <hyperlink xmlns:r="http://schemas.openxmlformats.org/officeDocument/2006/relationships" ref="O201" r:id="rId732"/>
    <hyperlink xmlns:r="http://schemas.openxmlformats.org/officeDocument/2006/relationships" ref="P201" r:id="rId733"/>
    <hyperlink xmlns:r="http://schemas.openxmlformats.org/officeDocument/2006/relationships" ref="M202" r:id="rId734"/>
    <hyperlink xmlns:r="http://schemas.openxmlformats.org/officeDocument/2006/relationships" ref="N202" r:id="rId735"/>
    <hyperlink xmlns:r="http://schemas.openxmlformats.org/officeDocument/2006/relationships" ref="O202" r:id="rId736"/>
    <hyperlink xmlns:r="http://schemas.openxmlformats.org/officeDocument/2006/relationships" ref="P202" r:id="rId737"/>
    <hyperlink xmlns:r="http://schemas.openxmlformats.org/officeDocument/2006/relationships" ref="M203" r:id="rId738"/>
    <hyperlink xmlns:r="http://schemas.openxmlformats.org/officeDocument/2006/relationships" ref="N203" r:id="rId739"/>
    <hyperlink xmlns:r="http://schemas.openxmlformats.org/officeDocument/2006/relationships" ref="P203" r:id="rId740"/>
    <hyperlink xmlns:r="http://schemas.openxmlformats.org/officeDocument/2006/relationships" ref="M204" r:id="rId741"/>
    <hyperlink xmlns:r="http://schemas.openxmlformats.org/officeDocument/2006/relationships" ref="N204" r:id="rId742"/>
    <hyperlink xmlns:r="http://schemas.openxmlformats.org/officeDocument/2006/relationships" ref="O204" r:id="rId743"/>
    <hyperlink xmlns:r="http://schemas.openxmlformats.org/officeDocument/2006/relationships" ref="P204" r:id="rId744"/>
    <hyperlink xmlns:r="http://schemas.openxmlformats.org/officeDocument/2006/relationships" ref="M205" r:id="rId745"/>
    <hyperlink xmlns:r="http://schemas.openxmlformats.org/officeDocument/2006/relationships" ref="N205" r:id="rId746"/>
    <hyperlink xmlns:r="http://schemas.openxmlformats.org/officeDocument/2006/relationships" ref="P205" r:id="rId747"/>
    <hyperlink xmlns:r="http://schemas.openxmlformats.org/officeDocument/2006/relationships" ref="M206" r:id="rId748"/>
    <hyperlink xmlns:r="http://schemas.openxmlformats.org/officeDocument/2006/relationships" ref="N206" r:id="rId749"/>
    <hyperlink xmlns:r="http://schemas.openxmlformats.org/officeDocument/2006/relationships" ref="O206" r:id="rId750"/>
    <hyperlink xmlns:r="http://schemas.openxmlformats.org/officeDocument/2006/relationships" ref="P206" r:id="rId751"/>
    <hyperlink xmlns:r="http://schemas.openxmlformats.org/officeDocument/2006/relationships" ref="M207" r:id="rId752"/>
    <hyperlink xmlns:r="http://schemas.openxmlformats.org/officeDocument/2006/relationships" ref="N207" r:id="rId753"/>
    <hyperlink xmlns:r="http://schemas.openxmlformats.org/officeDocument/2006/relationships" ref="O207" r:id="rId754"/>
    <hyperlink xmlns:r="http://schemas.openxmlformats.org/officeDocument/2006/relationships" ref="P207" r:id="rId755"/>
    <hyperlink xmlns:r="http://schemas.openxmlformats.org/officeDocument/2006/relationships" ref="M208" r:id="rId756"/>
    <hyperlink xmlns:r="http://schemas.openxmlformats.org/officeDocument/2006/relationships" ref="N208" r:id="rId757"/>
    <hyperlink xmlns:r="http://schemas.openxmlformats.org/officeDocument/2006/relationships" ref="P208" r:id="rId758"/>
    <hyperlink xmlns:r="http://schemas.openxmlformats.org/officeDocument/2006/relationships" ref="M209" r:id="rId759"/>
    <hyperlink xmlns:r="http://schemas.openxmlformats.org/officeDocument/2006/relationships" ref="N209" r:id="rId760"/>
    <hyperlink xmlns:r="http://schemas.openxmlformats.org/officeDocument/2006/relationships" ref="O209" r:id="rId761"/>
    <hyperlink xmlns:r="http://schemas.openxmlformats.org/officeDocument/2006/relationships" ref="P209" r:id="rId762"/>
    <hyperlink xmlns:r="http://schemas.openxmlformats.org/officeDocument/2006/relationships" ref="M210" r:id="rId763"/>
    <hyperlink xmlns:r="http://schemas.openxmlformats.org/officeDocument/2006/relationships" ref="N210" r:id="rId764"/>
    <hyperlink xmlns:r="http://schemas.openxmlformats.org/officeDocument/2006/relationships" ref="O210" r:id="rId765"/>
    <hyperlink xmlns:r="http://schemas.openxmlformats.org/officeDocument/2006/relationships" ref="P210" r:id="rId766"/>
    <hyperlink xmlns:r="http://schemas.openxmlformats.org/officeDocument/2006/relationships" ref="M211" r:id="rId767"/>
    <hyperlink xmlns:r="http://schemas.openxmlformats.org/officeDocument/2006/relationships" ref="N211" r:id="rId768"/>
    <hyperlink xmlns:r="http://schemas.openxmlformats.org/officeDocument/2006/relationships" ref="O211" r:id="rId769"/>
    <hyperlink xmlns:r="http://schemas.openxmlformats.org/officeDocument/2006/relationships" ref="P211" r:id="rId770"/>
    <hyperlink xmlns:r="http://schemas.openxmlformats.org/officeDocument/2006/relationships" ref="M212" r:id="rId771"/>
    <hyperlink xmlns:r="http://schemas.openxmlformats.org/officeDocument/2006/relationships" ref="N212" r:id="rId772"/>
    <hyperlink xmlns:r="http://schemas.openxmlformats.org/officeDocument/2006/relationships" ref="O212" r:id="rId773"/>
    <hyperlink xmlns:r="http://schemas.openxmlformats.org/officeDocument/2006/relationships" ref="P212" r:id="rId774"/>
    <hyperlink xmlns:r="http://schemas.openxmlformats.org/officeDocument/2006/relationships" ref="M213" r:id="rId775"/>
    <hyperlink xmlns:r="http://schemas.openxmlformats.org/officeDocument/2006/relationships" ref="N213" r:id="rId776"/>
    <hyperlink xmlns:r="http://schemas.openxmlformats.org/officeDocument/2006/relationships" ref="O213" r:id="rId777"/>
    <hyperlink xmlns:r="http://schemas.openxmlformats.org/officeDocument/2006/relationships" ref="P213" r:id="rId778"/>
    <hyperlink xmlns:r="http://schemas.openxmlformats.org/officeDocument/2006/relationships" ref="M214" r:id="rId779"/>
    <hyperlink xmlns:r="http://schemas.openxmlformats.org/officeDocument/2006/relationships" ref="N214" r:id="rId780"/>
    <hyperlink xmlns:r="http://schemas.openxmlformats.org/officeDocument/2006/relationships" ref="P214" r:id="rId781"/>
    <hyperlink xmlns:r="http://schemas.openxmlformats.org/officeDocument/2006/relationships" ref="M215" r:id="rId782"/>
    <hyperlink xmlns:r="http://schemas.openxmlformats.org/officeDocument/2006/relationships" ref="N215" r:id="rId783"/>
    <hyperlink xmlns:r="http://schemas.openxmlformats.org/officeDocument/2006/relationships" ref="O215" r:id="rId784"/>
    <hyperlink xmlns:r="http://schemas.openxmlformats.org/officeDocument/2006/relationships" ref="P215" r:id="rId785"/>
    <hyperlink xmlns:r="http://schemas.openxmlformats.org/officeDocument/2006/relationships" ref="M216" r:id="rId786"/>
    <hyperlink xmlns:r="http://schemas.openxmlformats.org/officeDocument/2006/relationships" ref="N216" r:id="rId787"/>
    <hyperlink xmlns:r="http://schemas.openxmlformats.org/officeDocument/2006/relationships" ref="P216" r:id="rId788"/>
    <hyperlink xmlns:r="http://schemas.openxmlformats.org/officeDocument/2006/relationships" ref="M217" r:id="rId789"/>
    <hyperlink xmlns:r="http://schemas.openxmlformats.org/officeDocument/2006/relationships" ref="N217" r:id="rId790"/>
    <hyperlink xmlns:r="http://schemas.openxmlformats.org/officeDocument/2006/relationships" ref="O217" r:id="rId791"/>
    <hyperlink xmlns:r="http://schemas.openxmlformats.org/officeDocument/2006/relationships" ref="P217" r:id="rId792"/>
    <hyperlink xmlns:r="http://schemas.openxmlformats.org/officeDocument/2006/relationships" ref="M218" r:id="rId793"/>
    <hyperlink xmlns:r="http://schemas.openxmlformats.org/officeDocument/2006/relationships" ref="N218" r:id="rId794"/>
    <hyperlink xmlns:r="http://schemas.openxmlformats.org/officeDocument/2006/relationships" ref="P218" r:id="rId795"/>
    <hyperlink xmlns:r="http://schemas.openxmlformats.org/officeDocument/2006/relationships" ref="M219" r:id="rId796"/>
    <hyperlink xmlns:r="http://schemas.openxmlformats.org/officeDocument/2006/relationships" ref="P219" r:id="rId797"/>
    <hyperlink xmlns:r="http://schemas.openxmlformats.org/officeDocument/2006/relationships" ref="M220" r:id="rId798"/>
    <hyperlink xmlns:r="http://schemas.openxmlformats.org/officeDocument/2006/relationships" ref="N220" r:id="rId799"/>
    <hyperlink xmlns:r="http://schemas.openxmlformats.org/officeDocument/2006/relationships" ref="O220" r:id="rId800"/>
    <hyperlink xmlns:r="http://schemas.openxmlformats.org/officeDocument/2006/relationships" ref="P220" r:id="rId801"/>
    <hyperlink xmlns:r="http://schemas.openxmlformats.org/officeDocument/2006/relationships" ref="M221" r:id="rId802"/>
    <hyperlink xmlns:r="http://schemas.openxmlformats.org/officeDocument/2006/relationships" ref="N221" r:id="rId803"/>
    <hyperlink xmlns:r="http://schemas.openxmlformats.org/officeDocument/2006/relationships" ref="P221" r:id="rId804"/>
    <hyperlink xmlns:r="http://schemas.openxmlformats.org/officeDocument/2006/relationships" ref="M222" r:id="rId805"/>
    <hyperlink xmlns:r="http://schemas.openxmlformats.org/officeDocument/2006/relationships" ref="N222" r:id="rId806"/>
    <hyperlink xmlns:r="http://schemas.openxmlformats.org/officeDocument/2006/relationships" ref="O222" r:id="rId807"/>
    <hyperlink xmlns:r="http://schemas.openxmlformats.org/officeDocument/2006/relationships" ref="P222" r:id="rId808"/>
    <hyperlink xmlns:r="http://schemas.openxmlformats.org/officeDocument/2006/relationships" ref="M223" r:id="rId809"/>
    <hyperlink xmlns:r="http://schemas.openxmlformats.org/officeDocument/2006/relationships" ref="N223" r:id="rId810"/>
    <hyperlink xmlns:r="http://schemas.openxmlformats.org/officeDocument/2006/relationships" ref="O223" r:id="rId811"/>
    <hyperlink xmlns:r="http://schemas.openxmlformats.org/officeDocument/2006/relationships" ref="P223" r:id="rId812"/>
    <hyperlink xmlns:r="http://schemas.openxmlformats.org/officeDocument/2006/relationships" ref="M224" r:id="rId813"/>
    <hyperlink xmlns:r="http://schemas.openxmlformats.org/officeDocument/2006/relationships" ref="N224" r:id="rId814"/>
    <hyperlink xmlns:r="http://schemas.openxmlformats.org/officeDocument/2006/relationships" ref="O224" r:id="rId815"/>
    <hyperlink xmlns:r="http://schemas.openxmlformats.org/officeDocument/2006/relationships" ref="P224" r:id="rId816"/>
    <hyperlink xmlns:r="http://schemas.openxmlformats.org/officeDocument/2006/relationships" ref="M225" r:id="rId817"/>
    <hyperlink xmlns:r="http://schemas.openxmlformats.org/officeDocument/2006/relationships" ref="N225" r:id="rId818"/>
    <hyperlink xmlns:r="http://schemas.openxmlformats.org/officeDocument/2006/relationships" ref="O225" r:id="rId819"/>
    <hyperlink xmlns:r="http://schemas.openxmlformats.org/officeDocument/2006/relationships" ref="P225" r:id="rId820"/>
    <hyperlink xmlns:r="http://schemas.openxmlformats.org/officeDocument/2006/relationships" ref="M226" r:id="rId821"/>
    <hyperlink xmlns:r="http://schemas.openxmlformats.org/officeDocument/2006/relationships" ref="N226" r:id="rId822"/>
    <hyperlink xmlns:r="http://schemas.openxmlformats.org/officeDocument/2006/relationships" ref="O226" r:id="rId823"/>
    <hyperlink xmlns:r="http://schemas.openxmlformats.org/officeDocument/2006/relationships" ref="P226" r:id="rId824"/>
    <hyperlink xmlns:r="http://schemas.openxmlformats.org/officeDocument/2006/relationships" ref="M227" r:id="rId825"/>
    <hyperlink xmlns:r="http://schemas.openxmlformats.org/officeDocument/2006/relationships" ref="N227" r:id="rId826"/>
    <hyperlink xmlns:r="http://schemas.openxmlformats.org/officeDocument/2006/relationships" ref="P227" r:id="rId827"/>
    <hyperlink xmlns:r="http://schemas.openxmlformats.org/officeDocument/2006/relationships" ref="M228" r:id="rId828"/>
    <hyperlink xmlns:r="http://schemas.openxmlformats.org/officeDocument/2006/relationships" ref="N228" r:id="rId829"/>
    <hyperlink xmlns:r="http://schemas.openxmlformats.org/officeDocument/2006/relationships" ref="P228" r:id="rId830"/>
    <hyperlink xmlns:r="http://schemas.openxmlformats.org/officeDocument/2006/relationships" ref="M229" r:id="rId831"/>
    <hyperlink xmlns:r="http://schemas.openxmlformats.org/officeDocument/2006/relationships" ref="N229" r:id="rId832"/>
    <hyperlink xmlns:r="http://schemas.openxmlformats.org/officeDocument/2006/relationships" ref="O229" r:id="rId833"/>
    <hyperlink xmlns:r="http://schemas.openxmlformats.org/officeDocument/2006/relationships" ref="P229" r:id="rId834"/>
    <hyperlink xmlns:r="http://schemas.openxmlformats.org/officeDocument/2006/relationships" ref="M230" r:id="rId835"/>
    <hyperlink xmlns:r="http://schemas.openxmlformats.org/officeDocument/2006/relationships" ref="N230" r:id="rId836"/>
    <hyperlink xmlns:r="http://schemas.openxmlformats.org/officeDocument/2006/relationships" ref="O230" r:id="rId837"/>
    <hyperlink xmlns:r="http://schemas.openxmlformats.org/officeDocument/2006/relationships" ref="P230" r:id="rId838"/>
    <hyperlink xmlns:r="http://schemas.openxmlformats.org/officeDocument/2006/relationships" ref="M231" r:id="rId839"/>
    <hyperlink xmlns:r="http://schemas.openxmlformats.org/officeDocument/2006/relationships" ref="N231" r:id="rId840"/>
    <hyperlink xmlns:r="http://schemas.openxmlformats.org/officeDocument/2006/relationships" ref="O231" r:id="rId841"/>
    <hyperlink xmlns:r="http://schemas.openxmlformats.org/officeDocument/2006/relationships" ref="P231" r:id="rId842"/>
    <hyperlink xmlns:r="http://schemas.openxmlformats.org/officeDocument/2006/relationships" ref="M232" r:id="rId843"/>
    <hyperlink xmlns:r="http://schemas.openxmlformats.org/officeDocument/2006/relationships" ref="N232" r:id="rId844"/>
    <hyperlink xmlns:r="http://schemas.openxmlformats.org/officeDocument/2006/relationships" ref="O232" r:id="rId845"/>
    <hyperlink xmlns:r="http://schemas.openxmlformats.org/officeDocument/2006/relationships" ref="P232" r:id="rId846"/>
    <hyperlink xmlns:r="http://schemas.openxmlformats.org/officeDocument/2006/relationships" ref="M233" r:id="rId847"/>
    <hyperlink xmlns:r="http://schemas.openxmlformats.org/officeDocument/2006/relationships" ref="N233" r:id="rId848"/>
    <hyperlink xmlns:r="http://schemas.openxmlformats.org/officeDocument/2006/relationships" ref="O233" r:id="rId849"/>
    <hyperlink xmlns:r="http://schemas.openxmlformats.org/officeDocument/2006/relationships" ref="P233" r:id="rId850"/>
    <hyperlink xmlns:r="http://schemas.openxmlformats.org/officeDocument/2006/relationships" ref="M234" r:id="rId851"/>
    <hyperlink xmlns:r="http://schemas.openxmlformats.org/officeDocument/2006/relationships" ref="N234" r:id="rId852"/>
    <hyperlink xmlns:r="http://schemas.openxmlformats.org/officeDocument/2006/relationships" ref="O234" r:id="rId853"/>
    <hyperlink xmlns:r="http://schemas.openxmlformats.org/officeDocument/2006/relationships" ref="P234" r:id="rId854"/>
    <hyperlink xmlns:r="http://schemas.openxmlformats.org/officeDocument/2006/relationships" ref="M235" r:id="rId855"/>
    <hyperlink xmlns:r="http://schemas.openxmlformats.org/officeDocument/2006/relationships" ref="N235" r:id="rId856"/>
    <hyperlink xmlns:r="http://schemas.openxmlformats.org/officeDocument/2006/relationships" ref="O235" r:id="rId857"/>
    <hyperlink xmlns:r="http://schemas.openxmlformats.org/officeDocument/2006/relationships" ref="P235" r:id="rId858"/>
    <hyperlink xmlns:r="http://schemas.openxmlformats.org/officeDocument/2006/relationships" ref="M236" r:id="rId859"/>
    <hyperlink xmlns:r="http://schemas.openxmlformats.org/officeDocument/2006/relationships" ref="N236" r:id="rId860"/>
    <hyperlink xmlns:r="http://schemas.openxmlformats.org/officeDocument/2006/relationships" ref="O236" r:id="rId861"/>
    <hyperlink xmlns:r="http://schemas.openxmlformats.org/officeDocument/2006/relationships" ref="P236" r:id="rId862"/>
    <hyperlink xmlns:r="http://schemas.openxmlformats.org/officeDocument/2006/relationships" ref="M237" r:id="rId863"/>
    <hyperlink xmlns:r="http://schemas.openxmlformats.org/officeDocument/2006/relationships" ref="N237" r:id="rId864"/>
    <hyperlink xmlns:r="http://schemas.openxmlformats.org/officeDocument/2006/relationships" ref="O237" r:id="rId865"/>
    <hyperlink xmlns:r="http://schemas.openxmlformats.org/officeDocument/2006/relationships" ref="P237" r:id="rId866"/>
    <hyperlink xmlns:r="http://schemas.openxmlformats.org/officeDocument/2006/relationships" ref="M238" r:id="rId867"/>
    <hyperlink xmlns:r="http://schemas.openxmlformats.org/officeDocument/2006/relationships" ref="N238" r:id="rId868"/>
    <hyperlink xmlns:r="http://schemas.openxmlformats.org/officeDocument/2006/relationships" ref="P238" r:id="rId869"/>
    <hyperlink xmlns:r="http://schemas.openxmlformats.org/officeDocument/2006/relationships" ref="M239" r:id="rId870"/>
    <hyperlink xmlns:r="http://schemas.openxmlformats.org/officeDocument/2006/relationships" ref="N239" r:id="rId871"/>
    <hyperlink xmlns:r="http://schemas.openxmlformats.org/officeDocument/2006/relationships" ref="P239" r:id="rId872"/>
    <hyperlink xmlns:r="http://schemas.openxmlformats.org/officeDocument/2006/relationships" ref="M240" r:id="rId873"/>
    <hyperlink xmlns:r="http://schemas.openxmlformats.org/officeDocument/2006/relationships" ref="N240" r:id="rId874"/>
    <hyperlink xmlns:r="http://schemas.openxmlformats.org/officeDocument/2006/relationships" ref="O240" r:id="rId875"/>
    <hyperlink xmlns:r="http://schemas.openxmlformats.org/officeDocument/2006/relationships" ref="P240" r:id="rId876"/>
    <hyperlink xmlns:r="http://schemas.openxmlformats.org/officeDocument/2006/relationships" ref="M241" r:id="rId877"/>
    <hyperlink xmlns:r="http://schemas.openxmlformats.org/officeDocument/2006/relationships" ref="N241" r:id="rId878"/>
    <hyperlink xmlns:r="http://schemas.openxmlformats.org/officeDocument/2006/relationships" ref="O241" r:id="rId879"/>
    <hyperlink xmlns:r="http://schemas.openxmlformats.org/officeDocument/2006/relationships" ref="P241" r:id="rId880"/>
    <hyperlink xmlns:r="http://schemas.openxmlformats.org/officeDocument/2006/relationships" ref="M242" r:id="rId881"/>
    <hyperlink xmlns:r="http://schemas.openxmlformats.org/officeDocument/2006/relationships" ref="N242" r:id="rId882"/>
    <hyperlink xmlns:r="http://schemas.openxmlformats.org/officeDocument/2006/relationships" ref="P242" r:id="rId883"/>
    <hyperlink xmlns:r="http://schemas.openxmlformats.org/officeDocument/2006/relationships" ref="M243" r:id="rId884"/>
    <hyperlink xmlns:r="http://schemas.openxmlformats.org/officeDocument/2006/relationships" ref="N243" r:id="rId885"/>
    <hyperlink xmlns:r="http://schemas.openxmlformats.org/officeDocument/2006/relationships" ref="P243" r:id="rId886"/>
    <hyperlink xmlns:r="http://schemas.openxmlformats.org/officeDocument/2006/relationships" ref="M244" r:id="rId887"/>
    <hyperlink xmlns:r="http://schemas.openxmlformats.org/officeDocument/2006/relationships" ref="N244" r:id="rId888"/>
    <hyperlink xmlns:r="http://schemas.openxmlformats.org/officeDocument/2006/relationships" ref="P244" r:id="rId889"/>
    <hyperlink xmlns:r="http://schemas.openxmlformats.org/officeDocument/2006/relationships" ref="M245" r:id="rId890"/>
    <hyperlink xmlns:r="http://schemas.openxmlformats.org/officeDocument/2006/relationships" ref="N245" r:id="rId891"/>
    <hyperlink xmlns:r="http://schemas.openxmlformats.org/officeDocument/2006/relationships" ref="P245" r:id="rId892"/>
    <hyperlink xmlns:r="http://schemas.openxmlformats.org/officeDocument/2006/relationships" ref="M246" r:id="rId893"/>
    <hyperlink xmlns:r="http://schemas.openxmlformats.org/officeDocument/2006/relationships" ref="N246" r:id="rId894"/>
    <hyperlink xmlns:r="http://schemas.openxmlformats.org/officeDocument/2006/relationships" ref="O246" r:id="rId895"/>
    <hyperlink xmlns:r="http://schemas.openxmlformats.org/officeDocument/2006/relationships" ref="P246" r:id="rId896"/>
    <hyperlink xmlns:r="http://schemas.openxmlformats.org/officeDocument/2006/relationships" ref="M247" r:id="rId897"/>
    <hyperlink xmlns:r="http://schemas.openxmlformats.org/officeDocument/2006/relationships" ref="N247" r:id="rId898"/>
    <hyperlink xmlns:r="http://schemas.openxmlformats.org/officeDocument/2006/relationships" ref="O247" r:id="rId899"/>
    <hyperlink xmlns:r="http://schemas.openxmlformats.org/officeDocument/2006/relationships" ref="P247" r:id="rId900"/>
    <hyperlink xmlns:r="http://schemas.openxmlformats.org/officeDocument/2006/relationships" ref="M248" r:id="rId901"/>
    <hyperlink xmlns:r="http://schemas.openxmlformats.org/officeDocument/2006/relationships" ref="N248" r:id="rId902"/>
    <hyperlink xmlns:r="http://schemas.openxmlformats.org/officeDocument/2006/relationships" ref="O248" r:id="rId903"/>
    <hyperlink xmlns:r="http://schemas.openxmlformats.org/officeDocument/2006/relationships" ref="P248" r:id="rId904"/>
    <hyperlink xmlns:r="http://schemas.openxmlformats.org/officeDocument/2006/relationships" ref="M249" r:id="rId905"/>
    <hyperlink xmlns:r="http://schemas.openxmlformats.org/officeDocument/2006/relationships" ref="N249" r:id="rId906"/>
    <hyperlink xmlns:r="http://schemas.openxmlformats.org/officeDocument/2006/relationships" ref="P249" r:id="rId907"/>
    <hyperlink xmlns:r="http://schemas.openxmlformats.org/officeDocument/2006/relationships" ref="M250" r:id="rId908"/>
    <hyperlink xmlns:r="http://schemas.openxmlformats.org/officeDocument/2006/relationships" ref="N250" r:id="rId909"/>
    <hyperlink xmlns:r="http://schemas.openxmlformats.org/officeDocument/2006/relationships" ref="O250" r:id="rId910"/>
    <hyperlink xmlns:r="http://schemas.openxmlformats.org/officeDocument/2006/relationships" ref="P250" r:id="rId911"/>
    <hyperlink xmlns:r="http://schemas.openxmlformats.org/officeDocument/2006/relationships" ref="M251" r:id="rId912"/>
    <hyperlink xmlns:r="http://schemas.openxmlformats.org/officeDocument/2006/relationships" ref="N251" r:id="rId913"/>
    <hyperlink xmlns:r="http://schemas.openxmlformats.org/officeDocument/2006/relationships" ref="P251" r:id="rId914"/>
    <hyperlink xmlns:r="http://schemas.openxmlformats.org/officeDocument/2006/relationships" ref="M252" r:id="rId915"/>
    <hyperlink xmlns:r="http://schemas.openxmlformats.org/officeDocument/2006/relationships" ref="N252" r:id="rId916"/>
    <hyperlink xmlns:r="http://schemas.openxmlformats.org/officeDocument/2006/relationships" ref="O252" r:id="rId917"/>
    <hyperlink xmlns:r="http://schemas.openxmlformats.org/officeDocument/2006/relationships" ref="P252" r:id="rId918"/>
    <hyperlink xmlns:r="http://schemas.openxmlformats.org/officeDocument/2006/relationships" ref="M253" r:id="rId919"/>
    <hyperlink xmlns:r="http://schemas.openxmlformats.org/officeDocument/2006/relationships" ref="N253" r:id="rId920"/>
    <hyperlink xmlns:r="http://schemas.openxmlformats.org/officeDocument/2006/relationships" ref="O253" r:id="rId921"/>
    <hyperlink xmlns:r="http://schemas.openxmlformats.org/officeDocument/2006/relationships" ref="P253" r:id="rId922"/>
    <hyperlink xmlns:r="http://schemas.openxmlformats.org/officeDocument/2006/relationships" ref="M254" r:id="rId923"/>
    <hyperlink xmlns:r="http://schemas.openxmlformats.org/officeDocument/2006/relationships" ref="N254" r:id="rId924"/>
    <hyperlink xmlns:r="http://schemas.openxmlformats.org/officeDocument/2006/relationships" ref="P254" r:id="rId925"/>
    <hyperlink xmlns:r="http://schemas.openxmlformats.org/officeDocument/2006/relationships" ref="M255" r:id="rId926"/>
    <hyperlink xmlns:r="http://schemas.openxmlformats.org/officeDocument/2006/relationships" ref="N255" r:id="rId927"/>
    <hyperlink xmlns:r="http://schemas.openxmlformats.org/officeDocument/2006/relationships" ref="O255" r:id="rId928"/>
    <hyperlink xmlns:r="http://schemas.openxmlformats.org/officeDocument/2006/relationships" ref="P255" r:id="rId929"/>
    <hyperlink xmlns:r="http://schemas.openxmlformats.org/officeDocument/2006/relationships" ref="M256" r:id="rId930"/>
    <hyperlink xmlns:r="http://schemas.openxmlformats.org/officeDocument/2006/relationships" ref="N256" r:id="rId931"/>
    <hyperlink xmlns:r="http://schemas.openxmlformats.org/officeDocument/2006/relationships" ref="O256" r:id="rId932"/>
    <hyperlink xmlns:r="http://schemas.openxmlformats.org/officeDocument/2006/relationships" ref="P256" r:id="rId933"/>
    <hyperlink xmlns:r="http://schemas.openxmlformats.org/officeDocument/2006/relationships" ref="M257" r:id="rId934"/>
    <hyperlink xmlns:r="http://schemas.openxmlformats.org/officeDocument/2006/relationships" ref="N257" r:id="rId935"/>
    <hyperlink xmlns:r="http://schemas.openxmlformats.org/officeDocument/2006/relationships" ref="O257" r:id="rId936"/>
    <hyperlink xmlns:r="http://schemas.openxmlformats.org/officeDocument/2006/relationships" ref="P257" r:id="rId937"/>
    <hyperlink xmlns:r="http://schemas.openxmlformats.org/officeDocument/2006/relationships" ref="M258" r:id="rId938"/>
    <hyperlink xmlns:r="http://schemas.openxmlformats.org/officeDocument/2006/relationships" ref="N258" r:id="rId939"/>
    <hyperlink xmlns:r="http://schemas.openxmlformats.org/officeDocument/2006/relationships" ref="O258" r:id="rId940"/>
    <hyperlink xmlns:r="http://schemas.openxmlformats.org/officeDocument/2006/relationships" ref="P258" r:id="rId941"/>
    <hyperlink xmlns:r="http://schemas.openxmlformats.org/officeDocument/2006/relationships" ref="N259" r:id="rId942"/>
    <hyperlink xmlns:r="http://schemas.openxmlformats.org/officeDocument/2006/relationships" ref="O259" r:id="rId943"/>
    <hyperlink xmlns:r="http://schemas.openxmlformats.org/officeDocument/2006/relationships" ref="P259" r:id="rId944"/>
    <hyperlink xmlns:r="http://schemas.openxmlformats.org/officeDocument/2006/relationships" ref="M260" r:id="rId945"/>
    <hyperlink xmlns:r="http://schemas.openxmlformats.org/officeDocument/2006/relationships" ref="N260" r:id="rId946"/>
    <hyperlink xmlns:r="http://schemas.openxmlformats.org/officeDocument/2006/relationships" ref="P260" r:id="rId947"/>
    <hyperlink xmlns:r="http://schemas.openxmlformats.org/officeDocument/2006/relationships" ref="M261" r:id="rId948"/>
    <hyperlink xmlns:r="http://schemas.openxmlformats.org/officeDocument/2006/relationships" ref="N261" r:id="rId949"/>
    <hyperlink xmlns:r="http://schemas.openxmlformats.org/officeDocument/2006/relationships" ref="P261" r:id="rId950"/>
    <hyperlink xmlns:r="http://schemas.openxmlformats.org/officeDocument/2006/relationships" ref="M262" r:id="rId951"/>
    <hyperlink xmlns:r="http://schemas.openxmlformats.org/officeDocument/2006/relationships" ref="N262" r:id="rId952"/>
    <hyperlink xmlns:r="http://schemas.openxmlformats.org/officeDocument/2006/relationships" ref="P262" r:id="rId953"/>
    <hyperlink xmlns:r="http://schemas.openxmlformats.org/officeDocument/2006/relationships" ref="M263" r:id="rId954"/>
    <hyperlink xmlns:r="http://schemas.openxmlformats.org/officeDocument/2006/relationships" ref="N263" r:id="rId955"/>
    <hyperlink xmlns:r="http://schemas.openxmlformats.org/officeDocument/2006/relationships" ref="P263" r:id="rId956"/>
    <hyperlink xmlns:r="http://schemas.openxmlformats.org/officeDocument/2006/relationships" ref="M264" r:id="rId957"/>
    <hyperlink xmlns:r="http://schemas.openxmlformats.org/officeDocument/2006/relationships" ref="N264" r:id="rId958"/>
    <hyperlink xmlns:r="http://schemas.openxmlformats.org/officeDocument/2006/relationships" ref="O264" r:id="rId959"/>
    <hyperlink xmlns:r="http://schemas.openxmlformats.org/officeDocument/2006/relationships" ref="P264" r:id="rId960"/>
    <hyperlink xmlns:r="http://schemas.openxmlformats.org/officeDocument/2006/relationships" ref="M265" r:id="rId961"/>
    <hyperlink xmlns:r="http://schemas.openxmlformats.org/officeDocument/2006/relationships" ref="N265" r:id="rId962"/>
    <hyperlink xmlns:r="http://schemas.openxmlformats.org/officeDocument/2006/relationships" ref="P265" r:id="rId963"/>
    <hyperlink xmlns:r="http://schemas.openxmlformats.org/officeDocument/2006/relationships" ref="M266" r:id="rId964"/>
    <hyperlink xmlns:r="http://schemas.openxmlformats.org/officeDocument/2006/relationships" ref="N266" r:id="rId965"/>
    <hyperlink xmlns:r="http://schemas.openxmlformats.org/officeDocument/2006/relationships" ref="O266" r:id="rId966"/>
    <hyperlink xmlns:r="http://schemas.openxmlformats.org/officeDocument/2006/relationships" ref="P266" r:id="rId967"/>
    <hyperlink xmlns:r="http://schemas.openxmlformats.org/officeDocument/2006/relationships" ref="M267" r:id="rId968"/>
    <hyperlink xmlns:r="http://schemas.openxmlformats.org/officeDocument/2006/relationships" ref="N267" r:id="rId969"/>
    <hyperlink xmlns:r="http://schemas.openxmlformats.org/officeDocument/2006/relationships" ref="O267" r:id="rId970"/>
    <hyperlink xmlns:r="http://schemas.openxmlformats.org/officeDocument/2006/relationships" ref="P267" r:id="rId971"/>
    <hyperlink xmlns:r="http://schemas.openxmlformats.org/officeDocument/2006/relationships" ref="M268" r:id="rId972"/>
    <hyperlink xmlns:r="http://schemas.openxmlformats.org/officeDocument/2006/relationships" ref="N268" r:id="rId973"/>
    <hyperlink xmlns:r="http://schemas.openxmlformats.org/officeDocument/2006/relationships" ref="P268" r:id="rId974"/>
    <hyperlink xmlns:r="http://schemas.openxmlformats.org/officeDocument/2006/relationships" ref="M269" r:id="rId975"/>
    <hyperlink xmlns:r="http://schemas.openxmlformats.org/officeDocument/2006/relationships" ref="N269" r:id="rId976"/>
    <hyperlink xmlns:r="http://schemas.openxmlformats.org/officeDocument/2006/relationships" ref="O269" r:id="rId977"/>
    <hyperlink xmlns:r="http://schemas.openxmlformats.org/officeDocument/2006/relationships" ref="P269" r:id="rId978"/>
    <hyperlink xmlns:r="http://schemas.openxmlformats.org/officeDocument/2006/relationships" ref="M270" r:id="rId979"/>
    <hyperlink xmlns:r="http://schemas.openxmlformats.org/officeDocument/2006/relationships" ref="N270" r:id="rId980"/>
    <hyperlink xmlns:r="http://schemas.openxmlformats.org/officeDocument/2006/relationships" ref="O270" r:id="rId981"/>
    <hyperlink xmlns:r="http://schemas.openxmlformats.org/officeDocument/2006/relationships" ref="P270" r:id="rId982"/>
    <hyperlink xmlns:r="http://schemas.openxmlformats.org/officeDocument/2006/relationships" ref="M271" r:id="rId983"/>
    <hyperlink xmlns:r="http://schemas.openxmlformats.org/officeDocument/2006/relationships" ref="N271" r:id="rId984"/>
    <hyperlink xmlns:r="http://schemas.openxmlformats.org/officeDocument/2006/relationships" ref="P271" r:id="rId985"/>
    <hyperlink xmlns:r="http://schemas.openxmlformats.org/officeDocument/2006/relationships" ref="M272" r:id="rId986"/>
    <hyperlink xmlns:r="http://schemas.openxmlformats.org/officeDocument/2006/relationships" ref="N272" r:id="rId987"/>
    <hyperlink xmlns:r="http://schemas.openxmlformats.org/officeDocument/2006/relationships" ref="O272" r:id="rId988"/>
    <hyperlink xmlns:r="http://schemas.openxmlformats.org/officeDocument/2006/relationships" ref="P272" r:id="rId989"/>
    <hyperlink xmlns:r="http://schemas.openxmlformats.org/officeDocument/2006/relationships" ref="M273" r:id="rId990"/>
    <hyperlink xmlns:r="http://schemas.openxmlformats.org/officeDocument/2006/relationships" ref="N273" r:id="rId991"/>
    <hyperlink xmlns:r="http://schemas.openxmlformats.org/officeDocument/2006/relationships" ref="O273" r:id="rId992"/>
    <hyperlink xmlns:r="http://schemas.openxmlformats.org/officeDocument/2006/relationships" ref="P273" r:id="rId993"/>
    <hyperlink xmlns:r="http://schemas.openxmlformats.org/officeDocument/2006/relationships" ref="M274" r:id="rId994"/>
    <hyperlink xmlns:r="http://schemas.openxmlformats.org/officeDocument/2006/relationships" ref="N274" r:id="rId995"/>
    <hyperlink xmlns:r="http://schemas.openxmlformats.org/officeDocument/2006/relationships" ref="O274" r:id="rId996"/>
    <hyperlink xmlns:r="http://schemas.openxmlformats.org/officeDocument/2006/relationships" ref="P274" r:id="rId997"/>
    <hyperlink xmlns:r="http://schemas.openxmlformats.org/officeDocument/2006/relationships" ref="M275" r:id="rId998"/>
    <hyperlink xmlns:r="http://schemas.openxmlformats.org/officeDocument/2006/relationships" ref="N275" r:id="rId999"/>
    <hyperlink xmlns:r="http://schemas.openxmlformats.org/officeDocument/2006/relationships" ref="O275" r:id="rId1000"/>
    <hyperlink xmlns:r="http://schemas.openxmlformats.org/officeDocument/2006/relationships" ref="P275" r:id="rId1001"/>
    <hyperlink xmlns:r="http://schemas.openxmlformats.org/officeDocument/2006/relationships" ref="M276" r:id="rId1002"/>
    <hyperlink xmlns:r="http://schemas.openxmlformats.org/officeDocument/2006/relationships" ref="N276" r:id="rId1003"/>
    <hyperlink xmlns:r="http://schemas.openxmlformats.org/officeDocument/2006/relationships" ref="O276" r:id="rId1004"/>
    <hyperlink xmlns:r="http://schemas.openxmlformats.org/officeDocument/2006/relationships" ref="P276" r:id="rId1005"/>
    <hyperlink xmlns:r="http://schemas.openxmlformats.org/officeDocument/2006/relationships" ref="M277" r:id="rId1006"/>
    <hyperlink xmlns:r="http://schemas.openxmlformats.org/officeDocument/2006/relationships" ref="N277" r:id="rId1007"/>
    <hyperlink xmlns:r="http://schemas.openxmlformats.org/officeDocument/2006/relationships" ref="O277" r:id="rId1008"/>
    <hyperlink xmlns:r="http://schemas.openxmlformats.org/officeDocument/2006/relationships" ref="P277" r:id="rId1009"/>
    <hyperlink xmlns:r="http://schemas.openxmlformats.org/officeDocument/2006/relationships" ref="M278" r:id="rId1010"/>
    <hyperlink xmlns:r="http://schemas.openxmlformats.org/officeDocument/2006/relationships" ref="N278" r:id="rId1011"/>
    <hyperlink xmlns:r="http://schemas.openxmlformats.org/officeDocument/2006/relationships" ref="P278" r:id="rId1012"/>
    <hyperlink xmlns:r="http://schemas.openxmlformats.org/officeDocument/2006/relationships" ref="M279" r:id="rId1013"/>
    <hyperlink xmlns:r="http://schemas.openxmlformats.org/officeDocument/2006/relationships" ref="N279" r:id="rId1014"/>
    <hyperlink xmlns:r="http://schemas.openxmlformats.org/officeDocument/2006/relationships" ref="O279" r:id="rId1015"/>
    <hyperlink xmlns:r="http://schemas.openxmlformats.org/officeDocument/2006/relationships" ref="P279" r:id="rId1016"/>
    <hyperlink xmlns:r="http://schemas.openxmlformats.org/officeDocument/2006/relationships" ref="M280" r:id="rId1017"/>
    <hyperlink xmlns:r="http://schemas.openxmlformats.org/officeDocument/2006/relationships" ref="N280" r:id="rId1018"/>
    <hyperlink xmlns:r="http://schemas.openxmlformats.org/officeDocument/2006/relationships" ref="O280" r:id="rId1019"/>
    <hyperlink xmlns:r="http://schemas.openxmlformats.org/officeDocument/2006/relationships" ref="P280" r:id="rId1020"/>
    <hyperlink xmlns:r="http://schemas.openxmlformats.org/officeDocument/2006/relationships" ref="M281" r:id="rId1021"/>
    <hyperlink xmlns:r="http://schemas.openxmlformats.org/officeDocument/2006/relationships" ref="N281" r:id="rId1022"/>
    <hyperlink xmlns:r="http://schemas.openxmlformats.org/officeDocument/2006/relationships" ref="O281" r:id="rId1023"/>
    <hyperlink xmlns:r="http://schemas.openxmlformats.org/officeDocument/2006/relationships" ref="P281" r:id="rId1024"/>
    <hyperlink xmlns:r="http://schemas.openxmlformats.org/officeDocument/2006/relationships" ref="M282" r:id="rId1025"/>
    <hyperlink xmlns:r="http://schemas.openxmlformats.org/officeDocument/2006/relationships" ref="N282" r:id="rId1026"/>
    <hyperlink xmlns:r="http://schemas.openxmlformats.org/officeDocument/2006/relationships" ref="O282" r:id="rId1027"/>
    <hyperlink xmlns:r="http://schemas.openxmlformats.org/officeDocument/2006/relationships" ref="P282" r:id="rId1028"/>
    <hyperlink xmlns:r="http://schemas.openxmlformats.org/officeDocument/2006/relationships" ref="M283" r:id="rId1029"/>
    <hyperlink xmlns:r="http://schemas.openxmlformats.org/officeDocument/2006/relationships" ref="N283" r:id="rId1030"/>
    <hyperlink xmlns:r="http://schemas.openxmlformats.org/officeDocument/2006/relationships" ref="P283" r:id="rId1031"/>
    <hyperlink xmlns:r="http://schemas.openxmlformats.org/officeDocument/2006/relationships" ref="M284" r:id="rId1032"/>
    <hyperlink xmlns:r="http://schemas.openxmlformats.org/officeDocument/2006/relationships" ref="N284" r:id="rId1033"/>
    <hyperlink xmlns:r="http://schemas.openxmlformats.org/officeDocument/2006/relationships" ref="O284" r:id="rId1034"/>
    <hyperlink xmlns:r="http://schemas.openxmlformats.org/officeDocument/2006/relationships" ref="P284" r:id="rId1035"/>
    <hyperlink xmlns:r="http://schemas.openxmlformats.org/officeDocument/2006/relationships" ref="M285" r:id="rId1036"/>
    <hyperlink xmlns:r="http://schemas.openxmlformats.org/officeDocument/2006/relationships" ref="N285" r:id="rId1037"/>
    <hyperlink xmlns:r="http://schemas.openxmlformats.org/officeDocument/2006/relationships" ref="O285" r:id="rId1038"/>
    <hyperlink xmlns:r="http://schemas.openxmlformats.org/officeDocument/2006/relationships" ref="P285" r:id="rId1039"/>
    <hyperlink xmlns:r="http://schemas.openxmlformats.org/officeDocument/2006/relationships" ref="M286" r:id="rId1040"/>
    <hyperlink xmlns:r="http://schemas.openxmlformats.org/officeDocument/2006/relationships" ref="N286" r:id="rId1041"/>
    <hyperlink xmlns:r="http://schemas.openxmlformats.org/officeDocument/2006/relationships" ref="O286" r:id="rId1042"/>
    <hyperlink xmlns:r="http://schemas.openxmlformats.org/officeDocument/2006/relationships" ref="P286" r:id="rId1043"/>
    <hyperlink xmlns:r="http://schemas.openxmlformats.org/officeDocument/2006/relationships" ref="M287" r:id="rId1044"/>
    <hyperlink xmlns:r="http://schemas.openxmlformats.org/officeDocument/2006/relationships" ref="N287" r:id="rId1045"/>
    <hyperlink xmlns:r="http://schemas.openxmlformats.org/officeDocument/2006/relationships" ref="P287" r:id="rId1046"/>
    <hyperlink xmlns:r="http://schemas.openxmlformats.org/officeDocument/2006/relationships" ref="M288" r:id="rId1047"/>
    <hyperlink xmlns:r="http://schemas.openxmlformats.org/officeDocument/2006/relationships" ref="N288" r:id="rId1048"/>
    <hyperlink xmlns:r="http://schemas.openxmlformats.org/officeDocument/2006/relationships" ref="O288" r:id="rId1049"/>
    <hyperlink xmlns:r="http://schemas.openxmlformats.org/officeDocument/2006/relationships" ref="P288" r:id="rId1050"/>
    <hyperlink xmlns:r="http://schemas.openxmlformats.org/officeDocument/2006/relationships" ref="M289" r:id="rId1051"/>
    <hyperlink xmlns:r="http://schemas.openxmlformats.org/officeDocument/2006/relationships" ref="N289" r:id="rId1052"/>
    <hyperlink xmlns:r="http://schemas.openxmlformats.org/officeDocument/2006/relationships" ref="P289" r:id="rId1053"/>
    <hyperlink xmlns:r="http://schemas.openxmlformats.org/officeDocument/2006/relationships" ref="M290" r:id="rId1054"/>
    <hyperlink xmlns:r="http://schemas.openxmlformats.org/officeDocument/2006/relationships" ref="N290" r:id="rId1055"/>
    <hyperlink xmlns:r="http://schemas.openxmlformats.org/officeDocument/2006/relationships" ref="O290" r:id="rId1056"/>
    <hyperlink xmlns:r="http://schemas.openxmlformats.org/officeDocument/2006/relationships" ref="P290" r:id="rId1057"/>
    <hyperlink xmlns:r="http://schemas.openxmlformats.org/officeDocument/2006/relationships" ref="M291" r:id="rId1058"/>
    <hyperlink xmlns:r="http://schemas.openxmlformats.org/officeDocument/2006/relationships" ref="N291" r:id="rId1059"/>
    <hyperlink xmlns:r="http://schemas.openxmlformats.org/officeDocument/2006/relationships" ref="O291" r:id="rId1060"/>
    <hyperlink xmlns:r="http://schemas.openxmlformats.org/officeDocument/2006/relationships" ref="P291" r:id="rId1061"/>
    <hyperlink xmlns:r="http://schemas.openxmlformats.org/officeDocument/2006/relationships" ref="M292" r:id="rId1062"/>
    <hyperlink xmlns:r="http://schemas.openxmlformats.org/officeDocument/2006/relationships" ref="N292" r:id="rId1063"/>
    <hyperlink xmlns:r="http://schemas.openxmlformats.org/officeDocument/2006/relationships" ref="O292" r:id="rId1064"/>
    <hyperlink xmlns:r="http://schemas.openxmlformats.org/officeDocument/2006/relationships" ref="P292" r:id="rId1065"/>
    <hyperlink xmlns:r="http://schemas.openxmlformats.org/officeDocument/2006/relationships" ref="M293" r:id="rId1066"/>
    <hyperlink xmlns:r="http://schemas.openxmlformats.org/officeDocument/2006/relationships" ref="N293" r:id="rId1067"/>
    <hyperlink xmlns:r="http://schemas.openxmlformats.org/officeDocument/2006/relationships" ref="O293" r:id="rId1068"/>
    <hyperlink xmlns:r="http://schemas.openxmlformats.org/officeDocument/2006/relationships" ref="P293" r:id="rId1069"/>
    <hyperlink xmlns:r="http://schemas.openxmlformats.org/officeDocument/2006/relationships" ref="N294" r:id="rId1070"/>
    <hyperlink xmlns:r="http://schemas.openxmlformats.org/officeDocument/2006/relationships" ref="O294" r:id="rId1071"/>
    <hyperlink xmlns:r="http://schemas.openxmlformats.org/officeDocument/2006/relationships" ref="P294" r:id="rId1072"/>
    <hyperlink xmlns:r="http://schemas.openxmlformats.org/officeDocument/2006/relationships" ref="M295" r:id="rId1073"/>
    <hyperlink xmlns:r="http://schemas.openxmlformats.org/officeDocument/2006/relationships" ref="N295" r:id="rId1074"/>
    <hyperlink xmlns:r="http://schemas.openxmlformats.org/officeDocument/2006/relationships" ref="O295" r:id="rId1075"/>
    <hyperlink xmlns:r="http://schemas.openxmlformats.org/officeDocument/2006/relationships" ref="P295" r:id="rId1076"/>
    <hyperlink xmlns:r="http://schemas.openxmlformats.org/officeDocument/2006/relationships" ref="M296" r:id="rId1077"/>
    <hyperlink xmlns:r="http://schemas.openxmlformats.org/officeDocument/2006/relationships" ref="N296" r:id="rId1078"/>
    <hyperlink xmlns:r="http://schemas.openxmlformats.org/officeDocument/2006/relationships" ref="O296" r:id="rId1079"/>
    <hyperlink xmlns:r="http://schemas.openxmlformats.org/officeDocument/2006/relationships" ref="P296" r:id="rId1080"/>
    <hyperlink xmlns:r="http://schemas.openxmlformats.org/officeDocument/2006/relationships" ref="M297" r:id="rId1081"/>
    <hyperlink xmlns:r="http://schemas.openxmlformats.org/officeDocument/2006/relationships" ref="N297" r:id="rId1082"/>
    <hyperlink xmlns:r="http://schemas.openxmlformats.org/officeDocument/2006/relationships" ref="O297" r:id="rId1083"/>
    <hyperlink xmlns:r="http://schemas.openxmlformats.org/officeDocument/2006/relationships" ref="P297" r:id="rId1084"/>
    <hyperlink xmlns:r="http://schemas.openxmlformats.org/officeDocument/2006/relationships" ref="M298" r:id="rId1085"/>
    <hyperlink xmlns:r="http://schemas.openxmlformats.org/officeDocument/2006/relationships" ref="N298" r:id="rId1086"/>
    <hyperlink xmlns:r="http://schemas.openxmlformats.org/officeDocument/2006/relationships" ref="P298" r:id="rId1087"/>
    <hyperlink xmlns:r="http://schemas.openxmlformats.org/officeDocument/2006/relationships" ref="M299" r:id="rId1088"/>
    <hyperlink xmlns:r="http://schemas.openxmlformats.org/officeDocument/2006/relationships" ref="N299" r:id="rId1089"/>
    <hyperlink xmlns:r="http://schemas.openxmlformats.org/officeDocument/2006/relationships" ref="O299" r:id="rId1090"/>
    <hyperlink xmlns:r="http://schemas.openxmlformats.org/officeDocument/2006/relationships" ref="P299" r:id="rId1091"/>
    <hyperlink xmlns:r="http://schemas.openxmlformats.org/officeDocument/2006/relationships" ref="M300" r:id="rId1092"/>
    <hyperlink xmlns:r="http://schemas.openxmlformats.org/officeDocument/2006/relationships" ref="N300" r:id="rId1093"/>
    <hyperlink xmlns:r="http://schemas.openxmlformats.org/officeDocument/2006/relationships" ref="O300" r:id="rId1094"/>
    <hyperlink xmlns:r="http://schemas.openxmlformats.org/officeDocument/2006/relationships" ref="P300" r:id="rId1095"/>
    <hyperlink xmlns:r="http://schemas.openxmlformats.org/officeDocument/2006/relationships" ref="M301" r:id="rId1096"/>
    <hyperlink xmlns:r="http://schemas.openxmlformats.org/officeDocument/2006/relationships" ref="N301" r:id="rId1097"/>
    <hyperlink xmlns:r="http://schemas.openxmlformats.org/officeDocument/2006/relationships" ref="O301" r:id="rId1098"/>
    <hyperlink xmlns:r="http://schemas.openxmlformats.org/officeDocument/2006/relationships" ref="P301" r:id="rId1099"/>
    <hyperlink xmlns:r="http://schemas.openxmlformats.org/officeDocument/2006/relationships" ref="M302" r:id="rId1100"/>
    <hyperlink xmlns:r="http://schemas.openxmlformats.org/officeDocument/2006/relationships" ref="N302" r:id="rId1101"/>
    <hyperlink xmlns:r="http://schemas.openxmlformats.org/officeDocument/2006/relationships" ref="P302" r:id="rId1102"/>
    <hyperlink xmlns:r="http://schemas.openxmlformats.org/officeDocument/2006/relationships" ref="M303" r:id="rId1103"/>
    <hyperlink xmlns:r="http://schemas.openxmlformats.org/officeDocument/2006/relationships" ref="N303" r:id="rId1104"/>
    <hyperlink xmlns:r="http://schemas.openxmlformats.org/officeDocument/2006/relationships" ref="O303" r:id="rId1105"/>
    <hyperlink xmlns:r="http://schemas.openxmlformats.org/officeDocument/2006/relationships" ref="P303" r:id="rId1106"/>
    <hyperlink xmlns:r="http://schemas.openxmlformats.org/officeDocument/2006/relationships" ref="M305" r:id="rId1107"/>
    <hyperlink xmlns:r="http://schemas.openxmlformats.org/officeDocument/2006/relationships" ref="N305" r:id="rId1108"/>
    <hyperlink xmlns:r="http://schemas.openxmlformats.org/officeDocument/2006/relationships" ref="O305" r:id="rId1109"/>
    <hyperlink xmlns:r="http://schemas.openxmlformats.org/officeDocument/2006/relationships" ref="P305" r:id="rId1110"/>
    <hyperlink xmlns:r="http://schemas.openxmlformats.org/officeDocument/2006/relationships" ref="M306" r:id="rId1111"/>
    <hyperlink xmlns:r="http://schemas.openxmlformats.org/officeDocument/2006/relationships" ref="N306" r:id="rId1112"/>
    <hyperlink xmlns:r="http://schemas.openxmlformats.org/officeDocument/2006/relationships" ref="P306" r:id="rId1113"/>
    <hyperlink xmlns:r="http://schemas.openxmlformats.org/officeDocument/2006/relationships" ref="M307" r:id="rId1114"/>
    <hyperlink xmlns:r="http://schemas.openxmlformats.org/officeDocument/2006/relationships" ref="N307" r:id="rId1115"/>
    <hyperlink xmlns:r="http://schemas.openxmlformats.org/officeDocument/2006/relationships" ref="O307" r:id="rId1116"/>
    <hyperlink xmlns:r="http://schemas.openxmlformats.org/officeDocument/2006/relationships" ref="P307" r:id="rId1117"/>
    <hyperlink xmlns:r="http://schemas.openxmlformats.org/officeDocument/2006/relationships" ref="M308" r:id="rId1118"/>
    <hyperlink xmlns:r="http://schemas.openxmlformats.org/officeDocument/2006/relationships" ref="N308" r:id="rId1119"/>
    <hyperlink xmlns:r="http://schemas.openxmlformats.org/officeDocument/2006/relationships" ref="O308" r:id="rId1120"/>
    <hyperlink xmlns:r="http://schemas.openxmlformats.org/officeDocument/2006/relationships" ref="P308" r:id="rId1121"/>
    <hyperlink xmlns:r="http://schemas.openxmlformats.org/officeDocument/2006/relationships" ref="M309" r:id="rId1122"/>
    <hyperlink xmlns:r="http://schemas.openxmlformats.org/officeDocument/2006/relationships" ref="N309" r:id="rId1123"/>
    <hyperlink xmlns:r="http://schemas.openxmlformats.org/officeDocument/2006/relationships" ref="O309" r:id="rId1124"/>
    <hyperlink xmlns:r="http://schemas.openxmlformats.org/officeDocument/2006/relationships" ref="P309" r:id="rId1125"/>
    <hyperlink xmlns:r="http://schemas.openxmlformats.org/officeDocument/2006/relationships" ref="M310" r:id="rId1126"/>
    <hyperlink xmlns:r="http://schemas.openxmlformats.org/officeDocument/2006/relationships" ref="N310" r:id="rId1127"/>
    <hyperlink xmlns:r="http://schemas.openxmlformats.org/officeDocument/2006/relationships" ref="P310" r:id="rId1128"/>
    <hyperlink xmlns:r="http://schemas.openxmlformats.org/officeDocument/2006/relationships" ref="M311" r:id="rId1129"/>
    <hyperlink xmlns:r="http://schemas.openxmlformats.org/officeDocument/2006/relationships" ref="N311" r:id="rId1130"/>
    <hyperlink xmlns:r="http://schemas.openxmlformats.org/officeDocument/2006/relationships" ref="O311" r:id="rId1131"/>
    <hyperlink xmlns:r="http://schemas.openxmlformats.org/officeDocument/2006/relationships" ref="P311" r:id="rId1132"/>
    <hyperlink xmlns:r="http://schemas.openxmlformats.org/officeDocument/2006/relationships" ref="M312" r:id="rId1133"/>
    <hyperlink xmlns:r="http://schemas.openxmlformats.org/officeDocument/2006/relationships" ref="N312" r:id="rId1134"/>
    <hyperlink xmlns:r="http://schemas.openxmlformats.org/officeDocument/2006/relationships" ref="O312" r:id="rId1135"/>
    <hyperlink xmlns:r="http://schemas.openxmlformats.org/officeDocument/2006/relationships" ref="P312" r:id="rId1136"/>
    <hyperlink xmlns:r="http://schemas.openxmlformats.org/officeDocument/2006/relationships" ref="M313" r:id="rId1137"/>
    <hyperlink xmlns:r="http://schemas.openxmlformats.org/officeDocument/2006/relationships" ref="N313" r:id="rId1138"/>
    <hyperlink xmlns:r="http://schemas.openxmlformats.org/officeDocument/2006/relationships" ref="P313" r:id="rId1139"/>
    <hyperlink xmlns:r="http://schemas.openxmlformats.org/officeDocument/2006/relationships" ref="M314" r:id="rId1140"/>
    <hyperlink xmlns:r="http://schemas.openxmlformats.org/officeDocument/2006/relationships" ref="N314" r:id="rId1141"/>
    <hyperlink xmlns:r="http://schemas.openxmlformats.org/officeDocument/2006/relationships" ref="O314" r:id="rId1142"/>
    <hyperlink xmlns:r="http://schemas.openxmlformats.org/officeDocument/2006/relationships" ref="P314" r:id="rId1143"/>
    <hyperlink xmlns:r="http://schemas.openxmlformats.org/officeDocument/2006/relationships" ref="M315" r:id="rId1144"/>
    <hyperlink xmlns:r="http://schemas.openxmlformats.org/officeDocument/2006/relationships" ref="N315" r:id="rId1145"/>
    <hyperlink xmlns:r="http://schemas.openxmlformats.org/officeDocument/2006/relationships" ref="O315" r:id="rId1146"/>
    <hyperlink xmlns:r="http://schemas.openxmlformats.org/officeDocument/2006/relationships" ref="P315" r:id="rId1147"/>
    <hyperlink xmlns:r="http://schemas.openxmlformats.org/officeDocument/2006/relationships" ref="M316" r:id="rId1148"/>
    <hyperlink xmlns:r="http://schemas.openxmlformats.org/officeDocument/2006/relationships" ref="N316" r:id="rId1149"/>
    <hyperlink xmlns:r="http://schemas.openxmlformats.org/officeDocument/2006/relationships" ref="P316" r:id="rId1150"/>
    <hyperlink xmlns:r="http://schemas.openxmlformats.org/officeDocument/2006/relationships" ref="M317" r:id="rId1151"/>
    <hyperlink xmlns:r="http://schemas.openxmlformats.org/officeDocument/2006/relationships" ref="N317" r:id="rId1152"/>
    <hyperlink xmlns:r="http://schemas.openxmlformats.org/officeDocument/2006/relationships" ref="O317" r:id="rId1153"/>
    <hyperlink xmlns:r="http://schemas.openxmlformats.org/officeDocument/2006/relationships" ref="P317" r:id="rId1154"/>
    <hyperlink xmlns:r="http://schemas.openxmlformats.org/officeDocument/2006/relationships" ref="M318" r:id="rId1155"/>
    <hyperlink xmlns:r="http://schemas.openxmlformats.org/officeDocument/2006/relationships" ref="N318" r:id="rId1156"/>
    <hyperlink xmlns:r="http://schemas.openxmlformats.org/officeDocument/2006/relationships" ref="O318" r:id="rId1157"/>
    <hyperlink xmlns:r="http://schemas.openxmlformats.org/officeDocument/2006/relationships" ref="P318" r:id="rId1158"/>
    <hyperlink xmlns:r="http://schemas.openxmlformats.org/officeDocument/2006/relationships" ref="M319" r:id="rId1159"/>
    <hyperlink xmlns:r="http://schemas.openxmlformats.org/officeDocument/2006/relationships" ref="N319" r:id="rId1160"/>
    <hyperlink xmlns:r="http://schemas.openxmlformats.org/officeDocument/2006/relationships" ref="P319" r:id="rId1161"/>
    <hyperlink xmlns:r="http://schemas.openxmlformats.org/officeDocument/2006/relationships" ref="M320" r:id="rId1162"/>
    <hyperlink xmlns:r="http://schemas.openxmlformats.org/officeDocument/2006/relationships" ref="N320" r:id="rId1163"/>
    <hyperlink xmlns:r="http://schemas.openxmlformats.org/officeDocument/2006/relationships" ref="O320" r:id="rId1164"/>
    <hyperlink xmlns:r="http://schemas.openxmlformats.org/officeDocument/2006/relationships" ref="P320" r:id="rId1165"/>
    <hyperlink xmlns:r="http://schemas.openxmlformats.org/officeDocument/2006/relationships" ref="M321" r:id="rId1166"/>
    <hyperlink xmlns:r="http://schemas.openxmlformats.org/officeDocument/2006/relationships" ref="N321" r:id="rId1167"/>
    <hyperlink xmlns:r="http://schemas.openxmlformats.org/officeDocument/2006/relationships" ref="O321" r:id="rId1168"/>
    <hyperlink xmlns:r="http://schemas.openxmlformats.org/officeDocument/2006/relationships" ref="P321" r:id="rId1169"/>
    <hyperlink xmlns:r="http://schemas.openxmlformats.org/officeDocument/2006/relationships" ref="M322" r:id="rId1170"/>
    <hyperlink xmlns:r="http://schemas.openxmlformats.org/officeDocument/2006/relationships" ref="N322" r:id="rId1171"/>
    <hyperlink xmlns:r="http://schemas.openxmlformats.org/officeDocument/2006/relationships" ref="O322" r:id="rId1172"/>
    <hyperlink xmlns:r="http://schemas.openxmlformats.org/officeDocument/2006/relationships" ref="P322" r:id="rId1173"/>
    <hyperlink xmlns:r="http://schemas.openxmlformats.org/officeDocument/2006/relationships" ref="M323" r:id="rId1174"/>
    <hyperlink xmlns:r="http://schemas.openxmlformats.org/officeDocument/2006/relationships" ref="N323" r:id="rId1175"/>
    <hyperlink xmlns:r="http://schemas.openxmlformats.org/officeDocument/2006/relationships" ref="O323" r:id="rId1176"/>
    <hyperlink xmlns:r="http://schemas.openxmlformats.org/officeDocument/2006/relationships" ref="P323" r:id="rId1177"/>
    <hyperlink xmlns:r="http://schemas.openxmlformats.org/officeDocument/2006/relationships" ref="M324" r:id="rId1178"/>
    <hyperlink xmlns:r="http://schemas.openxmlformats.org/officeDocument/2006/relationships" ref="N324" r:id="rId1179"/>
    <hyperlink xmlns:r="http://schemas.openxmlformats.org/officeDocument/2006/relationships" ref="P324" r:id="rId1180"/>
    <hyperlink xmlns:r="http://schemas.openxmlformats.org/officeDocument/2006/relationships" ref="M325" r:id="rId1181"/>
    <hyperlink xmlns:r="http://schemas.openxmlformats.org/officeDocument/2006/relationships" ref="N325" r:id="rId1182"/>
    <hyperlink xmlns:r="http://schemas.openxmlformats.org/officeDocument/2006/relationships" ref="O325" r:id="rId1183"/>
    <hyperlink xmlns:r="http://schemas.openxmlformats.org/officeDocument/2006/relationships" ref="P325" r:id="rId1184"/>
    <hyperlink xmlns:r="http://schemas.openxmlformats.org/officeDocument/2006/relationships" ref="M326" r:id="rId1185"/>
    <hyperlink xmlns:r="http://schemas.openxmlformats.org/officeDocument/2006/relationships" ref="N326" r:id="rId1186"/>
    <hyperlink xmlns:r="http://schemas.openxmlformats.org/officeDocument/2006/relationships" ref="O326" r:id="rId1187"/>
    <hyperlink xmlns:r="http://schemas.openxmlformats.org/officeDocument/2006/relationships" ref="P326" r:id="rId1188"/>
    <hyperlink xmlns:r="http://schemas.openxmlformats.org/officeDocument/2006/relationships" ref="M327" r:id="rId1189"/>
    <hyperlink xmlns:r="http://schemas.openxmlformats.org/officeDocument/2006/relationships" ref="N327" r:id="rId1190"/>
    <hyperlink xmlns:r="http://schemas.openxmlformats.org/officeDocument/2006/relationships" ref="P327" r:id="rId1191"/>
    <hyperlink xmlns:r="http://schemas.openxmlformats.org/officeDocument/2006/relationships" ref="M328" r:id="rId1192"/>
    <hyperlink xmlns:r="http://schemas.openxmlformats.org/officeDocument/2006/relationships" ref="N328" r:id="rId1193"/>
    <hyperlink xmlns:r="http://schemas.openxmlformats.org/officeDocument/2006/relationships" ref="O328" r:id="rId1194"/>
    <hyperlink xmlns:r="http://schemas.openxmlformats.org/officeDocument/2006/relationships" ref="P328" r:id="rId1195"/>
    <hyperlink xmlns:r="http://schemas.openxmlformats.org/officeDocument/2006/relationships" ref="M329" r:id="rId1196"/>
    <hyperlink xmlns:r="http://schemas.openxmlformats.org/officeDocument/2006/relationships" ref="N329" r:id="rId1197"/>
    <hyperlink xmlns:r="http://schemas.openxmlformats.org/officeDocument/2006/relationships" ref="O329" r:id="rId1198"/>
    <hyperlink xmlns:r="http://schemas.openxmlformats.org/officeDocument/2006/relationships" ref="P329" r:id="rId1199"/>
    <hyperlink xmlns:r="http://schemas.openxmlformats.org/officeDocument/2006/relationships" ref="M330" r:id="rId1200"/>
    <hyperlink xmlns:r="http://schemas.openxmlformats.org/officeDocument/2006/relationships" ref="N330" r:id="rId1201"/>
    <hyperlink xmlns:r="http://schemas.openxmlformats.org/officeDocument/2006/relationships" ref="P330" r:id="rId1202"/>
    <hyperlink xmlns:r="http://schemas.openxmlformats.org/officeDocument/2006/relationships" ref="M331" r:id="rId1203"/>
    <hyperlink xmlns:r="http://schemas.openxmlformats.org/officeDocument/2006/relationships" ref="N331" r:id="rId1204"/>
    <hyperlink xmlns:r="http://schemas.openxmlformats.org/officeDocument/2006/relationships" ref="O331" r:id="rId1205"/>
    <hyperlink xmlns:r="http://schemas.openxmlformats.org/officeDocument/2006/relationships" ref="P331" r:id="rId1206"/>
    <hyperlink xmlns:r="http://schemas.openxmlformats.org/officeDocument/2006/relationships" ref="M332" r:id="rId1207"/>
    <hyperlink xmlns:r="http://schemas.openxmlformats.org/officeDocument/2006/relationships" ref="N332" r:id="rId1208"/>
    <hyperlink xmlns:r="http://schemas.openxmlformats.org/officeDocument/2006/relationships" ref="O332" r:id="rId1209"/>
    <hyperlink xmlns:r="http://schemas.openxmlformats.org/officeDocument/2006/relationships" ref="P332" r:id="rId1210"/>
    <hyperlink xmlns:r="http://schemas.openxmlformats.org/officeDocument/2006/relationships" ref="M333" r:id="rId1211"/>
    <hyperlink xmlns:r="http://schemas.openxmlformats.org/officeDocument/2006/relationships" ref="N333" r:id="rId1212"/>
    <hyperlink xmlns:r="http://schemas.openxmlformats.org/officeDocument/2006/relationships" ref="O333" r:id="rId1213"/>
    <hyperlink xmlns:r="http://schemas.openxmlformats.org/officeDocument/2006/relationships" ref="P333" r:id="rId1214"/>
    <hyperlink xmlns:r="http://schemas.openxmlformats.org/officeDocument/2006/relationships" ref="M334" r:id="rId1215"/>
    <hyperlink xmlns:r="http://schemas.openxmlformats.org/officeDocument/2006/relationships" ref="N334" r:id="rId1216"/>
    <hyperlink xmlns:r="http://schemas.openxmlformats.org/officeDocument/2006/relationships" ref="O334" r:id="rId1217"/>
    <hyperlink xmlns:r="http://schemas.openxmlformats.org/officeDocument/2006/relationships" ref="P334" r:id="rId1218"/>
    <hyperlink xmlns:r="http://schemas.openxmlformats.org/officeDocument/2006/relationships" ref="M335" r:id="rId1219"/>
    <hyperlink xmlns:r="http://schemas.openxmlformats.org/officeDocument/2006/relationships" ref="N335" r:id="rId1220"/>
    <hyperlink xmlns:r="http://schemas.openxmlformats.org/officeDocument/2006/relationships" ref="O335" r:id="rId1221"/>
    <hyperlink xmlns:r="http://schemas.openxmlformats.org/officeDocument/2006/relationships" ref="P335" r:id="rId1222"/>
    <hyperlink xmlns:r="http://schemas.openxmlformats.org/officeDocument/2006/relationships" ref="M336" r:id="rId1223"/>
    <hyperlink xmlns:r="http://schemas.openxmlformats.org/officeDocument/2006/relationships" ref="N336" r:id="rId1224"/>
    <hyperlink xmlns:r="http://schemas.openxmlformats.org/officeDocument/2006/relationships" ref="O336" r:id="rId1225"/>
    <hyperlink xmlns:r="http://schemas.openxmlformats.org/officeDocument/2006/relationships" ref="P336" r:id="rId1226"/>
    <hyperlink xmlns:r="http://schemas.openxmlformats.org/officeDocument/2006/relationships" ref="M337" r:id="rId1227"/>
    <hyperlink xmlns:r="http://schemas.openxmlformats.org/officeDocument/2006/relationships" ref="N337" r:id="rId1228"/>
    <hyperlink xmlns:r="http://schemas.openxmlformats.org/officeDocument/2006/relationships" ref="O337" r:id="rId1229"/>
    <hyperlink xmlns:r="http://schemas.openxmlformats.org/officeDocument/2006/relationships" ref="P337" r:id="rId1230"/>
    <hyperlink xmlns:r="http://schemas.openxmlformats.org/officeDocument/2006/relationships" ref="M338" r:id="rId1231"/>
    <hyperlink xmlns:r="http://schemas.openxmlformats.org/officeDocument/2006/relationships" ref="N338" r:id="rId1232"/>
    <hyperlink xmlns:r="http://schemas.openxmlformats.org/officeDocument/2006/relationships" ref="O338" r:id="rId1233"/>
    <hyperlink xmlns:r="http://schemas.openxmlformats.org/officeDocument/2006/relationships" ref="P338" r:id="rId1234"/>
    <hyperlink xmlns:r="http://schemas.openxmlformats.org/officeDocument/2006/relationships" ref="M339" r:id="rId1235"/>
    <hyperlink xmlns:r="http://schemas.openxmlformats.org/officeDocument/2006/relationships" ref="N339" r:id="rId1236"/>
    <hyperlink xmlns:r="http://schemas.openxmlformats.org/officeDocument/2006/relationships" ref="O339" r:id="rId1237"/>
    <hyperlink xmlns:r="http://schemas.openxmlformats.org/officeDocument/2006/relationships" ref="P339" r:id="rId1238"/>
    <hyperlink xmlns:r="http://schemas.openxmlformats.org/officeDocument/2006/relationships" ref="M340" r:id="rId1239"/>
    <hyperlink xmlns:r="http://schemas.openxmlformats.org/officeDocument/2006/relationships" ref="N340" r:id="rId1240"/>
    <hyperlink xmlns:r="http://schemas.openxmlformats.org/officeDocument/2006/relationships" ref="O340" r:id="rId1241"/>
    <hyperlink xmlns:r="http://schemas.openxmlformats.org/officeDocument/2006/relationships" ref="P340" r:id="rId1242"/>
    <hyperlink xmlns:r="http://schemas.openxmlformats.org/officeDocument/2006/relationships" ref="M341" r:id="rId1243"/>
    <hyperlink xmlns:r="http://schemas.openxmlformats.org/officeDocument/2006/relationships" ref="N341" r:id="rId1244"/>
    <hyperlink xmlns:r="http://schemas.openxmlformats.org/officeDocument/2006/relationships" ref="O341" r:id="rId1245"/>
    <hyperlink xmlns:r="http://schemas.openxmlformats.org/officeDocument/2006/relationships" ref="P341" r:id="rId1246"/>
    <hyperlink xmlns:r="http://schemas.openxmlformats.org/officeDocument/2006/relationships" ref="M342" r:id="rId1247"/>
    <hyperlink xmlns:r="http://schemas.openxmlformats.org/officeDocument/2006/relationships" ref="N342" r:id="rId1248"/>
    <hyperlink xmlns:r="http://schemas.openxmlformats.org/officeDocument/2006/relationships" ref="P342" r:id="rId1249"/>
    <hyperlink xmlns:r="http://schemas.openxmlformats.org/officeDocument/2006/relationships" ref="M343" r:id="rId1250"/>
    <hyperlink xmlns:r="http://schemas.openxmlformats.org/officeDocument/2006/relationships" ref="N343" r:id="rId1251"/>
    <hyperlink xmlns:r="http://schemas.openxmlformats.org/officeDocument/2006/relationships" ref="O343" r:id="rId1252"/>
    <hyperlink xmlns:r="http://schemas.openxmlformats.org/officeDocument/2006/relationships" ref="P343" r:id="rId1253"/>
    <hyperlink xmlns:r="http://schemas.openxmlformats.org/officeDocument/2006/relationships" ref="M344" r:id="rId1254"/>
    <hyperlink xmlns:r="http://schemas.openxmlformats.org/officeDocument/2006/relationships" ref="N344" r:id="rId1255"/>
    <hyperlink xmlns:r="http://schemas.openxmlformats.org/officeDocument/2006/relationships" ref="P344" r:id="rId1256"/>
    <hyperlink xmlns:r="http://schemas.openxmlformats.org/officeDocument/2006/relationships" ref="M345" r:id="rId1257"/>
    <hyperlink xmlns:r="http://schemas.openxmlformats.org/officeDocument/2006/relationships" ref="N345" r:id="rId1258"/>
    <hyperlink xmlns:r="http://schemas.openxmlformats.org/officeDocument/2006/relationships" ref="O345" r:id="rId1259"/>
    <hyperlink xmlns:r="http://schemas.openxmlformats.org/officeDocument/2006/relationships" ref="P345" r:id="rId1260"/>
    <hyperlink xmlns:r="http://schemas.openxmlformats.org/officeDocument/2006/relationships" ref="M346" r:id="rId1261"/>
    <hyperlink xmlns:r="http://schemas.openxmlformats.org/officeDocument/2006/relationships" ref="N346" r:id="rId1262"/>
    <hyperlink xmlns:r="http://schemas.openxmlformats.org/officeDocument/2006/relationships" ref="P346" r:id="rId1263"/>
    <hyperlink xmlns:r="http://schemas.openxmlformats.org/officeDocument/2006/relationships" ref="M347" r:id="rId1264"/>
    <hyperlink xmlns:r="http://schemas.openxmlformats.org/officeDocument/2006/relationships" ref="N347" r:id="rId1265"/>
    <hyperlink xmlns:r="http://schemas.openxmlformats.org/officeDocument/2006/relationships" ref="P347" r:id="rId1266"/>
    <hyperlink xmlns:r="http://schemas.openxmlformats.org/officeDocument/2006/relationships" ref="M348" r:id="rId1267"/>
    <hyperlink xmlns:r="http://schemas.openxmlformats.org/officeDocument/2006/relationships" ref="N348" r:id="rId1268"/>
    <hyperlink xmlns:r="http://schemas.openxmlformats.org/officeDocument/2006/relationships" ref="O348" r:id="rId1269"/>
    <hyperlink xmlns:r="http://schemas.openxmlformats.org/officeDocument/2006/relationships" ref="P348" r:id="rId1270"/>
    <hyperlink xmlns:r="http://schemas.openxmlformats.org/officeDocument/2006/relationships" ref="M349" r:id="rId1271"/>
    <hyperlink xmlns:r="http://schemas.openxmlformats.org/officeDocument/2006/relationships" ref="N349" r:id="rId1272"/>
    <hyperlink xmlns:r="http://schemas.openxmlformats.org/officeDocument/2006/relationships" ref="O349" r:id="rId1273"/>
    <hyperlink xmlns:r="http://schemas.openxmlformats.org/officeDocument/2006/relationships" ref="P349" r:id="rId1274"/>
    <hyperlink xmlns:r="http://schemas.openxmlformats.org/officeDocument/2006/relationships" ref="M350" r:id="rId1275"/>
    <hyperlink xmlns:r="http://schemas.openxmlformats.org/officeDocument/2006/relationships" ref="N350" r:id="rId1276"/>
    <hyperlink xmlns:r="http://schemas.openxmlformats.org/officeDocument/2006/relationships" ref="O350" r:id="rId1277"/>
    <hyperlink xmlns:r="http://schemas.openxmlformats.org/officeDocument/2006/relationships" ref="P350" r:id="rId1278"/>
    <hyperlink xmlns:r="http://schemas.openxmlformats.org/officeDocument/2006/relationships" ref="M351" r:id="rId1279"/>
    <hyperlink xmlns:r="http://schemas.openxmlformats.org/officeDocument/2006/relationships" ref="N351" r:id="rId1280"/>
    <hyperlink xmlns:r="http://schemas.openxmlformats.org/officeDocument/2006/relationships" ref="O351" r:id="rId1281"/>
    <hyperlink xmlns:r="http://schemas.openxmlformats.org/officeDocument/2006/relationships" ref="P351" r:id="rId1282"/>
    <hyperlink xmlns:r="http://schemas.openxmlformats.org/officeDocument/2006/relationships" ref="M352" r:id="rId1283"/>
    <hyperlink xmlns:r="http://schemas.openxmlformats.org/officeDocument/2006/relationships" ref="N352" r:id="rId1284"/>
    <hyperlink xmlns:r="http://schemas.openxmlformats.org/officeDocument/2006/relationships" ref="O352" r:id="rId1285"/>
    <hyperlink xmlns:r="http://schemas.openxmlformats.org/officeDocument/2006/relationships" ref="P352" r:id="rId1286"/>
    <hyperlink xmlns:r="http://schemas.openxmlformats.org/officeDocument/2006/relationships" ref="M353" r:id="rId1287"/>
    <hyperlink xmlns:r="http://schemas.openxmlformats.org/officeDocument/2006/relationships" ref="N353" r:id="rId1288"/>
    <hyperlink xmlns:r="http://schemas.openxmlformats.org/officeDocument/2006/relationships" ref="O353" r:id="rId1289"/>
    <hyperlink xmlns:r="http://schemas.openxmlformats.org/officeDocument/2006/relationships" ref="P353" r:id="rId1290"/>
    <hyperlink xmlns:r="http://schemas.openxmlformats.org/officeDocument/2006/relationships" ref="M354" r:id="rId1291"/>
    <hyperlink xmlns:r="http://schemas.openxmlformats.org/officeDocument/2006/relationships" ref="N354" r:id="rId1292"/>
    <hyperlink xmlns:r="http://schemas.openxmlformats.org/officeDocument/2006/relationships" ref="P354" r:id="rId1293"/>
    <hyperlink xmlns:r="http://schemas.openxmlformats.org/officeDocument/2006/relationships" ref="M355" r:id="rId1294"/>
    <hyperlink xmlns:r="http://schemas.openxmlformats.org/officeDocument/2006/relationships" ref="N355" r:id="rId1295"/>
    <hyperlink xmlns:r="http://schemas.openxmlformats.org/officeDocument/2006/relationships" ref="O355" r:id="rId1296"/>
    <hyperlink xmlns:r="http://schemas.openxmlformats.org/officeDocument/2006/relationships" ref="P355" r:id="rId1297"/>
    <hyperlink xmlns:r="http://schemas.openxmlformats.org/officeDocument/2006/relationships" ref="M356" r:id="rId1298"/>
    <hyperlink xmlns:r="http://schemas.openxmlformats.org/officeDocument/2006/relationships" ref="N356" r:id="rId1299"/>
    <hyperlink xmlns:r="http://schemas.openxmlformats.org/officeDocument/2006/relationships" ref="O356" r:id="rId1300"/>
    <hyperlink xmlns:r="http://schemas.openxmlformats.org/officeDocument/2006/relationships" ref="P356" r:id="rId1301"/>
    <hyperlink xmlns:r="http://schemas.openxmlformats.org/officeDocument/2006/relationships" ref="M357" r:id="rId1302"/>
    <hyperlink xmlns:r="http://schemas.openxmlformats.org/officeDocument/2006/relationships" ref="N357" r:id="rId1303"/>
    <hyperlink xmlns:r="http://schemas.openxmlformats.org/officeDocument/2006/relationships" ref="O357" r:id="rId1304"/>
    <hyperlink xmlns:r="http://schemas.openxmlformats.org/officeDocument/2006/relationships" ref="P357" r:id="rId1305"/>
    <hyperlink xmlns:r="http://schemas.openxmlformats.org/officeDocument/2006/relationships" ref="M358" r:id="rId1306"/>
    <hyperlink xmlns:r="http://schemas.openxmlformats.org/officeDocument/2006/relationships" ref="N358" r:id="rId1307"/>
    <hyperlink xmlns:r="http://schemas.openxmlformats.org/officeDocument/2006/relationships" ref="O358" r:id="rId1308"/>
    <hyperlink xmlns:r="http://schemas.openxmlformats.org/officeDocument/2006/relationships" ref="P358" r:id="rId1309"/>
    <hyperlink xmlns:r="http://schemas.openxmlformats.org/officeDocument/2006/relationships" ref="M359" r:id="rId1310"/>
    <hyperlink xmlns:r="http://schemas.openxmlformats.org/officeDocument/2006/relationships" ref="N359" r:id="rId1311"/>
    <hyperlink xmlns:r="http://schemas.openxmlformats.org/officeDocument/2006/relationships" ref="O359" r:id="rId1312"/>
    <hyperlink xmlns:r="http://schemas.openxmlformats.org/officeDocument/2006/relationships" ref="P359" r:id="rId1313"/>
    <hyperlink xmlns:r="http://schemas.openxmlformats.org/officeDocument/2006/relationships" ref="M360" r:id="rId1314"/>
    <hyperlink xmlns:r="http://schemas.openxmlformats.org/officeDocument/2006/relationships" ref="N360" r:id="rId1315"/>
    <hyperlink xmlns:r="http://schemas.openxmlformats.org/officeDocument/2006/relationships" ref="O360" r:id="rId1316"/>
    <hyperlink xmlns:r="http://schemas.openxmlformats.org/officeDocument/2006/relationships" ref="P360" r:id="rId1317"/>
    <hyperlink xmlns:r="http://schemas.openxmlformats.org/officeDocument/2006/relationships" ref="M361" r:id="rId1318"/>
    <hyperlink xmlns:r="http://schemas.openxmlformats.org/officeDocument/2006/relationships" ref="N361" r:id="rId1319"/>
    <hyperlink xmlns:r="http://schemas.openxmlformats.org/officeDocument/2006/relationships" ref="O361" r:id="rId1320"/>
    <hyperlink xmlns:r="http://schemas.openxmlformats.org/officeDocument/2006/relationships" ref="P361" r:id="rId1321"/>
    <hyperlink xmlns:r="http://schemas.openxmlformats.org/officeDocument/2006/relationships" ref="M362" r:id="rId1322"/>
    <hyperlink xmlns:r="http://schemas.openxmlformats.org/officeDocument/2006/relationships" ref="N362" r:id="rId1323"/>
    <hyperlink xmlns:r="http://schemas.openxmlformats.org/officeDocument/2006/relationships" ref="P362" r:id="rId1324"/>
    <hyperlink xmlns:r="http://schemas.openxmlformats.org/officeDocument/2006/relationships" ref="M363" r:id="rId1325"/>
    <hyperlink xmlns:r="http://schemas.openxmlformats.org/officeDocument/2006/relationships" ref="N363" r:id="rId1326"/>
    <hyperlink xmlns:r="http://schemas.openxmlformats.org/officeDocument/2006/relationships" ref="O363" r:id="rId1327"/>
    <hyperlink xmlns:r="http://schemas.openxmlformats.org/officeDocument/2006/relationships" ref="P363" r:id="rId1328"/>
    <hyperlink xmlns:r="http://schemas.openxmlformats.org/officeDocument/2006/relationships" ref="M364" r:id="rId1329"/>
    <hyperlink xmlns:r="http://schemas.openxmlformats.org/officeDocument/2006/relationships" ref="N364" r:id="rId1330"/>
    <hyperlink xmlns:r="http://schemas.openxmlformats.org/officeDocument/2006/relationships" ref="O364" r:id="rId1331"/>
    <hyperlink xmlns:r="http://schemas.openxmlformats.org/officeDocument/2006/relationships" ref="P364" r:id="rId1332"/>
    <hyperlink xmlns:r="http://schemas.openxmlformats.org/officeDocument/2006/relationships" ref="M365" r:id="rId1333"/>
    <hyperlink xmlns:r="http://schemas.openxmlformats.org/officeDocument/2006/relationships" ref="N365" r:id="rId1334"/>
    <hyperlink xmlns:r="http://schemas.openxmlformats.org/officeDocument/2006/relationships" ref="O365" r:id="rId1335"/>
    <hyperlink xmlns:r="http://schemas.openxmlformats.org/officeDocument/2006/relationships" ref="P365" r:id="rId1336"/>
    <hyperlink xmlns:r="http://schemas.openxmlformats.org/officeDocument/2006/relationships" ref="M366" r:id="rId1337"/>
    <hyperlink xmlns:r="http://schemas.openxmlformats.org/officeDocument/2006/relationships" ref="N366" r:id="rId1338"/>
    <hyperlink xmlns:r="http://schemas.openxmlformats.org/officeDocument/2006/relationships" ref="O366" r:id="rId1339"/>
    <hyperlink xmlns:r="http://schemas.openxmlformats.org/officeDocument/2006/relationships" ref="P366" r:id="rId1340"/>
    <hyperlink xmlns:r="http://schemas.openxmlformats.org/officeDocument/2006/relationships" ref="M367" r:id="rId1341"/>
    <hyperlink xmlns:r="http://schemas.openxmlformats.org/officeDocument/2006/relationships" ref="N367" r:id="rId1342"/>
    <hyperlink xmlns:r="http://schemas.openxmlformats.org/officeDocument/2006/relationships" ref="O367" r:id="rId1343"/>
    <hyperlink xmlns:r="http://schemas.openxmlformats.org/officeDocument/2006/relationships" ref="P367" r:id="rId1344"/>
    <hyperlink xmlns:r="http://schemas.openxmlformats.org/officeDocument/2006/relationships" ref="M368" r:id="rId1345"/>
    <hyperlink xmlns:r="http://schemas.openxmlformats.org/officeDocument/2006/relationships" ref="N368" r:id="rId1346"/>
    <hyperlink xmlns:r="http://schemas.openxmlformats.org/officeDocument/2006/relationships" ref="P368" r:id="rId1347"/>
    <hyperlink xmlns:r="http://schemas.openxmlformats.org/officeDocument/2006/relationships" ref="M369" r:id="rId1348"/>
    <hyperlink xmlns:r="http://schemas.openxmlformats.org/officeDocument/2006/relationships" ref="N369" r:id="rId1349"/>
    <hyperlink xmlns:r="http://schemas.openxmlformats.org/officeDocument/2006/relationships" ref="P369" r:id="rId1350"/>
    <hyperlink xmlns:r="http://schemas.openxmlformats.org/officeDocument/2006/relationships" ref="M370" r:id="rId1351"/>
    <hyperlink xmlns:r="http://schemas.openxmlformats.org/officeDocument/2006/relationships" ref="N370" r:id="rId1352"/>
    <hyperlink xmlns:r="http://schemas.openxmlformats.org/officeDocument/2006/relationships" ref="O370" r:id="rId1353"/>
    <hyperlink xmlns:r="http://schemas.openxmlformats.org/officeDocument/2006/relationships" ref="P370" r:id="rId1354"/>
    <hyperlink xmlns:r="http://schemas.openxmlformats.org/officeDocument/2006/relationships" ref="M371" r:id="rId1355"/>
    <hyperlink xmlns:r="http://schemas.openxmlformats.org/officeDocument/2006/relationships" ref="N371" r:id="rId1356"/>
    <hyperlink xmlns:r="http://schemas.openxmlformats.org/officeDocument/2006/relationships" ref="O371" r:id="rId1357"/>
    <hyperlink xmlns:r="http://schemas.openxmlformats.org/officeDocument/2006/relationships" ref="P371" r:id="rId1358"/>
    <hyperlink xmlns:r="http://schemas.openxmlformats.org/officeDocument/2006/relationships" ref="M372" r:id="rId1359"/>
    <hyperlink xmlns:r="http://schemas.openxmlformats.org/officeDocument/2006/relationships" ref="N372" r:id="rId1360"/>
    <hyperlink xmlns:r="http://schemas.openxmlformats.org/officeDocument/2006/relationships" ref="P372" r:id="rId1361"/>
    <hyperlink xmlns:r="http://schemas.openxmlformats.org/officeDocument/2006/relationships" ref="M373" r:id="rId1362"/>
    <hyperlink xmlns:r="http://schemas.openxmlformats.org/officeDocument/2006/relationships" ref="N373" r:id="rId1363"/>
    <hyperlink xmlns:r="http://schemas.openxmlformats.org/officeDocument/2006/relationships" ref="O373" r:id="rId1364"/>
    <hyperlink xmlns:r="http://schemas.openxmlformats.org/officeDocument/2006/relationships" ref="P373" r:id="rId1365"/>
    <hyperlink xmlns:r="http://schemas.openxmlformats.org/officeDocument/2006/relationships" ref="M374" r:id="rId1366"/>
    <hyperlink xmlns:r="http://schemas.openxmlformats.org/officeDocument/2006/relationships" ref="N374" r:id="rId1367"/>
    <hyperlink xmlns:r="http://schemas.openxmlformats.org/officeDocument/2006/relationships" ref="O374" r:id="rId1368"/>
    <hyperlink xmlns:r="http://schemas.openxmlformats.org/officeDocument/2006/relationships" ref="P374" r:id="rId1369"/>
    <hyperlink xmlns:r="http://schemas.openxmlformats.org/officeDocument/2006/relationships" ref="M375" r:id="rId1370"/>
    <hyperlink xmlns:r="http://schemas.openxmlformats.org/officeDocument/2006/relationships" ref="N375" r:id="rId1371"/>
    <hyperlink xmlns:r="http://schemas.openxmlformats.org/officeDocument/2006/relationships" ref="O375" r:id="rId1372"/>
    <hyperlink xmlns:r="http://schemas.openxmlformats.org/officeDocument/2006/relationships" ref="P375" r:id="rId1373"/>
    <hyperlink xmlns:r="http://schemas.openxmlformats.org/officeDocument/2006/relationships" ref="M376" r:id="rId1374"/>
    <hyperlink xmlns:r="http://schemas.openxmlformats.org/officeDocument/2006/relationships" ref="N376" r:id="rId1375"/>
    <hyperlink xmlns:r="http://schemas.openxmlformats.org/officeDocument/2006/relationships" ref="O376" r:id="rId1376"/>
    <hyperlink xmlns:r="http://schemas.openxmlformats.org/officeDocument/2006/relationships" ref="P376" r:id="rId1377"/>
    <hyperlink xmlns:r="http://schemas.openxmlformats.org/officeDocument/2006/relationships" ref="M377" r:id="rId1378"/>
    <hyperlink xmlns:r="http://schemas.openxmlformats.org/officeDocument/2006/relationships" ref="N377" r:id="rId1379"/>
    <hyperlink xmlns:r="http://schemas.openxmlformats.org/officeDocument/2006/relationships" ref="P377" r:id="rId1380"/>
    <hyperlink xmlns:r="http://schemas.openxmlformats.org/officeDocument/2006/relationships" ref="M378" r:id="rId1381"/>
    <hyperlink xmlns:r="http://schemas.openxmlformats.org/officeDocument/2006/relationships" ref="N378" r:id="rId1382"/>
    <hyperlink xmlns:r="http://schemas.openxmlformats.org/officeDocument/2006/relationships" ref="P378" r:id="rId1383"/>
    <hyperlink xmlns:r="http://schemas.openxmlformats.org/officeDocument/2006/relationships" ref="M379" r:id="rId1384"/>
    <hyperlink xmlns:r="http://schemas.openxmlformats.org/officeDocument/2006/relationships" ref="N379" r:id="rId1385"/>
    <hyperlink xmlns:r="http://schemas.openxmlformats.org/officeDocument/2006/relationships" ref="P379" r:id="rId1386"/>
    <hyperlink xmlns:r="http://schemas.openxmlformats.org/officeDocument/2006/relationships" ref="M380" r:id="rId1387"/>
    <hyperlink xmlns:r="http://schemas.openxmlformats.org/officeDocument/2006/relationships" ref="N380" r:id="rId1388"/>
    <hyperlink xmlns:r="http://schemas.openxmlformats.org/officeDocument/2006/relationships" ref="P380" r:id="rId1389"/>
    <hyperlink xmlns:r="http://schemas.openxmlformats.org/officeDocument/2006/relationships" ref="M381" r:id="rId1390"/>
    <hyperlink xmlns:r="http://schemas.openxmlformats.org/officeDocument/2006/relationships" ref="N381" r:id="rId1391"/>
    <hyperlink xmlns:r="http://schemas.openxmlformats.org/officeDocument/2006/relationships" ref="O381" r:id="rId1392"/>
    <hyperlink xmlns:r="http://schemas.openxmlformats.org/officeDocument/2006/relationships" ref="P381" r:id="rId1393"/>
    <hyperlink xmlns:r="http://schemas.openxmlformats.org/officeDocument/2006/relationships" ref="M382" r:id="rId1394"/>
    <hyperlink xmlns:r="http://schemas.openxmlformats.org/officeDocument/2006/relationships" ref="O382" r:id="rId1395"/>
    <hyperlink xmlns:r="http://schemas.openxmlformats.org/officeDocument/2006/relationships" ref="P382" r:id="rId1396"/>
    <hyperlink xmlns:r="http://schemas.openxmlformats.org/officeDocument/2006/relationships" ref="M383" r:id="rId1397"/>
    <hyperlink xmlns:r="http://schemas.openxmlformats.org/officeDocument/2006/relationships" ref="N383" r:id="rId1398"/>
    <hyperlink xmlns:r="http://schemas.openxmlformats.org/officeDocument/2006/relationships" ref="O383" r:id="rId1399"/>
    <hyperlink xmlns:r="http://schemas.openxmlformats.org/officeDocument/2006/relationships" ref="P383" r:id="rId1400"/>
    <hyperlink xmlns:r="http://schemas.openxmlformats.org/officeDocument/2006/relationships" ref="M384" r:id="rId1401"/>
    <hyperlink xmlns:r="http://schemas.openxmlformats.org/officeDocument/2006/relationships" ref="N384" r:id="rId1402"/>
    <hyperlink xmlns:r="http://schemas.openxmlformats.org/officeDocument/2006/relationships" ref="O384" r:id="rId1403"/>
    <hyperlink xmlns:r="http://schemas.openxmlformats.org/officeDocument/2006/relationships" ref="P384" r:id="rId1404"/>
    <hyperlink xmlns:r="http://schemas.openxmlformats.org/officeDocument/2006/relationships" ref="M385" r:id="rId1405"/>
    <hyperlink xmlns:r="http://schemas.openxmlformats.org/officeDocument/2006/relationships" ref="N385" r:id="rId1406"/>
    <hyperlink xmlns:r="http://schemas.openxmlformats.org/officeDocument/2006/relationships" ref="O385" r:id="rId1407"/>
    <hyperlink xmlns:r="http://schemas.openxmlformats.org/officeDocument/2006/relationships" ref="P385" r:id="rId1408"/>
    <hyperlink xmlns:r="http://schemas.openxmlformats.org/officeDocument/2006/relationships" ref="M386" r:id="rId1409"/>
    <hyperlink xmlns:r="http://schemas.openxmlformats.org/officeDocument/2006/relationships" ref="N386" r:id="rId1410"/>
    <hyperlink xmlns:r="http://schemas.openxmlformats.org/officeDocument/2006/relationships" ref="P386" r:id="rId1411"/>
    <hyperlink xmlns:r="http://schemas.openxmlformats.org/officeDocument/2006/relationships" ref="M387" r:id="rId1412"/>
    <hyperlink xmlns:r="http://schemas.openxmlformats.org/officeDocument/2006/relationships" ref="N387" r:id="rId1413"/>
    <hyperlink xmlns:r="http://schemas.openxmlformats.org/officeDocument/2006/relationships" ref="O387" r:id="rId1414"/>
    <hyperlink xmlns:r="http://schemas.openxmlformats.org/officeDocument/2006/relationships" ref="P387" r:id="rId1415"/>
    <hyperlink xmlns:r="http://schemas.openxmlformats.org/officeDocument/2006/relationships" ref="N388" r:id="rId1416"/>
    <hyperlink xmlns:r="http://schemas.openxmlformats.org/officeDocument/2006/relationships" ref="O388" r:id="rId1417"/>
    <hyperlink xmlns:r="http://schemas.openxmlformats.org/officeDocument/2006/relationships" ref="P388" r:id="rId1418"/>
    <hyperlink xmlns:r="http://schemas.openxmlformats.org/officeDocument/2006/relationships" ref="M389" r:id="rId1419"/>
    <hyperlink xmlns:r="http://schemas.openxmlformats.org/officeDocument/2006/relationships" ref="N389" r:id="rId1420"/>
    <hyperlink xmlns:r="http://schemas.openxmlformats.org/officeDocument/2006/relationships" ref="O389" r:id="rId1421"/>
    <hyperlink xmlns:r="http://schemas.openxmlformats.org/officeDocument/2006/relationships" ref="P389" r:id="rId1422"/>
    <hyperlink xmlns:r="http://schemas.openxmlformats.org/officeDocument/2006/relationships" ref="M390" r:id="rId1423"/>
    <hyperlink xmlns:r="http://schemas.openxmlformats.org/officeDocument/2006/relationships" ref="N390" r:id="rId1424"/>
    <hyperlink xmlns:r="http://schemas.openxmlformats.org/officeDocument/2006/relationships" ref="P390" r:id="rId1425"/>
    <hyperlink xmlns:r="http://schemas.openxmlformats.org/officeDocument/2006/relationships" ref="M391" r:id="rId1426"/>
    <hyperlink xmlns:r="http://schemas.openxmlformats.org/officeDocument/2006/relationships" ref="N391" r:id="rId1427"/>
    <hyperlink xmlns:r="http://schemas.openxmlformats.org/officeDocument/2006/relationships" ref="O391" r:id="rId1428"/>
    <hyperlink xmlns:r="http://schemas.openxmlformats.org/officeDocument/2006/relationships" ref="P391" r:id="rId1429"/>
    <hyperlink xmlns:r="http://schemas.openxmlformats.org/officeDocument/2006/relationships" ref="M392" r:id="rId1430"/>
    <hyperlink xmlns:r="http://schemas.openxmlformats.org/officeDocument/2006/relationships" ref="N392" r:id="rId1431"/>
    <hyperlink xmlns:r="http://schemas.openxmlformats.org/officeDocument/2006/relationships" ref="O392" r:id="rId1432"/>
    <hyperlink xmlns:r="http://schemas.openxmlformats.org/officeDocument/2006/relationships" ref="P392" r:id="rId1433"/>
    <hyperlink xmlns:r="http://schemas.openxmlformats.org/officeDocument/2006/relationships" ref="M393" r:id="rId1434"/>
    <hyperlink xmlns:r="http://schemas.openxmlformats.org/officeDocument/2006/relationships" ref="N393" r:id="rId1435"/>
    <hyperlink xmlns:r="http://schemas.openxmlformats.org/officeDocument/2006/relationships" ref="O393" r:id="rId1436"/>
    <hyperlink xmlns:r="http://schemas.openxmlformats.org/officeDocument/2006/relationships" ref="P393" r:id="rId1437"/>
    <hyperlink xmlns:r="http://schemas.openxmlformats.org/officeDocument/2006/relationships" ref="M394" r:id="rId1438"/>
    <hyperlink xmlns:r="http://schemas.openxmlformats.org/officeDocument/2006/relationships" ref="N394" r:id="rId1439"/>
    <hyperlink xmlns:r="http://schemas.openxmlformats.org/officeDocument/2006/relationships" ref="P394" r:id="rId1440"/>
    <hyperlink xmlns:r="http://schemas.openxmlformats.org/officeDocument/2006/relationships" ref="M395" r:id="rId1441"/>
    <hyperlink xmlns:r="http://schemas.openxmlformats.org/officeDocument/2006/relationships" ref="N395" r:id="rId1442"/>
    <hyperlink xmlns:r="http://schemas.openxmlformats.org/officeDocument/2006/relationships" ref="O395" r:id="rId1443"/>
    <hyperlink xmlns:r="http://schemas.openxmlformats.org/officeDocument/2006/relationships" ref="P395" r:id="rId1444"/>
    <hyperlink xmlns:r="http://schemas.openxmlformats.org/officeDocument/2006/relationships" ref="M396" r:id="rId1445"/>
    <hyperlink xmlns:r="http://schemas.openxmlformats.org/officeDocument/2006/relationships" ref="N396" r:id="rId1446"/>
    <hyperlink xmlns:r="http://schemas.openxmlformats.org/officeDocument/2006/relationships" ref="O396" r:id="rId1447"/>
    <hyperlink xmlns:r="http://schemas.openxmlformats.org/officeDocument/2006/relationships" ref="P396" r:id="rId1448"/>
    <hyperlink xmlns:r="http://schemas.openxmlformats.org/officeDocument/2006/relationships" ref="M397" r:id="rId1449"/>
    <hyperlink xmlns:r="http://schemas.openxmlformats.org/officeDocument/2006/relationships" ref="N397" r:id="rId1450"/>
    <hyperlink xmlns:r="http://schemas.openxmlformats.org/officeDocument/2006/relationships" ref="O397" r:id="rId1451"/>
    <hyperlink xmlns:r="http://schemas.openxmlformats.org/officeDocument/2006/relationships" ref="P397" r:id="rId1452"/>
    <hyperlink xmlns:r="http://schemas.openxmlformats.org/officeDocument/2006/relationships" ref="M398" r:id="rId1453"/>
    <hyperlink xmlns:r="http://schemas.openxmlformats.org/officeDocument/2006/relationships" ref="N398" r:id="rId1454"/>
    <hyperlink xmlns:r="http://schemas.openxmlformats.org/officeDocument/2006/relationships" ref="O398" r:id="rId1455"/>
    <hyperlink xmlns:r="http://schemas.openxmlformats.org/officeDocument/2006/relationships" ref="P398" r:id="rId1456"/>
    <hyperlink xmlns:r="http://schemas.openxmlformats.org/officeDocument/2006/relationships" ref="M399" r:id="rId1457"/>
    <hyperlink xmlns:r="http://schemas.openxmlformats.org/officeDocument/2006/relationships" ref="N399" r:id="rId1458"/>
    <hyperlink xmlns:r="http://schemas.openxmlformats.org/officeDocument/2006/relationships" ref="O399" r:id="rId1459"/>
    <hyperlink xmlns:r="http://schemas.openxmlformats.org/officeDocument/2006/relationships" ref="P399" r:id="rId1460"/>
    <hyperlink xmlns:r="http://schemas.openxmlformats.org/officeDocument/2006/relationships" ref="M400" r:id="rId1461"/>
    <hyperlink xmlns:r="http://schemas.openxmlformats.org/officeDocument/2006/relationships" ref="N400" r:id="rId1462"/>
    <hyperlink xmlns:r="http://schemas.openxmlformats.org/officeDocument/2006/relationships" ref="O400" r:id="rId1463"/>
    <hyperlink xmlns:r="http://schemas.openxmlformats.org/officeDocument/2006/relationships" ref="P400" r:id="rId1464"/>
    <hyperlink xmlns:r="http://schemas.openxmlformats.org/officeDocument/2006/relationships" ref="M401" r:id="rId1465"/>
    <hyperlink xmlns:r="http://schemas.openxmlformats.org/officeDocument/2006/relationships" ref="N401" r:id="rId1466"/>
    <hyperlink xmlns:r="http://schemas.openxmlformats.org/officeDocument/2006/relationships" ref="O401" r:id="rId1467"/>
    <hyperlink xmlns:r="http://schemas.openxmlformats.org/officeDocument/2006/relationships" ref="P401" r:id="rId1468"/>
    <hyperlink xmlns:r="http://schemas.openxmlformats.org/officeDocument/2006/relationships" ref="M402" r:id="rId1469"/>
    <hyperlink xmlns:r="http://schemas.openxmlformats.org/officeDocument/2006/relationships" ref="N402" r:id="rId1470"/>
    <hyperlink xmlns:r="http://schemas.openxmlformats.org/officeDocument/2006/relationships" ref="O402" r:id="rId1471"/>
    <hyperlink xmlns:r="http://schemas.openxmlformats.org/officeDocument/2006/relationships" ref="P402" r:id="rId1472"/>
    <hyperlink xmlns:r="http://schemas.openxmlformats.org/officeDocument/2006/relationships" ref="M403" r:id="rId1473"/>
    <hyperlink xmlns:r="http://schemas.openxmlformats.org/officeDocument/2006/relationships" ref="N403" r:id="rId1474"/>
    <hyperlink xmlns:r="http://schemas.openxmlformats.org/officeDocument/2006/relationships" ref="P403" r:id="rId1475"/>
    <hyperlink xmlns:r="http://schemas.openxmlformats.org/officeDocument/2006/relationships" ref="M404" r:id="rId1476"/>
    <hyperlink xmlns:r="http://schemas.openxmlformats.org/officeDocument/2006/relationships" ref="N404" r:id="rId1477"/>
    <hyperlink xmlns:r="http://schemas.openxmlformats.org/officeDocument/2006/relationships" ref="O404" r:id="rId1478"/>
    <hyperlink xmlns:r="http://schemas.openxmlformats.org/officeDocument/2006/relationships" ref="P404" r:id="rId1479"/>
    <hyperlink xmlns:r="http://schemas.openxmlformats.org/officeDocument/2006/relationships" ref="M405" r:id="rId1480"/>
    <hyperlink xmlns:r="http://schemas.openxmlformats.org/officeDocument/2006/relationships" ref="N405" r:id="rId1481"/>
    <hyperlink xmlns:r="http://schemas.openxmlformats.org/officeDocument/2006/relationships" ref="P405" r:id="rId1482"/>
    <hyperlink xmlns:r="http://schemas.openxmlformats.org/officeDocument/2006/relationships" ref="M406" r:id="rId1483"/>
    <hyperlink xmlns:r="http://schemas.openxmlformats.org/officeDocument/2006/relationships" ref="N406" r:id="rId1484"/>
    <hyperlink xmlns:r="http://schemas.openxmlformats.org/officeDocument/2006/relationships" ref="O406" r:id="rId1485"/>
    <hyperlink xmlns:r="http://schemas.openxmlformats.org/officeDocument/2006/relationships" ref="P406" r:id="rId1486"/>
    <hyperlink xmlns:r="http://schemas.openxmlformats.org/officeDocument/2006/relationships" ref="M407" r:id="rId1487"/>
    <hyperlink xmlns:r="http://schemas.openxmlformats.org/officeDocument/2006/relationships" ref="N407" r:id="rId1488"/>
    <hyperlink xmlns:r="http://schemas.openxmlformats.org/officeDocument/2006/relationships" ref="O407" r:id="rId1489"/>
    <hyperlink xmlns:r="http://schemas.openxmlformats.org/officeDocument/2006/relationships" ref="P407" r:id="rId1490"/>
    <hyperlink xmlns:r="http://schemas.openxmlformats.org/officeDocument/2006/relationships" ref="M408" r:id="rId1491"/>
    <hyperlink xmlns:r="http://schemas.openxmlformats.org/officeDocument/2006/relationships" ref="N408" r:id="rId1492"/>
    <hyperlink xmlns:r="http://schemas.openxmlformats.org/officeDocument/2006/relationships" ref="O408" r:id="rId1493"/>
    <hyperlink xmlns:r="http://schemas.openxmlformats.org/officeDocument/2006/relationships" ref="P408" r:id="rId1494"/>
    <hyperlink xmlns:r="http://schemas.openxmlformats.org/officeDocument/2006/relationships" ref="M409" r:id="rId1495"/>
    <hyperlink xmlns:r="http://schemas.openxmlformats.org/officeDocument/2006/relationships" ref="N409" r:id="rId1496"/>
    <hyperlink xmlns:r="http://schemas.openxmlformats.org/officeDocument/2006/relationships" ref="P409" r:id="rId1497"/>
    <hyperlink xmlns:r="http://schemas.openxmlformats.org/officeDocument/2006/relationships" ref="M410" r:id="rId1498"/>
    <hyperlink xmlns:r="http://schemas.openxmlformats.org/officeDocument/2006/relationships" ref="N410" r:id="rId1499"/>
    <hyperlink xmlns:r="http://schemas.openxmlformats.org/officeDocument/2006/relationships" ref="P410" r:id="rId1500"/>
    <hyperlink xmlns:r="http://schemas.openxmlformats.org/officeDocument/2006/relationships" ref="M411" r:id="rId1501"/>
    <hyperlink xmlns:r="http://schemas.openxmlformats.org/officeDocument/2006/relationships" ref="N411" r:id="rId1502"/>
    <hyperlink xmlns:r="http://schemas.openxmlformats.org/officeDocument/2006/relationships" ref="O411" r:id="rId1503"/>
    <hyperlink xmlns:r="http://schemas.openxmlformats.org/officeDocument/2006/relationships" ref="P411" r:id="rId1504"/>
    <hyperlink xmlns:r="http://schemas.openxmlformats.org/officeDocument/2006/relationships" ref="M412" r:id="rId1505"/>
    <hyperlink xmlns:r="http://schemas.openxmlformats.org/officeDocument/2006/relationships" ref="N412" r:id="rId1506"/>
    <hyperlink xmlns:r="http://schemas.openxmlformats.org/officeDocument/2006/relationships" ref="O412" r:id="rId1507"/>
    <hyperlink xmlns:r="http://schemas.openxmlformats.org/officeDocument/2006/relationships" ref="P412" r:id="rId1508"/>
    <hyperlink xmlns:r="http://schemas.openxmlformats.org/officeDocument/2006/relationships" ref="M413" r:id="rId1509"/>
    <hyperlink xmlns:r="http://schemas.openxmlformats.org/officeDocument/2006/relationships" ref="N413" r:id="rId1510"/>
    <hyperlink xmlns:r="http://schemas.openxmlformats.org/officeDocument/2006/relationships" ref="O413" r:id="rId1511"/>
    <hyperlink xmlns:r="http://schemas.openxmlformats.org/officeDocument/2006/relationships" ref="P413" r:id="rId1512"/>
    <hyperlink xmlns:r="http://schemas.openxmlformats.org/officeDocument/2006/relationships" ref="M414" r:id="rId1513"/>
    <hyperlink xmlns:r="http://schemas.openxmlformats.org/officeDocument/2006/relationships" ref="N414" r:id="rId1514"/>
    <hyperlink xmlns:r="http://schemas.openxmlformats.org/officeDocument/2006/relationships" ref="P414" r:id="rId1515"/>
    <hyperlink xmlns:r="http://schemas.openxmlformats.org/officeDocument/2006/relationships" ref="M415" r:id="rId1516"/>
    <hyperlink xmlns:r="http://schemas.openxmlformats.org/officeDocument/2006/relationships" ref="N415" r:id="rId1517"/>
    <hyperlink xmlns:r="http://schemas.openxmlformats.org/officeDocument/2006/relationships" ref="P415" r:id="rId1518"/>
    <hyperlink xmlns:r="http://schemas.openxmlformats.org/officeDocument/2006/relationships" ref="M416" r:id="rId1519"/>
    <hyperlink xmlns:r="http://schemas.openxmlformats.org/officeDocument/2006/relationships" ref="N416" r:id="rId1520"/>
    <hyperlink xmlns:r="http://schemas.openxmlformats.org/officeDocument/2006/relationships" ref="P416" r:id="rId1521"/>
    <hyperlink xmlns:r="http://schemas.openxmlformats.org/officeDocument/2006/relationships" ref="M417" r:id="rId1522"/>
    <hyperlink xmlns:r="http://schemas.openxmlformats.org/officeDocument/2006/relationships" ref="N417" r:id="rId1523"/>
    <hyperlink xmlns:r="http://schemas.openxmlformats.org/officeDocument/2006/relationships" ref="O417" r:id="rId1524"/>
    <hyperlink xmlns:r="http://schemas.openxmlformats.org/officeDocument/2006/relationships" ref="P417" r:id="rId1525"/>
    <hyperlink xmlns:r="http://schemas.openxmlformats.org/officeDocument/2006/relationships" ref="M418" r:id="rId1526"/>
    <hyperlink xmlns:r="http://schemas.openxmlformats.org/officeDocument/2006/relationships" ref="N418" r:id="rId1527"/>
    <hyperlink xmlns:r="http://schemas.openxmlformats.org/officeDocument/2006/relationships" ref="O418" r:id="rId1528"/>
    <hyperlink xmlns:r="http://schemas.openxmlformats.org/officeDocument/2006/relationships" ref="P418" r:id="rId1529"/>
    <hyperlink xmlns:r="http://schemas.openxmlformats.org/officeDocument/2006/relationships" ref="M419" r:id="rId1530"/>
    <hyperlink xmlns:r="http://schemas.openxmlformats.org/officeDocument/2006/relationships" ref="N419" r:id="rId1531"/>
    <hyperlink xmlns:r="http://schemas.openxmlformats.org/officeDocument/2006/relationships" ref="P419" r:id="rId1532"/>
    <hyperlink xmlns:r="http://schemas.openxmlformats.org/officeDocument/2006/relationships" ref="M420" r:id="rId1533"/>
    <hyperlink xmlns:r="http://schemas.openxmlformats.org/officeDocument/2006/relationships" ref="N420" r:id="rId1534"/>
    <hyperlink xmlns:r="http://schemas.openxmlformats.org/officeDocument/2006/relationships" ref="O420" r:id="rId1535"/>
    <hyperlink xmlns:r="http://schemas.openxmlformats.org/officeDocument/2006/relationships" ref="P420" r:id="rId1536"/>
    <hyperlink xmlns:r="http://schemas.openxmlformats.org/officeDocument/2006/relationships" ref="M421" r:id="rId1537"/>
    <hyperlink xmlns:r="http://schemas.openxmlformats.org/officeDocument/2006/relationships" ref="N421" r:id="rId1538"/>
    <hyperlink xmlns:r="http://schemas.openxmlformats.org/officeDocument/2006/relationships" ref="P421" r:id="rId1539"/>
    <hyperlink xmlns:r="http://schemas.openxmlformats.org/officeDocument/2006/relationships" ref="M422" r:id="rId1540"/>
    <hyperlink xmlns:r="http://schemas.openxmlformats.org/officeDocument/2006/relationships" ref="N422" r:id="rId1541"/>
    <hyperlink xmlns:r="http://schemas.openxmlformats.org/officeDocument/2006/relationships" ref="P422" r:id="rId1542"/>
    <hyperlink xmlns:r="http://schemas.openxmlformats.org/officeDocument/2006/relationships" ref="M423" r:id="rId1543"/>
    <hyperlink xmlns:r="http://schemas.openxmlformats.org/officeDocument/2006/relationships" ref="N423" r:id="rId1544"/>
    <hyperlink xmlns:r="http://schemas.openxmlformats.org/officeDocument/2006/relationships" ref="O423" r:id="rId1545"/>
    <hyperlink xmlns:r="http://schemas.openxmlformats.org/officeDocument/2006/relationships" ref="P423" r:id="rId1546"/>
    <hyperlink xmlns:r="http://schemas.openxmlformats.org/officeDocument/2006/relationships" ref="M424" r:id="rId1547"/>
    <hyperlink xmlns:r="http://schemas.openxmlformats.org/officeDocument/2006/relationships" ref="N424" r:id="rId1548"/>
    <hyperlink xmlns:r="http://schemas.openxmlformats.org/officeDocument/2006/relationships" ref="P424" r:id="rId1549"/>
    <hyperlink xmlns:r="http://schemas.openxmlformats.org/officeDocument/2006/relationships" ref="M425" r:id="rId1550"/>
    <hyperlink xmlns:r="http://schemas.openxmlformats.org/officeDocument/2006/relationships" ref="N425" r:id="rId1551"/>
    <hyperlink xmlns:r="http://schemas.openxmlformats.org/officeDocument/2006/relationships" ref="O425" r:id="rId1552"/>
    <hyperlink xmlns:r="http://schemas.openxmlformats.org/officeDocument/2006/relationships" ref="P425" r:id="rId1553"/>
    <hyperlink xmlns:r="http://schemas.openxmlformats.org/officeDocument/2006/relationships" ref="M426" r:id="rId1554"/>
    <hyperlink xmlns:r="http://schemas.openxmlformats.org/officeDocument/2006/relationships" ref="N426" r:id="rId1555"/>
    <hyperlink xmlns:r="http://schemas.openxmlformats.org/officeDocument/2006/relationships" ref="O426" r:id="rId1556"/>
    <hyperlink xmlns:r="http://schemas.openxmlformats.org/officeDocument/2006/relationships" ref="P426" r:id="rId1557"/>
    <hyperlink xmlns:r="http://schemas.openxmlformats.org/officeDocument/2006/relationships" ref="M427" r:id="rId1558"/>
    <hyperlink xmlns:r="http://schemas.openxmlformats.org/officeDocument/2006/relationships" ref="N427" r:id="rId1559"/>
    <hyperlink xmlns:r="http://schemas.openxmlformats.org/officeDocument/2006/relationships" ref="P427" r:id="rId1560"/>
    <hyperlink xmlns:r="http://schemas.openxmlformats.org/officeDocument/2006/relationships" ref="M428" r:id="rId1561"/>
    <hyperlink xmlns:r="http://schemas.openxmlformats.org/officeDocument/2006/relationships" ref="N428" r:id="rId1562"/>
    <hyperlink xmlns:r="http://schemas.openxmlformats.org/officeDocument/2006/relationships" ref="O428" r:id="rId1563"/>
    <hyperlink xmlns:r="http://schemas.openxmlformats.org/officeDocument/2006/relationships" ref="P428" r:id="rId1564"/>
    <hyperlink xmlns:r="http://schemas.openxmlformats.org/officeDocument/2006/relationships" ref="M429" r:id="rId1565"/>
    <hyperlink xmlns:r="http://schemas.openxmlformats.org/officeDocument/2006/relationships" ref="N429" r:id="rId1566"/>
    <hyperlink xmlns:r="http://schemas.openxmlformats.org/officeDocument/2006/relationships" ref="P429" r:id="rId1567"/>
    <hyperlink xmlns:r="http://schemas.openxmlformats.org/officeDocument/2006/relationships" ref="M430" r:id="rId1568"/>
    <hyperlink xmlns:r="http://schemas.openxmlformats.org/officeDocument/2006/relationships" ref="N430" r:id="rId1569"/>
    <hyperlink xmlns:r="http://schemas.openxmlformats.org/officeDocument/2006/relationships" ref="O430" r:id="rId1570"/>
    <hyperlink xmlns:r="http://schemas.openxmlformats.org/officeDocument/2006/relationships" ref="P430" r:id="rId1571"/>
    <hyperlink xmlns:r="http://schemas.openxmlformats.org/officeDocument/2006/relationships" ref="M431" r:id="rId1572"/>
    <hyperlink xmlns:r="http://schemas.openxmlformats.org/officeDocument/2006/relationships" ref="N431" r:id="rId1573"/>
    <hyperlink xmlns:r="http://schemas.openxmlformats.org/officeDocument/2006/relationships" ref="P431" r:id="rId1574"/>
    <hyperlink xmlns:r="http://schemas.openxmlformats.org/officeDocument/2006/relationships" ref="M432" r:id="rId1575"/>
    <hyperlink xmlns:r="http://schemas.openxmlformats.org/officeDocument/2006/relationships" ref="N432" r:id="rId1576"/>
    <hyperlink xmlns:r="http://schemas.openxmlformats.org/officeDocument/2006/relationships" ref="O432" r:id="rId1577"/>
    <hyperlink xmlns:r="http://schemas.openxmlformats.org/officeDocument/2006/relationships" ref="P432" r:id="rId1578"/>
    <hyperlink xmlns:r="http://schemas.openxmlformats.org/officeDocument/2006/relationships" ref="M433" r:id="rId1579"/>
    <hyperlink xmlns:r="http://schemas.openxmlformats.org/officeDocument/2006/relationships" ref="N433" r:id="rId1580"/>
    <hyperlink xmlns:r="http://schemas.openxmlformats.org/officeDocument/2006/relationships" ref="P433" r:id="rId1581"/>
    <hyperlink xmlns:r="http://schemas.openxmlformats.org/officeDocument/2006/relationships" ref="M434" r:id="rId1582"/>
    <hyperlink xmlns:r="http://schemas.openxmlformats.org/officeDocument/2006/relationships" ref="N434" r:id="rId1583"/>
    <hyperlink xmlns:r="http://schemas.openxmlformats.org/officeDocument/2006/relationships" ref="O434" r:id="rId1584"/>
    <hyperlink xmlns:r="http://schemas.openxmlformats.org/officeDocument/2006/relationships" ref="P434" r:id="rId1585"/>
    <hyperlink xmlns:r="http://schemas.openxmlformats.org/officeDocument/2006/relationships" ref="M435" r:id="rId1586"/>
    <hyperlink xmlns:r="http://schemas.openxmlformats.org/officeDocument/2006/relationships" ref="N435" r:id="rId1587"/>
    <hyperlink xmlns:r="http://schemas.openxmlformats.org/officeDocument/2006/relationships" ref="P435" r:id="rId1588"/>
    <hyperlink xmlns:r="http://schemas.openxmlformats.org/officeDocument/2006/relationships" ref="M436" r:id="rId1589"/>
    <hyperlink xmlns:r="http://schemas.openxmlformats.org/officeDocument/2006/relationships" ref="N436" r:id="rId1590"/>
    <hyperlink xmlns:r="http://schemas.openxmlformats.org/officeDocument/2006/relationships" ref="P436" r:id="rId1591"/>
    <hyperlink xmlns:r="http://schemas.openxmlformats.org/officeDocument/2006/relationships" ref="N437" r:id="rId1592"/>
    <hyperlink xmlns:r="http://schemas.openxmlformats.org/officeDocument/2006/relationships" ref="O437" r:id="rId1593"/>
    <hyperlink xmlns:r="http://schemas.openxmlformats.org/officeDocument/2006/relationships" ref="P437" r:id="rId1594"/>
    <hyperlink xmlns:r="http://schemas.openxmlformats.org/officeDocument/2006/relationships" ref="M438" r:id="rId1595"/>
    <hyperlink xmlns:r="http://schemas.openxmlformats.org/officeDocument/2006/relationships" ref="N438" r:id="rId1596"/>
    <hyperlink xmlns:r="http://schemas.openxmlformats.org/officeDocument/2006/relationships" ref="O438" r:id="rId1597"/>
    <hyperlink xmlns:r="http://schemas.openxmlformats.org/officeDocument/2006/relationships" ref="P438" r:id="rId1598"/>
    <hyperlink xmlns:r="http://schemas.openxmlformats.org/officeDocument/2006/relationships" ref="M439" r:id="rId1599"/>
    <hyperlink xmlns:r="http://schemas.openxmlformats.org/officeDocument/2006/relationships" ref="N439" r:id="rId1600"/>
    <hyperlink xmlns:r="http://schemas.openxmlformats.org/officeDocument/2006/relationships" ref="O439" r:id="rId1601"/>
    <hyperlink xmlns:r="http://schemas.openxmlformats.org/officeDocument/2006/relationships" ref="P439" r:id="rId1602"/>
    <hyperlink xmlns:r="http://schemas.openxmlformats.org/officeDocument/2006/relationships" ref="M440" r:id="rId1603"/>
    <hyperlink xmlns:r="http://schemas.openxmlformats.org/officeDocument/2006/relationships" ref="N440" r:id="rId1604"/>
    <hyperlink xmlns:r="http://schemas.openxmlformats.org/officeDocument/2006/relationships" ref="O440" r:id="rId1605"/>
    <hyperlink xmlns:r="http://schemas.openxmlformats.org/officeDocument/2006/relationships" ref="P440" r:id="rId1606"/>
    <hyperlink xmlns:r="http://schemas.openxmlformats.org/officeDocument/2006/relationships" ref="M441" r:id="rId1607"/>
    <hyperlink xmlns:r="http://schemas.openxmlformats.org/officeDocument/2006/relationships" ref="N441" r:id="rId1608"/>
    <hyperlink xmlns:r="http://schemas.openxmlformats.org/officeDocument/2006/relationships" ref="P441" r:id="rId1609"/>
    <hyperlink xmlns:r="http://schemas.openxmlformats.org/officeDocument/2006/relationships" ref="M442" r:id="rId1610"/>
    <hyperlink xmlns:r="http://schemas.openxmlformats.org/officeDocument/2006/relationships" ref="N442" r:id="rId1611"/>
    <hyperlink xmlns:r="http://schemas.openxmlformats.org/officeDocument/2006/relationships" ref="O442" r:id="rId1612"/>
    <hyperlink xmlns:r="http://schemas.openxmlformats.org/officeDocument/2006/relationships" ref="P442" r:id="rId1613"/>
    <hyperlink xmlns:r="http://schemas.openxmlformats.org/officeDocument/2006/relationships" ref="M443" r:id="rId1614"/>
    <hyperlink xmlns:r="http://schemas.openxmlformats.org/officeDocument/2006/relationships" ref="N443" r:id="rId1615"/>
    <hyperlink xmlns:r="http://schemas.openxmlformats.org/officeDocument/2006/relationships" ref="P443" r:id="rId1616"/>
    <hyperlink xmlns:r="http://schemas.openxmlformats.org/officeDocument/2006/relationships" ref="M444" r:id="rId1617"/>
    <hyperlink xmlns:r="http://schemas.openxmlformats.org/officeDocument/2006/relationships" ref="N444" r:id="rId1618"/>
    <hyperlink xmlns:r="http://schemas.openxmlformats.org/officeDocument/2006/relationships" ref="O444" r:id="rId1619"/>
    <hyperlink xmlns:r="http://schemas.openxmlformats.org/officeDocument/2006/relationships" ref="P444" r:id="rId1620"/>
    <hyperlink xmlns:r="http://schemas.openxmlformats.org/officeDocument/2006/relationships" ref="M445" r:id="rId1621"/>
    <hyperlink xmlns:r="http://schemas.openxmlformats.org/officeDocument/2006/relationships" ref="N445" r:id="rId1622"/>
    <hyperlink xmlns:r="http://schemas.openxmlformats.org/officeDocument/2006/relationships" ref="O445" r:id="rId1623"/>
    <hyperlink xmlns:r="http://schemas.openxmlformats.org/officeDocument/2006/relationships" ref="P445" r:id="rId1624"/>
    <hyperlink xmlns:r="http://schemas.openxmlformats.org/officeDocument/2006/relationships" ref="M446" r:id="rId1625"/>
    <hyperlink xmlns:r="http://schemas.openxmlformats.org/officeDocument/2006/relationships" ref="N446" r:id="rId1626"/>
    <hyperlink xmlns:r="http://schemas.openxmlformats.org/officeDocument/2006/relationships" ref="O446" r:id="rId1627"/>
    <hyperlink xmlns:r="http://schemas.openxmlformats.org/officeDocument/2006/relationships" ref="P446" r:id="rId1628"/>
    <hyperlink xmlns:r="http://schemas.openxmlformats.org/officeDocument/2006/relationships" ref="M447" r:id="rId1629"/>
    <hyperlink xmlns:r="http://schemas.openxmlformats.org/officeDocument/2006/relationships" ref="N447" r:id="rId1630"/>
    <hyperlink xmlns:r="http://schemas.openxmlformats.org/officeDocument/2006/relationships" ref="P447" r:id="rId1631"/>
    <hyperlink xmlns:r="http://schemas.openxmlformats.org/officeDocument/2006/relationships" ref="M448" r:id="rId1632"/>
    <hyperlink xmlns:r="http://schemas.openxmlformats.org/officeDocument/2006/relationships" ref="N448" r:id="rId1633"/>
    <hyperlink xmlns:r="http://schemas.openxmlformats.org/officeDocument/2006/relationships" ref="O448" r:id="rId1634"/>
    <hyperlink xmlns:r="http://schemas.openxmlformats.org/officeDocument/2006/relationships" ref="P448" r:id="rId1635"/>
    <hyperlink xmlns:r="http://schemas.openxmlformats.org/officeDocument/2006/relationships" ref="M449" r:id="rId1636"/>
    <hyperlink xmlns:r="http://schemas.openxmlformats.org/officeDocument/2006/relationships" ref="N449" r:id="rId1637"/>
    <hyperlink xmlns:r="http://schemas.openxmlformats.org/officeDocument/2006/relationships" ref="O449" r:id="rId1638"/>
    <hyperlink xmlns:r="http://schemas.openxmlformats.org/officeDocument/2006/relationships" ref="P449" r:id="rId1639"/>
    <hyperlink xmlns:r="http://schemas.openxmlformats.org/officeDocument/2006/relationships" ref="M450" r:id="rId1640"/>
    <hyperlink xmlns:r="http://schemas.openxmlformats.org/officeDocument/2006/relationships" ref="N450" r:id="rId1641"/>
    <hyperlink xmlns:r="http://schemas.openxmlformats.org/officeDocument/2006/relationships" ref="O450" r:id="rId1642"/>
    <hyperlink xmlns:r="http://schemas.openxmlformats.org/officeDocument/2006/relationships" ref="P450" r:id="rId1643"/>
    <hyperlink xmlns:r="http://schemas.openxmlformats.org/officeDocument/2006/relationships" ref="M451" r:id="rId1644"/>
    <hyperlink xmlns:r="http://schemas.openxmlformats.org/officeDocument/2006/relationships" ref="N451" r:id="rId1645"/>
    <hyperlink xmlns:r="http://schemas.openxmlformats.org/officeDocument/2006/relationships" ref="O451" r:id="rId1646"/>
    <hyperlink xmlns:r="http://schemas.openxmlformats.org/officeDocument/2006/relationships" ref="P451" r:id="rId1647"/>
    <hyperlink xmlns:r="http://schemas.openxmlformats.org/officeDocument/2006/relationships" ref="M452" r:id="rId1648"/>
    <hyperlink xmlns:r="http://schemas.openxmlformats.org/officeDocument/2006/relationships" ref="N452" r:id="rId1649"/>
    <hyperlink xmlns:r="http://schemas.openxmlformats.org/officeDocument/2006/relationships" ref="O452" r:id="rId1650"/>
    <hyperlink xmlns:r="http://schemas.openxmlformats.org/officeDocument/2006/relationships" ref="P452" r:id="rId1651"/>
    <hyperlink xmlns:r="http://schemas.openxmlformats.org/officeDocument/2006/relationships" ref="M453" r:id="rId1652"/>
    <hyperlink xmlns:r="http://schemas.openxmlformats.org/officeDocument/2006/relationships" ref="N453" r:id="rId1653"/>
    <hyperlink xmlns:r="http://schemas.openxmlformats.org/officeDocument/2006/relationships" ref="P453" r:id="rId1654"/>
    <hyperlink xmlns:r="http://schemas.openxmlformats.org/officeDocument/2006/relationships" ref="M454" r:id="rId1655"/>
    <hyperlink xmlns:r="http://schemas.openxmlformats.org/officeDocument/2006/relationships" ref="N454" r:id="rId1656"/>
    <hyperlink xmlns:r="http://schemas.openxmlformats.org/officeDocument/2006/relationships" ref="O454" r:id="rId1657"/>
    <hyperlink xmlns:r="http://schemas.openxmlformats.org/officeDocument/2006/relationships" ref="P454" r:id="rId1658"/>
    <hyperlink xmlns:r="http://schemas.openxmlformats.org/officeDocument/2006/relationships" ref="M455" r:id="rId1659"/>
    <hyperlink xmlns:r="http://schemas.openxmlformats.org/officeDocument/2006/relationships" ref="N455" r:id="rId1660"/>
    <hyperlink xmlns:r="http://schemas.openxmlformats.org/officeDocument/2006/relationships" ref="P455" r:id="rId1661"/>
    <hyperlink xmlns:r="http://schemas.openxmlformats.org/officeDocument/2006/relationships" ref="M456" r:id="rId1662"/>
    <hyperlink xmlns:r="http://schemas.openxmlformats.org/officeDocument/2006/relationships" ref="N456" r:id="rId1663"/>
    <hyperlink xmlns:r="http://schemas.openxmlformats.org/officeDocument/2006/relationships" ref="P456" r:id="rId1664"/>
    <hyperlink xmlns:r="http://schemas.openxmlformats.org/officeDocument/2006/relationships" ref="M457" r:id="rId1665"/>
    <hyperlink xmlns:r="http://schemas.openxmlformats.org/officeDocument/2006/relationships" ref="N457" r:id="rId1666"/>
    <hyperlink xmlns:r="http://schemas.openxmlformats.org/officeDocument/2006/relationships" ref="O457" r:id="rId1667"/>
    <hyperlink xmlns:r="http://schemas.openxmlformats.org/officeDocument/2006/relationships" ref="P457" r:id="rId1668"/>
    <hyperlink xmlns:r="http://schemas.openxmlformats.org/officeDocument/2006/relationships" ref="M458" r:id="rId1669"/>
    <hyperlink xmlns:r="http://schemas.openxmlformats.org/officeDocument/2006/relationships" ref="N458" r:id="rId1670"/>
    <hyperlink xmlns:r="http://schemas.openxmlformats.org/officeDocument/2006/relationships" ref="P458" r:id="rId1671"/>
    <hyperlink xmlns:r="http://schemas.openxmlformats.org/officeDocument/2006/relationships" ref="M459" r:id="rId1672"/>
    <hyperlink xmlns:r="http://schemas.openxmlformats.org/officeDocument/2006/relationships" ref="N459" r:id="rId1673"/>
    <hyperlink xmlns:r="http://schemas.openxmlformats.org/officeDocument/2006/relationships" ref="O459" r:id="rId1674"/>
    <hyperlink xmlns:r="http://schemas.openxmlformats.org/officeDocument/2006/relationships" ref="P459" r:id="rId1675"/>
    <hyperlink xmlns:r="http://schemas.openxmlformats.org/officeDocument/2006/relationships" ref="M460" r:id="rId1676"/>
    <hyperlink xmlns:r="http://schemas.openxmlformats.org/officeDocument/2006/relationships" ref="N460" r:id="rId1677"/>
    <hyperlink xmlns:r="http://schemas.openxmlformats.org/officeDocument/2006/relationships" ref="P460" r:id="rId1678"/>
    <hyperlink xmlns:r="http://schemas.openxmlformats.org/officeDocument/2006/relationships" ref="M461" r:id="rId1679"/>
    <hyperlink xmlns:r="http://schemas.openxmlformats.org/officeDocument/2006/relationships" ref="N461" r:id="rId1680"/>
    <hyperlink xmlns:r="http://schemas.openxmlformats.org/officeDocument/2006/relationships" ref="O461" r:id="rId1681"/>
    <hyperlink xmlns:r="http://schemas.openxmlformats.org/officeDocument/2006/relationships" ref="P461" r:id="rId1682"/>
    <hyperlink xmlns:r="http://schemas.openxmlformats.org/officeDocument/2006/relationships" ref="M462" r:id="rId1683"/>
    <hyperlink xmlns:r="http://schemas.openxmlformats.org/officeDocument/2006/relationships" ref="N462" r:id="rId1684"/>
    <hyperlink xmlns:r="http://schemas.openxmlformats.org/officeDocument/2006/relationships" ref="O462" r:id="rId1685"/>
    <hyperlink xmlns:r="http://schemas.openxmlformats.org/officeDocument/2006/relationships" ref="P462" r:id="rId1686"/>
    <hyperlink xmlns:r="http://schemas.openxmlformats.org/officeDocument/2006/relationships" ref="M463" r:id="rId1687"/>
    <hyperlink xmlns:r="http://schemas.openxmlformats.org/officeDocument/2006/relationships" ref="N463" r:id="rId1688"/>
    <hyperlink xmlns:r="http://schemas.openxmlformats.org/officeDocument/2006/relationships" ref="O463" r:id="rId1689"/>
    <hyperlink xmlns:r="http://schemas.openxmlformats.org/officeDocument/2006/relationships" ref="P463" r:id="rId1690"/>
    <hyperlink xmlns:r="http://schemas.openxmlformats.org/officeDocument/2006/relationships" ref="M464" r:id="rId1691"/>
    <hyperlink xmlns:r="http://schemas.openxmlformats.org/officeDocument/2006/relationships" ref="N464" r:id="rId1692"/>
    <hyperlink xmlns:r="http://schemas.openxmlformats.org/officeDocument/2006/relationships" ref="O464" r:id="rId1693"/>
    <hyperlink xmlns:r="http://schemas.openxmlformats.org/officeDocument/2006/relationships" ref="P464" r:id="rId1694"/>
    <hyperlink xmlns:r="http://schemas.openxmlformats.org/officeDocument/2006/relationships" ref="M465" r:id="rId1695"/>
    <hyperlink xmlns:r="http://schemas.openxmlformats.org/officeDocument/2006/relationships" ref="N465" r:id="rId1696"/>
    <hyperlink xmlns:r="http://schemas.openxmlformats.org/officeDocument/2006/relationships" ref="P465" r:id="rId1697"/>
    <hyperlink xmlns:r="http://schemas.openxmlformats.org/officeDocument/2006/relationships" ref="M466" r:id="rId1698"/>
    <hyperlink xmlns:r="http://schemas.openxmlformats.org/officeDocument/2006/relationships" ref="N466" r:id="rId1699"/>
    <hyperlink xmlns:r="http://schemas.openxmlformats.org/officeDocument/2006/relationships" ref="P466" r:id="rId1700"/>
    <hyperlink xmlns:r="http://schemas.openxmlformats.org/officeDocument/2006/relationships" ref="M467" r:id="rId1701"/>
    <hyperlink xmlns:r="http://schemas.openxmlformats.org/officeDocument/2006/relationships" ref="N467" r:id="rId1702"/>
    <hyperlink xmlns:r="http://schemas.openxmlformats.org/officeDocument/2006/relationships" ref="O467" r:id="rId1703"/>
    <hyperlink xmlns:r="http://schemas.openxmlformats.org/officeDocument/2006/relationships" ref="P467" r:id="rId1704"/>
    <hyperlink xmlns:r="http://schemas.openxmlformats.org/officeDocument/2006/relationships" ref="M468" r:id="rId1705"/>
    <hyperlink xmlns:r="http://schemas.openxmlformats.org/officeDocument/2006/relationships" ref="N468" r:id="rId1706"/>
    <hyperlink xmlns:r="http://schemas.openxmlformats.org/officeDocument/2006/relationships" ref="O468" r:id="rId1707"/>
    <hyperlink xmlns:r="http://schemas.openxmlformats.org/officeDocument/2006/relationships" ref="P468" r:id="rId1708"/>
    <hyperlink xmlns:r="http://schemas.openxmlformats.org/officeDocument/2006/relationships" ref="M469" r:id="rId1709"/>
    <hyperlink xmlns:r="http://schemas.openxmlformats.org/officeDocument/2006/relationships" ref="N469" r:id="rId1710"/>
    <hyperlink xmlns:r="http://schemas.openxmlformats.org/officeDocument/2006/relationships" ref="O469" r:id="rId1711"/>
    <hyperlink xmlns:r="http://schemas.openxmlformats.org/officeDocument/2006/relationships" ref="P469" r:id="rId1712"/>
    <hyperlink xmlns:r="http://schemas.openxmlformats.org/officeDocument/2006/relationships" ref="M470" r:id="rId1713"/>
    <hyperlink xmlns:r="http://schemas.openxmlformats.org/officeDocument/2006/relationships" ref="N470" r:id="rId1714"/>
    <hyperlink xmlns:r="http://schemas.openxmlformats.org/officeDocument/2006/relationships" ref="O470" r:id="rId1715"/>
    <hyperlink xmlns:r="http://schemas.openxmlformats.org/officeDocument/2006/relationships" ref="P470" r:id="rId1716"/>
    <hyperlink xmlns:r="http://schemas.openxmlformats.org/officeDocument/2006/relationships" ref="M471" r:id="rId1717"/>
    <hyperlink xmlns:r="http://schemas.openxmlformats.org/officeDocument/2006/relationships" ref="N471" r:id="rId1718"/>
    <hyperlink xmlns:r="http://schemas.openxmlformats.org/officeDocument/2006/relationships" ref="O471" r:id="rId1719"/>
    <hyperlink xmlns:r="http://schemas.openxmlformats.org/officeDocument/2006/relationships" ref="P471" r:id="rId1720"/>
    <hyperlink xmlns:r="http://schemas.openxmlformats.org/officeDocument/2006/relationships" ref="M472" r:id="rId1721"/>
    <hyperlink xmlns:r="http://schemas.openxmlformats.org/officeDocument/2006/relationships" ref="N472" r:id="rId1722"/>
    <hyperlink xmlns:r="http://schemas.openxmlformats.org/officeDocument/2006/relationships" ref="P472" r:id="rId1723"/>
    <hyperlink xmlns:r="http://schemas.openxmlformats.org/officeDocument/2006/relationships" ref="M473" r:id="rId1724"/>
    <hyperlink xmlns:r="http://schemas.openxmlformats.org/officeDocument/2006/relationships" ref="N473" r:id="rId1725"/>
    <hyperlink xmlns:r="http://schemas.openxmlformats.org/officeDocument/2006/relationships" ref="P473" r:id="rId1726"/>
    <hyperlink xmlns:r="http://schemas.openxmlformats.org/officeDocument/2006/relationships" ref="M474" r:id="rId1727"/>
    <hyperlink xmlns:r="http://schemas.openxmlformats.org/officeDocument/2006/relationships" ref="N474" r:id="rId1728"/>
    <hyperlink xmlns:r="http://schemas.openxmlformats.org/officeDocument/2006/relationships" ref="O474" r:id="rId1729"/>
    <hyperlink xmlns:r="http://schemas.openxmlformats.org/officeDocument/2006/relationships" ref="P474" r:id="rId1730"/>
    <hyperlink xmlns:r="http://schemas.openxmlformats.org/officeDocument/2006/relationships" ref="M475" r:id="rId1731"/>
    <hyperlink xmlns:r="http://schemas.openxmlformats.org/officeDocument/2006/relationships" ref="N475" r:id="rId1732"/>
    <hyperlink xmlns:r="http://schemas.openxmlformats.org/officeDocument/2006/relationships" ref="P475" r:id="rId1733"/>
    <hyperlink xmlns:r="http://schemas.openxmlformats.org/officeDocument/2006/relationships" ref="M476" r:id="rId1734"/>
    <hyperlink xmlns:r="http://schemas.openxmlformats.org/officeDocument/2006/relationships" ref="N476" r:id="rId1735"/>
    <hyperlink xmlns:r="http://schemas.openxmlformats.org/officeDocument/2006/relationships" ref="O476" r:id="rId1736"/>
    <hyperlink xmlns:r="http://schemas.openxmlformats.org/officeDocument/2006/relationships" ref="P476" r:id="rId1737"/>
    <hyperlink xmlns:r="http://schemas.openxmlformats.org/officeDocument/2006/relationships" ref="M477" r:id="rId1738"/>
    <hyperlink xmlns:r="http://schemas.openxmlformats.org/officeDocument/2006/relationships" ref="N477" r:id="rId1739"/>
    <hyperlink xmlns:r="http://schemas.openxmlformats.org/officeDocument/2006/relationships" ref="P477" r:id="rId1740"/>
    <hyperlink xmlns:r="http://schemas.openxmlformats.org/officeDocument/2006/relationships" ref="M478" r:id="rId1741"/>
    <hyperlink xmlns:r="http://schemas.openxmlformats.org/officeDocument/2006/relationships" ref="N478" r:id="rId1742"/>
    <hyperlink xmlns:r="http://schemas.openxmlformats.org/officeDocument/2006/relationships" ref="O478" r:id="rId1743"/>
    <hyperlink xmlns:r="http://schemas.openxmlformats.org/officeDocument/2006/relationships" ref="P478" r:id="rId1744"/>
    <hyperlink xmlns:r="http://schemas.openxmlformats.org/officeDocument/2006/relationships" ref="M479" r:id="rId1745"/>
    <hyperlink xmlns:r="http://schemas.openxmlformats.org/officeDocument/2006/relationships" ref="N479" r:id="rId1746"/>
    <hyperlink xmlns:r="http://schemas.openxmlformats.org/officeDocument/2006/relationships" ref="O479" r:id="rId1747"/>
    <hyperlink xmlns:r="http://schemas.openxmlformats.org/officeDocument/2006/relationships" ref="P479" r:id="rId1748"/>
    <hyperlink xmlns:r="http://schemas.openxmlformats.org/officeDocument/2006/relationships" ref="M480" r:id="rId1749"/>
    <hyperlink xmlns:r="http://schemas.openxmlformats.org/officeDocument/2006/relationships" ref="N480" r:id="rId1750"/>
    <hyperlink xmlns:r="http://schemas.openxmlformats.org/officeDocument/2006/relationships" ref="O480" r:id="rId1751"/>
    <hyperlink xmlns:r="http://schemas.openxmlformats.org/officeDocument/2006/relationships" ref="P480" r:id="rId1752"/>
    <hyperlink xmlns:r="http://schemas.openxmlformats.org/officeDocument/2006/relationships" ref="M481" r:id="rId1753"/>
    <hyperlink xmlns:r="http://schemas.openxmlformats.org/officeDocument/2006/relationships" ref="N481" r:id="rId1754"/>
    <hyperlink xmlns:r="http://schemas.openxmlformats.org/officeDocument/2006/relationships" ref="O481" r:id="rId1755"/>
    <hyperlink xmlns:r="http://schemas.openxmlformats.org/officeDocument/2006/relationships" ref="P481" r:id="rId1756"/>
    <hyperlink xmlns:r="http://schemas.openxmlformats.org/officeDocument/2006/relationships" ref="M482" r:id="rId1757"/>
    <hyperlink xmlns:r="http://schemas.openxmlformats.org/officeDocument/2006/relationships" ref="N482" r:id="rId1758"/>
    <hyperlink xmlns:r="http://schemas.openxmlformats.org/officeDocument/2006/relationships" ref="O482" r:id="rId1759"/>
    <hyperlink xmlns:r="http://schemas.openxmlformats.org/officeDocument/2006/relationships" ref="P482" r:id="rId1760"/>
    <hyperlink xmlns:r="http://schemas.openxmlformats.org/officeDocument/2006/relationships" ref="M483" r:id="rId1761"/>
    <hyperlink xmlns:r="http://schemas.openxmlformats.org/officeDocument/2006/relationships" ref="N483" r:id="rId1762"/>
    <hyperlink xmlns:r="http://schemas.openxmlformats.org/officeDocument/2006/relationships" ref="O483" r:id="rId1763"/>
    <hyperlink xmlns:r="http://schemas.openxmlformats.org/officeDocument/2006/relationships" ref="P483" r:id="rId1764"/>
    <hyperlink xmlns:r="http://schemas.openxmlformats.org/officeDocument/2006/relationships" ref="M484" r:id="rId1765"/>
    <hyperlink xmlns:r="http://schemas.openxmlformats.org/officeDocument/2006/relationships" ref="N484" r:id="rId1766"/>
    <hyperlink xmlns:r="http://schemas.openxmlformats.org/officeDocument/2006/relationships" ref="O484" r:id="rId1767"/>
    <hyperlink xmlns:r="http://schemas.openxmlformats.org/officeDocument/2006/relationships" ref="P484" r:id="rId1768"/>
    <hyperlink xmlns:r="http://schemas.openxmlformats.org/officeDocument/2006/relationships" ref="M485" r:id="rId1769"/>
    <hyperlink xmlns:r="http://schemas.openxmlformats.org/officeDocument/2006/relationships" ref="N485" r:id="rId1770"/>
    <hyperlink xmlns:r="http://schemas.openxmlformats.org/officeDocument/2006/relationships" ref="O485" r:id="rId1771"/>
    <hyperlink xmlns:r="http://schemas.openxmlformats.org/officeDocument/2006/relationships" ref="P485" r:id="rId1772"/>
    <hyperlink xmlns:r="http://schemas.openxmlformats.org/officeDocument/2006/relationships" ref="M486" r:id="rId1773"/>
    <hyperlink xmlns:r="http://schemas.openxmlformats.org/officeDocument/2006/relationships" ref="N486" r:id="rId1774"/>
    <hyperlink xmlns:r="http://schemas.openxmlformats.org/officeDocument/2006/relationships" ref="O486" r:id="rId1775"/>
    <hyperlink xmlns:r="http://schemas.openxmlformats.org/officeDocument/2006/relationships" ref="P486" r:id="rId1776"/>
    <hyperlink xmlns:r="http://schemas.openxmlformats.org/officeDocument/2006/relationships" ref="M487" r:id="rId1777"/>
    <hyperlink xmlns:r="http://schemas.openxmlformats.org/officeDocument/2006/relationships" ref="N487" r:id="rId1778"/>
    <hyperlink xmlns:r="http://schemas.openxmlformats.org/officeDocument/2006/relationships" ref="O487" r:id="rId1779"/>
    <hyperlink xmlns:r="http://schemas.openxmlformats.org/officeDocument/2006/relationships" ref="P487" r:id="rId1780"/>
    <hyperlink xmlns:r="http://schemas.openxmlformats.org/officeDocument/2006/relationships" ref="M488" r:id="rId1781"/>
    <hyperlink xmlns:r="http://schemas.openxmlformats.org/officeDocument/2006/relationships" ref="N488" r:id="rId1782"/>
    <hyperlink xmlns:r="http://schemas.openxmlformats.org/officeDocument/2006/relationships" ref="O488" r:id="rId1783"/>
    <hyperlink xmlns:r="http://schemas.openxmlformats.org/officeDocument/2006/relationships" ref="P488" r:id="rId1784"/>
    <hyperlink xmlns:r="http://schemas.openxmlformats.org/officeDocument/2006/relationships" ref="M489" r:id="rId1785"/>
    <hyperlink xmlns:r="http://schemas.openxmlformats.org/officeDocument/2006/relationships" ref="N489" r:id="rId1786"/>
    <hyperlink xmlns:r="http://schemas.openxmlformats.org/officeDocument/2006/relationships" ref="O489" r:id="rId1787"/>
    <hyperlink xmlns:r="http://schemas.openxmlformats.org/officeDocument/2006/relationships" ref="P489" r:id="rId1788"/>
    <hyperlink xmlns:r="http://schemas.openxmlformats.org/officeDocument/2006/relationships" ref="M490" r:id="rId1789"/>
    <hyperlink xmlns:r="http://schemas.openxmlformats.org/officeDocument/2006/relationships" ref="N490" r:id="rId1790"/>
    <hyperlink xmlns:r="http://schemas.openxmlformats.org/officeDocument/2006/relationships" ref="P490" r:id="rId1791"/>
    <hyperlink xmlns:r="http://schemas.openxmlformats.org/officeDocument/2006/relationships" ref="M491" r:id="rId1792"/>
    <hyperlink xmlns:r="http://schemas.openxmlformats.org/officeDocument/2006/relationships" ref="N491" r:id="rId1793"/>
    <hyperlink xmlns:r="http://schemas.openxmlformats.org/officeDocument/2006/relationships" ref="O491" r:id="rId1794"/>
    <hyperlink xmlns:r="http://schemas.openxmlformats.org/officeDocument/2006/relationships" ref="P491" r:id="rId1795"/>
    <hyperlink xmlns:r="http://schemas.openxmlformats.org/officeDocument/2006/relationships" ref="M492" r:id="rId1796"/>
    <hyperlink xmlns:r="http://schemas.openxmlformats.org/officeDocument/2006/relationships" ref="N492" r:id="rId1797"/>
    <hyperlink xmlns:r="http://schemas.openxmlformats.org/officeDocument/2006/relationships" ref="O492" r:id="rId1798"/>
    <hyperlink xmlns:r="http://schemas.openxmlformats.org/officeDocument/2006/relationships" ref="P492" r:id="rId1799"/>
    <hyperlink xmlns:r="http://schemas.openxmlformats.org/officeDocument/2006/relationships" ref="M493" r:id="rId1800"/>
    <hyperlink xmlns:r="http://schemas.openxmlformats.org/officeDocument/2006/relationships" ref="N493" r:id="rId1801"/>
    <hyperlink xmlns:r="http://schemas.openxmlformats.org/officeDocument/2006/relationships" ref="P493" r:id="rId1802"/>
    <hyperlink xmlns:r="http://schemas.openxmlformats.org/officeDocument/2006/relationships" ref="M494" r:id="rId1803"/>
    <hyperlink xmlns:r="http://schemas.openxmlformats.org/officeDocument/2006/relationships" ref="N494" r:id="rId1804"/>
    <hyperlink xmlns:r="http://schemas.openxmlformats.org/officeDocument/2006/relationships" ref="P494" r:id="rId1805"/>
    <hyperlink xmlns:r="http://schemas.openxmlformats.org/officeDocument/2006/relationships" ref="M495" r:id="rId1806"/>
    <hyperlink xmlns:r="http://schemas.openxmlformats.org/officeDocument/2006/relationships" ref="N495" r:id="rId1807"/>
    <hyperlink xmlns:r="http://schemas.openxmlformats.org/officeDocument/2006/relationships" ref="O495" r:id="rId1808"/>
    <hyperlink xmlns:r="http://schemas.openxmlformats.org/officeDocument/2006/relationships" ref="P495" r:id="rId1809"/>
    <hyperlink xmlns:r="http://schemas.openxmlformats.org/officeDocument/2006/relationships" ref="M496" r:id="rId1810"/>
    <hyperlink xmlns:r="http://schemas.openxmlformats.org/officeDocument/2006/relationships" ref="N496" r:id="rId1811"/>
    <hyperlink xmlns:r="http://schemas.openxmlformats.org/officeDocument/2006/relationships" ref="O496" r:id="rId1812"/>
    <hyperlink xmlns:r="http://schemas.openxmlformats.org/officeDocument/2006/relationships" ref="P496" r:id="rId1813"/>
    <hyperlink xmlns:r="http://schemas.openxmlformats.org/officeDocument/2006/relationships" ref="M497" r:id="rId1814"/>
    <hyperlink xmlns:r="http://schemas.openxmlformats.org/officeDocument/2006/relationships" ref="N497" r:id="rId1815"/>
    <hyperlink xmlns:r="http://schemas.openxmlformats.org/officeDocument/2006/relationships" ref="O497" r:id="rId1816"/>
    <hyperlink xmlns:r="http://schemas.openxmlformats.org/officeDocument/2006/relationships" ref="P497" r:id="rId1817"/>
    <hyperlink xmlns:r="http://schemas.openxmlformats.org/officeDocument/2006/relationships" ref="M498" r:id="rId1818"/>
    <hyperlink xmlns:r="http://schemas.openxmlformats.org/officeDocument/2006/relationships" ref="N498" r:id="rId1819"/>
    <hyperlink xmlns:r="http://schemas.openxmlformats.org/officeDocument/2006/relationships" ref="P498" r:id="rId1820"/>
    <hyperlink xmlns:r="http://schemas.openxmlformats.org/officeDocument/2006/relationships" ref="M499" r:id="rId1821"/>
    <hyperlink xmlns:r="http://schemas.openxmlformats.org/officeDocument/2006/relationships" ref="N499" r:id="rId1822"/>
    <hyperlink xmlns:r="http://schemas.openxmlformats.org/officeDocument/2006/relationships" ref="O499" r:id="rId1823"/>
    <hyperlink xmlns:r="http://schemas.openxmlformats.org/officeDocument/2006/relationships" ref="P499" r:id="rId1824"/>
    <hyperlink xmlns:r="http://schemas.openxmlformats.org/officeDocument/2006/relationships" ref="M500" r:id="rId1825"/>
    <hyperlink xmlns:r="http://schemas.openxmlformats.org/officeDocument/2006/relationships" ref="N500" r:id="rId1826"/>
    <hyperlink xmlns:r="http://schemas.openxmlformats.org/officeDocument/2006/relationships" ref="O500" r:id="rId1827"/>
    <hyperlink xmlns:r="http://schemas.openxmlformats.org/officeDocument/2006/relationships" ref="P500" r:id="rId1828"/>
    <hyperlink xmlns:r="http://schemas.openxmlformats.org/officeDocument/2006/relationships" ref="M501" r:id="rId1829"/>
    <hyperlink xmlns:r="http://schemas.openxmlformats.org/officeDocument/2006/relationships" ref="N501" r:id="rId1830"/>
    <hyperlink xmlns:r="http://schemas.openxmlformats.org/officeDocument/2006/relationships" ref="P501" r:id="rId1831"/>
    <hyperlink xmlns:r="http://schemas.openxmlformats.org/officeDocument/2006/relationships" ref="M502" r:id="rId1832"/>
    <hyperlink xmlns:r="http://schemas.openxmlformats.org/officeDocument/2006/relationships" ref="N502" r:id="rId1833"/>
    <hyperlink xmlns:r="http://schemas.openxmlformats.org/officeDocument/2006/relationships" ref="O502" r:id="rId1834"/>
    <hyperlink xmlns:r="http://schemas.openxmlformats.org/officeDocument/2006/relationships" ref="P502" r:id="rId1835"/>
    <hyperlink xmlns:r="http://schemas.openxmlformats.org/officeDocument/2006/relationships" ref="M503" r:id="rId1836"/>
    <hyperlink xmlns:r="http://schemas.openxmlformats.org/officeDocument/2006/relationships" ref="N503" r:id="rId1837"/>
    <hyperlink xmlns:r="http://schemas.openxmlformats.org/officeDocument/2006/relationships" ref="P503" r:id="rId1838"/>
    <hyperlink xmlns:r="http://schemas.openxmlformats.org/officeDocument/2006/relationships" ref="M504" r:id="rId1839"/>
    <hyperlink xmlns:r="http://schemas.openxmlformats.org/officeDocument/2006/relationships" ref="N504" r:id="rId1840"/>
    <hyperlink xmlns:r="http://schemas.openxmlformats.org/officeDocument/2006/relationships" ref="P504" r:id="rId1841"/>
    <hyperlink xmlns:r="http://schemas.openxmlformats.org/officeDocument/2006/relationships" ref="M505" r:id="rId1842"/>
    <hyperlink xmlns:r="http://schemas.openxmlformats.org/officeDocument/2006/relationships" ref="N505" r:id="rId1843"/>
    <hyperlink xmlns:r="http://schemas.openxmlformats.org/officeDocument/2006/relationships" ref="O505" r:id="rId1844"/>
    <hyperlink xmlns:r="http://schemas.openxmlformats.org/officeDocument/2006/relationships" ref="P505" r:id="rId1845"/>
    <hyperlink xmlns:r="http://schemas.openxmlformats.org/officeDocument/2006/relationships" ref="M506" r:id="rId1846"/>
    <hyperlink xmlns:r="http://schemas.openxmlformats.org/officeDocument/2006/relationships" ref="N506" r:id="rId1847"/>
    <hyperlink xmlns:r="http://schemas.openxmlformats.org/officeDocument/2006/relationships" ref="P506" r:id="rId1848"/>
    <hyperlink xmlns:r="http://schemas.openxmlformats.org/officeDocument/2006/relationships" ref="M507" r:id="rId1849"/>
    <hyperlink xmlns:r="http://schemas.openxmlformats.org/officeDocument/2006/relationships" ref="N507" r:id="rId1850"/>
    <hyperlink xmlns:r="http://schemas.openxmlformats.org/officeDocument/2006/relationships" ref="O507" r:id="rId1851"/>
    <hyperlink xmlns:r="http://schemas.openxmlformats.org/officeDocument/2006/relationships" ref="P507" r:id="rId1852"/>
    <hyperlink xmlns:r="http://schemas.openxmlformats.org/officeDocument/2006/relationships" ref="M508" r:id="rId1853"/>
    <hyperlink xmlns:r="http://schemas.openxmlformats.org/officeDocument/2006/relationships" ref="N508" r:id="rId1854"/>
    <hyperlink xmlns:r="http://schemas.openxmlformats.org/officeDocument/2006/relationships" ref="P508" r:id="rId1855"/>
    <hyperlink xmlns:r="http://schemas.openxmlformats.org/officeDocument/2006/relationships" ref="M509" r:id="rId1856"/>
    <hyperlink xmlns:r="http://schemas.openxmlformats.org/officeDocument/2006/relationships" ref="N509" r:id="rId1857"/>
    <hyperlink xmlns:r="http://schemas.openxmlformats.org/officeDocument/2006/relationships" ref="O509" r:id="rId1858"/>
    <hyperlink xmlns:r="http://schemas.openxmlformats.org/officeDocument/2006/relationships" ref="P509" r:id="rId1859"/>
    <hyperlink xmlns:r="http://schemas.openxmlformats.org/officeDocument/2006/relationships" ref="M510" r:id="rId1860"/>
    <hyperlink xmlns:r="http://schemas.openxmlformats.org/officeDocument/2006/relationships" ref="N510" r:id="rId1861"/>
    <hyperlink xmlns:r="http://schemas.openxmlformats.org/officeDocument/2006/relationships" ref="O510" r:id="rId1862"/>
    <hyperlink xmlns:r="http://schemas.openxmlformats.org/officeDocument/2006/relationships" ref="P510" r:id="rId1863"/>
    <hyperlink xmlns:r="http://schemas.openxmlformats.org/officeDocument/2006/relationships" ref="M511" r:id="rId1864"/>
    <hyperlink xmlns:r="http://schemas.openxmlformats.org/officeDocument/2006/relationships" ref="N511" r:id="rId1865"/>
    <hyperlink xmlns:r="http://schemas.openxmlformats.org/officeDocument/2006/relationships" ref="P511" r:id="rId1866"/>
    <hyperlink xmlns:r="http://schemas.openxmlformats.org/officeDocument/2006/relationships" ref="M512" r:id="rId1867"/>
    <hyperlink xmlns:r="http://schemas.openxmlformats.org/officeDocument/2006/relationships" ref="N512" r:id="rId1868"/>
    <hyperlink xmlns:r="http://schemas.openxmlformats.org/officeDocument/2006/relationships" ref="P512" r:id="rId1869"/>
    <hyperlink xmlns:r="http://schemas.openxmlformats.org/officeDocument/2006/relationships" ref="M513" r:id="rId1870"/>
    <hyperlink xmlns:r="http://schemas.openxmlformats.org/officeDocument/2006/relationships" ref="N513" r:id="rId1871"/>
    <hyperlink xmlns:r="http://schemas.openxmlformats.org/officeDocument/2006/relationships" ref="O513" r:id="rId1872"/>
    <hyperlink xmlns:r="http://schemas.openxmlformats.org/officeDocument/2006/relationships" ref="P513" r:id="rId1873"/>
    <hyperlink xmlns:r="http://schemas.openxmlformats.org/officeDocument/2006/relationships" ref="M514" r:id="rId1874"/>
    <hyperlink xmlns:r="http://schemas.openxmlformats.org/officeDocument/2006/relationships" ref="N514" r:id="rId1875"/>
    <hyperlink xmlns:r="http://schemas.openxmlformats.org/officeDocument/2006/relationships" ref="P514" r:id="rId1876"/>
    <hyperlink xmlns:r="http://schemas.openxmlformats.org/officeDocument/2006/relationships" ref="M515" r:id="rId1877"/>
    <hyperlink xmlns:r="http://schemas.openxmlformats.org/officeDocument/2006/relationships" ref="N515" r:id="rId1878"/>
    <hyperlink xmlns:r="http://schemas.openxmlformats.org/officeDocument/2006/relationships" ref="O515" r:id="rId1879"/>
    <hyperlink xmlns:r="http://schemas.openxmlformats.org/officeDocument/2006/relationships" ref="P515" r:id="rId1880"/>
    <hyperlink xmlns:r="http://schemas.openxmlformats.org/officeDocument/2006/relationships" ref="M516" r:id="rId1881"/>
    <hyperlink xmlns:r="http://schemas.openxmlformats.org/officeDocument/2006/relationships" ref="N516" r:id="rId1882"/>
    <hyperlink xmlns:r="http://schemas.openxmlformats.org/officeDocument/2006/relationships" ref="P516" r:id="rId1883"/>
    <hyperlink xmlns:r="http://schemas.openxmlformats.org/officeDocument/2006/relationships" ref="M517" r:id="rId1884"/>
    <hyperlink xmlns:r="http://schemas.openxmlformats.org/officeDocument/2006/relationships" ref="N517" r:id="rId1885"/>
    <hyperlink xmlns:r="http://schemas.openxmlformats.org/officeDocument/2006/relationships" ref="O517" r:id="rId1886"/>
    <hyperlink xmlns:r="http://schemas.openxmlformats.org/officeDocument/2006/relationships" ref="P517" r:id="rId1887"/>
    <hyperlink xmlns:r="http://schemas.openxmlformats.org/officeDocument/2006/relationships" ref="M518" r:id="rId1888"/>
    <hyperlink xmlns:r="http://schemas.openxmlformats.org/officeDocument/2006/relationships" ref="N518" r:id="rId1889"/>
    <hyperlink xmlns:r="http://schemas.openxmlformats.org/officeDocument/2006/relationships" ref="O518" r:id="rId1890"/>
    <hyperlink xmlns:r="http://schemas.openxmlformats.org/officeDocument/2006/relationships" ref="P518" r:id="rId1891"/>
    <hyperlink xmlns:r="http://schemas.openxmlformats.org/officeDocument/2006/relationships" ref="M519" r:id="rId1892"/>
    <hyperlink xmlns:r="http://schemas.openxmlformats.org/officeDocument/2006/relationships" ref="N519" r:id="rId1893"/>
    <hyperlink xmlns:r="http://schemas.openxmlformats.org/officeDocument/2006/relationships" ref="P519" r:id="rId1894"/>
    <hyperlink xmlns:r="http://schemas.openxmlformats.org/officeDocument/2006/relationships" ref="M520" r:id="rId1895"/>
    <hyperlink xmlns:r="http://schemas.openxmlformats.org/officeDocument/2006/relationships" ref="N520" r:id="rId1896"/>
    <hyperlink xmlns:r="http://schemas.openxmlformats.org/officeDocument/2006/relationships" ref="O520" r:id="rId1897"/>
    <hyperlink xmlns:r="http://schemas.openxmlformats.org/officeDocument/2006/relationships" ref="P520" r:id="rId1898"/>
    <hyperlink xmlns:r="http://schemas.openxmlformats.org/officeDocument/2006/relationships" ref="M521" r:id="rId1899"/>
    <hyperlink xmlns:r="http://schemas.openxmlformats.org/officeDocument/2006/relationships" ref="N521" r:id="rId1900"/>
    <hyperlink xmlns:r="http://schemas.openxmlformats.org/officeDocument/2006/relationships" ref="O521" r:id="rId1901"/>
    <hyperlink xmlns:r="http://schemas.openxmlformats.org/officeDocument/2006/relationships" ref="P521" r:id="rId1902"/>
    <hyperlink xmlns:r="http://schemas.openxmlformats.org/officeDocument/2006/relationships" ref="M522" r:id="rId1903"/>
    <hyperlink xmlns:r="http://schemas.openxmlformats.org/officeDocument/2006/relationships" ref="N522" r:id="rId1904"/>
    <hyperlink xmlns:r="http://schemas.openxmlformats.org/officeDocument/2006/relationships" ref="O522" r:id="rId1905"/>
    <hyperlink xmlns:r="http://schemas.openxmlformats.org/officeDocument/2006/relationships" ref="P522" r:id="rId1906"/>
    <hyperlink xmlns:r="http://schemas.openxmlformats.org/officeDocument/2006/relationships" ref="M523" r:id="rId1907"/>
    <hyperlink xmlns:r="http://schemas.openxmlformats.org/officeDocument/2006/relationships" ref="N523" r:id="rId1908"/>
    <hyperlink xmlns:r="http://schemas.openxmlformats.org/officeDocument/2006/relationships" ref="O523" r:id="rId1909"/>
    <hyperlink xmlns:r="http://schemas.openxmlformats.org/officeDocument/2006/relationships" ref="P523" r:id="rId1910"/>
    <hyperlink xmlns:r="http://schemas.openxmlformats.org/officeDocument/2006/relationships" ref="M524" r:id="rId1911"/>
    <hyperlink xmlns:r="http://schemas.openxmlformats.org/officeDocument/2006/relationships" ref="N524" r:id="rId1912"/>
    <hyperlink xmlns:r="http://schemas.openxmlformats.org/officeDocument/2006/relationships" ref="P524" r:id="rId1913"/>
    <hyperlink xmlns:r="http://schemas.openxmlformats.org/officeDocument/2006/relationships" ref="M525" r:id="rId1914"/>
    <hyperlink xmlns:r="http://schemas.openxmlformats.org/officeDocument/2006/relationships" ref="N525" r:id="rId1915"/>
    <hyperlink xmlns:r="http://schemas.openxmlformats.org/officeDocument/2006/relationships" ref="O525" r:id="rId1916"/>
    <hyperlink xmlns:r="http://schemas.openxmlformats.org/officeDocument/2006/relationships" ref="P525" r:id="rId1917"/>
    <hyperlink xmlns:r="http://schemas.openxmlformats.org/officeDocument/2006/relationships" ref="M526" r:id="rId1918"/>
    <hyperlink xmlns:r="http://schemas.openxmlformats.org/officeDocument/2006/relationships" ref="N526" r:id="rId1919"/>
    <hyperlink xmlns:r="http://schemas.openxmlformats.org/officeDocument/2006/relationships" ref="O526" r:id="rId1920"/>
    <hyperlink xmlns:r="http://schemas.openxmlformats.org/officeDocument/2006/relationships" ref="P526" r:id="rId1921"/>
    <hyperlink xmlns:r="http://schemas.openxmlformats.org/officeDocument/2006/relationships" ref="M527" r:id="rId1922"/>
    <hyperlink xmlns:r="http://schemas.openxmlformats.org/officeDocument/2006/relationships" ref="N527" r:id="rId1923"/>
    <hyperlink xmlns:r="http://schemas.openxmlformats.org/officeDocument/2006/relationships" ref="P527" r:id="rId1924"/>
    <hyperlink xmlns:r="http://schemas.openxmlformats.org/officeDocument/2006/relationships" ref="M528" r:id="rId1925"/>
    <hyperlink xmlns:r="http://schemas.openxmlformats.org/officeDocument/2006/relationships" ref="N528" r:id="rId1926"/>
    <hyperlink xmlns:r="http://schemas.openxmlformats.org/officeDocument/2006/relationships" ref="O528" r:id="rId1927"/>
    <hyperlink xmlns:r="http://schemas.openxmlformats.org/officeDocument/2006/relationships" ref="P528" r:id="rId1928"/>
    <hyperlink xmlns:r="http://schemas.openxmlformats.org/officeDocument/2006/relationships" ref="M529" r:id="rId1929"/>
    <hyperlink xmlns:r="http://schemas.openxmlformats.org/officeDocument/2006/relationships" ref="N529" r:id="rId1930"/>
    <hyperlink xmlns:r="http://schemas.openxmlformats.org/officeDocument/2006/relationships" ref="O529" r:id="rId1931"/>
    <hyperlink xmlns:r="http://schemas.openxmlformats.org/officeDocument/2006/relationships" ref="P529" r:id="rId1932"/>
    <hyperlink xmlns:r="http://schemas.openxmlformats.org/officeDocument/2006/relationships" ref="M530" r:id="rId1933"/>
    <hyperlink xmlns:r="http://schemas.openxmlformats.org/officeDocument/2006/relationships" ref="N530" r:id="rId1934"/>
    <hyperlink xmlns:r="http://schemas.openxmlformats.org/officeDocument/2006/relationships" ref="O530" r:id="rId1935"/>
    <hyperlink xmlns:r="http://schemas.openxmlformats.org/officeDocument/2006/relationships" ref="P530" r:id="rId1936"/>
    <hyperlink xmlns:r="http://schemas.openxmlformats.org/officeDocument/2006/relationships" ref="M531" r:id="rId1937"/>
    <hyperlink xmlns:r="http://schemas.openxmlformats.org/officeDocument/2006/relationships" ref="N531" r:id="rId1938"/>
    <hyperlink xmlns:r="http://schemas.openxmlformats.org/officeDocument/2006/relationships" ref="P531" r:id="rId1939"/>
    <hyperlink xmlns:r="http://schemas.openxmlformats.org/officeDocument/2006/relationships" ref="M532" r:id="rId1940"/>
    <hyperlink xmlns:r="http://schemas.openxmlformats.org/officeDocument/2006/relationships" ref="N532" r:id="rId1941"/>
    <hyperlink xmlns:r="http://schemas.openxmlformats.org/officeDocument/2006/relationships" ref="O532" r:id="rId1942"/>
    <hyperlink xmlns:r="http://schemas.openxmlformats.org/officeDocument/2006/relationships" ref="P532" r:id="rId1943"/>
    <hyperlink xmlns:r="http://schemas.openxmlformats.org/officeDocument/2006/relationships" ref="M533" r:id="rId1944"/>
    <hyperlink xmlns:r="http://schemas.openxmlformats.org/officeDocument/2006/relationships" ref="N533" r:id="rId1945"/>
    <hyperlink xmlns:r="http://schemas.openxmlformats.org/officeDocument/2006/relationships" ref="O533" r:id="rId1946"/>
    <hyperlink xmlns:r="http://schemas.openxmlformats.org/officeDocument/2006/relationships" ref="P533" r:id="rId1947"/>
    <hyperlink xmlns:r="http://schemas.openxmlformats.org/officeDocument/2006/relationships" ref="M534" r:id="rId1948"/>
    <hyperlink xmlns:r="http://schemas.openxmlformats.org/officeDocument/2006/relationships" ref="N534" r:id="rId1949"/>
    <hyperlink xmlns:r="http://schemas.openxmlformats.org/officeDocument/2006/relationships" ref="O534" r:id="rId1950"/>
    <hyperlink xmlns:r="http://schemas.openxmlformats.org/officeDocument/2006/relationships" ref="P534" r:id="rId1951"/>
    <hyperlink xmlns:r="http://schemas.openxmlformats.org/officeDocument/2006/relationships" ref="M535" r:id="rId1952"/>
    <hyperlink xmlns:r="http://schemas.openxmlformats.org/officeDocument/2006/relationships" ref="N535" r:id="rId1953"/>
    <hyperlink xmlns:r="http://schemas.openxmlformats.org/officeDocument/2006/relationships" ref="P535" r:id="rId1954"/>
    <hyperlink xmlns:r="http://schemas.openxmlformats.org/officeDocument/2006/relationships" ref="N536" r:id="rId1955"/>
    <hyperlink xmlns:r="http://schemas.openxmlformats.org/officeDocument/2006/relationships" ref="O536" r:id="rId1956"/>
    <hyperlink xmlns:r="http://schemas.openxmlformats.org/officeDocument/2006/relationships" ref="P536" r:id="rId1957"/>
    <hyperlink xmlns:r="http://schemas.openxmlformats.org/officeDocument/2006/relationships" ref="M537" r:id="rId1958"/>
    <hyperlink xmlns:r="http://schemas.openxmlformats.org/officeDocument/2006/relationships" ref="N537" r:id="rId1959"/>
    <hyperlink xmlns:r="http://schemas.openxmlformats.org/officeDocument/2006/relationships" ref="O537" r:id="rId1960"/>
    <hyperlink xmlns:r="http://schemas.openxmlformats.org/officeDocument/2006/relationships" ref="P537" r:id="rId1961"/>
    <hyperlink xmlns:r="http://schemas.openxmlformats.org/officeDocument/2006/relationships" ref="M538" r:id="rId1962"/>
    <hyperlink xmlns:r="http://schemas.openxmlformats.org/officeDocument/2006/relationships" ref="N538" r:id="rId1963"/>
    <hyperlink xmlns:r="http://schemas.openxmlformats.org/officeDocument/2006/relationships" ref="P538" r:id="rId1964"/>
    <hyperlink xmlns:r="http://schemas.openxmlformats.org/officeDocument/2006/relationships" ref="M539" r:id="rId1965"/>
    <hyperlink xmlns:r="http://schemas.openxmlformats.org/officeDocument/2006/relationships" ref="N539" r:id="rId1966"/>
    <hyperlink xmlns:r="http://schemas.openxmlformats.org/officeDocument/2006/relationships" ref="P539" r:id="rId1967"/>
    <hyperlink xmlns:r="http://schemas.openxmlformats.org/officeDocument/2006/relationships" ref="M540" r:id="rId1968"/>
    <hyperlink xmlns:r="http://schemas.openxmlformats.org/officeDocument/2006/relationships" ref="N540" r:id="rId1969"/>
    <hyperlink xmlns:r="http://schemas.openxmlformats.org/officeDocument/2006/relationships" ref="O540" r:id="rId1970"/>
    <hyperlink xmlns:r="http://schemas.openxmlformats.org/officeDocument/2006/relationships" ref="P540" r:id="rId1971"/>
    <hyperlink xmlns:r="http://schemas.openxmlformats.org/officeDocument/2006/relationships" ref="M541" r:id="rId1972"/>
    <hyperlink xmlns:r="http://schemas.openxmlformats.org/officeDocument/2006/relationships" ref="N541" r:id="rId1973"/>
    <hyperlink xmlns:r="http://schemas.openxmlformats.org/officeDocument/2006/relationships" ref="O541" r:id="rId1974"/>
    <hyperlink xmlns:r="http://schemas.openxmlformats.org/officeDocument/2006/relationships" ref="P541" r:id="rId1975"/>
    <hyperlink xmlns:r="http://schemas.openxmlformats.org/officeDocument/2006/relationships" ref="M542" r:id="rId1976"/>
    <hyperlink xmlns:r="http://schemas.openxmlformats.org/officeDocument/2006/relationships" ref="N542" r:id="rId1977"/>
    <hyperlink xmlns:r="http://schemas.openxmlformats.org/officeDocument/2006/relationships" ref="P542" r:id="rId1978"/>
    <hyperlink xmlns:r="http://schemas.openxmlformats.org/officeDocument/2006/relationships" ref="M543" r:id="rId1979"/>
    <hyperlink xmlns:r="http://schemas.openxmlformats.org/officeDocument/2006/relationships" ref="N543" r:id="rId1980"/>
    <hyperlink xmlns:r="http://schemas.openxmlformats.org/officeDocument/2006/relationships" ref="O543" r:id="rId1981"/>
    <hyperlink xmlns:r="http://schemas.openxmlformats.org/officeDocument/2006/relationships" ref="P543" r:id="rId1982"/>
    <hyperlink xmlns:r="http://schemas.openxmlformats.org/officeDocument/2006/relationships" ref="M544" r:id="rId1983"/>
    <hyperlink xmlns:r="http://schemas.openxmlformats.org/officeDocument/2006/relationships" ref="N544" r:id="rId1984"/>
    <hyperlink xmlns:r="http://schemas.openxmlformats.org/officeDocument/2006/relationships" ref="O544" r:id="rId1985"/>
    <hyperlink xmlns:r="http://schemas.openxmlformats.org/officeDocument/2006/relationships" ref="P544" r:id="rId1986"/>
    <hyperlink xmlns:r="http://schemas.openxmlformats.org/officeDocument/2006/relationships" ref="M545" r:id="rId1987"/>
    <hyperlink xmlns:r="http://schemas.openxmlformats.org/officeDocument/2006/relationships" ref="N545" r:id="rId1988"/>
    <hyperlink xmlns:r="http://schemas.openxmlformats.org/officeDocument/2006/relationships" ref="P545" r:id="rId1989"/>
    <hyperlink xmlns:r="http://schemas.openxmlformats.org/officeDocument/2006/relationships" ref="M546" r:id="rId1990"/>
    <hyperlink xmlns:r="http://schemas.openxmlformats.org/officeDocument/2006/relationships" ref="N546" r:id="rId1991"/>
    <hyperlink xmlns:r="http://schemas.openxmlformats.org/officeDocument/2006/relationships" ref="P546" r:id="rId1992"/>
    <hyperlink xmlns:r="http://schemas.openxmlformats.org/officeDocument/2006/relationships" ref="M547" r:id="rId1993"/>
    <hyperlink xmlns:r="http://schemas.openxmlformats.org/officeDocument/2006/relationships" ref="N547" r:id="rId1994"/>
    <hyperlink xmlns:r="http://schemas.openxmlformats.org/officeDocument/2006/relationships" ref="O547" r:id="rId1995"/>
    <hyperlink xmlns:r="http://schemas.openxmlformats.org/officeDocument/2006/relationships" ref="P547" r:id="rId1996"/>
    <hyperlink xmlns:r="http://schemas.openxmlformats.org/officeDocument/2006/relationships" ref="M548" r:id="rId1997"/>
    <hyperlink xmlns:r="http://schemas.openxmlformats.org/officeDocument/2006/relationships" ref="N548" r:id="rId1998"/>
    <hyperlink xmlns:r="http://schemas.openxmlformats.org/officeDocument/2006/relationships" ref="O548" r:id="rId1999"/>
    <hyperlink xmlns:r="http://schemas.openxmlformats.org/officeDocument/2006/relationships" ref="P548" r:id="rId2000"/>
    <hyperlink xmlns:r="http://schemas.openxmlformats.org/officeDocument/2006/relationships" ref="M549" r:id="rId2001"/>
    <hyperlink xmlns:r="http://schemas.openxmlformats.org/officeDocument/2006/relationships" ref="N549" r:id="rId2002"/>
    <hyperlink xmlns:r="http://schemas.openxmlformats.org/officeDocument/2006/relationships" ref="O549" r:id="rId2003"/>
    <hyperlink xmlns:r="http://schemas.openxmlformats.org/officeDocument/2006/relationships" ref="P549" r:id="rId2004"/>
    <hyperlink xmlns:r="http://schemas.openxmlformats.org/officeDocument/2006/relationships" ref="M550" r:id="rId2005"/>
    <hyperlink xmlns:r="http://schemas.openxmlformats.org/officeDocument/2006/relationships" ref="N550" r:id="rId2006"/>
    <hyperlink xmlns:r="http://schemas.openxmlformats.org/officeDocument/2006/relationships" ref="O550" r:id="rId2007"/>
    <hyperlink xmlns:r="http://schemas.openxmlformats.org/officeDocument/2006/relationships" ref="P550" r:id="rId2008"/>
    <hyperlink xmlns:r="http://schemas.openxmlformats.org/officeDocument/2006/relationships" ref="M551" r:id="rId2009"/>
    <hyperlink xmlns:r="http://schemas.openxmlformats.org/officeDocument/2006/relationships" ref="N551" r:id="rId2010"/>
    <hyperlink xmlns:r="http://schemas.openxmlformats.org/officeDocument/2006/relationships" ref="O551" r:id="rId2011"/>
    <hyperlink xmlns:r="http://schemas.openxmlformats.org/officeDocument/2006/relationships" ref="P551" r:id="rId2012"/>
    <hyperlink xmlns:r="http://schemas.openxmlformats.org/officeDocument/2006/relationships" ref="M552" r:id="rId2013"/>
    <hyperlink xmlns:r="http://schemas.openxmlformats.org/officeDocument/2006/relationships" ref="N552" r:id="rId2014"/>
    <hyperlink xmlns:r="http://schemas.openxmlformats.org/officeDocument/2006/relationships" ref="P552" r:id="rId2015"/>
    <hyperlink xmlns:r="http://schemas.openxmlformats.org/officeDocument/2006/relationships" ref="M553" r:id="rId2016"/>
    <hyperlink xmlns:r="http://schemas.openxmlformats.org/officeDocument/2006/relationships" ref="N553" r:id="rId2017"/>
    <hyperlink xmlns:r="http://schemas.openxmlformats.org/officeDocument/2006/relationships" ref="P553" r:id="rId2018"/>
    <hyperlink xmlns:r="http://schemas.openxmlformats.org/officeDocument/2006/relationships" ref="M554" r:id="rId2019"/>
    <hyperlink xmlns:r="http://schemas.openxmlformats.org/officeDocument/2006/relationships" ref="N554" r:id="rId2020"/>
    <hyperlink xmlns:r="http://schemas.openxmlformats.org/officeDocument/2006/relationships" ref="O554" r:id="rId2021"/>
    <hyperlink xmlns:r="http://schemas.openxmlformats.org/officeDocument/2006/relationships" ref="P554" r:id="rId2022"/>
    <hyperlink xmlns:r="http://schemas.openxmlformats.org/officeDocument/2006/relationships" ref="M555" r:id="rId2023"/>
    <hyperlink xmlns:r="http://schemas.openxmlformats.org/officeDocument/2006/relationships" ref="N555" r:id="rId2024"/>
    <hyperlink xmlns:r="http://schemas.openxmlformats.org/officeDocument/2006/relationships" ref="P555" r:id="rId2025"/>
    <hyperlink xmlns:r="http://schemas.openxmlformats.org/officeDocument/2006/relationships" ref="M556" r:id="rId2026"/>
    <hyperlink xmlns:r="http://schemas.openxmlformats.org/officeDocument/2006/relationships" ref="N556" r:id="rId2027"/>
    <hyperlink xmlns:r="http://schemas.openxmlformats.org/officeDocument/2006/relationships" ref="O556" r:id="rId2028"/>
    <hyperlink xmlns:r="http://schemas.openxmlformats.org/officeDocument/2006/relationships" ref="P556" r:id="rId2029"/>
    <hyperlink xmlns:r="http://schemas.openxmlformats.org/officeDocument/2006/relationships" ref="M557" r:id="rId2030"/>
    <hyperlink xmlns:r="http://schemas.openxmlformats.org/officeDocument/2006/relationships" ref="N557" r:id="rId2031"/>
    <hyperlink xmlns:r="http://schemas.openxmlformats.org/officeDocument/2006/relationships" ref="P557" r:id="rId2032"/>
    <hyperlink xmlns:r="http://schemas.openxmlformats.org/officeDocument/2006/relationships" ref="M558" r:id="rId2033"/>
    <hyperlink xmlns:r="http://schemas.openxmlformats.org/officeDocument/2006/relationships" ref="N558" r:id="rId2034"/>
    <hyperlink xmlns:r="http://schemas.openxmlformats.org/officeDocument/2006/relationships" ref="O558" r:id="rId2035"/>
    <hyperlink xmlns:r="http://schemas.openxmlformats.org/officeDocument/2006/relationships" ref="P558" r:id="rId2036"/>
    <hyperlink xmlns:r="http://schemas.openxmlformats.org/officeDocument/2006/relationships" ref="M559" r:id="rId2037"/>
    <hyperlink xmlns:r="http://schemas.openxmlformats.org/officeDocument/2006/relationships" ref="N559" r:id="rId2038"/>
    <hyperlink xmlns:r="http://schemas.openxmlformats.org/officeDocument/2006/relationships" ref="P559" r:id="rId2039"/>
    <hyperlink xmlns:r="http://schemas.openxmlformats.org/officeDocument/2006/relationships" ref="M560" r:id="rId2040"/>
    <hyperlink xmlns:r="http://schemas.openxmlformats.org/officeDocument/2006/relationships" ref="N560" r:id="rId2041"/>
    <hyperlink xmlns:r="http://schemas.openxmlformats.org/officeDocument/2006/relationships" ref="O560" r:id="rId2042"/>
    <hyperlink xmlns:r="http://schemas.openxmlformats.org/officeDocument/2006/relationships" ref="P560" r:id="rId2043"/>
    <hyperlink xmlns:r="http://schemas.openxmlformats.org/officeDocument/2006/relationships" ref="M561" r:id="rId2044"/>
    <hyperlink xmlns:r="http://schemas.openxmlformats.org/officeDocument/2006/relationships" ref="N561" r:id="rId2045"/>
    <hyperlink xmlns:r="http://schemas.openxmlformats.org/officeDocument/2006/relationships" ref="O561" r:id="rId2046"/>
    <hyperlink xmlns:r="http://schemas.openxmlformats.org/officeDocument/2006/relationships" ref="P561" r:id="rId2047"/>
    <hyperlink xmlns:r="http://schemas.openxmlformats.org/officeDocument/2006/relationships" ref="M562" r:id="rId2048"/>
    <hyperlink xmlns:r="http://schemas.openxmlformats.org/officeDocument/2006/relationships" ref="N562" r:id="rId2049"/>
    <hyperlink xmlns:r="http://schemas.openxmlformats.org/officeDocument/2006/relationships" ref="P562" r:id="rId2050"/>
    <hyperlink xmlns:r="http://schemas.openxmlformats.org/officeDocument/2006/relationships" ref="M563" r:id="rId2051"/>
    <hyperlink xmlns:r="http://schemas.openxmlformats.org/officeDocument/2006/relationships" ref="N563" r:id="rId2052"/>
    <hyperlink xmlns:r="http://schemas.openxmlformats.org/officeDocument/2006/relationships" ref="P563" r:id="rId2053"/>
    <hyperlink xmlns:r="http://schemas.openxmlformats.org/officeDocument/2006/relationships" ref="M564" r:id="rId2054"/>
    <hyperlink xmlns:r="http://schemas.openxmlformats.org/officeDocument/2006/relationships" ref="N564" r:id="rId2055"/>
    <hyperlink xmlns:r="http://schemas.openxmlformats.org/officeDocument/2006/relationships" ref="P564" r:id="rId2056"/>
    <hyperlink xmlns:r="http://schemas.openxmlformats.org/officeDocument/2006/relationships" ref="M565" r:id="rId2057"/>
    <hyperlink xmlns:r="http://schemas.openxmlformats.org/officeDocument/2006/relationships" ref="N565" r:id="rId2058"/>
    <hyperlink xmlns:r="http://schemas.openxmlformats.org/officeDocument/2006/relationships" ref="P565" r:id="rId2059"/>
    <hyperlink xmlns:r="http://schemas.openxmlformats.org/officeDocument/2006/relationships" ref="M566" r:id="rId2060"/>
    <hyperlink xmlns:r="http://schemas.openxmlformats.org/officeDocument/2006/relationships" ref="N566" r:id="rId2061"/>
    <hyperlink xmlns:r="http://schemas.openxmlformats.org/officeDocument/2006/relationships" ref="O566" r:id="rId2062"/>
    <hyperlink xmlns:r="http://schemas.openxmlformats.org/officeDocument/2006/relationships" ref="P566" r:id="rId2063"/>
    <hyperlink xmlns:r="http://schemas.openxmlformats.org/officeDocument/2006/relationships" ref="M567" r:id="rId2064"/>
    <hyperlink xmlns:r="http://schemas.openxmlformats.org/officeDocument/2006/relationships" ref="N567" r:id="rId2065"/>
    <hyperlink xmlns:r="http://schemas.openxmlformats.org/officeDocument/2006/relationships" ref="O567" r:id="rId2066"/>
    <hyperlink xmlns:r="http://schemas.openxmlformats.org/officeDocument/2006/relationships" ref="P567" r:id="rId2067"/>
    <hyperlink xmlns:r="http://schemas.openxmlformats.org/officeDocument/2006/relationships" ref="M568" r:id="rId2068"/>
    <hyperlink xmlns:r="http://schemas.openxmlformats.org/officeDocument/2006/relationships" ref="N568" r:id="rId2069"/>
    <hyperlink xmlns:r="http://schemas.openxmlformats.org/officeDocument/2006/relationships" ref="O568" r:id="rId2070"/>
    <hyperlink xmlns:r="http://schemas.openxmlformats.org/officeDocument/2006/relationships" ref="P568" r:id="rId2071"/>
    <hyperlink xmlns:r="http://schemas.openxmlformats.org/officeDocument/2006/relationships" ref="M569" r:id="rId2072"/>
    <hyperlink xmlns:r="http://schemas.openxmlformats.org/officeDocument/2006/relationships" ref="N569" r:id="rId2073"/>
    <hyperlink xmlns:r="http://schemas.openxmlformats.org/officeDocument/2006/relationships" ref="O569" r:id="rId2074"/>
    <hyperlink xmlns:r="http://schemas.openxmlformats.org/officeDocument/2006/relationships" ref="P569" r:id="rId2075"/>
    <hyperlink xmlns:r="http://schemas.openxmlformats.org/officeDocument/2006/relationships" ref="M570" r:id="rId2076"/>
    <hyperlink xmlns:r="http://schemas.openxmlformats.org/officeDocument/2006/relationships" ref="N570" r:id="rId2077"/>
    <hyperlink xmlns:r="http://schemas.openxmlformats.org/officeDocument/2006/relationships" ref="O570" r:id="rId2078"/>
    <hyperlink xmlns:r="http://schemas.openxmlformats.org/officeDocument/2006/relationships" ref="P570" r:id="rId2079"/>
    <hyperlink xmlns:r="http://schemas.openxmlformats.org/officeDocument/2006/relationships" ref="M571" r:id="rId2080"/>
    <hyperlink xmlns:r="http://schemas.openxmlformats.org/officeDocument/2006/relationships" ref="N571" r:id="rId2081"/>
    <hyperlink xmlns:r="http://schemas.openxmlformats.org/officeDocument/2006/relationships" ref="O571" r:id="rId2082"/>
    <hyperlink xmlns:r="http://schemas.openxmlformats.org/officeDocument/2006/relationships" ref="P571" r:id="rId2083"/>
    <hyperlink xmlns:r="http://schemas.openxmlformats.org/officeDocument/2006/relationships" ref="M572" r:id="rId2084"/>
    <hyperlink xmlns:r="http://schemas.openxmlformats.org/officeDocument/2006/relationships" ref="N572" r:id="rId2085"/>
    <hyperlink xmlns:r="http://schemas.openxmlformats.org/officeDocument/2006/relationships" ref="O572" r:id="rId2086"/>
    <hyperlink xmlns:r="http://schemas.openxmlformats.org/officeDocument/2006/relationships" ref="P572" r:id="rId2087"/>
    <hyperlink xmlns:r="http://schemas.openxmlformats.org/officeDocument/2006/relationships" ref="M573" r:id="rId2088"/>
    <hyperlink xmlns:r="http://schemas.openxmlformats.org/officeDocument/2006/relationships" ref="P573" r:id="rId2089"/>
    <hyperlink xmlns:r="http://schemas.openxmlformats.org/officeDocument/2006/relationships" ref="M574" r:id="rId2090"/>
    <hyperlink xmlns:r="http://schemas.openxmlformats.org/officeDocument/2006/relationships" ref="N574" r:id="rId2091"/>
    <hyperlink xmlns:r="http://schemas.openxmlformats.org/officeDocument/2006/relationships" ref="O574" r:id="rId2092"/>
    <hyperlink xmlns:r="http://schemas.openxmlformats.org/officeDocument/2006/relationships" ref="P574" r:id="rId2093"/>
    <hyperlink xmlns:r="http://schemas.openxmlformats.org/officeDocument/2006/relationships" ref="M575" r:id="rId2094"/>
    <hyperlink xmlns:r="http://schemas.openxmlformats.org/officeDocument/2006/relationships" ref="N575" r:id="rId2095"/>
    <hyperlink xmlns:r="http://schemas.openxmlformats.org/officeDocument/2006/relationships" ref="P575" r:id="rId2096"/>
    <hyperlink xmlns:r="http://schemas.openxmlformats.org/officeDocument/2006/relationships" ref="M576" r:id="rId2097"/>
    <hyperlink xmlns:r="http://schemas.openxmlformats.org/officeDocument/2006/relationships" ref="N576" r:id="rId2098"/>
    <hyperlink xmlns:r="http://schemas.openxmlformats.org/officeDocument/2006/relationships" ref="P576" r:id="rId2099"/>
    <hyperlink xmlns:r="http://schemas.openxmlformats.org/officeDocument/2006/relationships" ref="M577" r:id="rId2100"/>
    <hyperlink xmlns:r="http://schemas.openxmlformats.org/officeDocument/2006/relationships" ref="N577" r:id="rId2101"/>
    <hyperlink xmlns:r="http://schemas.openxmlformats.org/officeDocument/2006/relationships" ref="O577" r:id="rId2102"/>
    <hyperlink xmlns:r="http://schemas.openxmlformats.org/officeDocument/2006/relationships" ref="P577" r:id="rId2103"/>
    <hyperlink xmlns:r="http://schemas.openxmlformats.org/officeDocument/2006/relationships" ref="M578" r:id="rId2104"/>
    <hyperlink xmlns:r="http://schemas.openxmlformats.org/officeDocument/2006/relationships" ref="N578" r:id="rId2105"/>
    <hyperlink xmlns:r="http://schemas.openxmlformats.org/officeDocument/2006/relationships" ref="O578" r:id="rId2106"/>
    <hyperlink xmlns:r="http://schemas.openxmlformats.org/officeDocument/2006/relationships" ref="P578" r:id="rId2107"/>
    <hyperlink xmlns:r="http://schemas.openxmlformats.org/officeDocument/2006/relationships" ref="M579" r:id="rId2108"/>
    <hyperlink xmlns:r="http://schemas.openxmlformats.org/officeDocument/2006/relationships" ref="N579" r:id="rId2109"/>
    <hyperlink xmlns:r="http://schemas.openxmlformats.org/officeDocument/2006/relationships" ref="O579" r:id="rId2110"/>
    <hyperlink xmlns:r="http://schemas.openxmlformats.org/officeDocument/2006/relationships" ref="P579" r:id="rId2111"/>
    <hyperlink xmlns:r="http://schemas.openxmlformats.org/officeDocument/2006/relationships" ref="M580" r:id="rId2112"/>
    <hyperlink xmlns:r="http://schemas.openxmlformats.org/officeDocument/2006/relationships" ref="N580" r:id="rId2113"/>
    <hyperlink xmlns:r="http://schemas.openxmlformats.org/officeDocument/2006/relationships" ref="O580" r:id="rId2114"/>
    <hyperlink xmlns:r="http://schemas.openxmlformats.org/officeDocument/2006/relationships" ref="P580" r:id="rId2115"/>
    <hyperlink xmlns:r="http://schemas.openxmlformats.org/officeDocument/2006/relationships" ref="M581" r:id="rId2116"/>
    <hyperlink xmlns:r="http://schemas.openxmlformats.org/officeDocument/2006/relationships" ref="N581" r:id="rId2117"/>
    <hyperlink xmlns:r="http://schemas.openxmlformats.org/officeDocument/2006/relationships" ref="O581" r:id="rId2118"/>
    <hyperlink xmlns:r="http://schemas.openxmlformats.org/officeDocument/2006/relationships" ref="P581" r:id="rId2119"/>
    <hyperlink xmlns:r="http://schemas.openxmlformats.org/officeDocument/2006/relationships" ref="M582" r:id="rId2120"/>
    <hyperlink xmlns:r="http://schemas.openxmlformats.org/officeDocument/2006/relationships" ref="N582" r:id="rId2121"/>
    <hyperlink xmlns:r="http://schemas.openxmlformats.org/officeDocument/2006/relationships" ref="P582" r:id="rId2122"/>
    <hyperlink xmlns:r="http://schemas.openxmlformats.org/officeDocument/2006/relationships" ref="M583" r:id="rId2123"/>
    <hyperlink xmlns:r="http://schemas.openxmlformats.org/officeDocument/2006/relationships" ref="N583" r:id="rId2124"/>
    <hyperlink xmlns:r="http://schemas.openxmlformats.org/officeDocument/2006/relationships" ref="O583" r:id="rId2125"/>
    <hyperlink xmlns:r="http://schemas.openxmlformats.org/officeDocument/2006/relationships" ref="P583" r:id="rId2126"/>
    <hyperlink xmlns:r="http://schemas.openxmlformats.org/officeDocument/2006/relationships" ref="M584" r:id="rId2127"/>
    <hyperlink xmlns:r="http://schemas.openxmlformats.org/officeDocument/2006/relationships" ref="N584" r:id="rId2128"/>
    <hyperlink xmlns:r="http://schemas.openxmlformats.org/officeDocument/2006/relationships" ref="O584" r:id="rId2129"/>
    <hyperlink xmlns:r="http://schemas.openxmlformats.org/officeDocument/2006/relationships" ref="P584" r:id="rId2130"/>
    <hyperlink xmlns:r="http://schemas.openxmlformats.org/officeDocument/2006/relationships" ref="M585" r:id="rId2131"/>
    <hyperlink xmlns:r="http://schemas.openxmlformats.org/officeDocument/2006/relationships" ref="N585" r:id="rId2132"/>
    <hyperlink xmlns:r="http://schemas.openxmlformats.org/officeDocument/2006/relationships" ref="O585" r:id="rId2133"/>
    <hyperlink xmlns:r="http://schemas.openxmlformats.org/officeDocument/2006/relationships" ref="P585" r:id="rId2134"/>
    <hyperlink xmlns:r="http://schemas.openxmlformats.org/officeDocument/2006/relationships" ref="M586" r:id="rId2135"/>
    <hyperlink xmlns:r="http://schemas.openxmlformats.org/officeDocument/2006/relationships" ref="N586" r:id="rId2136"/>
    <hyperlink xmlns:r="http://schemas.openxmlformats.org/officeDocument/2006/relationships" ref="O586" r:id="rId2137"/>
    <hyperlink xmlns:r="http://schemas.openxmlformats.org/officeDocument/2006/relationships" ref="P586" r:id="rId2138"/>
    <hyperlink xmlns:r="http://schemas.openxmlformats.org/officeDocument/2006/relationships" ref="M587" r:id="rId2139"/>
    <hyperlink xmlns:r="http://schemas.openxmlformats.org/officeDocument/2006/relationships" ref="N587" r:id="rId2140"/>
    <hyperlink xmlns:r="http://schemas.openxmlformats.org/officeDocument/2006/relationships" ref="O587" r:id="rId2141"/>
    <hyperlink xmlns:r="http://schemas.openxmlformats.org/officeDocument/2006/relationships" ref="P587" r:id="rId2142"/>
    <hyperlink xmlns:r="http://schemas.openxmlformats.org/officeDocument/2006/relationships" ref="M588" r:id="rId2143"/>
    <hyperlink xmlns:r="http://schemas.openxmlformats.org/officeDocument/2006/relationships" ref="N588" r:id="rId2144"/>
    <hyperlink xmlns:r="http://schemas.openxmlformats.org/officeDocument/2006/relationships" ref="O588" r:id="rId2145"/>
    <hyperlink xmlns:r="http://schemas.openxmlformats.org/officeDocument/2006/relationships" ref="P588" r:id="rId2146"/>
    <hyperlink xmlns:r="http://schemas.openxmlformats.org/officeDocument/2006/relationships" ref="M589" r:id="rId2147"/>
    <hyperlink xmlns:r="http://schemas.openxmlformats.org/officeDocument/2006/relationships" ref="N589" r:id="rId2148"/>
    <hyperlink xmlns:r="http://schemas.openxmlformats.org/officeDocument/2006/relationships" ref="O589" r:id="rId2149"/>
    <hyperlink xmlns:r="http://schemas.openxmlformats.org/officeDocument/2006/relationships" ref="P589" r:id="rId2150"/>
    <hyperlink xmlns:r="http://schemas.openxmlformats.org/officeDocument/2006/relationships" ref="M590" r:id="rId2151"/>
    <hyperlink xmlns:r="http://schemas.openxmlformats.org/officeDocument/2006/relationships" ref="N590" r:id="rId2152"/>
    <hyperlink xmlns:r="http://schemas.openxmlformats.org/officeDocument/2006/relationships" ref="O590" r:id="rId2153"/>
    <hyperlink xmlns:r="http://schemas.openxmlformats.org/officeDocument/2006/relationships" ref="P590" r:id="rId2154"/>
    <hyperlink xmlns:r="http://schemas.openxmlformats.org/officeDocument/2006/relationships" ref="M591" r:id="rId2155"/>
    <hyperlink xmlns:r="http://schemas.openxmlformats.org/officeDocument/2006/relationships" ref="N591" r:id="rId2156"/>
    <hyperlink xmlns:r="http://schemas.openxmlformats.org/officeDocument/2006/relationships" ref="O591" r:id="rId2157"/>
    <hyperlink xmlns:r="http://schemas.openxmlformats.org/officeDocument/2006/relationships" ref="P591" r:id="rId2158"/>
    <hyperlink xmlns:r="http://schemas.openxmlformats.org/officeDocument/2006/relationships" ref="M592" r:id="rId2159"/>
    <hyperlink xmlns:r="http://schemas.openxmlformats.org/officeDocument/2006/relationships" ref="N592" r:id="rId2160"/>
    <hyperlink xmlns:r="http://schemas.openxmlformats.org/officeDocument/2006/relationships" ref="O592" r:id="rId2161"/>
    <hyperlink xmlns:r="http://schemas.openxmlformats.org/officeDocument/2006/relationships" ref="P592" r:id="rId2162"/>
    <hyperlink xmlns:r="http://schemas.openxmlformats.org/officeDocument/2006/relationships" ref="M593" r:id="rId2163"/>
    <hyperlink xmlns:r="http://schemas.openxmlformats.org/officeDocument/2006/relationships" ref="N593" r:id="rId2164"/>
    <hyperlink xmlns:r="http://schemas.openxmlformats.org/officeDocument/2006/relationships" ref="O593" r:id="rId2165"/>
    <hyperlink xmlns:r="http://schemas.openxmlformats.org/officeDocument/2006/relationships" ref="P593" r:id="rId2166"/>
    <hyperlink xmlns:r="http://schemas.openxmlformats.org/officeDocument/2006/relationships" ref="M594" r:id="rId2167"/>
    <hyperlink xmlns:r="http://schemas.openxmlformats.org/officeDocument/2006/relationships" ref="N594" r:id="rId2168"/>
    <hyperlink xmlns:r="http://schemas.openxmlformats.org/officeDocument/2006/relationships" ref="O594" r:id="rId2169"/>
    <hyperlink xmlns:r="http://schemas.openxmlformats.org/officeDocument/2006/relationships" ref="P594" r:id="rId2170"/>
    <hyperlink xmlns:r="http://schemas.openxmlformats.org/officeDocument/2006/relationships" ref="M595" r:id="rId2171"/>
    <hyperlink xmlns:r="http://schemas.openxmlformats.org/officeDocument/2006/relationships" ref="N595" r:id="rId2172"/>
    <hyperlink xmlns:r="http://schemas.openxmlformats.org/officeDocument/2006/relationships" ref="P595" r:id="rId2173"/>
    <hyperlink xmlns:r="http://schemas.openxmlformats.org/officeDocument/2006/relationships" ref="M596" r:id="rId2174"/>
    <hyperlink xmlns:r="http://schemas.openxmlformats.org/officeDocument/2006/relationships" ref="N596" r:id="rId2175"/>
    <hyperlink xmlns:r="http://schemas.openxmlformats.org/officeDocument/2006/relationships" ref="O596" r:id="rId2176"/>
    <hyperlink xmlns:r="http://schemas.openxmlformats.org/officeDocument/2006/relationships" ref="P596" r:id="rId2177"/>
    <hyperlink xmlns:r="http://schemas.openxmlformats.org/officeDocument/2006/relationships" ref="M597" r:id="rId2178"/>
    <hyperlink xmlns:r="http://schemas.openxmlformats.org/officeDocument/2006/relationships" ref="N597" r:id="rId2179"/>
    <hyperlink xmlns:r="http://schemas.openxmlformats.org/officeDocument/2006/relationships" ref="O597" r:id="rId2180"/>
    <hyperlink xmlns:r="http://schemas.openxmlformats.org/officeDocument/2006/relationships" ref="P597" r:id="rId2181"/>
    <hyperlink xmlns:r="http://schemas.openxmlformats.org/officeDocument/2006/relationships" ref="M598" r:id="rId2182"/>
    <hyperlink xmlns:r="http://schemas.openxmlformats.org/officeDocument/2006/relationships" ref="N598" r:id="rId2183"/>
    <hyperlink xmlns:r="http://schemas.openxmlformats.org/officeDocument/2006/relationships" ref="O598" r:id="rId2184"/>
    <hyperlink xmlns:r="http://schemas.openxmlformats.org/officeDocument/2006/relationships" ref="P598" r:id="rId2185"/>
    <hyperlink xmlns:r="http://schemas.openxmlformats.org/officeDocument/2006/relationships" ref="M599" r:id="rId2186"/>
    <hyperlink xmlns:r="http://schemas.openxmlformats.org/officeDocument/2006/relationships" ref="N599" r:id="rId2187"/>
    <hyperlink xmlns:r="http://schemas.openxmlformats.org/officeDocument/2006/relationships" ref="P599" r:id="rId2188"/>
    <hyperlink xmlns:r="http://schemas.openxmlformats.org/officeDocument/2006/relationships" ref="M600" r:id="rId2189"/>
    <hyperlink xmlns:r="http://schemas.openxmlformats.org/officeDocument/2006/relationships" ref="N600" r:id="rId2190"/>
    <hyperlink xmlns:r="http://schemas.openxmlformats.org/officeDocument/2006/relationships" ref="O600" r:id="rId2191"/>
    <hyperlink xmlns:r="http://schemas.openxmlformats.org/officeDocument/2006/relationships" ref="P600" r:id="rId2192"/>
    <hyperlink xmlns:r="http://schemas.openxmlformats.org/officeDocument/2006/relationships" ref="M601" r:id="rId2193"/>
    <hyperlink xmlns:r="http://schemas.openxmlformats.org/officeDocument/2006/relationships" ref="N601" r:id="rId2194"/>
    <hyperlink xmlns:r="http://schemas.openxmlformats.org/officeDocument/2006/relationships" ref="O601" r:id="rId2195"/>
    <hyperlink xmlns:r="http://schemas.openxmlformats.org/officeDocument/2006/relationships" ref="P601" r:id="rId2196"/>
    <hyperlink xmlns:r="http://schemas.openxmlformats.org/officeDocument/2006/relationships" ref="M602" r:id="rId2197"/>
    <hyperlink xmlns:r="http://schemas.openxmlformats.org/officeDocument/2006/relationships" ref="N602" r:id="rId2198"/>
    <hyperlink xmlns:r="http://schemas.openxmlformats.org/officeDocument/2006/relationships" ref="O602" r:id="rId2199"/>
    <hyperlink xmlns:r="http://schemas.openxmlformats.org/officeDocument/2006/relationships" ref="P602" r:id="rId2200"/>
    <hyperlink xmlns:r="http://schemas.openxmlformats.org/officeDocument/2006/relationships" ref="M603" r:id="rId2201"/>
    <hyperlink xmlns:r="http://schemas.openxmlformats.org/officeDocument/2006/relationships" ref="N603" r:id="rId2202"/>
    <hyperlink xmlns:r="http://schemas.openxmlformats.org/officeDocument/2006/relationships" ref="O603" r:id="rId2203"/>
    <hyperlink xmlns:r="http://schemas.openxmlformats.org/officeDocument/2006/relationships" ref="P603" r:id="rId2204"/>
    <hyperlink xmlns:r="http://schemas.openxmlformats.org/officeDocument/2006/relationships" ref="M604" r:id="rId2205"/>
    <hyperlink xmlns:r="http://schemas.openxmlformats.org/officeDocument/2006/relationships" ref="N604" r:id="rId2206"/>
    <hyperlink xmlns:r="http://schemas.openxmlformats.org/officeDocument/2006/relationships" ref="O604" r:id="rId2207"/>
    <hyperlink xmlns:r="http://schemas.openxmlformats.org/officeDocument/2006/relationships" ref="P604" r:id="rId2208"/>
    <hyperlink xmlns:r="http://schemas.openxmlformats.org/officeDocument/2006/relationships" ref="M605" r:id="rId2209"/>
    <hyperlink xmlns:r="http://schemas.openxmlformats.org/officeDocument/2006/relationships" ref="N605" r:id="rId2210"/>
    <hyperlink xmlns:r="http://schemas.openxmlformats.org/officeDocument/2006/relationships" ref="O605" r:id="rId2211"/>
    <hyperlink xmlns:r="http://schemas.openxmlformats.org/officeDocument/2006/relationships" ref="P605" r:id="rId2212"/>
    <hyperlink xmlns:r="http://schemas.openxmlformats.org/officeDocument/2006/relationships" ref="M606" r:id="rId2213"/>
    <hyperlink xmlns:r="http://schemas.openxmlformats.org/officeDocument/2006/relationships" ref="N606" r:id="rId2214"/>
    <hyperlink xmlns:r="http://schemas.openxmlformats.org/officeDocument/2006/relationships" ref="O606" r:id="rId2215"/>
    <hyperlink xmlns:r="http://schemas.openxmlformats.org/officeDocument/2006/relationships" ref="P606" r:id="rId2216"/>
    <hyperlink xmlns:r="http://schemas.openxmlformats.org/officeDocument/2006/relationships" ref="M607" r:id="rId2217"/>
    <hyperlink xmlns:r="http://schemas.openxmlformats.org/officeDocument/2006/relationships" ref="N607" r:id="rId2218"/>
    <hyperlink xmlns:r="http://schemas.openxmlformats.org/officeDocument/2006/relationships" ref="O607" r:id="rId2219"/>
    <hyperlink xmlns:r="http://schemas.openxmlformats.org/officeDocument/2006/relationships" ref="P607" r:id="rId2220"/>
    <hyperlink xmlns:r="http://schemas.openxmlformats.org/officeDocument/2006/relationships" ref="M608" r:id="rId2221"/>
    <hyperlink xmlns:r="http://schemas.openxmlformats.org/officeDocument/2006/relationships" ref="N608" r:id="rId2222"/>
    <hyperlink xmlns:r="http://schemas.openxmlformats.org/officeDocument/2006/relationships" ref="O608" r:id="rId2223"/>
    <hyperlink xmlns:r="http://schemas.openxmlformats.org/officeDocument/2006/relationships" ref="P608" r:id="rId2224"/>
    <hyperlink xmlns:r="http://schemas.openxmlformats.org/officeDocument/2006/relationships" ref="M609" r:id="rId2225"/>
    <hyperlink xmlns:r="http://schemas.openxmlformats.org/officeDocument/2006/relationships" ref="N609" r:id="rId2226"/>
    <hyperlink xmlns:r="http://schemas.openxmlformats.org/officeDocument/2006/relationships" ref="P609" r:id="rId2227"/>
    <hyperlink xmlns:r="http://schemas.openxmlformats.org/officeDocument/2006/relationships" ref="M610" r:id="rId2228"/>
    <hyperlink xmlns:r="http://schemas.openxmlformats.org/officeDocument/2006/relationships" ref="N610" r:id="rId2229"/>
    <hyperlink xmlns:r="http://schemas.openxmlformats.org/officeDocument/2006/relationships" ref="O610" r:id="rId2230"/>
    <hyperlink xmlns:r="http://schemas.openxmlformats.org/officeDocument/2006/relationships" ref="P610" r:id="rId2231"/>
    <hyperlink xmlns:r="http://schemas.openxmlformats.org/officeDocument/2006/relationships" ref="M611" r:id="rId2232"/>
    <hyperlink xmlns:r="http://schemas.openxmlformats.org/officeDocument/2006/relationships" ref="N611" r:id="rId2233"/>
    <hyperlink xmlns:r="http://schemas.openxmlformats.org/officeDocument/2006/relationships" ref="O611" r:id="rId2234"/>
    <hyperlink xmlns:r="http://schemas.openxmlformats.org/officeDocument/2006/relationships" ref="P611" r:id="rId2235"/>
    <hyperlink xmlns:r="http://schemas.openxmlformats.org/officeDocument/2006/relationships" ref="M612" r:id="rId2236"/>
    <hyperlink xmlns:r="http://schemas.openxmlformats.org/officeDocument/2006/relationships" ref="N612" r:id="rId2237"/>
    <hyperlink xmlns:r="http://schemas.openxmlformats.org/officeDocument/2006/relationships" ref="O612" r:id="rId2238"/>
    <hyperlink xmlns:r="http://schemas.openxmlformats.org/officeDocument/2006/relationships" ref="P612" r:id="rId2239"/>
    <hyperlink xmlns:r="http://schemas.openxmlformats.org/officeDocument/2006/relationships" ref="M613" r:id="rId2240"/>
    <hyperlink xmlns:r="http://schemas.openxmlformats.org/officeDocument/2006/relationships" ref="N613" r:id="rId2241"/>
    <hyperlink xmlns:r="http://schemas.openxmlformats.org/officeDocument/2006/relationships" ref="O613" r:id="rId2242"/>
    <hyperlink xmlns:r="http://schemas.openxmlformats.org/officeDocument/2006/relationships" ref="P613" r:id="rId2243"/>
    <hyperlink xmlns:r="http://schemas.openxmlformats.org/officeDocument/2006/relationships" ref="M614" r:id="rId2244"/>
    <hyperlink xmlns:r="http://schemas.openxmlformats.org/officeDocument/2006/relationships" ref="N614" r:id="rId2245"/>
    <hyperlink xmlns:r="http://schemas.openxmlformats.org/officeDocument/2006/relationships" ref="O614" r:id="rId2246"/>
    <hyperlink xmlns:r="http://schemas.openxmlformats.org/officeDocument/2006/relationships" ref="P614" r:id="rId2247"/>
    <hyperlink xmlns:r="http://schemas.openxmlformats.org/officeDocument/2006/relationships" ref="M615" r:id="rId2248"/>
    <hyperlink xmlns:r="http://schemas.openxmlformats.org/officeDocument/2006/relationships" ref="N615" r:id="rId2249"/>
    <hyperlink xmlns:r="http://schemas.openxmlformats.org/officeDocument/2006/relationships" ref="O615" r:id="rId2250"/>
    <hyperlink xmlns:r="http://schemas.openxmlformats.org/officeDocument/2006/relationships" ref="P615" r:id="rId2251"/>
    <hyperlink xmlns:r="http://schemas.openxmlformats.org/officeDocument/2006/relationships" ref="M616" r:id="rId2252"/>
    <hyperlink xmlns:r="http://schemas.openxmlformats.org/officeDocument/2006/relationships" ref="N616" r:id="rId2253"/>
    <hyperlink xmlns:r="http://schemas.openxmlformats.org/officeDocument/2006/relationships" ref="O616" r:id="rId2254"/>
    <hyperlink xmlns:r="http://schemas.openxmlformats.org/officeDocument/2006/relationships" ref="P616" r:id="rId2255"/>
    <hyperlink xmlns:r="http://schemas.openxmlformats.org/officeDocument/2006/relationships" ref="M617" r:id="rId2256"/>
    <hyperlink xmlns:r="http://schemas.openxmlformats.org/officeDocument/2006/relationships" ref="N617" r:id="rId2257"/>
    <hyperlink xmlns:r="http://schemas.openxmlformats.org/officeDocument/2006/relationships" ref="P617" r:id="rId2258"/>
    <hyperlink xmlns:r="http://schemas.openxmlformats.org/officeDocument/2006/relationships" ref="M618" r:id="rId2259"/>
    <hyperlink xmlns:r="http://schemas.openxmlformats.org/officeDocument/2006/relationships" ref="N618" r:id="rId2260"/>
    <hyperlink xmlns:r="http://schemas.openxmlformats.org/officeDocument/2006/relationships" ref="O618" r:id="rId2261"/>
    <hyperlink xmlns:r="http://schemas.openxmlformats.org/officeDocument/2006/relationships" ref="P618" r:id="rId2262"/>
    <hyperlink xmlns:r="http://schemas.openxmlformats.org/officeDocument/2006/relationships" ref="M619" r:id="rId2263"/>
    <hyperlink xmlns:r="http://schemas.openxmlformats.org/officeDocument/2006/relationships" ref="N619" r:id="rId2264"/>
    <hyperlink xmlns:r="http://schemas.openxmlformats.org/officeDocument/2006/relationships" ref="O619" r:id="rId2265"/>
    <hyperlink xmlns:r="http://schemas.openxmlformats.org/officeDocument/2006/relationships" ref="P619" r:id="rId2266"/>
    <hyperlink xmlns:r="http://schemas.openxmlformats.org/officeDocument/2006/relationships" ref="M620" r:id="rId2267"/>
    <hyperlink xmlns:r="http://schemas.openxmlformats.org/officeDocument/2006/relationships" ref="N620" r:id="rId2268"/>
    <hyperlink xmlns:r="http://schemas.openxmlformats.org/officeDocument/2006/relationships" ref="P620" r:id="rId2269"/>
    <hyperlink xmlns:r="http://schemas.openxmlformats.org/officeDocument/2006/relationships" ref="M621" r:id="rId2270"/>
    <hyperlink xmlns:r="http://schemas.openxmlformats.org/officeDocument/2006/relationships" ref="N621" r:id="rId2271"/>
    <hyperlink xmlns:r="http://schemas.openxmlformats.org/officeDocument/2006/relationships" ref="O621" r:id="rId2272"/>
    <hyperlink xmlns:r="http://schemas.openxmlformats.org/officeDocument/2006/relationships" ref="P621" r:id="rId2273"/>
    <hyperlink xmlns:r="http://schemas.openxmlformats.org/officeDocument/2006/relationships" ref="M622" r:id="rId2274"/>
    <hyperlink xmlns:r="http://schemas.openxmlformats.org/officeDocument/2006/relationships" ref="N622" r:id="rId2275"/>
    <hyperlink xmlns:r="http://schemas.openxmlformats.org/officeDocument/2006/relationships" ref="O622" r:id="rId2276"/>
    <hyperlink xmlns:r="http://schemas.openxmlformats.org/officeDocument/2006/relationships" ref="P622" r:id="rId2277"/>
    <hyperlink xmlns:r="http://schemas.openxmlformats.org/officeDocument/2006/relationships" ref="M623" r:id="rId2278"/>
    <hyperlink xmlns:r="http://schemas.openxmlformats.org/officeDocument/2006/relationships" ref="N623" r:id="rId2279"/>
    <hyperlink xmlns:r="http://schemas.openxmlformats.org/officeDocument/2006/relationships" ref="O623" r:id="rId2280"/>
    <hyperlink xmlns:r="http://schemas.openxmlformats.org/officeDocument/2006/relationships" ref="P623" r:id="rId2281"/>
    <hyperlink xmlns:r="http://schemas.openxmlformats.org/officeDocument/2006/relationships" ref="M624" r:id="rId2282"/>
    <hyperlink xmlns:r="http://schemas.openxmlformats.org/officeDocument/2006/relationships" ref="N624" r:id="rId2283"/>
    <hyperlink xmlns:r="http://schemas.openxmlformats.org/officeDocument/2006/relationships" ref="O624" r:id="rId2284"/>
    <hyperlink xmlns:r="http://schemas.openxmlformats.org/officeDocument/2006/relationships" ref="P624" r:id="rId2285"/>
    <hyperlink xmlns:r="http://schemas.openxmlformats.org/officeDocument/2006/relationships" ref="M625" r:id="rId2286"/>
    <hyperlink xmlns:r="http://schemas.openxmlformats.org/officeDocument/2006/relationships" ref="N625" r:id="rId2287"/>
    <hyperlink xmlns:r="http://schemas.openxmlformats.org/officeDocument/2006/relationships" ref="P625" r:id="rId2288"/>
    <hyperlink xmlns:r="http://schemas.openxmlformats.org/officeDocument/2006/relationships" ref="M626" r:id="rId2289"/>
    <hyperlink xmlns:r="http://schemas.openxmlformats.org/officeDocument/2006/relationships" ref="N626" r:id="rId2290"/>
    <hyperlink xmlns:r="http://schemas.openxmlformats.org/officeDocument/2006/relationships" ref="P626" r:id="rId2291"/>
    <hyperlink xmlns:r="http://schemas.openxmlformats.org/officeDocument/2006/relationships" ref="M627" r:id="rId2292"/>
    <hyperlink xmlns:r="http://schemas.openxmlformats.org/officeDocument/2006/relationships" ref="N627" r:id="rId2293"/>
    <hyperlink xmlns:r="http://schemas.openxmlformats.org/officeDocument/2006/relationships" ref="O627" r:id="rId2294"/>
    <hyperlink xmlns:r="http://schemas.openxmlformats.org/officeDocument/2006/relationships" ref="P627" r:id="rId2295"/>
    <hyperlink xmlns:r="http://schemas.openxmlformats.org/officeDocument/2006/relationships" ref="M628" r:id="rId2296"/>
    <hyperlink xmlns:r="http://schemas.openxmlformats.org/officeDocument/2006/relationships" ref="N628" r:id="rId2297"/>
    <hyperlink xmlns:r="http://schemas.openxmlformats.org/officeDocument/2006/relationships" ref="O628" r:id="rId2298"/>
    <hyperlink xmlns:r="http://schemas.openxmlformats.org/officeDocument/2006/relationships" ref="P628" r:id="rId2299"/>
    <hyperlink xmlns:r="http://schemas.openxmlformats.org/officeDocument/2006/relationships" ref="M629" r:id="rId2300"/>
    <hyperlink xmlns:r="http://schemas.openxmlformats.org/officeDocument/2006/relationships" ref="N629" r:id="rId2301"/>
    <hyperlink xmlns:r="http://schemas.openxmlformats.org/officeDocument/2006/relationships" ref="O629" r:id="rId2302"/>
    <hyperlink xmlns:r="http://schemas.openxmlformats.org/officeDocument/2006/relationships" ref="P629" r:id="rId2303"/>
    <hyperlink xmlns:r="http://schemas.openxmlformats.org/officeDocument/2006/relationships" ref="M630" r:id="rId2304"/>
    <hyperlink xmlns:r="http://schemas.openxmlformats.org/officeDocument/2006/relationships" ref="N630" r:id="rId2305"/>
    <hyperlink xmlns:r="http://schemas.openxmlformats.org/officeDocument/2006/relationships" ref="O630" r:id="rId2306"/>
    <hyperlink xmlns:r="http://schemas.openxmlformats.org/officeDocument/2006/relationships" ref="P630" r:id="rId2307"/>
    <hyperlink xmlns:r="http://schemas.openxmlformats.org/officeDocument/2006/relationships" ref="M631" r:id="rId2308"/>
    <hyperlink xmlns:r="http://schemas.openxmlformats.org/officeDocument/2006/relationships" ref="N631" r:id="rId2309"/>
    <hyperlink xmlns:r="http://schemas.openxmlformats.org/officeDocument/2006/relationships" ref="O631" r:id="rId2310"/>
    <hyperlink xmlns:r="http://schemas.openxmlformats.org/officeDocument/2006/relationships" ref="P631" r:id="rId2311"/>
    <hyperlink xmlns:r="http://schemas.openxmlformats.org/officeDocument/2006/relationships" ref="M632" r:id="rId2312"/>
    <hyperlink xmlns:r="http://schemas.openxmlformats.org/officeDocument/2006/relationships" ref="N632" r:id="rId2313"/>
    <hyperlink xmlns:r="http://schemas.openxmlformats.org/officeDocument/2006/relationships" ref="O632" r:id="rId2314"/>
    <hyperlink xmlns:r="http://schemas.openxmlformats.org/officeDocument/2006/relationships" ref="P632" r:id="rId2315"/>
    <hyperlink xmlns:r="http://schemas.openxmlformats.org/officeDocument/2006/relationships" ref="M633" r:id="rId2316"/>
    <hyperlink xmlns:r="http://schemas.openxmlformats.org/officeDocument/2006/relationships" ref="N633" r:id="rId2317"/>
    <hyperlink xmlns:r="http://schemas.openxmlformats.org/officeDocument/2006/relationships" ref="O633" r:id="rId2318"/>
    <hyperlink xmlns:r="http://schemas.openxmlformats.org/officeDocument/2006/relationships" ref="P633" r:id="rId2319"/>
    <hyperlink xmlns:r="http://schemas.openxmlformats.org/officeDocument/2006/relationships" ref="M634" r:id="rId2320"/>
    <hyperlink xmlns:r="http://schemas.openxmlformats.org/officeDocument/2006/relationships" ref="N634" r:id="rId2321"/>
    <hyperlink xmlns:r="http://schemas.openxmlformats.org/officeDocument/2006/relationships" ref="O634" r:id="rId2322"/>
    <hyperlink xmlns:r="http://schemas.openxmlformats.org/officeDocument/2006/relationships" ref="P634" r:id="rId2323"/>
    <hyperlink xmlns:r="http://schemas.openxmlformats.org/officeDocument/2006/relationships" ref="M635" r:id="rId2324"/>
    <hyperlink xmlns:r="http://schemas.openxmlformats.org/officeDocument/2006/relationships" ref="N635" r:id="rId2325"/>
    <hyperlink xmlns:r="http://schemas.openxmlformats.org/officeDocument/2006/relationships" ref="O635" r:id="rId2326"/>
    <hyperlink xmlns:r="http://schemas.openxmlformats.org/officeDocument/2006/relationships" ref="P635" r:id="rId2327"/>
    <hyperlink xmlns:r="http://schemas.openxmlformats.org/officeDocument/2006/relationships" ref="M636" r:id="rId2328"/>
    <hyperlink xmlns:r="http://schemas.openxmlformats.org/officeDocument/2006/relationships" ref="N636" r:id="rId2329"/>
    <hyperlink xmlns:r="http://schemas.openxmlformats.org/officeDocument/2006/relationships" ref="P636" r:id="rId2330"/>
    <hyperlink xmlns:r="http://schemas.openxmlformats.org/officeDocument/2006/relationships" ref="M637" r:id="rId2331"/>
    <hyperlink xmlns:r="http://schemas.openxmlformats.org/officeDocument/2006/relationships" ref="N637" r:id="rId2332"/>
    <hyperlink xmlns:r="http://schemas.openxmlformats.org/officeDocument/2006/relationships" ref="O637" r:id="rId2333"/>
    <hyperlink xmlns:r="http://schemas.openxmlformats.org/officeDocument/2006/relationships" ref="P637" r:id="rId2334"/>
    <hyperlink xmlns:r="http://schemas.openxmlformats.org/officeDocument/2006/relationships" ref="M638" r:id="rId2335"/>
    <hyperlink xmlns:r="http://schemas.openxmlformats.org/officeDocument/2006/relationships" ref="N638" r:id="rId2336"/>
    <hyperlink xmlns:r="http://schemas.openxmlformats.org/officeDocument/2006/relationships" ref="O638" r:id="rId2337"/>
    <hyperlink xmlns:r="http://schemas.openxmlformats.org/officeDocument/2006/relationships" ref="P638" r:id="rId2338"/>
    <hyperlink xmlns:r="http://schemas.openxmlformats.org/officeDocument/2006/relationships" ref="M639" r:id="rId2339"/>
    <hyperlink xmlns:r="http://schemas.openxmlformats.org/officeDocument/2006/relationships" ref="N639" r:id="rId2340"/>
    <hyperlink xmlns:r="http://schemas.openxmlformats.org/officeDocument/2006/relationships" ref="O639" r:id="rId2341"/>
    <hyperlink xmlns:r="http://schemas.openxmlformats.org/officeDocument/2006/relationships" ref="P639" r:id="rId2342"/>
    <hyperlink xmlns:r="http://schemas.openxmlformats.org/officeDocument/2006/relationships" ref="M640" r:id="rId2343"/>
    <hyperlink xmlns:r="http://schemas.openxmlformats.org/officeDocument/2006/relationships" ref="N640" r:id="rId2344"/>
    <hyperlink xmlns:r="http://schemas.openxmlformats.org/officeDocument/2006/relationships" ref="P640" r:id="rId2345"/>
    <hyperlink xmlns:r="http://schemas.openxmlformats.org/officeDocument/2006/relationships" ref="M641" r:id="rId2346"/>
    <hyperlink xmlns:r="http://schemas.openxmlformats.org/officeDocument/2006/relationships" ref="N641" r:id="rId2347"/>
    <hyperlink xmlns:r="http://schemas.openxmlformats.org/officeDocument/2006/relationships" ref="O641" r:id="rId2348"/>
    <hyperlink xmlns:r="http://schemas.openxmlformats.org/officeDocument/2006/relationships" ref="P641" r:id="rId2349"/>
    <hyperlink xmlns:r="http://schemas.openxmlformats.org/officeDocument/2006/relationships" ref="M642" r:id="rId2350"/>
    <hyperlink xmlns:r="http://schemas.openxmlformats.org/officeDocument/2006/relationships" ref="N642" r:id="rId2351"/>
    <hyperlink xmlns:r="http://schemas.openxmlformats.org/officeDocument/2006/relationships" ref="O642" r:id="rId2352"/>
    <hyperlink xmlns:r="http://schemas.openxmlformats.org/officeDocument/2006/relationships" ref="P642" r:id="rId2353"/>
    <hyperlink xmlns:r="http://schemas.openxmlformats.org/officeDocument/2006/relationships" ref="M643" r:id="rId2354"/>
    <hyperlink xmlns:r="http://schemas.openxmlformats.org/officeDocument/2006/relationships" ref="N643" r:id="rId2355"/>
    <hyperlink xmlns:r="http://schemas.openxmlformats.org/officeDocument/2006/relationships" ref="O643" r:id="rId2356"/>
    <hyperlink xmlns:r="http://schemas.openxmlformats.org/officeDocument/2006/relationships" ref="P643" r:id="rId2357"/>
    <hyperlink xmlns:r="http://schemas.openxmlformats.org/officeDocument/2006/relationships" ref="M644" r:id="rId2358"/>
    <hyperlink xmlns:r="http://schemas.openxmlformats.org/officeDocument/2006/relationships" ref="N644" r:id="rId2359"/>
    <hyperlink xmlns:r="http://schemas.openxmlformats.org/officeDocument/2006/relationships" ref="O644" r:id="rId2360"/>
    <hyperlink xmlns:r="http://schemas.openxmlformats.org/officeDocument/2006/relationships" ref="P644" r:id="rId2361"/>
    <hyperlink xmlns:r="http://schemas.openxmlformats.org/officeDocument/2006/relationships" ref="M645" r:id="rId2362"/>
    <hyperlink xmlns:r="http://schemas.openxmlformats.org/officeDocument/2006/relationships" ref="N645" r:id="rId2363"/>
    <hyperlink xmlns:r="http://schemas.openxmlformats.org/officeDocument/2006/relationships" ref="O645" r:id="rId2364"/>
    <hyperlink xmlns:r="http://schemas.openxmlformats.org/officeDocument/2006/relationships" ref="P645" r:id="rId2365"/>
    <hyperlink xmlns:r="http://schemas.openxmlformats.org/officeDocument/2006/relationships" ref="M646" r:id="rId2366"/>
    <hyperlink xmlns:r="http://schemas.openxmlformats.org/officeDocument/2006/relationships" ref="N646" r:id="rId2367"/>
    <hyperlink xmlns:r="http://schemas.openxmlformats.org/officeDocument/2006/relationships" ref="O646" r:id="rId2368"/>
    <hyperlink xmlns:r="http://schemas.openxmlformats.org/officeDocument/2006/relationships" ref="P646" r:id="rId2369"/>
    <hyperlink xmlns:r="http://schemas.openxmlformats.org/officeDocument/2006/relationships" ref="M647" r:id="rId2370"/>
    <hyperlink xmlns:r="http://schemas.openxmlformats.org/officeDocument/2006/relationships" ref="N647" r:id="rId2371"/>
    <hyperlink xmlns:r="http://schemas.openxmlformats.org/officeDocument/2006/relationships" ref="P647" r:id="rId2372"/>
    <hyperlink xmlns:r="http://schemas.openxmlformats.org/officeDocument/2006/relationships" ref="M648" r:id="rId2373"/>
    <hyperlink xmlns:r="http://schemas.openxmlformats.org/officeDocument/2006/relationships" ref="N648" r:id="rId2374"/>
    <hyperlink xmlns:r="http://schemas.openxmlformats.org/officeDocument/2006/relationships" ref="P648" r:id="rId2375"/>
    <hyperlink xmlns:r="http://schemas.openxmlformats.org/officeDocument/2006/relationships" ref="M649" r:id="rId2376"/>
    <hyperlink xmlns:r="http://schemas.openxmlformats.org/officeDocument/2006/relationships" ref="N649" r:id="rId2377"/>
    <hyperlink xmlns:r="http://schemas.openxmlformats.org/officeDocument/2006/relationships" ref="O649" r:id="rId2378"/>
    <hyperlink xmlns:r="http://schemas.openxmlformats.org/officeDocument/2006/relationships" ref="P649" r:id="rId2379"/>
    <hyperlink xmlns:r="http://schemas.openxmlformats.org/officeDocument/2006/relationships" ref="M650" r:id="rId2380"/>
    <hyperlink xmlns:r="http://schemas.openxmlformats.org/officeDocument/2006/relationships" ref="N650" r:id="rId2381"/>
    <hyperlink xmlns:r="http://schemas.openxmlformats.org/officeDocument/2006/relationships" ref="O650" r:id="rId2382"/>
    <hyperlink xmlns:r="http://schemas.openxmlformats.org/officeDocument/2006/relationships" ref="P650" r:id="rId2383"/>
    <hyperlink xmlns:r="http://schemas.openxmlformats.org/officeDocument/2006/relationships" ref="M651" r:id="rId2384"/>
    <hyperlink xmlns:r="http://schemas.openxmlformats.org/officeDocument/2006/relationships" ref="N651" r:id="rId2385"/>
    <hyperlink xmlns:r="http://schemas.openxmlformats.org/officeDocument/2006/relationships" ref="P651" r:id="rId2386"/>
    <hyperlink xmlns:r="http://schemas.openxmlformats.org/officeDocument/2006/relationships" ref="M652" r:id="rId2387"/>
    <hyperlink xmlns:r="http://schemas.openxmlformats.org/officeDocument/2006/relationships" ref="N652" r:id="rId2388"/>
    <hyperlink xmlns:r="http://schemas.openxmlformats.org/officeDocument/2006/relationships" ref="O652" r:id="rId2389"/>
    <hyperlink xmlns:r="http://schemas.openxmlformats.org/officeDocument/2006/relationships" ref="P652" r:id="rId2390"/>
    <hyperlink xmlns:r="http://schemas.openxmlformats.org/officeDocument/2006/relationships" ref="M653" r:id="rId2391"/>
    <hyperlink xmlns:r="http://schemas.openxmlformats.org/officeDocument/2006/relationships" ref="N653" r:id="rId2392"/>
    <hyperlink xmlns:r="http://schemas.openxmlformats.org/officeDocument/2006/relationships" ref="O653" r:id="rId2393"/>
    <hyperlink xmlns:r="http://schemas.openxmlformats.org/officeDocument/2006/relationships" ref="P653" r:id="rId2394"/>
    <hyperlink xmlns:r="http://schemas.openxmlformats.org/officeDocument/2006/relationships" ref="M654" r:id="rId2395"/>
    <hyperlink xmlns:r="http://schemas.openxmlformats.org/officeDocument/2006/relationships" ref="N654" r:id="rId2396"/>
    <hyperlink xmlns:r="http://schemas.openxmlformats.org/officeDocument/2006/relationships" ref="O654" r:id="rId2397"/>
    <hyperlink xmlns:r="http://schemas.openxmlformats.org/officeDocument/2006/relationships" ref="P654" r:id="rId2398"/>
    <hyperlink xmlns:r="http://schemas.openxmlformats.org/officeDocument/2006/relationships" ref="M655" r:id="rId2399"/>
    <hyperlink xmlns:r="http://schemas.openxmlformats.org/officeDocument/2006/relationships" ref="N655" r:id="rId2400"/>
    <hyperlink xmlns:r="http://schemas.openxmlformats.org/officeDocument/2006/relationships" ref="O655" r:id="rId2401"/>
    <hyperlink xmlns:r="http://schemas.openxmlformats.org/officeDocument/2006/relationships" ref="P655" r:id="rId2402"/>
    <hyperlink xmlns:r="http://schemas.openxmlformats.org/officeDocument/2006/relationships" ref="M656" r:id="rId2403"/>
    <hyperlink xmlns:r="http://schemas.openxmlformats.org/officeDocument/2006/relationships" ref="N656" r:id="rId2404"/>
    <hyperlink xmlns:r="http://schemas.openxmlformats.org/officeDocument/2006/relationships" ref="O656" r:id="rId2405"/>
    <hyperlink xmlns:r="http://schemas.openxmlformats.org/officeDocument/2006/relationships" ref="P656" r:id="rId2406"/>
    <hyperlink xmlns:r="http://schemas.openxmlformats.org/officeDocument/2006/relationships" ref="M657" r:id="rId2407"/>
    <hyperlink xmlns:r="http://schemas.openxmlformats.org/officeDocument/2006/relationships" ref="N657" r:id="rId2408"/>
    <hyperlink xmlns:r="http://schemas.openxmlformats.org/officeDocument/2006/relationships" ref="O657" r:id="rId2409"/>
    <hyperlink xmlns:r="http://schemas.openxmlformats.org/officeDocument/2006/relationships" ref="P657" r:id="rId2410"/>
    <hyperlink xmlns:r="http://schemas.openxmlformats.org/officeDocument/2006/relationships" ref="M658" r:id="rId2411"/>
    <hyperlink xmlns:r="http://schemas.openxmlformats.org/officeDocument/2006/relationships" ref="N658" r:id="rId2412"/>
    <hyperlink xmlns:r="http://schemas.openxmlformats.org/officeDocument/2006/relationships" ref="P658" r:id="rId2413"/>
    <hyperlink xmlns:r="http://schemas.openxmlformats.org/officeDocument/2006/relationships" ref="M659" r:id="rId2414"/>
    <hyperlink xmlns:r="http://schemas.openxmlformats.org/officeDocument/2006/relationships" ref="N659" r:id="rId2415"/>
    <hyperlink xmlns:r="http://schemas.openxmlformats.org/officeDocument/2006/relationships" ref="O659" r:id="rId2416"/>
    <hyperlink xmlns:r="http://schemas.openxmlformats.org/officeDocument/2006/relationships" ref="P659" r:id="rId2417"/>
    <hyperlink xmlns:r="http://schemas.openxmlformats.org/officeDocument/2006/relationships" ref="M660" r:id="rId2418"/>
    <hyperlink xmlns:r="http://schemas.openxmlformats.org/officeDocument/2006/relationships" ref="N660" r:id="rId2419"/>
    <hyperlink xmlns:r="http://schemas.openxmlformats.org/officeDocument/2006/relationships" ref="O660" r:id="rId2420"/>
    <hyperlink xmlns:r="http://schemas.openxmlformats.org/officeDocument/2006/relationships" ref="P660" r:id="rId2421"/>
    <hyperlink xmlns:r="http://schemas.openxmlformats.org/officeDocument/2006/relationships" ref="M661" r:id="rId2422"/>
    <hyperlink xmlns:r="http://schemas.openxmlformats.org/officeDocument/2006/relationships" ref="N661" r:id="rId2423"/>
    <hyperlink xmlns:r="http://schemas.openxmlformats.org/officeDocument/2006/relationships" ref="O661" r:id="rId2424"/>
    <hyperlink xmlns:r="http://schemas.openxmlformats.org/officeDocument/2006/relationships" ref="P661" r:id="rId2425"/>
    <hyperlink xmlns:r="http://schemas.openxmlformats.org/officeDocument/2006/relationships" ref="M662" r:id="rId2426"/>
    <hyperlink xmlns:r="http://schemas.openxmlformats.org/officeDocument/2006/relationships" ref="N662" r:id="rId2427"/>
    <hyperlink xmlns:r="http://schemas.openxmlformats.org/officeDocument/2006/relationships" ref="O662" r:id="rId2428"/>
    <hyperlink xmlns:r="http://schemas.openxmlformats.org/officeDocument/2006/relationships" ref="P662" r:id="rId2429"/>
    <hyperlink xmlns:r="http://schemas.openxmlformats.org/officeDocument/2006/relationships" ref="M663" r:id="rId2430"/>
    <hyperlink xmlns:r="http://schemas.openxmlformats.org/officeDocument/2006/relationships" ref="N663" r:id="rId2431"/>
    <hyperlink xmlns:r="http://schemas.openxmlformats.org/officeDocument/2006/relationships" ref="P663" r:id="rId2432"/>
    <hyperlink xmlns:r="http://schemas.openxmlformats.org/officeDocument/2006/relationships" ref="M664" r:id="rId2433"/>
    <hyperlink xmlns:r="http://schemas.openxmlformats.org/officeDocument/2006/relationships" ref="N664" r:id="rId2434"/>
    <hyperlink xmlns:r="http://schemas.openxmlformats.org/officeDocument/2006/relationships" ref="P664" r:id="rId2435"/>
    <hyperlink xmlns:r="http://schemas.openxmlformats.org/officeDocument/2006/relationships" ref="M665" r:id="rId2436"/>
    <hyperlink xmlns:r="http://schemas.openxmlformats.org/officeDocument/2006/relationships" ref="N665" r:id="rId2437"/>
    <hyperlink xmlns:r="http://schemas.openxmlformats.org/officeDocument/2006/relationships" ref="O665" r:id="rId2438"/>
    <hyperlink xmlns:r="http://schemas.openxmlformats.org/officeDocument/2006/relationships" ref="P665" r:id="rId2439"/>
    <hyperlink xmlns:r="http://schemas.openxmlformats.org/officeDocument/2006/relationships" ref="M666" r:id="rId2440"/>
    <hyperlink xmlns:r="http://schemas.openxmlformats.org/officeDocument/2006/relationships" ref="N666" r:id="rId2441"/>
    <hyperlink xmlns:r="http://schemas.openxmlformats.org/officeDocument/2006/relationships" ref="O666" r:id="rId2442"/>
    <hyperlink xmlns:r="http://schemas.openxmlformats.org/officeDocument/2006/relationships" ref="P666" r:id="rId2443"/>
    <hyperlink xmlns:r="http://schemas.openxmlformats.org/officeDocument/2006/relationships" ref="M667" r:id="rId2444"/>
    <hyperlink xmlns:r="http://schemas.openxmlformats.org/officeDocument/2006/relationships" ref="N667" r:id="rId2445"/>
    <hyperlink xmlns:r="http://schemas.openxmlformats.org/officeDocument/2006/relationships" ref="O667" r:id="rId2446"/>
    <hyperlink xmlns:r="http://schemas.openxmlformats.org/officeDocument/2006/relationships" ref="P667" r:id="rId2447"/>
    <hyperlink xmlns:r="http://schemas.openxmlformats.org/officeDocument/2006/relationships" ref="M668" r:id="rId2448"/>
    <hyperlink xmlns:r="http://schemas.openxmlformats.org/officeDocument/2006/relationships" ref="N668" r:id="rId2449"/>
    <hyperlink xmlns:r="http://schemas.openxmlformats.org/officeDocument/2006/relationships" ref="O668" r:id="rId2450"/>
    <hyperlink xmlns:r="http://schemas.openxmlformats.org/officeDocument/2006/relationships" ref="P668" r:id="rId2451"/>
    <hyperlink xmlns:r="http://schemas.openxmlformats.org/officeDocument/2006/relationships" ref="M669" r:id="rId2452"/>
    <hyperlink xmlns:r="http://schemas.openxmlformats.org/officeDocument/2006/relationships" ref="N669" r:id="rId2453"/>
    <hyperlink xmlns:r="http://schemas.openxmlformats.org/officeDocument/2006/relationships" ref="O669" r:id="rId2454"/>
    <hyperlink xmlns:r="http://schemas.openxmlformats.org/officeDocument/2006/relationships" ref="P669" r:id="rId2455"/>
    <hyperlink xmlns:r="http://schemas.openxmlformats.org/officeDocument/2006/relationships" ref="M670" r:id="rId2456"/>
    <hyperlink xmlns:r="http://schemas.openxmlformats.org/officeDocument/2006/relationships" ref="N670" r:id="rId2457"/>
    <hyperlink xmlns:r="http://schemas.openxmlformats.org/officeDocument/2006/relationships" ref="O670" r:id="rId2458"/>
    <hyperlink xmlns:r="http://schemas.openxmlformats.org/officeDocument/2006/relationships" ref="P670" r:id="rId2459"/>
    <hyperlink xmlns:r="http://schemas.openxmlformats.org/officeDocument/2006/relationships" ref="N671" r:id="rId2460"/>
    <hyperlink xmlns:r="http://schemas.openxmlformats.org/officeDocument/2006/relationships" ref="O671" r:id="rId2461"/>
    <hyperlink xmlns:r="http://schemas.openxmlformats.org/officeDocument/2006/relationships" ref="P671" r:id="rId2462"/>
    <hyperlink xmlns:r="http://schemas.openxmlformats.org/officeDocument/2006/relationships" ref="M672" r:id="rId2463"/>
    <hyperlink xmlns:r="http://schemas.openxmlformats.org/officeDocument/2006/relationships" ref="N672" r:id="rId2464"/>
    <hyperlink xmlns:r="http://schemas.openxmlformats.org/officeDocument/2006/relationships" ref="O672" r:id="rId2465"/>
    <hyperlink xmlns:r="http://schemas.openxmlformats.org/officeDocument/2006/relationships" ref="P672" r:id="rId2466"/>
    <hyperlink xmlns:r="http://schemas.openxmlformats.org/officeDocument/2006/relationships" ref="M673" r:id="rId2467"/>
    <hyperlink xmlns:r="http://schemas.openxmlformats.org/officeDocument/2006/relationships" ref="N673" r:id="rId2468"/>
    <hyperlink xmlns:r="http://schemas.openxmlformats.org/officeDocument/2006/relationships" ref="O673" r:id="rId2469"/>
    <hyperlink xmlns:r="http://schemas.openxmlformats.org/officeDocument/2006/relationships" ref="P673" r:id="rId2470"/>
    <hyperlink xmlns:r="http://schemas.openxmlformats.org/officeDocument/2006/relationships" ref="M674" r:id="rId2471"/>
    <hyperlink xmlns:r="http://schemas.openxmlformats.org/officeDocument/2006/relationships" ref="N674" r:id="rId2472"/>
    <hyperlink xmlns:r="http://schemas.openxmlformats.org/officeDocument/2006/relationships" ref="O674" r:id="rId2473"/>
    <hyperlink xmlns:r="http://schemas.openxmlformats.org/officeDocument/2006/relationships" ref="P674" r:id="rId2474"/>
    <hyperlink xmlns:r="http://schemas.openxmlformats.org/officeDocument/2006/relationships" ref="M675" r:id="rId2475"/>
    <hyperlink xmlns:r="http://schemas.openxmlformats.org/officeDocument/2006/relationships" ref="N675" r:id="rId2476"/>
    <hyperlink xmlns:r="http://schemas.openxmlformats.org/officeDocument/2006/relationships" ref="O675" r:id="rId2477"/>
    <hyperlink xmlns:r="http://schemas.openxmlformats.org/officeDocument/2006/relationships" ref="P675" r:id="rId2478"/>
    <hyperlink xmlns:r="http://schemas.openxmlformats.org/officeDocument/2006/relationships" ref="M676" r:id="rId2479"/>
    <hyperlink xmlns:r="http://schemas.openxmlformats.org/officeDocument/2006/relationships" ref="N676" r:id="rId2480"/>
    <hyperlink xmlns:r="http://schemas.openxmlformats.org/officeDocument/2006/relationships" ref="O676" r:id="rId2481"/>
    <hyperlink xmlns:r="http://schemas.openxmlformats.org/officeDocument/2006/relationships" ref="P676" r:id="rId2482"/>
    <hyperlink xmlns:r="http://schemas.openxmlformats.org/officeDocument/2006/relationships" ref="M677" r:id="rId2483"/>
    <hyperlink xmlns:r="http://schemas.openxmlformats.org/officeDocument/2006/relationships" ref="N677" r:id="rId2484"/>
    <hyperlink xmlns:r="http://schemas.openxmlformats.org/officeDocument/2006/relationships" ref="O677" r:id="rId2485"/>
    <hyperlink xmlns:r="http://schemas.openxmlformats.org/officeDocument/2006/relationships" ref="P677" r:id="rId2486"/>
    <hyperlink xmlns:r="http://schemas.openxmlformats.org/officeDocument/2006/relationships" ref="M678" r:id="rId2487"/>
    <hyperlink xmlns:r="http://schemas.openxmlformats.org/officeDocument/2006/relationships" ref="N678" r:id="rId2488"/>
    <hyperlink xmlns:r="http://schemas.openxmlformats.org/officeDocument/2006/relationships" ref="P678" r:id="rId2489"/>
    <hyperlink xmlns:r="http://schemas.openxmlformats.org/officeDocument/2006/relationships" ref="M679" r:id="rId2490"/>
    <hyperlink xmlns:r="http://schemas.openxmlformats.org/officeDocument/2006/relationships" ref="N679" r:id="rId2491"/>
    <hyperlink xmlns:r="http://schemas.openxmlformats.org/officeDocument/2006/relationships" ref="P679" r:id="rId2492"/>
    <hyperlink xmlns:r="http://schemas.openxmlformats.org/officeDocument/2006/relationships" ref="M680" r:id="rId2493"/>
    <hyperlink xmlns:r="http://schemas.openxmlformats.org/officeDocument/2006/relationships" ref="N680" r:id="rId2494"/>
    <hyperlink xmlns:r="http://schemas.openxmlformats.org/officeDocument/2006/relationships" ref="P680" r:id="rId2495"/>
    <hyperlink xmlns:r="http://schemas.openxmlformats.org/officeDocument/2006/relationships" ref="M681" r:id="rId2496"/>
    <hyperlink xmlns:r="http://schemas.openxmlformats.org/officeDocument/2006/relationships" ref="N681" r:id="rId2497"/>
    <hyperlink xmlns:r="http://schemas.openxmlformats.org/officeDocument/2006/relationships" ref="O681" r:id="rId2498"/>
    <hyperlink xmlns:r="http://schemas.openxmlformats.org/officeDocument/2006/relationships" ref="P681" r:id="rId2499"/>
    <hyperlink xmlns:r="http://schemas.openxmlformats.org/officeDocument/2006/relationships" ref="M682" r:id="rId2500"/>
    <hyperlink xmlns:r="http://schemas.openxmlformats.org/officeDocument/2006/relationships" ref="N682" r:id="rId2501"/>
    <hyperlink xmlns:r="http://schemas.openxmlformats.org/officeDocument/2006/relationships" ref="O682" r:id="rId2502"/>
    <hyperlink xmlns:r="http://schemas.openxmlformats.org/officeDocument/2006/relationships" ref="P682" r:id="rId2503"/>
    <hyperlink xmlns:r="http://schemas.openxmlformats.org/officeDocument/2006/relationships" ref="M683" r:id="rId2504"/>
    <hyperlink xmlns:r="http://schemas.openxmlformats.org/officeDocument/2006/relationships" ref="N683" r:id="rId2505"/>
    <hyperlink xmlns:r="http://schemas.openxmlformats.org/officeDocument/2006/relationships" ref="P683" r:id="rId2506"/>
    <hyperlink xmlns:r="http://schemas.openxmlformats.org/officeDocument/2006/relationships" ref="M684" r:id="rId2507"/>
    <hyperlink xmlns:r="http://schemas.openxmlformats.org/officeDocument/2006/relationships" ref="N684" r:id="rId2508"/>
    <hyperlink xmlns:r="http://schemas.openxmlformats.org/officeDocument/2006/relationships" ref="P684" r:id="rId2509"/>
    <hyperlink xmlns:r="http://schemas.openxmlformats.org/officeDocument/2006/relationships" ref="M685" r:id="rId2510"/>
    <hyperlink xmlns:r="http://schemas.openxmlformats.org/officeDocument/2006/relationships" ref="N685" r:id="rId2511"/>
    <hyperlink xmlns:r="http://schemas.openxmlformats.org/officeDocument/2006/relationships" ref="O685" r:id="rId2512"/>
    <hyperlink xmlns:r="http://schemas.openxmlformats.org/officeDocument/2006/relationships" ref="P685" r:id="rId2513"/>
    <hyperlink xmlns:r="http://schemas.openxmlformats.org/officeDocument/2006/relationships" ref="M686" r:id="rId2514"/>
    <hyperlink xmlns:r="http://schemas.openxmlformats.org/officeDocument/2006/relationships" ref="N686" r:id="rId2515"/>
    <hyperlink xmlns:r="http://schemas.openxmlformats.org/officeDocument/2006/relationships" ref="O686" r:id="rId2516"/>
    <hyperlink xmlns:r="http://schemas.openxmlformats.org/officeDocument/2006/relationships" ref="P686" r:id="rId2517"/>
    <hyperlink xmlns:r="http://schemas.openxmlformats.org/officeDocument/2006/relationships" ref="M687" r:id="rId2518"/>
    <hyperlink xmlns:r="http://schemas.openxmlformats.org/officeDocument/2006/relationships" ref="N687" r:id="rId2519"/>
    <hyperlink xmlns:r="http://schemas.openxmlformats.org/officeDocument/2006/relationships" ref="P687" r:id="rId2520"/>
    <hyperlink xmlns:r="http://schemas.openxmlformats.org/officeDocument/2006/relationships" ref="M688" r:id="rId2521"/>
    <hyperlink xmlns:r="http://schemas.openxmlformats.org/officeDocument/2006/relationships" ref="N688" r:id="rId2522"/>
    <hyperlink xmlns:r="http://schemas.openxmlformats.org/officeDocument/2006/relationships" ref="O688" r:id="rId2523"/>
    <hyperlink xmlns:r="http://schemas.openxmlformats.org/officeDocument/2006/relationships" ref="P688" r:id="rId2524"/>
    <hyperlink xmlns:r="http://schemas.openxmlformats.org/officeDocument/2006/relationships" ref="M689" r:id="rId2525"/>
    <hyperlink xmlns:r="http://schemas.openxmlformats.org/officeDocument/2006/relationships" ref="N689" r:id="rId2526"/>
    <hyperlink xmlns:r="http://schemas.openxmlformats.org/officeDocument/2006/relationships" ref="P689" r:id="rId2527"/>
    <hyperlink xmlns:r="http://schemas.openxmlformats.org/officeDocument/2006/relationships" ref="M690" r:id="rId2528"/>
    <hyperlink xmlns:r="http://schemas.openxmlformats.org/officeDocument/2006/relationships" ref="N690" r:id="rId2529"/>
    <hyperlink xmlns:r="http://schemas.openxmlformats.org/officeDocument/2006/relationships" ref="O690" r:id="rId2530"/>
    <hyperlink xmlns:r="http://schemas.openxmlformats.org/officeDocument/2006/relationships" ref="P690" r:id="rId2531"/>
    <hyperlink xmlns:r="http://schemas.openxmlformats.org/officeDocument/2006/relationships" ref="M691" r:id="rId2532"/>
    <hyperlink xmlns:r="http://schemas.openxmlformats.org/officeDocument/2006/relationships" ref="N691" r:id="rId2533"/>
    <hyperlink xmlns:r="http://schemas.openxmlformats.org/officeDocument/2006/relationships" ref="O691" r:id="rId2534"/>
    <hyperlink xmlns:r="http://schemas.openxmlformats.org/officeDocument/2006/relationships" ref="P691" r:id="rId2535"/>
    <hyperlink xmlns:r="http://schemas.openxmlformats.org/officeDocument/2006/relationships" ref="M692" r:id="rId2536"/>
    <hyperlink xmlns:r="http://schemas.openxmlformats.org/officeDocument/2006/relationships" ref="N692" r:id="rId2537"/>
    <hyperlink xmlns:r="http://schemas.openxmlformats.org/officeDocument/2006/relationships" ref="O692" r:id="rId2538"/>
    <hyperlink xmlns:r="http://schemas.openxmlformats.org/officeDocument/2006/relationships" ref="P692" r:id="rId2539"/>
    <hyperlink xmlns:r="http://schemas.openxmlformats.org/officeDocument/2006/relationships" ref="M693" r:id="rId2540"/>
    <hyperlink xmlns:r="http://schemas.openxmlformats.org/officeDocument/2006/relationships" ref="N693" r:id="rId2541"/>
    <hyperlink xmlns:r="http://schemas.openxmlformats.org/officeDocument/2006/relationships" ref="O693" r:id="rId2542"/>
    <hyperlink xmlns:r="http://schemas.openxmlformats.org/officeDocument/2006/relationships" ref="P693" r:id="rId2543"/>
    <hyperlink xmlns:r="http://schemas.openxmlformats.org/officeDocument/2006/relationships" ref="M694" r:id="rId2544"/>
    <hyperlink xmlns:r="http://schemas.openxmlformats.org/officeDocument/2006/relationships" ref="N694" r:id="rId2545"/>
    <hyperlink xmlns:r="http://schemas.openxmlformats.org/officeDocument/2006/relationships" ref="O694" r:id="rId2546"/>
    <hyperlink xmlns:r="http://schemas.openxmlformats.org/officeDocument/2006/relationships" ref="P694" r:id="rId2547"/>
    <hyperlink xmlns:r="http://schemas.openxmlformats.org/officeDocument/2006/relationships" ref="M695" r:id="rId2548"/>
    <hyperlink xmlns:r="http://schemas.openxmlformats.org/officeDocument/2006/relationships" ref="N695" r:id="rId2549"/>
    <hyperlink xmlns:r="http://schemas.openxmlformats.org/officeDocument/2006/relationships" ref="O695" r:id="rId2550"/>
    <hyperlink xmlns:r="http://schemas.openxmlformats.org/officeDocument/2006/relationships" ref="P695" r:id="rId2551"/>
    <hyperlink xmlns:r="http://schemas.openxmlformats.org/officeDocument/2006/relationships" ref="M696" r:id="rId2552"/>
    <hyperlink xmlns:r="http://schemas.openxmlformats.org/officeDocument/2006/relationships" ref="N696" r:id="rId2553"/>
    <hyperlink xmlns:r="http://schemas.openxmlformats.org/officeDocument/2006/relationships" ref="P696" r:id="rId2554"/>
    <hyperlink xmlns:r="http://schemas.openxmlformats.org/officeDocument/2006/relationships" ref="M697" r:id="rId2555"/>
    <hyperlink xmlns:r="http://schemas.openxmlformats.org/officeDocument/2006/relationships" ref="N697" r:id="rId2556"/>
    <hyperlink xmlns:r="http://schemas.openxmlformats.org/officeDocument/2006/relationships" ref="O697" r:id="rId2557"/>
    <hyperlink xmlns:r="http://schemas.openxmlformats.org/officeDocument/2006/relationships" ref="P697" r:id="rId2558"/>
    <hyperlink xmlns:r="http://schemas.openxmlformats.org/officeDocument/2006/relationships" ref="M698" r:id="rId2559"/>
    <hyperlink xmlns:r="http://schemas.openxmlformats.org/officeDocument/2006/relationships" ref="N698" r:id="rId2560"/>
    <hyperlink xmlns:r="http://schemas.openxmlformats.org/officeDocument/2006/relationships" ref="O698" r:id="rId2561"/>
    <hyperlink xmlns:r="http://schemas.openxmlformats.org/officeDocument/2006/relationships" ref="P698" r:id="rId2562"/>
    <hyperlink xmlns:r="http://schemas.openxmlformats.org/officeDocument/2006/relationships" ref="M699" r:id="rId2563"/>
    <hyperlink xmlns:r="http://schemas.openxmlformats.org/officeDocument/2006/relationships" ref="N699" r:id="rId2564"/>
    <hyperlink xmlns:r="http://schemas.openxmlformats.org/officeDocument/2006/relationships" ref="O699" r:id="rId2565"/>
    <hyperlink xmlns:r="http://schemas.openxmlformats.org/officeDocument/2006/relationships" ref="P699" r:id="rId2566"/>
    <hyperlink xmlns:r="http://schemas.openxmlformats.org/officeDocument/2006/relationships" ref="M700" r:id="rId2567"/>
    <hyperlink xmlns:r="http://schemas.openxmlformats.org/officeDocument/2006/relationships" ref="N700" r:id="rId2568"/>
    <hyperlink xmlns:r="http://schemas.openxmlformats.org/officeDocument/2006/relationships" ref="P700" r:id="rId2569"/>
    <hyperlink xmlns:r="http://schemas.openxmlformats.org/officeDocument/2006/relationships" ref="M701" r:id="rId2570"/>
    <hyperlink xmlns:r="http://schemas.openxmlformats.org/officeDocument/2006/relationships" ref="N701" r:id="rId2571"/>
    <hyperlink xmlns:r="http://schemas.openxmlformats.org/officeDocument/2006/relationships" ref="O701" r:id="rId2572"/>
    <hyperlink xmlns:r="http://schemas.openxmlformats.org/officeDocument/2006/relationships" ref="P701" r:id="rId2573"/>
    <hyperlink xmlns:r="http://schemas.openxmlformats.org/officeDocument/2006/relationships" ref="M702" r:id="rId2574"/>
    <hyperlink xmlns:r="http://schemas.openxmlformats.org/officeDocument/2006/relationships" ref="N702" r:id="rId2575"/>
    <hyperlink xmlns:r="http://schemas.openxmlformats.org/officeDocument/2006/relationships" ref="P702" r:id="rId2576"/>
    <hyperlink xmlns:r="http://schemas.openxmlformats.org/officeDocument/2006/relationships" ref="M703" r:id="rId2577"/>
    <hyperlink xmlns:r="http://schemas.openxmlformats.org/officeDocument/2006/relationships" ref="N703" r:id="rId2578"/>
    <hyperlink xmlns:r="http://schemas.openxmlformats.org/officeDocument/2006/relationships" ref="O703" r:id="rId2579"/>
    <hyperlink xmlns:r="http://schemas.openxmlformats.org/officeDocument/2006/relationships" ref="P703" r:id="rId2580"/>
    <hyperlink xmlns:r="http://schemas.openxmlformats.org/officeDocument/2006/relationships" ref="M704" r:id="rId2581"/>
    <hyperlink xmlns:r="http://schemas.openxmlformats.org/officeDocument/2006/relationships" ref="N704" r:id="rId2582"/>
    <hyperlink xmlns:r="http://schemas.openxmlformats.org/officeDocument/2006/relationships" ref="O704" r:id="rId2583"/>
    <hyperlink xmlns:r="http://schemas.openxmlformats.org/officeDocument/2006/relationships" ref="P704" r:id="rId2584"/>
    <hyperlink xmlns:r="http://schemas.openxmlformats.org/officeDocument/2006/relationships" ref="M705" r:id="rId2585"/>
    <hyperlink xmlns:r="http://schemas.openxmlformats.org/officeDocument/2006/relationships" ref="N705" r:id="rId2586"/>
    <hyperlink xmlns:r="http://schemas.openxmlformats.org/officeDocument/2006/relationships" ref="O705" r:id="rId2587"/>
    <hyperlink xmlns:r="http://schemas.openxmlformats.org/officeDocument/2006/relationships" ref="P705" r:id="rId2588"/>
    <hyperlink xmlns:r="http://schemas.openxmlformats.org/officeDocument/2006/relationships" ref="M706" r:id="rId2589"/>
    <hyperlink xmlns:r="http://schemas.openxmlformats.org/officeDocument/2006/relationships" ref="N706" r:id="rId2590"/>
    <hyperlink xmlns:r="http://schemas.openxmlformats.org/officeDocument/2006/relationships" ref="O706" r:id="rId2591"/>
    <hyperlink xmlns:r="http://schemas.openxmlformats.org/officeDocument/2006/relationships" ref="P706" r:id="rId2592"/>
    <hyperlink xmlns:r="http://schemas.openxmlformats.org/officeDocument/2006/relationships" ref="M707" r:id="rId2593"/>
    <hyperlink xmlns:r="http://schemas.openxmlformats.org/officeDocument/2006/relationships" ref="N707" r:id="rId2594"/>
    <hyperlink xmlns:r="http://schemas.openxmlformats.org/officeDocument/2006/relationships" ref="O707" r:id="rId2595"/>
    <hyperlink xmlns:r="http://schemas.openxmlformats.org/officeDocument/2006/relationships" ref="P707" r:id="rId2596"/>
    <hyperlink xmlns:r="http://schemas.openxmlformats.org/officeDocument/2006/relationships" ref="M708" r:id="rId2597"/>
    <hyperlink xmlns:r="http://schemas.openxmlformats.org/officeDocument/2006/relationships" ref="N708" r:id="rId2598"/>
    <hyperlink xmlns:r="http://schemas.openxmlformats.org/officeDocument/2006/relationships" ref="P708" r:id="rId2599"/>
    <hyperlink xmlns:r="http://schemas.openxmlformats.org/officeDocument/2006/relationships" ref="M709" r:id="rId2600"/>
    <hyperlink xmlns:r="http://schemas.openxmlformats.org/officeDocument/2006/relationships" ref="N709" r:id="rId2601"/>
    <hyperlink xmlns:r="http://schemas.openxmlformats.org/officeDocument/2006/relationships" ref="O709" r:id="rId2602"/>
    <hyperlink xmlns:r="http://schemas.openxmlformats.org/officeDocument/2006/relationships" ref="P709" r:id="rId2603"/>
    <hyperlink xmlns:r="http://schemas.openxmlformats.org/officeDocument/2006/relationships" ref="M710" r:id="rId2604"/>
    <hyperlink xmlns:r="http://schemas.openxmlformats.org/officeDocument/2006/relationships" ref="N710" r:id="rId2605"/>
    <hyperlink xmlns:r="http://schemas.openxmlformats.org/officeDocument/2006/relationships" ref="O710" r:id="rId2606"/>
    <hyperlink xmlns:r="http://schemas.openxmlformats.org/officeDocument/2006/relationships" ref="P710" r:id="rId2607"/>
    <hyperlink xmlns:r="http://schemas.openxmlformats.org/officeDocument/2006/relationships" ref="M711" r:id="rId2608"/>
    <hyperlink xmlns:r="http://schemas.openxmlformats.org/officeDocument/2006/relationships" ref="N711" r:id="rId2609"/>
    <hyperlink xmlns:r="http://schemas.openxmlformats.org/officeDocument/2006/relationships" ref="O711" r:id="rId2610"/>
    <hyperlink xmlns:r="http://schemas.openxmlformats.org/officeDocument/2006/relationships" ref="P711" r:id="rId2611"/>
    <hyperlink xmlns:r="http://schemas.openxmlformats.org/officeDocument/2006/relationships" ref="M712" r:id="rId2612"/>
    <hyperlink xmlns:r="http://schemas.openxmlformats.org/officeDocument/2006/relationships" ref="N712" r:id="rId2613"/>
    <hyperlink xmlns:r="http://schemas.openxmlformats.org/officeDocument/2006/relationships" ref="P712" r:id="rId2614"/>
    <hyperlink xmlns:r="http://schemas.openxmlformats.org/officeDocument/2006/relationships" ref="N713" r:id="rId2615"/>
    <hyperlink xmlns:r="http://schemas.openxmlformats.org/officeDocument/2006/relationships" ref="O713" r:id="rId2616"/>
    <hyperlink xmlns:r="http://schemas.openxmlformats.org/officeDocument/2006/relationships" ref="P713" r:id="rId2617"/>
    <hyperlink xmlns:r="http://schemas.openxmlformats.org/officeDocument/2006/relationships" ref="M714" r:id="rId2618"/>
    <hyperlink xmlns:r="http://schemas.openxmlformats.org/officeDocument/2006/relationships" ref="N714" r:id="rId2619"/>
    <hyperlink xmlns:r="http://schemas.openxmlformats.org/officeDocument/2006/relationships" ref="P714" r:id="rId2620"/>
    <hyperlink xmlns:r="http://schemas.openxmlformats.org/officeDocument/2006/relationships" ref="M715" r:id="rId2621"/>
    <hyperlink xmlns:r="http://schemas.openxmlformats.org/officeDocument/2006/relationships" ref="N715" r:id="rId2622"/>
    <hyperlink xmlns:r="http://schemas.openxmlformats.org/officeDocument/2006/relationships" ref="O715" r:id="rId2623"/>
    <hyperlink xmlns:r="http://schemas.openxmlformats.org/officeDocument/2006/relationships" ref="P715" r:id="rId2624"/>
    <hyperlink xmlns:r="http://schemas.openxmlformats.org/officeDocument/2006/relationships" ref="M716" r:id="rId2625"/>
    <hyperlink xmlns:r="http://schemas.openxmlformats.org/officeDocument/2006/relationships" ref="N716" r:id="rId2626"/>
    <hyperlink xmlns:r="http://schemas.openxmlformats.org/officeDocument/2006/relationships" ref="O716" r:id="rId2627"/>
    <hyperlink xmlns:r="http://schemas.openxmlformats.org/officeDocument/2006/relationships" ref="P716" r:id="rId2628"/>
    <hyperlink xmlns:r="http://schemas.openxmlformats.org/officeDocument/2006/relationships" ref="M717" r:id="rId2629"/>
    <hyperlink xmlns:r="http://schemas.openxmlformats.org/officeDocument/2006/relationships" ref="N717" r:id="rId2630"/>
    <hyperlink xmlns:r="http://schemas.openxmlformats.org/officeDocument/2006/relationships" ref="P717" r:id="rId2631"/>
    <hyperlink xmlns:r="http://schemas.openxmlformats.org/officeDocument/2006/relationships" ref="M718" r:id="rId2632"/>
    <hyperlink xmlns:r="http://schemas.openxmlformats.org/officeDocument/2006/relationships" ref="N718" r:id="rId2633"/>
    <hyperlink xmlns:r="http://schemas.openxmlformats.org/officeDocument/2006/relationships" ref="O718" r:id="rId2634"/>
    <hyperlink xmlns:r="http://schemas.openxmlformats.org/officeDocument/2006/relationships" ref="P718" r:id="rId2635"/>
    <hyperlink xmlns:r="http://schemas.openxmlformats.org/officeDocument/2006/relationships" ref="M719" r:id="rId2636"/>
    <hyperlink xmlns:r="http://schemas.openxmlformats.org/officeDocument/2006/relationships" ref="N719" r:id="rId2637"/>
    <hyperlink xmlns:r="http://schemas.openxmlformats.org/officeDocument/2006/relationships" ref="O719" r:id="rId2638"/>
    <hyperlink xmlns:r="http://schemas.openxmlformats.org/officeDocument/2006/relationships" ref="P719" r:id="rId2639"/>
    <hyperlink xmlns:r="http://schemas.openxmlformats.org/officeDocument/2006/relationships" ref="M720" r:id="rId2640"/>
    <hyperlink xmlns:r="http://schemas.openxmlformats.org/officeDocument/2006/relationships" ref="N720" r:id="rId2641"/>
    <hyperlink xmlns:r="http://schemas.openxmlformats.org/officeDocument/2006/relationships" ref="O720" r:id="rId2642"/>
    <hyperlink xmlns:r="http://schemas.openxmlformats.org/officeDocument/2006/relationships" ref="P720" r:id="rId2643"/>
    <hyperlink xmlns:r="http://schemas.openxmlformats.org/officeDocument/2006/relationships" ref="M721" r:id="rId2644"/>
    <hyperlink xmlns:r="http://schemas.openxmlformats.org/officeDocument/2006/relationships" ref="N721" r:id="rId2645"/>
    <hyperlink xmlns:r="http://schemas.openxmlformats.org/officeDocument/2006/relationships" ref="O721" r:id="rId2646"/>
    <hyperlink xmlns:r="http://schemas.openxmlformats.org/officeDocument/2006/relationships" ref="P721" r:id="rId2647"/>
    <hyperlink xmlns:r="http://schemas.openxmlformats.org/officeDocument/2006/relationships" ref="M722" r:id="rId2648"/>
    <hyperlink xmlns:r="http://schemas.openxmlformats.org/officeDocument/2006/relationships" ref="N722" r:id="rId2649"/>
    <hyperlink xmlns:r="http://schemas.openxmlformats.org/officeDocument/2006/relationships" ref="O722" r:id="rId2650"/>
    <hyperlink xmlns:r="http://schemas.openxmlformats.org/officeDocument/2006/relationships" ref="P722" r:id="rId2651"/>
    <hyperlink xmlns:r="http://schemas.openxmlformats.org/officeDocument/2006/relationships" ref="M723" r:id="rId2652"/>
    <hyperlink xmlns:r="http://schemas.openxmlformats.org/officeDocument/2006/relationships" ref="N723" r:id="rId2653"/>
    <hyperlink xmlns:r="http://schemas.openxmlformats.org/officeDocument/2006/relationships" ref="O723" r:id="rId2654"/>
    <hyperlink xmlns:r="http://schemas.openxmlformats.org/officeDocument/2006/relationships" ref="P723" r:id="rId2655"/>
    <hyperlink xmlns:r="http://schemas.openxmlformats.org/officeDocument/2006/relationships" ref="M724" r:id="rId2656"/>
    <hyperlink xmlns:r="http://schemas.openxmlformats.org/officeDocument/2006/relationships" ref="N724" r:id="rId2657"/>
    <hyperlink xmlns:r="http://schemas.openxmlformats.org/officeDocument/2006/relationships" ref="O724" r:id="rId2658"/>
    <hyperlink xmlns:r="http://schemas.openxmlformats.org/officeDocument/2006/relationships" ref="P724" r:id="rId2659"/>
    <hyperlink xmlns:r="http://schemas.openxmlformats.org/officeDocument/2006/relationships" ref="M725" r:id="rId2660"/>
    <hyperlink xmlns:r="http://schemas.openxmlformats.org/officeDocument/2006/relationships" ref="N725" r:id="rId2661"/>
    <hyperlink xmlns:r="http://schemas.openxmlformats.org/officeDocument/2006/relationships" ref="O725" r:id="rId2662"/>
    <hyperlink xmlns:r="http://schemas.openxmlformats.org/officeDocument/2006/relationships" ref="P725" r:id="rId2663"/>
    <hyperlink xmlns:r="http://schemas.openxmlformats.org/officeDocument/2006/relationships" ref="M726" r:id="rId2664"/>
    <hyperlink xmlns:r="http://schemas.openxmlformats.org/officeDocument/2006/relationships" ref="N726" r:id="rId2665"/>
    <hyperlink xmlns:r="http://schemas.openxmlformats.org/officeDocument/2006/relationships" ref="O726" r:id="rId2666"/>
    <hyperlink xmlns:r="http://schemas.openxmlformats.org/officeDocument/2006/relationships" ref="P726" r:id="rId2667"/>
    <hyperlink xmlns:r="http://schemas.openxmlformats.org/officeDocument/2006/relationships" ref="N727" r:id="rId2668"/>
    <hyperlink xmlns:r="http://schemas.openxmlformats.org/officeDocument/2006/relationships" ref="O727" r:id="rId2669"/>
    <hyperlink xmlns:r="http://schemas.openxmlformats.org/officeDocument/2006/relationships" ref="P727" r:id="rId2670"/>
    <hyperlink xmlns:r="http://schemas.openxmlformats.org/officeDocument/2006/relationships" ref="M728" r:id="rId2671"/>
    <hyperlink xmlns:r="http://schemas.openxmlformats.org/officeDocument/2006/relationships" ref="N728" r:id="rId2672"/>
    <hyperlink xmlns:r="http://schemas.openxmlformats.org/officeDocument/2006/relationships" ref="P728" r:id="rId2673"/>
    <hyperlink xmlns:r="http://schemas.openxmlformats.org/officeDocument/2006/relationships" ref="M729" r:id="rId2674"/>
    <hyperlink xmlns:r="http://schemas.openxmlformats.org/officeDocument/2006/relationships" ref="N729" r:id="rId2675"/>
    <hyperlink xmlns:r="http://schemas.openxmlformats.org/officeDocument/2006/relationships" ref="O729" r:id="rId2676"/>
    <hyperlink xmlns:r="http://schemas.openxmlformats.org/officeDocument/2006/relationships" ref="P729" r:id="rId2677"/>
    <hyperlink xmlns:r="http://schemas.openxmlformats.org/officeDocument/2006/relationships" ref="M730" r:id="rId2678"/>
    <hyperlink xmlns:r="http://schemas.openxmlformats.org/officeDocument/2006/relationships" ref="N730" r:id="rId2679"/>
    <hyperlink xmlns:r="http://schemas.openxmlformats.org/officeDocument/2006/relationships" ref="O730" r:id="rId2680"/>
    <hyperlink xmlns:r="http://schemas.openxmlformats.org/officeDocument/2006/relationships" ref="P730" r:id="rId2681"/>
    <hyperlink xmlns:r="http://schemas.openxmlformats.org/officeDocument/2006/relationships" ref="M731" r:id="rId2682"/>
    <hyperlink xmlns:r="http://schemas.openxmlformats.org/officeDocument/2006/relationships" ref="N731" r:id="rId2683"/>
    <hyperlink xmlns:r="http://schemas.openxmlformats.org/officeDocument/2006/relationships" ref="P731" r:id="rId2684"/>
    <hyperlink xmlns:r="http://schemas.openxmlformats.org/officeDocument/2006/relationships" ref="M732" r:id="rId2685"/>
    <hyperlink xmlns:r="http://schemas.openxmlformats.org/officeDocument/2006/relationships" ref="N732" r:id="rId2686"/>
    <hyperlink xmlns:r="http://schemas.openxmlformats.org/officeDocument/2006/relationships" ref="P732" r:id="rId2687"/>
    <hyperlink xmlns:r="http://schemas.openxmlformats.org/officeDocument/2006/relationships" ref="M733" r:id="rId2688"/>
    <hyperlink xmlns:r="http://schemas.openxmlformats.org/officeDocument/2006/relationships" ref="N733" r:id="rId2689"/>
    <hyperlink xmlns:r="http://schemas.openxmlformats.org/officeDocument/2006/relationships" ref="O733" r:id="rId2690"/>
    <hyperlink xmlns:r="http://schemas.openxmlformats.org/officeDocument/2006/relationships" ref="P733" r:id="rId2691"/>
    <hyperlink xmlns:r="http://schemas.openxmlformats.org/officeDocument/2006/relationships" ref="M734" r:id="rId2692"/>
    <hyperlink xmlns:r="http://schemas.openxmlformats.org/officeDocument/2006/relationships" ref="N734" r:id="rId2693"/>
    <hyperlink xmlns:r="http://schemas.openxmlformats.org/officeDocument/2006/relationships" ref="O734" r:id="rId2694"/>
    <hyperlink xmlns:r="http://schemas.openxmlformats.org/officeDocument/2006/relationships" ref="P734" r:id="rId2695"/>
    <hyperlink xmlns:r="http://schemas.openxmlformats.org/officeDocument/2006/relationships" ref="M735" r:id="rId2696"/>
    <hyperlink xmlns:r="http://schemas.openxmlformats.org/officeDocument/2006/relationships" ref="N735" r:id="rId2697"/>
    <hyperlink xmlns:r="http://schemas.openxmlformats.org/officeDocument/2006/relationships" ref="P735" r:id="rId2698"/>
    <hyperlink xmlns:r="http://schemas.openxmlformats.org/officeDocument/2006/relationships" ref="M736" r:id="rId2699"/>
    <hyperlink xmlns:r="http://schemas.openxmlformats.org/officeDocument/2006/relationships" ref="N736" r:id="rId2700"/>
    <hyperlink xmlns:r="http://schemas.openxmlformats.org/officeDocument/2006/relationships" ref="P736" r:id="rId2701"/>
    <hyperlink xmlns:r="http://schemas.openxmlformats.org/officeDocument/2006/relationships" ref="M737" r:id="rId2702"/>
    <hyperlink xmlns:r="http://schemas.openxmlformats.org/officeDocument/2006/relationships" ref="N737" r:id="rId2703"/>
    <hyperlink xmlns:r="http://schemas.openxmlformats.org/officeDocument/2006/relationships" ref="O737" r:id="rId2704"/>
    <hyperlink xmlns:r="http://schemas.openxmlformats.org/officeDocument/2006/relationships" ref="P737" r:id="rId2705"/>
    <hyperlink xmlns:r="http://schemas.openxmlformats.org/officeDocument/2006/relationships" ref="M738" r:id="rId2706"/>
    <hyperlink xmlns:r="http://schemas.openxmlformats.org/officeDocument/2006/relationships" ref="N738" r:id="rId2707"/>
    <hyperlink xmlns:r="http://schemas.openxmlformats.org/officeDocument/2006/relationships" ref="O738" r:id="rId2708"/>
    <hyperlink xmlns:r="http://schemas.openxmlformats.org/officeDocument/2006/relationships" ref="P738" r:id="rId2709"/>
    <hyperlink xmlns:r="http://schemas.openxmlformats.org/officeDocument/2006/relationships" ref="M739" r:id="rId2710"/>
    <hyperlink xmlns:r="http://schemas.openxmlformats.org/officeDocument/2006/relationships" ref="N739" r:id="rId2711"/>
    <hyperlink xmlns:r="http://schemas.openxmlformats.org/officeDocument/2006/relationships" ref="O739" r:id="rId2712"/>
    <hyperlink xmlns:r="http://schemas.openxmlformats.org/officeDocument/2006/relationships" ref="P739" r:id="rId2713"/>
    <hyperlink xmlns:r="http://schemas.openxmlformats.org/officeDocument/2006/relationships" ref="M740" r:id="rId2714"/>
    <hyperlink xmlns:r="http://schemas.openxmlformats.org/officeDocument/2006/relationships" ref="N740" r:id="rId2715"/>
    <hyperlink xmlns:r="http://schemas.openxmlformats.org/officeDocument/2006/relationships" ref="O740" r:id="rId2716"/>
    <hyperlink xmlns:r="http://schemas.openxmlformats.org/officeDocument/2006/relationships" ref="P740" r:id="rId2717"/>
    <hyperlink xmlns:r="http://schemas.openxmlformats.org/officeDocument/2006/relationships" ref="M741" r:id="rId2718"/>
    <hyperlink xmlns:r="http://schemas.openxmlformats.org/officeDocument/2006/relationships" ref="N741" r:id="rId2719"/>
    <hyperlink xmlns:r="http://schemas.openxmlformats.org/officeDocument/2006/relationships" ref="O741" r:id="rId2720"/>
    <hyperlink xmlns:r="http://schemas.openxmlformats.org/officeDocument/2006/relationships" ref="P741" r:id="rId2721"/>
    <hyperlink xmlns:r="http://schemas.openxmlformats.org/officeDocument/2006/relationships" ref="M742" r:id="rId2722"/>
    <hyperlink xmlns:r="http://schemas.openxmlformats.org/officeDocument/2006/relationships" ref="N742" r:id="rId2723"/>
    <hyperlink xmlns:r="http://schemas.openxmlformats.org/officeDocument/2006/relationships" ref="O742" r:id="rId2724"/>
    <hyperlink xmlns:r="http://schemas.openxmlformats.org/officeDocument/2006/relationships" ref="P742" r:id="rId2725"/>
    <hyperlink xmlns:r="http://schemas.openxmlformats.org/officeDocument/2006/relationships" ref="M743" r:id="rId2726"/>
    <hyperlink xmlns:r="http://schemas.openxmlformats.org/officeDocument/2006/relationships" ref="N743" r:id="rId2727"/>
    <hyperlink xmlns:r="http://schemas.openxmlformats.org/officeDocument/2006/relationships" ref="P743" r:id="rId2728"/>
    <hyperlink xmlns:r="http://schemas.openxmlformats.org/officeDocument/2006/relationships" ref="M744" r:id="rId2729"/>
    <hyperlink xmlns:r="http://schemas.openxmlformats.org/officeDocument/2006/relationships" ref="N744" r:id="rId2730"/>
    <hyperlink xmlns:r="http://schemas.openxmlformats.org/officeDocument/2006/relationships" ref="P744" r:id="rId2731"/>
    <hyperlink xmlns:r="http://schemas.openxmlformats.org/officeDocument/2006/relationships" ref="M745" r:id="rId2732"/>
    <hyperlink xmlns:r="http://schemas.openxmlformats.org/officeDocument/2006/relationships" ref="N745" r:id="rId2733"/>
    <hyperlink xmlns:r="http://schemas.openxmlformats.org/officeDocument/2006/relationships" ref="O745" r:id="rId2734"/>
    <hyperlink xmlns:r="http://schemas.openxmlformats.org/officeDocument/2006/relationships" ref="P745" r:id="rId2735"/>
    <hyperlink xmlns:r="http://schemas.openxmlformats.org/officeDocument/2006/relationships" ref="M746" r:id="rId2736"/>
    <hyperlink xmlns:r="http://schemas.openxmlformats.org/officeDocument/2006/relationships" ref="N746" r:id="rId2737"/>
    <hyperlink xmlns:r="http://schemas.openxmlformats.org/officeDocument/2006/relationships" ref="P746" r:id="rId2738"/>
    <hyperlink xmlns:r="http://schemas.openxmlformats.org/officeDocument/2006/relationships" ref="M747" r:id="rId2739"/>
    <hyperlink xmlns:r="http://schemas.openxmlformats.org/officeDocument/2006/relationships" ref="N747" r:id="rId2740"/>
    <hyperlink xmlns:r="http://schemas.openxmlformats.org/officeDocument/2006/relationships" ref="O747" r:id="rId2741"/>
    <hyperlink xmlns:r="http://schemas.openxmlformats.org/officeDocument/2006/relationships" ref="P747" r:id="rId2742"/>
    <hyperlink xmlns:r="http://schemas.openxmlformats.org/officeDocument/2006/relationships" ref="M748" r:id="rId2743"/>
    <hyperlink xmlns:r="http://schemas.openxmlformats.org/officeDocument/2006/relationships" ref="N748" r:id="rId2744"/>
    <hyperlink xmlns:r="http://schemas.openxmlformats.org/officeDocument/2006/relationships" ref="O748" r:id="rId2745"/>
    <hyperlink xmlns:r="http://schemas.openxmlformats.org/officeDocument/2006/relationships" ref="P748" r:id="rId2746"/>
    <hyperlink xmlns:r="http://schemas.openxmlformats.org/officeDocument/2006/relationships" ref="M749" r:id="rId2747"/>
    <hyperlink xmlns:r="http://schemas.openxmlformats.org/officeDocument/2006/relationships" ref="N749" r:id="rId2748"/>
    <hyperlink xmlns:r="http://schemas.openxmlformats.org/officeDocument/2006/relationships" ref="O749" r:id="rId2749"/>
    <hyperlink xmlns:r="http://schemas.openxmlformats.org/officeDocument/2006/relationships" ref="P749" r:id="rId2750"/>
    <hyperlink xmlns:r="http://schemas.openxmlformats.org/officeDocument/2006/relationships" ref="M750" r:id="rId2751"/>
    <hyperlink xmlns:r="http://schemas.openxmlformats.org/officeDocument/2006/relationships" ref="N750" r:id="rId2752"/>
    <hyperlink xmlns:r="http://schemas.openxmlformats.org/officeDocument/2006/relationships" ref="O750" r:id="rId2753"/>
    <hyperlink xmlns:r="http://schemas.openxmlformats.org/officeDocument/2006/relationships" ref="P750" r:id="rId2754"/>
    <hyperlink xmlns:r="http://schemas.openxmlformats.org/officeDocument/2006/relationships" ref="M751" r:id="rId2755"/>
    <hyperlink xmlns:r="http://schemas.openxmlformats.org/officeDocument/2006/relationships" ref="N751" r:id="rId2756"/>
    <hyperlink xmlns:r="http://schemas.openxmlformats.org/officeDocument/2006/relationships" ref="O751" r:id="rId2757"/>
    <hyperlink xmlns:r="http://schemas.openxmlformats.org/officeDocument/2006/relationships" ref="P751" r:id="rId2758"/>
    <hyperlink xmlns:r="http://schemas.openxmlformats.org/officeDocument/2006/relationships" ref="M752" r:id="rId2759"/>
    <hyperlink xmlns:r="http://schemas.openxmlformats.org/officeDocument/2006/relationships" ref="N752" r:id="rId2760"/>
    <hyperlink xmlns:r="http://schemas.openxmlformats.org/officeDocument/2006/relationships" ref="O752" r:id="rId2761"/>
    <hyperlink xmlns:r="http://schemas.openxmlformats.org/officeDocument/2006/relationships" ref="P752" r:id="rId2762"/>
    <hyperlink xmlns:r="http://schemas.openxmlformats.org/officeDocument/2006/relationships" ref="M753" r:id="rId2763"/>
    <hyperlink xmlns:r="http://schemas.openxmlformats.org/officeDocument/2006/relationships" ref="N753" r:id="rId2764"/>
    <hyperlink xmlns:r="http://schemas.openxmlformats.org/officeDocument/2006/relationships" ref="O753" r:id="rId2765"/>
    <hyperlink xmlns:r="http://schemas.openxmlformats.org/officeDocument/2006/relationships" ref="P753" r:id="rId2766"/>
    <hyperlink xmlns:r="http://schemas.openxmlformats.org/officeDocument/2006/relationships" ref="M754" r:id="rId2767"/>
    <hyperlink xmlns:r="http://schemas.openxmlformats.org/officeDocument/2006/relationships" ref="N754" r:id="rId2768"/>
    <hyperlink xmlns:r="http://schemas.openxmlformats.org/officeDocument/2006/relationships" ref="O754" r:id="rId2769"/>
    <hyperlink xmlns:r="http://schemas.openxmlformats.org/officeDocument/2006/relationships" ref="P754" r:id="rId2770"/>
    <hyperlink xmlns:r="http://schemas.openxmlformats.org/officeDocument/2006/relationships" ref="M755" r:id="rId2771"/>
    <hyperlink xmlns:r="http://schemas.openxmlformats.org/officeDocument/2006/relationships" ref="N755" r:id="rId2772"/>
    <hyperlink xmlns:r="http://schemas.openxmlformats.org/officeDocument/2006/relationships" ref="O755" r:id="rId2773"/>
    <hyperlink xmlns:r="http://schemas.openxmlformats.org/officeDocument/2006/relationships" ref="P755" r:id="rId2774"/>
    <hyperlink xmlns:r="http://schemas.openxmlformats.org/officeDocument/2006/relationships" ref="M756" r:id="rId2775"/>
    <hyperlink xmlns:r="http://schemas.openxmlformats.org/officeDocument/2006/relationships" ref="N756" r:id="rId2776"/>
    <hyperlink xmlns:r="http://schemas.openxmlformats.org/officeDocument/2006/relationships" ref="P756" r:id="rId2777"/>
    <hyperlink xmlns:r="http://schemas.openxmlformats.org/officeDocument/2006/relationships" ref="M757" r:id="rId2778"/>
    <hyperlink xmlns:r="http://schemas.openxmlformats.org/officeDocument/2006/relationships" ref="N757" r:id="rId2779"/>
    <hyperlink xmlns:r="http://schemas.openxmlformats.org/officeDocument/2006/relationships" ref="P757" r:id="rId2780"/>
    <hyperlink xmlns:r="http://schemas.openxmlformats.org/officeDocument/2006/relationships" ref="M758" r:id="rId2781"/>
    <hyperlink xmlns:r="http://schemas.openxmlformats.org/officeDocument/2006/relationships" ref="N758" r:id="rId2782"/>
    <hyperlink xmlns:r="http://schemas.openxmlformats.org/officeDocument/2006/relationships" ref="P758" r:id="rId2783"/>
    <hyperlink xmlns:r="http://schemas.openxmlformats.org/officeDocument/2006/relationships" ref="M759" r:id="rId2784"/>
    <hyperlink xmlns:r="http://schemas.openxmlformats.org/officeDocument/2006/relationships" ref="N759" r:id="rId2785"/>
    <hyperlink xmlns:r="http://schemas.openxmlformats.org/officeDocument/2006/relationships" ref="O759" r:id="rId2786"/>
    <hyperlink xmlns:r="http://schemas.openxmlformats.org/officeDocument/2006/relationships" ref="P759" r:id="rId2787"/>
    <hyperlink xmlns:r="http://schemas.openxmlformats.org/officeDocument/2006/relationships" ref="M761" r:id="rId2788"/>
    <hyperlink xmlns:r="http://schemas.openxmlformats.org/officeDocument/2006/relationships" ref="N761" r:id="rId2789"/>
    <hyperlink xmlns:r="http://schemas.openxmlformats.org/officeDocument/2006/relationships" ref="O761" r:id="rId2790"/>
    <hyperlink xmlns:r="http://schemas.openxmlformats.org/officeDocument/2006/relationships" ref="P761" r:id="rId2791"/>
    <hyperlink xmlns:r="http://schemas.openxmlformats.org/officeDocument/2006/relationships" ref="M762" r:id="rId2792"/>
    <hyperlink xmlns:r="http://schemas.openxmlformats.org/officeDocument/2006/relationships" ref="N762" r:id="rId2793"/>
    <hyperlink xmlns:r="http://schemas.openxmlformats.org/officeDocument/2006/relationships" ref="O762" r:id="rId2794"/>
    <hyperlink xmlns:r="http://schemas.openxmlformats.org/officeDocument/2006/relationships" ref="P762" r:id="rId2795"/>
    <hyperlink xmlns:r="http://schemas.openxmlformats.org/officeDocument/2006/relationships" ref="M764" r:id="rId2796"/>
    <hyperlink xmlns:r="http://schemas.openxmlformats.org/officeDocument/2006/relationships" ref="N764" r:id="rId2797"/>
    <hyperlink xmlns:r="http://schemas.openxmlformats.org/officeDocument/2006/relationships" ref="P764" r:id="rId2798"/>
    <hyperlink xmlns:r="http://schemas.openxmlformats.org/officeDocument/2006/relationships" ref="M765" r:id="rId2799"/>
    <hyperlink xmlns:r="http://schemas.openxmlformats.org/officeDocument/2006/relationships" ref="N765" r:id="rId2800"/>
    <hyperlink xmlns:r="http://schemas.openxmlformats.org/officeDocument/2006/relationships" ref="O765" r:id="rId2801"/>
    <hyperlink xmlns:r="http://schemas.openxmlformats.org/officeDocument/2006/relationships" ref="P765" r:id="rId2802"/>
    <hyperlink xmlns:r="http://schemas.openxmlformats.org/officeDocument/2006/relationships" ref="M766" r:id="rId2803"/>
    <hyperlink xmlns:r="http://schemas.openxmlformats.org/officeDocument/2006/relationships" ref="N766" r:id="rId2804"/>
    <hyperlink xmlns:r="http://schemas.openxmlformats.org/officeDocument/2006/relationships" ref="P766" r:id="rId2805"/>
    <hyperlink xmlns:r="http://schemas.openxmlformats.org/officeDocument/2006/relationships" ref="M767" r:id="rId2806"/>
    <hyperlink xmlns:r="http://schemas.openxmlformats.org/officeDocument/2006/relationships" ref="N767" r:id="rId2807"/>
    <hyperlink xmlns:r="http://schemas.openxmlformats.org/officeDocument/2006/relationships" ref="O767" r:id="rId2808"/>
    <hyperlink xmlns:r="http://schemas.openxmlformats.org/officeDocument/2006/relationships" ref="P767" r:id="rId2809"/>
    <hyperlink xmlns:r="http://schemas.openxmlformats.org/officeDocument/2006/relationships" ref="M768" r:id="rId2810"/>
    <hyperlink xmlns:r="http://schemas.openxmlformats.org/officeDocument/2006/relationships" ref="N768" r:id="rId2811"/>
    <hyperlink xmlns:r="http://schemas.openxmlformats.org/officeDocument/2006/relationships" ref="O768" r:id="rId2812"/>
    <hyperlink xmlns:r="http://schemas.openxmlformats.org/officeDocument/2006/relationships" ref="P768" r:id="rId2813"/>
    <hyperlink xmlns:r="http://schemas.openxmlformats.org/officeDocument/2006/relationships" ref="M769" r:id="rId2814"/>
    <hyperlink xmlns:r="http://schemas.openxmlformats.org/officeDocument/2006/relationships" ref="N769" r:id="rId2815"/>
    <hyperlink xmlns:r="http://schemas.openxmlformats.org/officeDocument/2006/relationships" ref="O769" r:id="rId2816"/>
    <hyperlink xmlns:r="http://schemas.openxmlformats.org/officeDocument/2006/relationships" ref="P769" r:id="rId2817"/>
    <hyperlink xmlns:r="http://schemas.openxmlformats.org/officeDocument/2006/relationships" ref="M770" r:id="rId2818"/>
    <hyperlink xmlns:r="http://schemas.openxmlformats.org/officeDocument/2006/relationships" ref="N770" r:id="rId2819"/>
    <hyperlink xmlns:r="http://schemas.openxmlformats.org/officeDocument/2006/relationships" ref="O770" r:id="rId2820"/>
    <hyperlink xmlns:r="http://schemas.openxmlformats.org/officeDocument/2006/relationships" ref="P770" r:id="rId2821"/>
    <hyperlink xmlns:r="http://schemas.openxmlformats.org/officeDocument/2006/relationships" ref="M771" r:id="rId2822"/>
    <hyperlink xmlns:r="http://schemas.openxmlformats.org/officeDocument/2006/relationships" ref="N771" r:id="rId2823"/>
    <hyperlink xmlns:r="http://schemas.openxmlformats.org/officeDocument/2006/relationships" ref="O771" r:id="rId2824"/>
    <hyperlink xmlns:r="http://schemas.openxmlformats.org/officeDocument/2006/relationships" ref="P771" r:id="rId2825"/>
    <hyperlink xmlns:r="http://schemas.openxmlformats.org/officeDocument/2006/relationships" ref="M772" r:id="rId2826"/>
    <hyperlink xmlns:r="http://schemas.openxmlformats.org/officeDocument/2006/relationships" ref="N772" r:id="rId2827"/>
    <hyperlink xmlns:r="http://schemas.openxmlformats.org/officeDocument/2006/relationships" ref="O772" r:id="rId2828"/>
    <hyperlink xmlns:r="http://schemas.openxmlformats.org/officeDocument/2006/relationships" ref="P772" r:id="rId2829"/>
    <hyperlink xmlns:r="http://schemas.openxmlformats.org/officeDocument/2006/relationships" ref="M773" r:id="rId2830"/>
    <hyperlink xmlns:r="http://schemas.openxmlformats.org/officeDocument/2006/relationships" ref="N773" r:id="rId2831"/>
    <hyperlink xmlns:r="http://schemas.openxmlformats.org/officeDocument/2006/relationships" ref="O773" r:id="rId2832"/>
    <hyperlink xmlns:r="http://schemas.openxmlformats.org/officeDocument/2006/relationships" ref="P773" r:id="rId2833"/>
    <hyperlink xmlns:r="http://schemas.openxmlformats.org/officeDocument/2006/relationships" ref="M774" r:id="rId2834"/>
    <hyperlink xmlns:r="http://schemas.openxmlformats.org/officeDocument/2006/relationships" ref="N774" r:id="rId2835"/>
    <hyperlink xmlns:r="http://schemas.openxmlformats.org/officeDocument/2006/relationships" ref="O774" r:id="rId2836"/>
    <hyperlink xmlns:r="http://schemas.openxmlformats.org/officeDocument/2006/relationships" ref="P774" r:id="rId2837"/>
    <hyperlink xmlns:r="http://schemas.openxmlformats.org/officeDocument/2006/relationships" ref="M775" r:id="rId2838"/>
    <hyperlink xmlns:r="http://schemas.openxmlformats.org/officeDocument/2006/relationships" ref="N775" r:id="rId2839"/>
    <hyperlink xmlns:r="http://schemas.openxmlformats.org/officeDocument/2006/relationships" ref="O775" r:id="rId2840"/>
    <hyperlink xmlns:r="http://schemas.openxmlformats.org/officeDocument/2006/relationships" ref="P775" r:id="rId2841"/>
    <hyperlink xmlns:r="http://schemas.openxmlformats.org/officeDocument/2006/relationships" ref="M776" r:id="rId2842"/>
    <hyperlink xmlns:r="http://schemas.openxmlformats.org/officeDocument/2006/relationships" ref="N776" r:id="rId2843"/>
    <hyperlink xmlns:r="http://schemas.openxmlformats.org/officeDocument/2006/relationships" ref="O776" r:id="rId2844"/>
    <hyperlink xmlns:r="http://schemas.openxmlformats.org/officeDocument/2006/relationships" ref="P776" r:id="rId2845"/>
    <hyperlink xmlns:r="http://schemas.openxmlformats.org/officeDocument/2006/relationships" ref="M777" r:id="rId2846"/>
    <hyperlink xmlns:r="http://schemas.openxmlformats.org/officeDocument/2006/relationships" ref="N777" r:id="rId2847"/>
    <hyperlink xmlns:r="http://schemas.openxmlformats.org/officeDocument/2006/relationships" ref="P777" r:id="rId2848"/>
    <hyperlink xmlns:r="http://schemas.openxmlformats.org/officeDocument/2006/relationships" ref="M778" r:id="rId2849"/>
    <hyperlink xmlns:r="http://schemas.openxmlformats.org/officeDocument/2006/relationships" ref="N778" r:id="rId2850"/>
    <hyperlink xmlns:r="http://schemas.openxmlformats.org/officeDocument/2006/relationships" ref="P778" r:id="rId2851"/>
    <hyperlink xmlns:r="http://schemas.openxmlformats.org/officeDocument/2006/relationships" ref="M779" r:id="rId2852"/>
    <hyperlink xmlns:r="http://schemas.openxmlformats.org/officeDocument/2006/relationships" ref="N779" r:id="rId2853"/>
    <hyperlink xmlns:r="http://schemas.openxmlformats.org/officeDocument/2006/relationships" ref="O779" r:id="rId2854"/>
    <hyperlink xmlns:r="http://schemas.openxmlformats.org/officeDocument/2006/relationships" ref="P779" r:id="rId2855"/>
    <hyperlink xmlns:r="http://schemas.openxmlformats.org/officeDocument/2006/relationships" ref="M780" r:id="rId2856"/>
    <hyperlink xmlns:r="http://schemas.openxmlformats.org/officeDocument/2006/relationships" ref="N780" r:id="rId2857"/>
    <hyperlink xmlns:r="http://schemas.openxmlformats.org/officeDocument/2006/relationships" ref="O780" r:id="rId2858"/>
    <hyperlink xmlns:r="http://schemas.openxmlformats.org/officeDocument/2006/relationships" ref="P780" r:id="rId2859"/>
    <hyperlink xmlns:r="http://schemas.openxmlformats.org/officeDocument/2006/relationships" ref="M781" r:id="rId2860"/>
    <hyperlink xmlns:r="http://schemas.openxmlformats.org/officeDocument/2006/relationships" ref="N781" r:id="rId2861"/>
    <hyperlink xmlns:r="http://schemas.openxmlformats.org/officeDocument/2006/relationships" ref="P781" r:id="rId2862"/>
    <hyperlink xmlns:r="http://schemas.openxmlformats.org/officeDocument/2006/relationships" ref="M782" r:id="rId2863"/>
    <hyperlink xmlns:r="http://schemas.openxmlformats.org/officeDocument/2006/relationships" ref="N782" r:id="rId2864"/>
    <hyperlink xmlns:r="http://schemas.openxmlformats.org/officeDocument/2006/relationships" ref="P782" r:id="rId2865"/>
    <hyperlink xmlns:r="http://schemas.openxmlformats.org/officeDocument/2006/relationships" ref="M783" r:id="rId2866"/>
    <hyperlink xmlns:r="http://schemas.openxmlformats.org/officeDocument/2006/relationships" ref="N783" r:id="rId2867"/>
    <hyperlink xmlns:r="http://schemas.openxmlformats.org/officeDocument/2006/relationships" ref="O783" r:id="rId2868"/>
    <hyperlink xmlns:r="http://schemas.openxmlformats.org/officeDocument/2006/relationships" ref="P783" r:id="rId2869"/>
    <hyperlink xmlns:r="http://schemas.openxmlformats.org/officeDocument/2006/relationships" ref="M784" r:id="rId2870"/>
    <hyperlink xmlns:r="http://schemas.openxmlformats.org/officeDocument/2006/relationships" ref="N784" r:id="rId2871"/>
    <hyperlink xmlns:r="http://schemas.openxmlformats.org/officeDocument/2006/relationships" ref="O784" r:id="rId2872"/>
    <hyperlink xmlns:r="http://schemas.openxmlformats.org/officeDocument/2006/relationships" ref="P784" r:id="rId2873"/>
    <hyperlink xmlns:r="http://schemas.openxmlformats.org/officeDocument/2006/relationships" ref="M785" r:id="rId2874"/>
    <hyperlink xmlns:r="http://schemas.openxmlformats.org/officeDocument/2006/relationships" ref="N785" r:id="rId2875"/>
    <hyperlink xmlns:r="http://schemas.openxmlformats.org/officeDocument/2006/relationships" ref="P785" r:id="rId2876"/>
    <hyperlink xmlns:r="http://schemas.openxmlformats.org/officeDocument/2006/relationships" ref="M786" r:id="rId2877"/>
    <hyperlink xmlns:r="http://schemas.openxmlformats.org/officeDocument/2006/relationships" ref="N786" r:id="rId2878"/>
    <hyperlink xmlns:r="http://schemas.openxmlformats.org/officeDocument/2006/relationships" ref="P786" r:id="rId2879"/>
    <hyperlink xmlns:r="http://schemas.openxmlformats.org/officeDocument/2006/relationships" ref="M787" r:id="rId2880"/>
    <hyperlink xmlns:r="http://schemas.openxmlformats.org/officeDocument/2006/relationships" ref="N787" r:id="rId2881"/>
    <hyperlink xmlns:r="http://schemas.openxmlformats.org/officeDocument/2006/relationships" ref="O787" r:id="rId2882"/>
    <hyperlink xmlns:r="http://schemas.openxmlformats.org/officeDocument/2006/relationships" ref="P787" r:id="rId2883"/>
    <hyperlink xmlns:r="http://schemas.openxmlformats.org/officeDocument/2006/relationships" ref="M788" r:id="rId2884"/>
    <hyperlink xmlns:r="http://schemas.openxmlformats.org/officeDocument/2006/relationships" ref="N788" r:id="rId2885"/>
    <hyperlink xmlns:r="http://schemas.openxmlformats.org/officeDocument/2006/relationships" ref="O788" r:id="rId2886"/>
    <hyperlink xmlns:r="http://schemas.openxmlformats.org/officeDocument/2006/relationships" ref="P788" r:id="rId2887"/>
    <hyperlink xmlns:r="http://schemas.openxmlformats.org/officeDocument/2006/relationships" ref="M789" r:id="rId2888"/>
    <hyperlink xmlns:r="http://schemas.openxmlformats.org/officeDocument/2006/relationships" ref="N789" r:id="rId2889"/>
    <hyperlink xmlns:r="http://schemas.openxmlformats.org/officeDocument/2006/relationships" ref="O789" r:id="rId2890"/>
    <hyperlink xmlns:r="http://schemas.openxmlformats.org/officeDocument/2006/relationships" ref="P789" r:id="rId2891"/>
    <hyperlink xmlns:r="http://schemas.openxmlformats.org/officeDocument/2006/relationships" ref="M790" r:id="rId2892"/>
    <hyperlink xmlns:r="http://schemas.openxmlformats.org/officeDocument/2006/relationships" ref="N790" r:id="rId2893"/>
    <hyperlink xmlns:r="http://schemas.openxmlformats.org/officeDocument/2006/relationships" ref="O790" r:id="rId2894"/>
    <hyperlink xmlns:r="http://schemas.openxmlformats.org/officeDocument/2006/relationships" ref="P790" r:id="rId2895"/>
    <hyperlink xmlns:r="http://schemas.openxmlformats.org/officeDocument/2006/relationships" ref="M791" r:id="rId2896"/>
    <hyperlink xmlns:r="http://schemas.openxmlformats.org/officeDocument/2006/relationships" ref="N791" r:id="rId2897"/>
    <hyperlink xmlns:r="http://schemas.openxmlformats.org/officeDocument/2006/relationships" ref="P791" r:id="rId2898"/>
    <hyperlink xmlns:r="http://schemas.openxmlformats.org/officeDocument/2006/relationships" ref="M792" r:id="rId2899"/>
    <hyperlink xmlns:r="http://schemas.openxmlformats.org/officeDocument/2006/relationships" ref="N792" r:id="rId2900"/>
    <hyperlink xmlns:r="http://schemas.openxmlformats.org/officeDocument/2006/relationships" ref="O792" r:id="rId2901"/>
    <hyperlink xmlns:r="http://schemas.openxmlformats.org/officeDocument/2006/relationships" ref="P792" r:id="rId2902"/>
    <hyperlink xmlns:r="http://schemas.openxmlformats.org/officeDocument/2006/relationships" ref="M793" r:id="rId2903"/>
    <hyperlink xmlns:r="http://schemas.openxmlformats.org/officeDocument/2006/relationships" ref="N793" r:id="rId2904"/>
    <hyperlink xmlns:r="http://schemas.openxmlformats.org/officeDocument/2006/relationships" ref="P793" r:id="rId2905"/>
    <hyperlink xmlns:r="http://schemas.openxmlformats.org/officeDocument/2006/relationships" ref="M794" r:id="rId2906"/>
    <hyperlink xmlns:r="http://schemas.openxmlformats.org/officeDocument/2006/relationships" ref="N794" r:id="rId2907"/>
    <hyperlink xmlns:r="http://schemas.openxmlformats.org/officeDocument/2006/relationships" ref="O794" r:id="rId2908"/>
    <hyperlink xmlns:r="http://schemas.openxmlformats.org/officeDocument/2006/relationships" ref="P794" r:id="rId2909"/>
    <hyperlink xmlns:r="http://schemas.openxmlformats.org/officeDocument/2006/relationships" ref="M795" r:id="rId2910"/>
    <hyperlink xmlns:r="http://schemas.openxmlformats.org/officeDocument/2006/relationships" ref="N795" r:id="rId2911"/>
    <hyperlink xmlns:r="http://schemas.openxmlformats.org/officeDocument/2006/relationships" ref="O795" r:id="rId2912"/>
    <hyperlink xmlns:r="http://schemas.openxmlformats.org/officeDocument/2006/relationships" ref="P795" r:id="rId2913"/>
    <hyperlink xmlns:r="http://schemas.openxmlformats.org/officeDocument/2006/relationships" ref="M796" r:id="rId2914"/>
    <hyperlink xmlns:r="http://schemas.openxmlformats.org/officeDocument/2006/relationships" ref="N796" r:id="rId2915"/>
    <hyperlink xmlns:r="http://schemas.openxmlformats.org/officeDocument/2006/relationships" ref="O796" r:id="rId2916"/>
    <hyperlink xmlns:r="http://schemas.openxmlformats.org/officeDocument/2006/relationships" ref="P796" r:id="rId2917"/>
    <hyperlink xmlns:r="http://schemas.openxmlformats.org/officeDocument/2006/relationships" ref="M797" r:id="rId2918"/>
    <hyperlink xmlns:r="http://schemas.openxmlformats.org/officeDocument/2006/relationships" ref="N797" r:id="rId2919"/>
    <hyperlink xmlns:r="http://schemas.openxmlformats.org/officeDocument/2006/relationships" ref="P797" r:id="rId2920"/>
    <hyperlink xmlns:r="http://schemas.openxmlformats.org/officeDocument/2006/relationships" ref="M798" r:id="rId2921"/>
    <hyperlink xmlns:r="http://schemas.openxmlformats.org/officeDocument/2006/relationships" ref="N798" r:id="rId2922"/>
    <hyperlink xmlns:r="http://schemas.openxmlformats.org/officeDocument/2006/relationships" ref="P798" r:id="rId2923"/>
    <hyperlink xmlns:r="http://schemas.openxmlformats.org/officeDocument/2006/relationships" ref="M799" r:id="rId2924"/>
    <hyperlink xmlns:r="http://schemas.openxmlformats.org/officeDocument/2006/relationships" ref="N799" r:id="rId2925"/>
    <hyperlink xmlns:r="http://schemas.openxmlformats.org/officeDocument/2006/relationships" ref="O799" r:id="rId2926"/>
    <hyperlink xmlns:r="http://schemas.openxmlformats.org/officeDocument/2006/relationships" ref="P799" r:id="rId2927"/>
    <hyperlink xmlns:r="http://schemas.openxmlformats.org/officeDocument/2006/relationships" ref="M800" r:id="rId2928"/>
    <hyperlink xmlns:r="http://schemas.openxmlformats.org/officeDocument/2006/relationships" ref="N800" r:id="rId2929"/>
    <hyperlink xmlns:r="http://schemas.openxmlformats.org/officeDocument/2006/relationships" ref="O800" r:id="rId2930"/>
    <hyperlink xmlns:r="http://schemas.openxmlformats.org/officeDocument/2006/relationships" ref="P800" r:id="rId2931"/>
    <hyperlink xmlns:r="http://schemas.openxmlformats.org/officeDocument/2006/relationships" ref="M801" r:id="rId2932"/>
    <hyperlink xmlns:r="http://schemas.openxmlformats.org/officeDocument/2006/relationships" ref="N801" r:id="rId2933"/>
    <hyperlink xmlns:r="http://schemas.openxmlformats.org/officeDocument/2006/relationships" ref="O801" r:id="rId2934"/>
    <hyperlink xmlns:r="http://schemas.openxmlformats.org/officeDocument/2006/relationships" ref="P801" r:id="rId2935"/>
    <hyperlink xmlns:r="http://schemas.openxmlformats.org/officeDocument/2006/relationships" ref="M802" r:id="rId2936"/>
    <hyperlink xmlns:r="http://schemas.openxmlformats.org/officeDocument/2006/relationships" ref="N802" r:id="rId2937"/>
    <hyperlink xmlns:r="http://schemas.openxmlformats.org/officeDocument/2006/relationships" ref="O802" r:id="rId2938"/>
    <hyperlink xmlns:r="http://schemas.openxmlformats.org/officeDocument/2006/relationships" ref="P802" r:id="rId2939"/>
    <hyperlink xmlns:r="http://schemas.openxmlformats.org/officeDocument/2006/relationships" ref="M803" r:id="rId2940"/>
    <hyperlink xmlns:r="http://schemas.openxmlformats.org/officeDocument/2006/relationships" ref="N803" r:id="rId2941"/>
    <hyperlink xmlns:r="http://schemas.openxmlformats.org/officeDocument/2006/relationships" ref="O803" r:id="rId2942"/>
    <hyperlink xmlns:r="http://schemas.openxmlformats.org/officeDocument/2006/relationships" ref="P803" r:id="rId2943"/>
    <hyperlink xmlns:r="http://schemas.openxmlformats.org/officeDocument/2006/relationships" ref="M804" r:id="rId2944"/>
    <hyperlink xmlns:r="http://schemas.openxmlformats.org/officeDocument/2006/relationships" ref="N804" r:id="rId2945"/>
    <hyperlink xmlns:r="http://schemas.openxmlformats.org/officeDocument/2006/relationships" ref="O804" r:id="rId2946"/>
    <hyperlink xmlns:r="http://schemas.openxmlformats.org/officeDocument/2006/relationships" ref="P804" r:id="rId2947"/>
    <hyperlink xmlns:r="http://schemas.openxmlformats.org/officeDocument/2006/relationships" ref="M805" r:id="rId2948"/>
    <hyperlink xmlns:r="http://schemas.openxmlformats.org/officeDocument/2006/relationships" ref="N805" r:id="rId2949"/>
    <hyperlink xmlns:r="http://schemas.openxmlformats.org/officeDocument/2006/relationships" ref="O805" r:id="rId2950"/>
    <hyperlink xmlns:r="http://schemas.openxmlformats.org/officeDocument/2006/relationships" ref="P805" r:id="rId2951"/>
    <hyperlink xmlns:r="http://schemas.openxmlformats.org/officeDocument/2006/relationships" ref="M806" r:id="rId2952"/>
    <hyperlink xmlns:r="http://schemas.openxmlformats.org/officeDocument/2006/relationships" ref="N806" r:id="rId2953"/>
    <hyperlink xmlns:r="http://schemas.openxmlformats.org/officeDocument/2006/relationships" ref="O806" r:id="rId2954"/>
    <hyperlink xmlns:r="http://schemas.openxmlformats.org/officeDocument/2006/relationships" ref="P806" r:id="rId2955"/>
    <hyperlink xmlns:r="http://schemas.openxmlformats.org/officeDocument/2006/relationships" ref="M807" r:id="rId2956"/>
    <hyperlink xmlns:r="http://schemas.openxmlformats.org/officeDocument/2006/relationships" ref="N807" r:id="rId2957"/>
    <hyperlink xmlns:r="http://schemas.openxmlformats.org/officeDocument/2006/relationships" ref="P807" r:id="rId2958"/>
    <hyperlink xmlns:r="http://schemas.openxmlformats.org/officeDocument/2006/relationships" ref="M808" r:id="rId2959"/>
    <hyperlink xmlns:r="http://schemas.openxmlformats.org/officeDocument/2006/relationships" ref="N808" r:id="rId2960"/>
    <hyperlink xmlns:r="http://schemas.openxmlformats.org/officeDocument/2006/relationships" ref="O808" r:id="rId2961"/>
    <hyperlink xmlns:r="http://schemas.openxmlformats.org/officeDocument/2006/relationships" ref="P808" r:id="rId2962"/>
    <hyperlink xmlns:r="http://schemas.openxmlformats.org/officeDocument/2006/relationships" ref="M809" r:id="rId2963"/>
    <hyperlink xmlns:r="http://schemas.openxmlformats.org/officeDocument/2006/relationships" ref="N809" r:id="rId2964"/>
    <hyperlink xmlns:r="http://schemas.openxmlformats.org/officeDocument/2006/relationships" ref="O809" r:id="rId2965"/>
    <hyperlink xmlns:r="http://schemas.openxmlformats.org/officeDocument/2006/relationships" ref="P809" r:id="rId2966"/>
    <hyperlink xmlns:r="http://schemas.openxmlformats.org/officeDocument/2006/relationships" ref="M810" r:id="rId2967"/>
    <hyperlink xmlns:r="http://schemas.openxmlformats.org/officeDocument/2006/relationships" ref="N810" r:id="rId2968"/>
    <hyperlink xmlns:r="http://schemas.openxmlformats.org/officeDocument/2006/relationships" ref="O810" r:id="rId2969"/>
    <hyperlink xmlns:r="http://schemas.openxmlformats.org/officeDocument/2006/relationships" ref="P810" r:id="rId2970"/>
    <hyperlink xmlns:r="http://schemas.openxmlformats.org/officeDocument/2006/relationships" ref="M811" r:id="rId2971"/>
    <hyperlink xmlns:r="http://schemas.openxmlformats.org/officeDocument/2006/relationships" ref="N811" r:id="rId2972"/>
    <hyperlink xmlns:r="http://schemas.openxmlformats.org/officeDocument/2006/relationships" ref="O811" r:id="rId2973"/>
    <hyperlink xmlns:r="http://schemas.openxmlformats.org/officeDocument/2006/relationships" ref="P811" r:id="rId2974"/>
    <hyperlink xmlns:r="http://schemas.openxmlformats.org/officeDocument/2006/relationships" ref="M812" r:id="rId2975"/>
    <hyperlink xmlns:r="http://schemas.openxmlformats.org/officeDocument/2006/relationships" ref="N812" r:id="rId2976"/>
    <hyperlink xmlns:r="http://schemas.openxmlformats.org/officeDocument/2006/relationships" ref="O812" r:id="rId2977"/>
    <hyperlink xmlns:r="http://schemas.openxmlformats.org/officeDocument/2006/relationships" ref="P812" r:id="rId2978"/>
    <hyperlink xmlns:r="http://schemas.openxmlformats.org/officeDocument/2006/relationships" ref="M813" r:id="rId2979"/>
    <hyperlink xmlns:r="http://schemas.openxmlformats.org/officeDocument/2006/relationships" ref="N813" r:id="rId2980"/>
    <hyperlink xmlns:r="http://schemas.openxmlformats.org/officeDocument/2006/relationships" ref="O813" r:id="rId2981"/>
    <hyperlink xmlns:r="http://schemas.openxmlformats.org/officeDocument/2006/relationships" ref="P813" r:id="rId2982"/>
    <hyperlink xmlns:r="http://schemas.openxmlformats.org/officeDocument/2006/relationships" ref="M814" r:id="rId2983"/>
    <hyperlink xmlns:r="http://schemas.openxmlformats.org/officeDocument/2006/relationships" ref="N814" r:id="rId2984"/>
    <hyperlink xmlns:r="http://schemas.openxmlformats.org/officeDocument/2006/relationships" ref="O814" r:id="rId2985"/>
    <hyperlink xmlns:r="http://schemas.openxmlformats.org/officeDocument/2006/relationships" ref="P814" r:id="rId2986"/>
    <hyperlink xmlns:r="http://schemas.openxmlformats.org/officeDocument/2006/relationships" ref="M815" r:id="rId2987"/>
    <hyperlink xmlns:r="http://schemas.openxmlformats.org/officeDocument/2006/relationships" ref="N815" r:id="rId2988"/>
    <hyperlink xmlns:r="http://schemas.openxmlformats.org/officeDocument/2006/relationships" ref="O815" r:id="rId2989"/>
    <hyperlink xmlns:r="http://schemas.openxmlformats.org/officeDocument/2006/relationships" ref="P815" r:id="rId2990"/>
    <hyperlink xmlns:r="http://schemas.openxmlformats.org/officeDocument/2006/relationships" ref="M816" r:id="rId2991"/>
    <hyperlink xmlns:r="http://schemas.openxmlformats.org/officeDocument/2006/relationships" ref="N816" r:id="rId2992"/>
    <hyperlink xmlns:r="http://schemas.openxmlformats.org/officeDocument/2006/relationships" ref="P816" r:id="rId2993"/>
    <hyperlink xmlns:r="http://schemas.openxmlformats.org/officeDocument/2006/relationships" ref="M817" r:id="rId2994"/>
    <hyperlink xmlns:r="http://schemas.openxmlformats.org/officeDocument/2006/relationships" ref="N817" r:id="rId2995"/>
    <hyperlink xmlns:r="http://schemas.openxmlformats.org/officeDocument/2006/relationships" ref="O817" r:id="rId2996"/>
    <hyperlink xmlns:r="http://schemas.openxmlformats.org/officeDocument/2006/relationships" ref="P817" r:id="rId2997"/>
    <hyperlink xmlns:r="http://schemas.openxmlformats.org/officeDocument/2006/relationships" ref="M818" r:id="rId2998"/>
    <hyperlink xmlns:r="http://schemas.openxmlformats.org/officeDocument/2006/relationships" ref="N818" r:id="rId2999"/>
    <hyperlink xmlns:r="http://schemas.openxmlformats.org/officeDocument/2006/relationships" ref="O818" r:id="rId3000"/>
    <hyperlink xmlns:r="http://schemas.openxmlformats.org/officeDocument/2006/relationships" ref="P818" r:id="rId3001"/>
    <hyperlink xmlns:r="http://schemas.openxmlformats.org/officeDocument/2006/relationships" ref="M819" r:id="rId3002"/>
    <hyperlink xmlns:r="http://schemas.openxmlformats.org/officeDocument/2006/relationships" ref="N819" r:id="rId3003"/>
    <hyperlink xmlns:r="http://schemas.openxmlformats.org/officeDocument/2006/relationships" ref="O819" r:id="rId3004"/>
    <hyperlink xmlns:r="http://schemas.openxmlformats.org/officeDocument/2006/relationships" ref="P819" r:id="rId3005"/>
    <hyperlink xmlns:r="http://schemas.openxmlformats.org/officeDocument/2006/relationships" ref="M820" r:id="rId3006"/>
    <hyperlink xmlns:r="http://schemas.openxmlformats.org/officeDocument/2006/relationships" ref="N820" r:id="rId3007"/>
    <hyperlink xmlns:r="http://schemas.openxmlformats.org/officeDocument/2006/relationships" ref="O820" r:id="rId3008"/>
    <hyperlink xmlns:r="http://schemas.openxmlformats.org/officeDocument/2006/relationships" ref="P820" r:id="rId3009"/>
    <hyperlink xmlns:r="http://schemas.openxmlformats.org/officeDocument/2006/relationships" ref="M821" r:id="rId3010"/>
    <hyperlink xmlns:r="http://schemas.openxmlformats.org/officeDocument/2006/relationships" ref="N821" r:id="rId3011"/>
    <hyperlink xmlns:r="http://schemas.openxmlformats.org/officeDocument/2006/relationships" ref="P821" r:id="rId3012"/>
    <hyperlink xmlns:r="http://schemas.openxmlformats.org/officeDocument/2006/relationships" ref="M822" r:id="rId3013"/>
    <hyperlink xmlns:r="http://schemas.openxmlformats.org/officeDocument/2006/relationships" ref="N822" r:id="rId3014"/>
    <hyperlink xmlns:r="http://schemas.openxmlformats.org/officeDocument/2006/relationships" ref="O822" r:id="rId3015"/>
    <hyperlink xmlns:r="http://schemas.openxmlformats.org/officeDocument/2006/relationships" ref="P822" r:id="rId3016"/>
    <hyperlink xmlns:r="http://schemas.openxmlformats.org/officeDocument/2006/relationships" ref="M823" r:id="rId3017"/>
    <hyperlink xmlns:r="http://schemas.openxmlformats.org/officeDocument/2006/relationships" ref="N823" r:id="rId3018"/>
    <hyperlink xmlns:r="http://schemas.openxmlformats.org/officeDocument/2006/relationships" ref="O823" r:id="rId3019"/>
    <hyperlink xmlns:r="http://schemas.openxmlformats.org/officeDocument/2006/relationships" ref="P823" r:id="rId3020"/>
    <hyperlink xmlns:r="http://schemas.openxmlformats.org/officeDocument/2006/relationships" ref="M824" r:id="rId3021"/>
    <hyperlink xmlns:r="http://schemas.openxmlformats.org/officeDocument/2006/relationships" ref="N824" r:id="rId3022"/>
    <hyperlink xmlns:r="http://schemas.openxmlformats.org/officeDocument/2006/relationships" ref="O824" r:id="rId3023"/>
    <hyperlink xmlns:r="http://schemas.openxmlformats.org/officeDocument/2006/relationships" ref="P824" r:id="rId3024"/>
    <hyperlink xmlns:r="http://schemas.openxmlformats.org/officeDocument/2006/relationships" ref="M825" r:id="rId3025"/>
    <hyperlink xmlns:r="http://schemas.openxmlformats.org/officeDocument/2006/relationships" ref="N825" r:id="rId3026"/>
    <hyperlink xmlns:r="http://schemas.openxmlformats.org/officeDocument/2006/relationships" ref="O825" r:id="rId3027"/>
    <hyperlink xmlns:r="http://schemas.openxmlformats.org/officeDocument/2006/relationships" ref="P825" r:id="rId3028"/>
    <hyperlink xmlns:r="http://schemas.openxmlformats.org/officeDocument/2006/relationships" ref="M826" r:id="rId3029"/>
    <hyperlink xmlns:r="http://schemas.openxmlformats.org/officeDocument/2006/relationships" ref="N826" r:id="rId3030"/>
    <hyperlink xmlns:r="http://schemas.openxmlformats.org/officeDocument/2006/relationships" ref="P826" r:id="rId3031"/>
    <hyperlink xmlns:r="http://schemas.openxmlformats.org/officeDocument/2006/relationships" ref="M827" r:id="rId3032"/>
    <hyperlink xmlns:r="http://schemas.openxmlformats.org/officeDocument/2006/relationships" ref="N827" r:id="rId3033"/>
    <hyperlink xmlns:r="http://schemas.openxmlformats.org/officeDocument/2006/relationships" ref="O827" r:id="rId3034"/>
    <hyperlink xmlns:r="http://schemas.openxmlformats.org/officeDocument/2006/relationships" ref="P827" r:id="rId3035"/>
    <hyperlink xmlns:r="http://schemas.openxmlformats.org/officeDocument/2006/relationships" ref="M828" r:id="rId3036"/>
    <hyperlink xmlns:r="http://schemas.openxmlformats.org/officeDocument/2006/relationships" ref="N828" r:id="rId3037"/>
    <hyperlink xmlns:r="http://schemas.openxmlformats.org/officeDocument/2006/relationships" ref="O828" r:id="rId3038"/>
    <hyperlink xmlns:r="http://schemas.openxmlformats.org/officeDocument/2006/relationships" ref="P828" r:id="rId3039"/>
    <hyperlink xmlns:r="http://schemas.openxmlformats.org/officeDocument/2006/relationships" ref="M829" r:id="rId3040"/>
    <hyperlink xmlns:r="http://schemas.openxmlformats.org/officeDocument/2006/relationships" ref="N829" r:id="rId3041"/>
    <hyperlink xmlns:r="http://schemas.openxmlformats.org/officeDocument/2006/relationships" ref="O829" r:id="rId3042"/>
    <hyperlink xmlns:r="http://schemas.openxmlformats.org/officeDocument/2006/relationships" ref="P829" r:id="rId3043"/>
    <hyperlink xmlns:r="http://schemas.openxmlformats.org/officeDocument/2006/relationships" ref="M830" r:id="rId3044"/>
    <hyperlink xmlns:r="http://schemas.openxmlformats.org/officeDocument/2006/relationships" ref="N830" r:id="rId3045"/>
    <hyperlink xmlns:r="http://schemas.openxmlformats.org/officeDocument/2006/relationships" ref="O830" r:id="rId3046"/>
    <hyperlink xmlns:r="http://schemas.openxmlformats.org/officeDocument/2006/relationships" ref="P830" r:id="rId3047"/>
    <hyperlink xmlns:r="http://schemas.openxmlformats.org/officeDocument/2006/relationships" ref="M831" r:id="rId3048"/>
    <hyperlink xmlns:r="http://schemas.openxmlformats.org/officeDocument/2006/relationships" ref="N831" r:id="rId3049"/>
    <hyperlink xmlns:r="http://schemas.openxmlformats.org/officeDocument/2006/relationships" ref="O831" r:id="rId3050"/>
    <hyperlink xmlns:r="http://schemas.openxmlformats.org/officeDocument/2006/relationships" ref="P831" r:id="rId3051"/>
    <hyperlink xmlns:r="http://schemas.openxmlformats.org/officeDocument/2006/relationships" ref="M832" r:id="rId3052"/>
    <hyperlink xmlns:r="http://schemas.openxmlformats.org/officeDocument/2006/relationships" ref="N832" r:id="rId3053"/>
    <hyperlink xmlns:r="http://schemas.openxmlformats.org/officeDocument/2006/relationships" ref="O832" r:id="rId3054"/>
    <hyperlink xmlns:r="http://schemas.openxmlformats.org/officeDocument/2006/relationships" ref="P832" r:id="rId3055"/>
    <hyperlink xmlns:r="http://schemas.openxmlformats.org/officeDocument/2006/relationships" ref="M833" r:id="rId3056"/>
    <hyperlink xmlns:r="http://schemas.openxmlformats.org/officeDocument/2006/relationships" ref="N833" r:id="rId3057"/>
    <hyperlink xmlns:r="http://schemas.openxmlformats.org/officeDocument/2006/relationships" ref="O833" r:id="rId3058"/>
    <hyperlink xmlns:r="http://schemas.openxmlformats.org/officeDocument/2006/relationships" ref="P833" r:id="rId3059"/>
    <hyperlink xmlns:r="http://schemas.openxmlformats.org/officeDocument/2006/relationships" ref="M834" r:id="rId3060"/>
    <hyperlink xmlns:r="http://schemas.openxmlformats.org/officeDocument/2006/relationships" ref="N834" r:id="rId3061"/>
    <hyperlink xmlns:r="http://schemas.openxmlformats.org/officeDocument/2006/relationships" ref="O834" r:id="rId3062"/>
    <hyperlink xmlns:r="http://schemas.openxmlformats.org/officeDocument/2006/relationships" ref="P834" r:id="rId3063"/>
    <hyperlink xmlns:r="http://schemas.openxmlformats.org/officeDocument/2006/relationships" ref="M835" r:id="rId3064"/>
    <hyperlink xmlns:r="http://schemas.openxmlformats.org/officeDocument/2006/relationships" ref="N835" r:id="rId3065"/>
    <hyperlink xmlns:r="http://schemas.openxmlformats.org/officeDocument/2006/relationships" ref="O835" r:id="rId3066"/>
    <hyperlink xmlns:r="http://schemas.openxmlformats.org/officeDocument/2006/relationships" ref="P835" r:id="rId3067"/>
    <hyperlink xmlns:r="http://schemas.openxmlformats.org/officeDocument/2006/relationships" ref="M836" r:id="rId3068"/>
    <hyperlink xmlns:r="http://schemas.openxmlformats.org/officeDocument/2006/relationships" ref="N836" r:id="rId3069"/>
    <hyperlink xmlns:r="http://schemas.openxmlformats.org/officeDocument/2006/relationships" ref="P836" r:id="rId3070"/>
    <hyperlink xmlns:r="http://schemas.openxmlformats.org/officeDocument/2006/relationships" ref="M837" r:id="rId3071"/>
    <hyperlink xmlns:r="http://schemas.openxmlformats.org/officeDocument/2006/relationships" ref="N837" r:id="rId3072"/>
    <hyperlink xmlns:r="http://schemas.openxmlformats.org/officeDocument/2006/relationships" ref="O837" r:id="rId3073"/>
    <hyperlink xmlns:r="http://schemas.openxmlformats.org/officeDocument/2006/relationships" ref="P837" r:id="rId3074"/>
    <hyperlink xmlns:r="http://schemas.openxmlformats.org/officeDocument/2006/relationships" ref="M838" r:id="rId3075"/>
    <hyperlink xmlns:r="http://schemas.openxmlformats.org/officeDocument/2006/relationships" ref="N838" r:id="rId3076"/>
    <hyperlink xmlns:r="http://schemas.openxmlformats.org/officeDocument/2006/relationships" ref="P838" r:id="rId3077"/>
    <hyperlink xmlns:r="http://schemas.openxmlformats.org/officeDocument/2006/relationships" ref="M839" r:id="rId3078"/>
    <hyperlink xmlns:r="http://schemas.openxmlformats.org/officeDocument/2006/relationships" ref="N839" r:id="rId3079"/>
    <hyperlink xmlns:r="http://schemas.openxmlformats.org/officeDocument/2006/relationships" ref="O839" r:id="rId3080"/>
    <hyperlink xmlns:r="http://schemas.openxmlformats.org/officeDocument/2006/relationships" ref="P839" r:id="rId3081"/>
    <hyperlink xmlns:r="http://schemas.openxmlformats.org/officeDocument/2006/relationships" ref="M840" r:id="rId3082"/>
    <hyperlink xmlns:r="http://schemas.openxmlformats.org/officeDocument/2006/relationships" ref="N840" r:id="rId3083"/>
    <hyperlink xmlns:r="http://schemas.openxmlformats.org/officeDocument/2006/relationships" ref="O840" r:id="rId3084"/>
    <hyperlink xmlns:r="http://schemas.openxmlformats.org/officeDocument/2006/relationships" ref="P840" r:id="rId3085"/>
    <hyperlink xmlns:r="http://schemas.openxmlformats.org/officeDocument/2006/relationships" ref="M841" r:id="rId3086"/>
    <hyperlink xmlns:r="http://schemas.openxmlformats.org/officeDocument/2006/relationships" ref="N841" r:id="rId3087"/>
    <hyperlink xmlns:r="http://schemas.openxmlformats.org/officeDocument/2006/relationships" ref="P841" r:id="rId3088"/>
    <hyperlink xmlns:r="http://schemas.openxmlformats.org/officeDocument/2006/relationships" ref="M842" r:id="rId3089"/>
    <hyperlink xmlns:r="http://schemas.openxmlformats.org/officeDocument/2006/relationships" ref="N842" r:id="rId3090"/>
    <hyperlink xmlns:r="http://schemas.openxmlformats.org/officeDocument/2006/relationships" ref="O842" r:id="rId3091"/>
    <hyperlink xmlns:r="http://schemas.openxmlformats.org/officeDocument/2006/relationships" ref="P842" r:id="rId3092"/>
    <hyperlink xmlns:r="http://schemas.openxmlformats.org/officeDocument/2006/relationships" ref="M843" r:id="rId3093"/>
    <hyperlink xmlns:r="http://schemas.openxmlformats.org/officeDocument/2006/relationships" ref="N843" r:id="rId3094"/>
    <hyperlink xmlns:r="http://schemas.openxmlformats.org/officeDocument/2006/relationships" ref="P843" r:id="rId3095"/>
    <hyperlink xmlns:r="http://schemas.openxmlformats.org/officeDocument/2006/relationships" ref="M844" r:id="rId3096"/>
    <hyperlink xmlns:r="http://schemas.openxmlformats.org/officeDocument/2006/relationships" ref="N844" r:id="rId3097"/>
    <hyperlink xmlns:r="http://schemas.openxmlformats.org/officeDocument/2006/relationships" ref="O844" r:id="rId3098"/>
    <hyperlink xmlns:r="http://schemas.openxmlformats.org/officeDocument/2006/relationships" ref="P844" r:id="rId3099"/>
    <hyperlink xmlns:r="http://schemas.openxmlformats.org/officeDocument/2006/relationships" ref="M845" r:id="rId3100"/>
    <hyperlink xmlns:r="http://schemas.openxmlformats.org/officeDocument/2006/relationships" ref="N845" r:id="rId3101"/>
    <hyperlink xmlns:r="http://schemas.openxmlformats.org/officeDocument/2006/relationships" ref="O845" r:id="rId3102"/>
    <hyperlink xmlns:r="http://schemas.openxmlformats.org/officeDocument/2006/relationships" ref="P845" r:id="rId3103"/>
    <hyperlink xmlns:r="http://schemas.openxmlformats.org/officeDocument/2006/relationships" ref="M846" r:id="rId3104"/>
    <hyperlink xmlns:r="http://schemas.openxmlformats.org/officeDocument/2006/relationships" ref="N846" r:id="rId3105"/>
    <hyperlink xmlns:r="http://schemas.openxmlformats.org/officeDocument/2006/relationships" ref="O846" r:id="rId3106"/>
    <hyperlink xmlns:r="http://schemas.openxmlformats.org/officeDocument/2006/relationships" ref="P846" r:id="rId3107"/>
    <hyperlink xmlns:r="http://schemas.openxmlformats.org/officeDocument/2006/relationships" ref="M847" r:id="rId3108"/>
    <hyperlink xmlns:r="http://schemas.openxmlformats.org/officeDocument/2006/relationships" ref="N847" r:id="rId3109"/>
    <hyperlink xmlns:r="http://schemas.openxmlformats.org/officeDocument/2006/relationships" ref="O847" r:id="rId3110"/>
    <hyperlink xmlns:r="http://schemas.openxmlformats.org/officeDocument/2006/relationships" ref="P847" r:id="rId3111"/>
    <hyperlink xmlns:r="http://schemas.openxmlformats.org/officeDocument/2006/relationships" ref="M848" r:id="rId3112"/>
    <hyperlink xmlns:r="http://schemas.openxmlformats.org/officeDocument/2006/relationships" ref="N848" r:id="rId3113"/>
    <hyperlink xmlns:r="http://schemas.openxmlformats.org/officeDocument/2006/relationships" ref="O848" r:id="rId3114"/>
    <hyperlink xmlns:r="http://schemas.openxmlformats.org/officeDocument/2006/relationships" ref="P848" r:id="rId3115"/>
    <hyperlink xmlns:r="http://schemas.openxmlformats.org/officeDocument/2006/relationships" ref="M849" r:id="rId3116"/>
    <hyperlink xmlns:r="http://schemas.openxmlformats.org/officeDocument/2006/relationships" ref="N849" r:id="rId3117"/>
    <hyperlink xmlns:r="http://schemas.openxmlformats.org/officeDocument/2006/relationships" ref="O849" r:id="rId3118"/>
    <hyperlink xmlns:r="http://schemas.openxmlformats.org/officeDocument/2006/relationships" ref="P849" r:id="rId3119"/>
    <hyperlink xmlns:r="http://schemas.openxmlformats.org/officeDocument/2006/relationships" ref="M850" r:id="rId3120"/>
    <hyperlink xmlns:r="http://schemas.openxmlformats.org/officeDocument/2006/relationships" ref="N850" r:id="rId3121"/>
    <hyperlink xmlns:r="http://schemas.openxmlformats.org/officeDocument/2006/relationships" ref="P850" r:id="rId3122"/>
    <hyperlink xmlns:r="http://schemas.openxmlformats.org/officeDocument/2006/relationships" ref="M851" r:id="rId3123"/>
    <hyperlink xmlns:r="http://schemas.openxmlformats.org/officeDocument/2006/relationships" ref="N851" r:id="rId3124"/>
    <hyperlink xmlns:r="http://schemas.openxmlformats.org/officeDocument/2006/relationships" ref="O851" r:id="rId3125"/>
    <hyperlink xmlns:r="http://schemas.openxmlformats.org/officeDocument/2006/relationships" ref="P851" r:id="rId3126"/>
    <hyperlink xmlns:r="http://schemas.openxmlformats.org/officeDocument/2006/relationships" ref="M852" r:id="rId3127"/>
    <hyperlink xmlns:r="http://schemas.openxmlformats.org/officeDocument/2006/relationships" ref="N852" r:id="rId3128"/>
    <hyperlink xmlns:r="http://schemas.openxmlformats.org/officeDocument/2006/relationships" ref="O852" r:id="rId3129"/>
    <hyperlink xmlns:r="http://schemas.openxmlformats.org/officeDocument/2006/relationships" ref="P852" r:id="rId3130"/>
    <hyperlink xmlns:r="http://schemas.openxmlformats.org/officeDocument/2006/relationships" ref="M853" r:id="rId3131"/>
    <hyperlink xmlns:r="http://schemas.openxmlformats.org/officeDocument/2006/relationships" ref="N853" r:id="rId3132"/>
    <hyperlink xmlns:r="http://schemas.openxmlformats.org/officeDocument/2006/relationships" ref="O853" r:id="rId3133"/>
    <hyperlink xmlns:r="http://schemas.openxmlformats.org/officeDocument/2006/relationships" ref="P853" r:id="rId3134"/>
    <hyperlink xmlns:r="http://schemas.openxmlformats.org/officeDocument/2006/relationships" ref="M854" r:id="rId3135"/>
    <hyperlink xmlns:r="http://schemas.openxmlformats.org/officeDocument/2006/relationships" ref="N854" r:id="rId3136"/>
    <hyperlink xmlns:r="http://schemas.openxmlformats.org/officeDocument/2006/relationships" ref="O854" r:id="rId3137"/>
    <hyperlink xmlns:r="http://schemas.openxmlformats.org/officeDocument/2006/relationships" ref="P854" r:id="rId3138"/>
    <hyperlink xmlns:r="http://schemas.openxmlformats.org/officeDocument/2006/relationships" ref="M855" r:id="rId3139"/>
    <hyperlink xmlns:r="http://schemas.openxmlformats.org/officeDocument/2006/relationships" ref="N855" r:id="rId3140"/>
    <hyperlink xmlns:r="http://schemas.openxmlformats.org/officeDocument/2006/relationships" ref="O855" r:id="rId3141"/>
    <hyperlink xmlns:r="http://schemas.openxmlformats.org/officeDocument/2006/relationships" ref="P855" r:id="rId3142"/>
    <hyperlink xmlns:r="http://schemas.openxmlformats.org/officeDocument/2006/relationships" ref="M856" r:id="rId3143"/>
    <hyperlink xmlns:r="http://schemas.openxmlformats.org/officeDocument/2006/relationships" ref="N856" r:id="rId3144"/>
    <hyperlink xmlns:r="http://schemas.openxmlformats.org/officeDocument/2006/relationships" ref="O856" r:id="rId3145"/>
    <hyperlink xmlns:r="http://schemas.openxmlformats.org/officeDocument/2006/relationships" ref="P856" r:id="rId3146"/>
    <hyperlink xmlns:r="http://schemas.openxmlformats.org/officeDocument/2006/relationships" ref="M857" r:id="rId3147"/>
    <hyperlink xmlns:r="http://schemas.openxmlformats.org/officeDocument/2006/relationships" ref="N857" r:id="rId3148"/>
    <hyperlink xmlns:r="http://schemas.openxmlformats.org/officeDocument/2006/relationships" ref="O857" r:id="rId3149"/>
    <hyperlink xmlns:r="http://schemas.openxmlformats.org/officeDocument/2006/relationships" ref="P857" r:id="rId3150"/>
    <hyperlink xmlns:r="http://schemas.openxmlformats.org/officeDocument/2006/relationships" ref="M858" r:id="rId3151"/>
    <hyperlink xmlns:r="http://schemas.openxmlformats.org/officeDocument/2006/relationships" ref="N858" r:id="rId3152"/>
    <hyperlink xmlns:r="http://schemas.openxmlformats.org/officeDocument/2006/relationships" ref="P858" r:id="rId3153"/>
    <hyperlink xmlns:r="http://schemas.openxmlformats.org/officeDocument/2006/relationships" ref="M859" r:id="rId3154"/>
    <hyperlink xmlns:r="http://schemas.openxmlformats.org/officeDocument/2006/relationships" ref="N859" r:id="rId3155"/>
    <hyperlink xmlns:r="http://schemas.openxmlformats.org/officeDocument/2006/relationships" ref="P859" r:id="rId3156"/>
    <hyperlink xmlns:r="http://schemas.openxmlformats.org/officeDocument/2006/relationships" ref="M860" r:id="rId3157"/>
    <hyperlink xmlns:r="http://schemas.openxmlformats.org/officeDocument/2006/relationships" ref="N860" r:id="rId3158"/>
    <hyperlink xmlns:r="http://schemas.openxmlformats.org/officeDocument/2006/relationships" ref="O860" r:id="rId3159"/>
    <hyperlink xmlns:r="http://schemas.openxmlformats.org/officeDocument/2006/relationships" ref="P860" r:id="rId3160"/>
    <hyperlink xmlns:r="http://schemas.openxmlformats.org/officeDocument/2006/relationships" ref="M861" r:id="rId3161"/>
    <hyperlink xmlns:r="http://schemas.openxmlformats.org/officeDocument/2006/relationships" ref="N861" r:id="rId3162"/>
    <hyperlink xmlns:r="http://schemas.openxmlformats.org/officeDocument/2006/relationships" ref="O861" r:id="rId3163"/>
    <hyperlink xmlns:r="http://schemas.openxmlformats.org/officeDocument/2006/relationships" ref="P861" r:id="rId3164"/>
    <hyperlink xmlns:r="http://schemas.openxmlformats.org/officeDocument/2006/relationships" ref="M862" r:id="rId3165"/>
    <hyperlink xmlns:r="http://schemas.openxmlformats.org/officeDocument/2006/relationships" ref="N862" r:id="rId3166"/>
    <hyperlink xmlns:r="http://schemas.openxmlformats.org/officeDocument/2006/relationships" ref="O862" r:id="rId3167"/>
    <hyperlink xmlns:r="http://schemas.openxmlformats.org/officeDocument/2006/relationships" ref="P862" r:id="rId3168"/>
    <hyperlink xmlns:r="http://schemas.openxmlformats.org/officeDocument/2006/relationships" ref="M863" r:id="rId3169"/>
    <hyperlink xmlns:r="http://schemas.openxmlformats.org/officeDocument/2006/relationships" ref="N863" r:id="rId3170"/>
    <hyperlink xmlns:r="http://schemas.openxmlformats.org/officeDocument/2006/relationships" ref="O863" r:id="rId3171"/>
    <hyperlink xmlns:r="http://schemas.openxmlformats.org/officeDocument/2006/relationships" ref="P863" r:id="rId3172"/>
    <hyperlink xmlns:r="http://schemas.openxmlformats.org/officeDocument/2006/relationships" ref="M864" r:id="rId3173"/>
    <hyperlink xmlns:r="http://schemas.openxmlformats.org/officeDocument/2006/relationships" ref="N864" r:id="rId3174"/>
    <hyperlink xmlns:r="http://schemas.openxmlformats.org/officeDocument/2006/relationships" ref="O864" r:id="rId3175"/>
    <hyperlink xmlns:r="http://schemas.openxmlformats.org/officeDocument/2006/relationships" ref="P864" r:id="rId3176"/>
    <hyperlink xmlns:r="http://schemas.openxmlformats.org/officeDocument/2006/relationships" ref="M865" r:id="rId3177"/>
    <hyperlink xmlns:r="http://schemas.openxmlformats.org/officeDocument/2006/relationships" ref="N865" r:id="rId3178"/>
    <hyperlink xmlns:r="http://schemas.openxmlformats.org/officeDocument/2006/relationships" ref="O865" r:id="rId3179"/>
    <hyperlink xmlns:r="http://schemas.openxmlformats.org/officeDocument/2006/relationships" ref="P865" r:id="rId3180"/>
    <hyperlink xmlns:r="http://schemas.openxmlformats.org/officeDocument/2006/relationships" ref="M866" r:id="rId3181"/>
    <hyperlink xmlns:r="http://schemas.openxmlformats.org/officeDocument/2006/relationships" ref="N866" r:id="rId3182"/>
    <hyperlink xmlns:r="http://schemas.openxmlformats.org/officeDocument/2006/relationships" ref="O866" r:id="rId3183"/>
    <hyperlink xmlns:r="http://schemas.openxmlformats.org/officeDocument/2006/relationships" ref="P866" r:id="rId3184"/>
    <hyperlink xmlns:r="http://schemas.openxmlformats.org/officeDocument/2006/relationships" ref="M867" r:id="rId3185"/>
    <hyperlink xmlns:r="http://schemas.openxmlformats.org/officeDocument/2006/relationships" ref="N867" r:id="rId3186"/>
    <hyperlink xmlns:r="http://schemas.openxmlformats.org/officeDocument/2006/relationships" ref="P867" r:id="rId3187"/>
    <hyperlink xmlns:r="http://schemas.openxmlformats.org/officeDocument/2006/relationships" ref="M868" r:id="rId3188"/>
    <hyperlink xmlns:r="http://schemas.openxmlformats.org/officeDocument/2006/relationships" ref="N868" r:id="rId3189"/>
    <hyperlink xmlns:r="http://schemas.openxmlformats.org/officeDocument/2006/relationships" ref="O868" r:id="rId3190"/>
    <hyperlink xmlns:r="http://schemas.openxmlformats.org/officeDocument/2006/relationships" ref="P868" r:id="rId3191"/>
    <hyperlink xmlns:r="http://schemas.openxmlformats.org/officeDocument/2006/relationships" ref="M869" r:id="rId3192"/>
    <hyperlink xmlns:r="http://schemas.openxmlformats.org/officeDocument/2006/relationships" ref="N869" r:id="rId3193"/>
    <hyperlink xmlns:r="http://schemas.openxmlformats.org/officeDocument/2006/relationships" ref="O869" r:id="rId3194"/>
    <hyperlink xmlns:r="http://schemas.openxmlformats.org/officeDocument/2006/relationships" ref="P869" r:id="rId3195"/>
    <hyperlink xmlns:r="http://schemas.openxmlformats.org/officeDocument/2006/relationships" ref="M870" r:id="rId3196"/>
    <hyperlink xmlns:r="http://schemas.openxmlformats.org/officeDocument/2006/relationships" ref="N870" r:id="rId3197"/>
    <hyperlink xmlns:r="http://schemas.openxmlformats.org/officeDocument/2006/relationships" ref="O870" r:id="rId3198"/>
    <hyperlink xmlns:r="http://schemas.openxmlformats.org/officeDocument/2006/relationships" ref="P870" r:id="rId3199"/>
    <hyperlink xmlns:r="http://schemas.openxmlformats.org/officeDocument/2006/relationships" ref="M871" r:id="rId3200"/>
    <hyperlink xmlns:r="http://schemas.openxmlformats.org/officeDocument/2006/relationships" ref="N871" r:id="rId3201"/>
    <hyperlink xmlns:r="http://schemas.openxmlformats.org/officeDocument/2006/relationships" ref="P871" r:id="rId3202"/>
    <hyperlink xmlns:r="http://schemas.openxmlformats.org/officeDocument/2006/relationships" ref="M872" r:id="rId3203"/>
    <hyperlink xmlns:r="http://schemas.openxmlformats.org/officeDocument/2006/relationships" ref="N872" r:id="rId3204"/>
    <hyperlink xmlns:r="http://schemas.openxmlformats.org/officeDocument/2006/relationships" ref="O872" r:id="rId3205"/>
    <hyperlink xmlns:r="http://schemas.openxmlformats.org/officeDocument/2006/relationships" ref="P872" r:id="rId3206"/>
    <hyperlink xmlns:r="http://schemas.openxmlformats.org/officeDocument/2006/relationships" ref="M873" r:id="rId3207"/>
    <hyperlink xmlns:r="http://schemas.openxmlformats.org/officeDocument/2006/relationships" ref="N873" r:id="rId3208"/>
    <hyperlink xmlns:r="http://schemas.openxmlformats.org/officeDocument/2006/relationships" ref="O873" r:id="rId3209"/>
    <hyperlink xmlns:r="http://schemas.openxmlformats.org/officeDocument/2006/relationships" ref="P873" r:id="rId3210"/>
    <hyperlink xmlns:r="http://schemas.openxmlformats.org/officeDocument/2006/relationships" ref="M874" r:id="rId3211"/>
    <hyperlink xmlns:r="http://schemas.openxmlformats.org/officeDocument/2006/relationships" ref="N874" r:id="rId3212"/>
    <hyperlink xmlns:r="http://schemas.openxmlformats.org/officeDocument/2006/relationships" ref="O874" r:id="rId3213"/>
    <hyperlink xmlns:r="http://schemas.openxmlformats.org/officeDocument/2006/relationships" ref="P874" r:id="rId3214"/>
    <hyperlink xmlns:r="http://schemas.openxmlformats.org/officeDocument/2006/relationships" ref="M875" r:id="rId3215"/>
    <hyperlink xmlns:r="http://schemas.openxmlformats.org/officeDocument/2006/relationships" ref="N875" r:id="rId3216"/>
    <hyperlink xmlns:r="http://schemas.openxmlformats.org/officeDocument/2006/relationships" ref="O875" r:id="rId3217"/>
    <hyperlink xmlns:r="http://schemas.openxmlformats.org/officeDocument/2006/relationships" ref="P875" r:id="rId3218"/>
    <hyperlink xmlns:r="http://schemas.openxmlformats.org/officeDocument/2006/relationships" ref="M876" r:id="rId3219"/>
    <hyperlink xmlns:r="http://schemas.openxmlformats.org/officeDocument/2006/relationships" ref="N876" r:id="rId3220"/>
    <hyperlink xmlns:r="http://schemas.openxmlformats.org/officeDocument/2006/relationships" ref="P876" r:id="rId3221"/>
    <hyperlink xmlns:r="http://schemas.openxmlformats.org/officeDocument/2006/relationships" ref="M877" r:id="rId3222"/>
    <hyperlink xmlns:r="http://schemas.openxmlformats.org/officeDocument/2006/relationships" ref="N877" r:id="rId3223"/>
    <hyperlink xmlns:r="http://schemas.openxmlformats.org/officeDocument/2006/relationships" ref="P877" r:id="rId3224"/>
    <hyperlink xmlns:r="http://schemas.openxmlformats.org/officeDocument/2006/relationships" ref="M878" r:id="rId3225"/>
    <hyperlink xmlns:r="http://schemas.openxmlformats.org/officeDocument/2006/relationships" ref="N878" r:id="rId3226"/>
    <hyperlink xmlns:r="http://schemas.openxmlformats.org/officeDocument/2006/relationships" ref="P878" r:id="rId3227"/>
    <hyperlink xmlns:r="http://schemas.openxmlformats.org/officeDocument/2006/relationships" ref="M879" r:id="rId3228"/>
    <hyperlink xmlns:r="http://schemas.openxmlformats.org/officeDocument/2006/relationships" ref="N879" r:id="rId3229"/>
    <hyperlink xmlns:r="http://schemas.openxmlformats.org/officeDocument/2006/relationships" ref="O879" r:id="rId3230"/>
    <hyperlink xmlns:r="http://schemas.openxmlformats.org/officeDocument/2006/relationships" ref="P879" r:id="rId3231"/>
    <hyperlink xmlns:r="http://schemas.openxmlformats.org/officeDocument/2006/relationships" ref="M880" r:id="rId3232"/>
    <hyperlink xmlns:r="http://schemas.openxmlformats.org/officeDocument/2006/relationships" ref="N880" r:id="rId3233"/>
    <hyperlink xmlns:r="http://schemas.openxmlformats.org/officeDocument/2006/relationships" ref="O880" r:id="rId3234"/>
    <hyperlink xmlns:r="http://schemas.openxmlformats.org/officeDocument/2006/relationships" ref="P880" r:id="rId3235"/>
    <hyperlink xmlns:r="http://schemas.openxmlformats.org/officeDocument/2006/relationships" ref="M881" r:id="rId3236"/>
    <hyperlink xmlns:r="http://schemas.openxmlformats.org/officeDocument/2006/relationships" ref="N881" r:id="rId3237"/>
    <hyperlink xmlns:r="http://schemas.openxmlformats.org/officeDocument/2006/relationships" ref="P881" r:id="rId3238"/>
    <hyperlink xmlns:r="http://schemas.openxmlformats.org/officeDocument/2006/relationships" ref="M882" r:id="rId3239"/>
    <hyperlink xmlns:r="http://schemas.openxmlformats.org/officeDocument/2006/relationships" ref="N882" r:id="rId3240"/>
    <hyperlink xmlns:r="http://schemas.openxmlformats.org/officeDocument/2006/relationships" ref="P882" r:id="rId3241"/>
    <hyperlink xmlns:r="http://schemas.openxmlformats.org/officeDocument/2006/relationships" ref="M883" r:id="rId3242"/>
    <hyperlink xmlns:r="http://schemas.openxmlformats.org/officeDocument/2006/relationships" ref="N883" r:id="rId3243"/>
    <hyperlink xmlns:r="http://schemas.openxmlformats.org/officeDocument/2006/relationships" ref="O883" r:id="rId3244"/>
    <hyperlink xmlns:r="http://schemas.openxmlformats.org/officeDocument/2006/relationships" ref="P883" r:id="rId3245"/>
    <hyperlink xmlns:r="http://schemas.openxmlformats.org/officeDocument/2006/relationships" ref="M884" r:id="rId3246"/>
    <hyperlink xmlns:r="http://schemas.openxmlformats.org/officeDocument/2006/relationships" ref="N884" r:id="rId3247"/>
    <hyperlink xmlns:r="http://schemas.openxmlformats.org/officeDocument/2006/relationships" ref="O884" r:id="rId3248"/>
    <hyperlink xmlns:r="http://schemas.openxmlformats.org/officeDocument/2006/relationships" ref="P884" r:id="rId3249"/>
    <hyperlink xmlns:r="http://schemas.openxmlformats.org/officeDocument/2006/relationships" ref="M885" r:id="rId3250"/>
    <hyperlink xmlns:r="http://schemas.openxmlformats.org/officeDocument/2006/relationships" ref="N885" r:id="rId3251"/>
    <hyperlink xmlns:r="http://schemas.openxmlformats.org/officeDocument/2006/relationships" ref="O885" r:id="rId3252"/>
    <hyperlink xmlns:r="http://schemas.openxmlformats.org/officeDocument/2006/relationships" ref="P885" r:id="rId3253"/>
    <hyperlink xmlns:r="http://schemas.openxmlformats.org/officeDocument/2006/relationships" ref="M886" r:id="rId3254"/>
    <hyperlink xmlns:r="http://schemas.openxmlformats.org/officeDocument/2006/relationships" ref="N886" r:id="rId3255"/>
    <hyperlink xmlns:r="http://schemas.openxmlformats.org/officeDocument/2006/relationships" ref="O886" r:id="rId3256"/>
    <hyperlink xmlns:r="http://schemas.openxmlformats.org/officeDocument/2006/relationships" ref="P886" r:id="rId3257"/>
    <hyperlink xmlns:r="http://schemas.openxmlformats.org/officeDocument/2006/relationships" ref="M887" r:id="rId3258"/>
    <hyperlink xmlns:r="http://schemas.openxmlformats.org/officeDocument/2006/relationships" ref="N887" r:id="rId3259"/>
    <hyperlink xmlns:r="http://schemas.openxmlformats.org/officeDocument/2006/relationships" ref="O887" r:id="rId3260"/>
    <hyperlink xmlns:r="http://schemas.openxmlformats.org/officeDocument/2006/relationships" ref="P887" r:id="rId3261"/>
    <hyperlink xmlns:r="http://schemas.openxmlformats.org/officeDocument/2006/relationships" ref="N888" r:id="rId3262"/>
    <hyperlink xmlns:r="http://schemas.openxmlformats.org/officeDocument/2006/relationships" ref="O888" r:id="rId3263"/>
    <hyperlink xmlns:r="http://schemas.openxmlformats.org/officeDocument/2006/relationships" ref="P888" r:id="rId3264"/>
    <hyperlink xmlns:r="http://schemas.openxmlformats.org/officeDocument/2006/relationships" ref="M889" r:id="rId3265"/>
    <hyperlink xmlns:r="http://schemas.openxmlformats.org/officeDocument/2006/relationships" ref="N889" r:id="rId3266"/>
    <hyperlink xmlns:r="http://schemas.openxmlformats.org/officeDocument/2006/relationships" ref="O889" r:id="rId3267"/>
    <hyperlink xmlns:r="http://schemas.openxmlformats.org/officeDocument/2006/relationships" ref="P889" r:id="rId3268"/>
    <hyperlink xmlns:r="http://schemas.openxmlformats.org/officeDocument/2006/relationships" ref="M890" r:id="rId3269"/>
    <hyperlink xmlns:r="http://schemas.openxmlformats.org/officeDocument/2006/relationships" ref="N890" r:id="rId3270"/>
    <hyperlink xmlns:r="http://schemas.openxmlformats.org/officeDocument/2006/relationships" ref="O890" r:id="rId3271"/>
    <hyperlink xmlns:r="http://schemas.openxmlformats.org/officeDocument/2006/relationships" ref="P890" r:id="rId3272"/>
    <hyperlink xmlns:r="http://schemas.openxmlformats.org/officeDocument/2006/relationships" ref="M891" r:id="rId3273"/>
    <hyperlink xmlns:r="http://schemas.openxmlformats.org/officeDocument/2006/relationships" ref="N891" r:id="rId3274"/>
    <hyperlink xmlns:r="http://schemas.openxmlformats.org/officeDocument/2006/relationships" ref="O891" r:id="rId3275"/>
    <hyperlink xmlns:r="http://schemas.openxmlformats.org/officeDocument/2006/relationships" ref="P891" r:id="rId3276"/>
    <hyperlink xmlns:r="http://schemas.openxmlformats.org/officeDocument/2006/relationships" ref="M892" r:id="rId3277"/>
    <hyperlink xmlns:r="http://schemas.openxmlformats.org/officeDocument/2006/relationships" ref="N892" r:id="rId3278"/>
    <hyperlink xmlns:r="http://schemas.openxmlformats.org/officeDocument/2006/relationships" ref="O892" r:id="rId3279"/>
    <hyperlink xmlns:r="http://schemas.openxmlformats.org/officeDocument/2006/relationships" ref="P892" r:id="rId3280"/>
    <hyperlink xmlns:r="http://schemas.openxmlformats.org/officeDocument/2006/relationships" ref="M893" r:id="rId3281"/>
    <hyperlink xmlns:r="http://schemas.openxmlformats.org/officeDocument/2006/relationships" ref="N893" r:id="rId3282"/>
    <hyperlink xmlns:r="http://schemas.openxmlformats.org/officeDocument/2006/relationships" ref="O893" r:id="rId3283"/>
    <hyperlink xmlns:r="http://schemas.openxmlformats.org/officeDocument/2006/relationships" ref="P893" r:id="rId3284"/>
    <hyperlink xmlns:r="http://schemas.openxmlformats.org/officeDocument/2006/relationships" ref="M894" r:id="rId3285"/>
    <hyperlink xmlns:r="http://schemas.openxmlformats.org/officeDocument/2006/relationships" ref="N894" r:id="rId3286"/>
    <hyperlink xmlns:r="http://schemas.openxmlformats.org/officeDocument/2006/relationships" ref="O894" r:id="rId3287"/>
    <hyperlink xmlns:r="http://schemas.openxmlformats.org/officeDocument/2006/relationships" ref="P894" r:id="rId3288"/>
    <hyperlink xmlns:r="http://schemas.openxmlformats.org/officeDocument/2006/relationships" ref="M895" r:id="rId3289"/>
    <hyperlink xmlns:r="http://schemas.openxmlformats.org/officeDocument/2006/relationships" ref="N895" r:id="rId3290"/>
    <hyperlink xmlns:r="http://schemas.openxmlformats.org/officeDocument/2006/relationships" ref="P895" r:id="rId3291"/>
    <hyperlink xmlns:r="http://schemas.openxmlformats.org/officeDocument/2006/relationships" ref="M896" r:id="rId3292"/>
    <hyperlink xmlns:r="http://schemas.openxmlformats.org/officeDocument/2006/relationships" ref="N896" r:id="rId3293"/>
    <hyperlink xmlns:r="http://schemas.openxmlformats.org/officeDocument/2006/relationships" ref="P896" r:id="rId3294"/>
    <hyperlink xmlns:r="http://schemas.openxmlformats.org/officeDocument/2006/relationships" ref="M897" r:id="rId3295"/>
    <hyperlink xmlns:r="http://schemas.openxmlformats.org/officeDocument/2006/relationships" ref="N897" r:id="rId3296"/>
    <hyperlink xmlns:r="http://schemas.openxmlformats.org/officeDocument/2006/relationships" ref="O897" r:id="rId3297"/>
    <hyperlink xmlns:r="http://schemas.openxmlformats.org/officeDocument/2006/relationships" ref="P897" r:id="rId3298"/>
    <hyperlink xmlns:r="http://schemas.openxmlformats.org/officeDocument/2006/relationships" ref="M898" r:id="rId3299"/>
    <hyperlink xmlns:r="http://schemas.openxmlformats.org/officeDocument/2006/relationships" ref="N898" r:id="rId3300"/>
    <hyperlink xmlns:r="http://schemas.openxmlformats.org/officeDocument/2006/relationships" ref="O898" r:id="rId3301"/>
    <hyperlink xmlns:r="http://schemas.openxmlformats.org/officeDocument/2006/relationships" ref="P898" r:id="rId3302"/>
    <hyperlink xmlns:r="http://schemas.openxmlformats.org/officeDocument/2006/relationships" ref="M899" r:id="rId3303"/>
    <hyperlink xmlns:r="http://schemas.openxmlformats.org/officeDocument/2006/relationships" ref="N899" r:id="rId3304"/>
    <hyperlink xmlns:r="http://schemas.openxmlformats.org/officeDocument/2006/relationships" ref="O899" r:id="rId3305"/>
    <hyperlink xmlns:r="http://schemas.openxmlformats.org/officeDocument/2006/relationships" ref="P899" r:id="rId3306"/>
    <hyperlink xmlns:r="http://schemas.openxmlformats.org/officeDocument/2006/relationships" ref="M900" r:id="rId3307"/>
    <hyperlink xmlns:r="http://schemas.openxmlformats.org/officeDocument/2006/relationships" ref="N900" r:id="rId3308"/>
    <hyperlink xmlns:r="http://schemas.openxmlformats.org/officeDocument/2006/relationships" ref="P900" r:id="rId3309"/>
    <hyperlink xmlns:r="http://schemas.openxmlformats.org/officeDocument/2006/relationships" ref="M901" r:id="rId3310"/>
    <hyperlink xmlns:r="http://schemas.openxmlformats.org/officeDocument/2006/relationships" ref="N901" r:id="rId3311"/>
    <hyperlink xmlns:r="http://schemas.openxmlformats.org/officeDocument/2006/relationships" ref="P901" r:id="rId3312"/>
    <hyperlink xmlns:r="http://schemas.openxmlformats.org/officeDocument/2006/relationships" ref="M902" r:id="rId3313"/>
    <hyperlink xmlns:r="http://schemas.openxmlformats.org/officeDocument/2006/relationships" ref="N902" r:id="rId3314"/>
    <hyperlink xmlns:r="http://schemas.openxmlformats.org/officeDocument/2006/relationships" ref="O902" r:id="rId3315"/>
    <hyperlink xmlns:r="http://schemas.openxmlformats.org/officeDocument/2006/relationships" ref="P902" r:id="rId3316"/>
    <hyperlink xmlns:r="http://schemas.openxmlformats.org/officeDocument/2006/relationships" ref="M903" r:id="rId3317"/>
    <hyperlink xmlns:r="http://schemas.openxmlformats.org/officeDocument/2006/relationships" ref="N903" r:id="rId3318"/>
    <hyperlink xmlns:r="http://schemas.openxmlformats.org/officeDocument/2006/relationships" ref="P903" r:id="rId3319"/>
    <hyperlink xmlns:r="http://schemas.openxmlformats.org/officeDocument/2006/relationships" ref="M904" r:id="rId3320"/>
    <hyperlink xmlns:r="http://schemas.openxmlformats.org/officeDocument/2006/relationships" ref="N904" r:id="rId3321"/>
    <hyperlink xmlns:r="http://schemas.openxmlformats.org/officeDocument/2006/relationships" ref="P904" r:id="rId3322"/>
    <hyperlink xmlns:r="http://schemas.openxmlformats.org/officeDocument/2006/relationships" ref="M905" r:id="rId3323"/>
    <hyperlink xmlns:r="http://schemas.openxmlformats.org/officeDocument/2006/relationships" ref="N905" r:id="rId3324"/>
    <hyperlink xmlns:r="http://schemas.openxmlformats.org/officeDocument/2006/relationships" ref="O905" r:id="rId3325"/>
    <hyperlink xmlns:r="http://schemas.openxmlformats.org/officeDocument/2006/relationships" ref="P905" r:id="rId3326"/>
    <hyperlink xmlns:r="http://schemas.openxmlformats.org/officeDocument/2006/relationships" ref="M906" r:id="rId3327"/>
    <hyperlink xmlns:r="http://schemas.openxmlformats.org/officeDocument/2006/relationships" ref="N906" r:id="rId3328"/>
    <hyperlink xmlns:r="http://schemas.openxmlformats.org/officeDocument/2006/relationships" ref="P906" r:id="rId3329"/>
    <hyperlink xmlns:r="http://schemas.openxmlformats.org/officeDocument/2006/relationships" ref="M907" r:id="rId3330"/>
    <hyperlink xmlns:r="http://schemas.openxmlformats.org/officeDocument/2006/relationships" ref="N907" r:id="rId3331"/>
    <hyperlink xmlns:r="http://schemas.openxmlformats.org/officeDocument/2006/relationships" ref="O907" r:id="rId3332"/>
    <hyperlink xmlns:r="http://schemas.openxmlformats.org/officeDocument/2006/relationships" ref="P907" r:id="rId3333"/>
    <hyperlink xmlns:r="http://schemas.openxmlformats.org/officeDocument/2006/relationships" ref="M908" r:id="rId3334"/>
    <hyperlink xmlns:r="http://schemas.openxmlformats.org/officeDocument/2006/relationships" ref="N908" r:id="rId3335"/>
    <hyperlink xmlns:r="http://schemas.openxmlformats.org/officeDocument/2006/relationships" ref="P908" r:id="rId3336"/>
    <hyperlink xmlns:r="http://schemas.openxmlformats.org/officeDocument/2006/relationships" ref="M909" r:id="rId3337"/>
    <hyperlink xmlns:r="http://schemas.openxmlformats.org/officeDocument/2006/relationships" ref="N909" r:id="rId3338"/>
    <hyperlink xmlns:r="http://schemas.openxmlformats.org/officeDocument/2006/relationships" ref="O909" r:id="rId3339"/>
    <hyperlink xmlns:r="http://schemas.openxmlformats.org/officeDocument/2006/relationships" ref="P909" r:id="rId3340"/>
    <hyperlink xmlns:r="http://schemas.openxmlformats.org/officeDocument/2006/relationships" ref="M910" r:id="rId3341"/>
    <hyperlink xmlns:r="http://schemas.openxmlformats.org/officeDocument/2006/relationships" ref="N910" r:id="rId3342"/>
    <hyperlink xmlns:r="http://schemas.openxmlformats.org/officeDocument/2006/relationships" ref="P910" r:id="rId3343"/>
    <hyperlink xmlns:r="http://schemas.openxmlformats.org/officeDocument/2006/relationships" ref="M911" r:id="rId3344"/>
    <hyperlink xmlns:r="http://schemas.openxmlformats.org/officeDocument/2006/relationships" ref="N911" r:id="rId3345"/>
    <hyperlink xmlns:r="http://schemas.openxmlformats.org/officeDocument/2006/relationships" ref="P911" r:id="rId3346"/>
    <hyperlink xmlns:r="http://schemas.openxmlformats.org/officeDocument/2006/relationships" ref="M912" r:id="rId3347"/>
    <hyperlink xmlns:r="http://schemas.openxmlformats.org/officeDocument/2006/relationships" ref="N912" r:id="rId3348"/>
    <hyperlink xmlns:r="http://schemas.openxmlformats.org/officeDocument/2006/relationships" ref="O912" r:id="rId3349"/>
    <hyperlink xmlns:r="http://schemas.openxmlformats.org/officeDocument/2006/relationships" ref="P912" r:id="rId3350"/>
    <hyperlink xmlns:r="http://schemas.openxmlformats.org/officeDocument/2006/relationships" ref="M913" r:id="rId3351"/>
    <hyperlink xmlns:r="http://schemas.openxmlformats.org/officeDocument/2006/relationships" ref="N913" r:id="rId3352"/>
    <hyperlink xmlns:r="http://schemas.openxmlformats.org/officeDocument/2006/relationships" ref="O913" r:id="rId3353"/>
    <hyperlink xmlns:r="http://schemas.openxmlformats.org/officeDocument/2006/relationships" ref="P913" r:id="rId3354"/>
    <hyperlink xmlns:r="http://schemas.openxmlformats.org/officeDocument/2006/relationships" ref="M914" r:id="rId3355"/>
    <hyperlink xmlns:r="http://schemas.openxmlformats.org/officeDocument/2006/relationships" ref="N914" r:id="rId3356"/>
    <hyperlink xmlns:r="http://schemas.openxmlformats.org/officeDocument/2006/relationships" ref="O914" r:id="rId3357"/>
    <hyperlink xmlns:r="http://schemas.openxmlformats.org/officeDocument/2006/relationships" ref="P914" r:id="rId3358"/>
    <hyperlink xmlns:r="http://schemas.openxmlformats.org/officeDocument/2006/relationships" ref="M915" r:id="rId3359"/>
    <hyperlink xmlns:r="http://schemas.openxmlformats.org/officeDocument/2006/relationships" ref="N915" r:id="rId3360"/>
    <hyperlink xmlns:r="http://schemas.openxmlformats.org/officeDocument/2006/relationships" ref="O915" r:id="rId3361"/>
    <hyperlink xmlns:r="http://schemas.openxmlformats.org/officeDocument/2006/relationships" ref="P915" r:id="rId3362"/>
    <hyperlink xmlns:r="http://schemas.openxmlformats.org/officeDocument/2006/relationships" ref="M916" r:id="rId3363"/>
    <hyperlink xmlns:r="http://schemas.openxmlformats.org/officeDocument/2006/relationships" ref="N916" r:id="rId3364"/>
    <hyperlink xmlns:r="http://schemas.openxmlformats.org/officeDocument/2006/relationships" ref="O916" r:id="rId3365"/>
    <hyperlink xmlns:r="http://schemas.openxmlformats.org/officeDocument/2006/relationships" ref="P916" r:id="rId3366"/>
    <hyperlink xmlns:r="http://schemas.openxmlformats.org/officeDocument/2006/relationships" ref="M917" r:id="rId3367"/>
    <hyperlink xmlns:r="http://schemas.openxmlformats.org/officeDocument/2006/relationships" ref="N917" r:id="rId3368"/>
    <hyperlink xmlns:r="http://schemas.openxmlformats.org/officeDocument/2006/relationships" ref="P917" r:id="rId3369"/>
    <hyperlink xmlns:r="http://schemas.openxmlformats.org/officeDocument/2006/relationships" ref="M918" r:id="rId3370"/>
    <hyperlink xmlns:r="http://schemas.openxmlformats.org/officeDocument/2006/relationships" ref="N918" r:id="rId3371"/>
    <hyperlink xmlns:r="http://schemas.openxmlformats.org/officeDocument/2006/relationships" ref="P918" r:id="rId3372"/>
    <hyperlink xmlns:r="http://schemas.openxmlformats.org/officeDocument/2006/relationships" ref="M919" r:id="rId3373"/>
    <hyperlink xmlns:r="http://schemas.openxmlformats.org/officeDocument/2006/relationships" ref="N919" r:id="rId3374"/>
    <hyperlink xmlns:r="http://schemas.openxmlformats.org/officeDocument/2006/relationships" ref="O919" r:id="rId3375"/>
    <hyperlink xmlns:r="http://schemas.openxmlformats.org/officeDocument/2006/relationships" ref="P919" r:id="rId3376"/>
    <hyperlink xmlns:r="http://schemas.openxmlformats.org/officeDocument/2006/relationships" ref="M920" r:id="rId3377"/>
    <hyperlink xmlns:r="http://schemas.openxmlformats.org/officeDocument/2006/relationships" ref="N920" r:id="rId3378"/>
    <hyperlink xmlns:r="http://schemas.openxmlformats.org/officeDocument/2006/relationships" ref="P920" r:id="rId3379"/>
    <hyperlink xmlns:r="http://schemas.openxmlformats.org/officeDocument/2006/relationships" ref="M921" r:id="rId3380"/>
    <hyperlink xmlns:r="http://schemas.openxmlformats.org/officeDocument/2006/relationships" ref="N921" r:id="rId3381"/>
    <hyperlink xmlns:r="http://schemas.openxmlformats.org/officeDocument/2006/relationships" ref="O921" r:id="rId3382"/>
    <hyperlink xmlns:r="http://schemas.openxmlformats.org/officeDocument/2006/relationships" ref="P921" r:id="rId3383"/>
    <hyperlink xmlns:r="http://schemas.openxmlformats.org/officeDocument/2006/relationships" ref="M922" r:id="rId3384"/>
    <hyperlink xmlns:r="http://schemas.openxmlformats.org/officeDocument/2006/relationships" ref="N922" r:id="rId3385"/>
    <hyperlink xmlns:r="http://schemas.openxmlformats.org/officeDocument/2006/relationships" ref="O922" r:id="rId3386"/>
    <hyperlink xmlns:r="http://schemas.openxmlformats.org/officeDocument/2006/relationships" ref="P922" r:id="rId3387"/>
    <hyperlink xmlns:r="http://schemas.openxmlformats.org/officeDocument/2006/relationships" ref="M923" r:id="rId3388"/>
    <hyperlink xmlns:r="http://schemas.openxmlformats.org/officeDocument/2006/relationships" ref="N923" r:id="rId3389"/>
    <hyperlink xmlns:r="http://schemas.openxmlformats.org/officeDocument/2006/relationships" ref="O923" r:id="rId3390"/>
    <hyperlink xmlns:r="http://schemas.openxmlformats.org/officeDocument/2006/relationships" ref="P923" r:id="rId3391"/>
    <hyperlink xmlns:r="http://schemas.openxmlformats.org/officeDocument/2006/relationships" ref="M924" r:id="rId3392"/>
    <hyperlink xmlns:r="http://schemas.openxmlformats.org/officeDocument/2006/relationships" ref="N924" r:id="rId3393"/>
    <hyperlink xmlns:r="http://schemas.openxmlformats.org/officeDocument/2006/relationships" ref="O924" r:id="rId3394"/>
    <hyperlink xmlns:r="http://schemas.openxmlformats.org/officeDocument/2006/relationships" ref="P924" r:id="rId3395"/>
    <hyperlink xmlns:r="http://schemas.openxmlformats.org/officeDocument/2006/relationships" ref="M925" r:id="rId3396"/>
    <hyperlink xmlns:r="http://schemas.openxmlformats.org/officeDocument/2006/relationships" ref="N925" r:id="rId3397"/>
    <hyperlink xmlns:r="http://schemas.openxmlformats.org/officeDocument/2006/relationships" ref="O925" r:id="rId3398"/>
    <hyperlink xmlns:r="http://schemas.openxmlformats.org/officeDocument/2006/relationships" ref="P925" r:id="rId3399"/>
    <hyperlink xmlns:r="http://schemas.openxmlformats.org/officeDocument/2006/relationships" ref="M926" r:id="rId3400"/>
    <hyperlink xmlns:r="http://schemas.openxmlformats.org/officeDocument/2006/relationships" ref="N926" r:id="rId3401"/>
    <hyperlink xmlns:r="http://schemas.openxmlformats.org/officeDocument/2006/relationships" ref="P926" r:id="rId3402"/>
    <hyperlink xmlns:r="http://schemas.openxmlformats.org/officeDocument/2006/relationships" ref="M927" r:id="rId3403"/>
    <hyperlink xmlns:r="http://schemas.openxmlformats.org/officeDocument/2006/relationships" ref="N927" r:id="rId3404"/>
    <hyperlink xmlns:r="http://schemas.openxmlformats.org/officeDocument/2006/relationships" ref="O927" r:id="rId3405"/>
    <hyperlink xmlns:r="http://schemas.openxmlformats.org/officeDocument/2006/relationships" ref="P927" r:id="rId3406"/>
    <hyperlink xmlns:r="http://schemas.openxmlformats.org/officeDocument/2006/relationships" ref="N929" r:id="rId3407"/>
    <hyperlink xmlns:r="http://schemas.openxmlformats.org/officeDocument/2006/relationships" ref="O929" r:id="rId3408"/>
    <hyperlink xmlns:r="http://schemas.openxmlformats.org/officeDocument/2006/relationships" ref="P929" r:id="rId3409"/>
    <hyperlink xmlns:r="http://schemas.openxmlformats.org/officeDocument/2006/relationships" ref="M930" r:id="rId3410"/>
    <hyperlink xmlns:r="http://schemas.openxmlformats.org/officeDocument/2006/relationships" ref="N930" r:id="rId3411"/>
    <hyperlink xmlns:r="http://schemas.openxmlformats.org/officeDocument/2006/relationships" ref="O930" r:id="rId3412"/>
    <hyperlink xmlns:r="http://schemas.openxmlformats.org/officeDocument/2006/relationships" ref="P930" r:id="rId3413"/>
    <hyperlink xmlns:r="http://schemas.openxmlformats.org/officeDocument/2006/relationships" ref="M931" r:id="rId3414"/>
    <hyperlink xmlns:r="http://schemas.openxmlformats.org/officeDocument/2006/relationships" ref="N931" r:id="rId3415"/>
    <hyperlink xmlns:r="http://schemas.openxmlformats.org/officeDocument/2006/relationships" ref="P931" r:id="rId3416"/>
    <hyperlink xmlns:r="http://schemas.openxmlformats.org/officeDocument/2006/relationships" ref="M932" r:id="rId3417"/>
    <hyperlink xmlns:r="http://schemas.openxmlformats.org/officeDocument/2006/relationships" ref="N932" r:id="rId3418"/>
    <hyperlink xmlns:r="http://schemas.openxmlformats.org/officeDocument/2006/relationships" ref="O932" r:id="rId3419"/>
    <hyperlink xmlns:r="http://schemas.openxmlformats.org/officeDocument/2006/relationships" ref="P932" r:id="rId3420"/>
    <hyperlink xmlns:r="http://schemas.openxmlformats.org/officeDocument/2006/relationships" ref="M933" r:id="rId3421"/>
    <hyperlink xmlns:r="http://schemas.openxmlformats.org/officeDocument/2006/relationships" ref="N933" r:id="rId3422"/>
    <hyperlink xmlns:r="http://schemas.openxmlformats.org/officeDocument/2006/relationships" ref="O933" r:id="rId3423"/>
    <hyperlink xmlns:r="http://schemas.openxmlformats.org/officeDocument/2006/relationships" ref="P933" r:id="rId3424"/>
    <hyperlink xmlns:r="http://schemas.openxmlformats.org/officeDocument/2006/relationships" ref="M934" r:id="rId3425"/>
    <hyperlink xmlns:r="http://schemas.openxmlformats.org/officeDocument/2006/relationships" ref="N934" r:id="rId3426"/>
    <hyperlink xmlns:r="http://schemas.openxmlformats.org/officeDocument/2006/relationships" ref="O934" r:id="rId3427"/>
    <hyperlink xmlns:r="http://schemas.openxmlformats.org/officeDocument/2006/relationships" ref="P934" r:id="rId3428"/>
    <hyperlink xmlns:r="http://schemas.openxmlformats.org/officeDocument/2006/relationships" ref="M935" r:id="rId3429"/>
    <hyperlink xmlns:r="http://schemas.openxmlformats.org/officeDocument/2006/relationships" ref="N935" r:id="rId3430"/>
    <hyperlink xmlns:r="http://schemas.openxmlformats.org/officeDocument/2006/relationships" ref="O935" r:id="rId3431"/>
    <hyperlink xmlns:r="http://schemas.openxmlformats.org/officeDocument/2006/relationships" ref="P935" r:id="rId3432"/>
    <hyperlink xmlns:r="http://schemas.openxmlformats.org/officeDocument/2006/relationships" ref="M936" r:id="rId3433"/>
    <hyperlink xmlns:r="http://schemas.openxmlformats.org/officeDocument/2006/relationships" ref="N936" r:id="rId3434"/>
    <hyperlink xmlns:r="http://schemas.openxmlformats.org/officeDocument/2006/relationships" ref="O936" r:id="rId3435"/>
    <hyperlink xmlns:r="http://schemas.openxmlformats.org/officeDocument/2006/relationships" ref="P936" r:id="rId3436"/>
    <hyperlink xmlns:r="http://schemas.openxmlformats.org/officeDocument/2006/relationships" ref="M937" r:id="rId3437"/>
    <hyperlink xmlns:r="http://schemas.openxmlformats.org/officeDocument/2006/relationships" ref="N937" r:id="rId3438"/>
    <hyperlink xmlns:r="http://schemas.openxmlformats.org/officeDocument/2006/relationships" ref="O937" r:id="rId3439"/>
    <hyperlink xmlns:r="http://schemas.openxmlformats.org/officeDocument/2006/relationships" ref="P937" r:id="rId3440"/>
    <hyperlink xmlns:r="http://schemas.openxmlformats.org/officeDocument/2006/relationships" ref="M938" r:id="rId3441"/>
    <hyperlink xmlns:r="http://schemas.openxmlformats.org/officeDocument/2006/relationships" ref="N938" r:id="rId3442"/>
    <hyperlink xmlns:r="http://schemas.openxmlformats.org/officeDocument/2006/relationships" ref="O938" r:id="rId3443"/>
    <hyperlink xmlns:r="http://schemas.openxmlformats.org/officeDocument/2006/relationships" ref="P938" r:id="rId3444"/>
    <hyperlink xmlns:r="http://schemas.openxmlformats.org/officeDocument/2006/relationships" ref="M939" r:id="rId3445"/>
    <hyperlink xmlns:r="http://schemas.openxmlformats.org/officeDocument/2006/relationships" ref="N939" r:id="rId3446"/>
    <hyperlink xmlns:r="http://schemas.openxmlformats.org/officeDocument/2006/relationships" ref="O939" r:id="rId3447"/>
    <hyperlink xmlns:r="http://schemas.openxmlformats.org/officeDocument/2006/relationships" ref="P939" r:id="rId3448"/>
    <hyperlink xmlns:r="http://schemas.openxmlformats.org/officeDocument/2006/relationships" ref="M940" r:id="rId3449"/>
    <hyperlink xmlns:r="http://schemas.openxmlformats.org/officeDocument/2006/relationships" ref="N940" r:id="rId3450"/>
    <hyperlink xmlns:r="http://schemas.openxmlformats.org/officeDocument/2006/relationships" ref="P940" r:id="rId3451"/>
    <hyperlink xmlns:r="http://schemas.openxmlformats.org/officeDocument/2006/relationships" ref="M941" r:id="rId3452"/>
    <hyperlink xmlns:r="http://schemas.openxmlformats.org/officeDocument/2006/relationships" ref="N941" r:id="rId3453"/>
    <hyperlink xmlns:r="http://schemas.openxmlformats.org/officeDocument/2006/relationships" ref="O941" r:id="rId3454"/>
    <hyperlink xmlns:r="http://schemas.openxmlformats.org/officeDocument/2006/relationships" ref="P941" r:id="rId3455"/>
    <hyperlink xmlns:r="http://schemas.openxmlformats.org/officeDocument/2006/relationships" ref="M942" r:id="rId3456"/>
    <hyperlink xmlns:r="http://schemas.openxmlformats.org/officeDocument/2006/relationships" ref="N942" r:id="rId3457"/>
    <hyperlink xmlns:r="http://schemas.openxmlformats.org/officeDocument/2006/relationships" ref="P942" r:id="rId3458"/>
    <hyperlink xmlns:r="http://schemas.openxmlformats.org/officeDocument/2006/relationships" ref="M943" r:id="rId3459"/>
    <hyperlink xmlns:r="http://schemas.openxmlformats.org/officeDocument/2006/relationships" ref="N943" r:id="rId3460"/>
    <hyperlink xmlns:r="http://schemas.openxmlformats.org/officeDocument/2006/relationships" ref="P943" r:id="rId3461"/>
    <hyperlink xmlns:r="http://schemas.openxmlformats.org/officeDocument/2006/relationships" ref="M944" r:id="rId3462"/>
    <hyperlink xmlns:r="http://schemas.openxmlformats.org/officeDocument/2006/relationships" ref="N944" r:id="rId3463"/>
    <hyperlink xmlns:r="http://schemas.openxmlformats.org/officeDocument/2006/relationships" ref="P944" r:id="rId3464"/>
    <hyperlink xmlns:r="http://schemas.openxmlformats.org/officeDocument/2006/relationships" ref="M945" r:id="rId3465"/>
    <hyperlink xmlns:r="http://schemas.openxmlformats.org/officeDocument/2006/relationships" ref="N945" r:id="rId3466"/>
    <hyperlink xmlns:r="http://schemas.openxmlformats.org/officeDocument/2006/relationships" ref="O945" r:id="rId3467"/>
    <hyperlink xmlns:r="http://schemas.openxmlformats.org/officeDocument/2006/relationships" ref="P945" r:id="rId3468"/>
    <hyperlink xmlns:r="http://schemas.openxmlformats.org/officeDocument/2006/relationships" ref="M946" r:id="rId3469"/>
    <hyperlink xmlns:r="http://schemas.openxmlformats.org/officeDocument/2006/relationships" ref="N946" r:id="rId3470"/>
    <hyperlink xmlns:r="http://schemas.openxmlformats.org/officeDocument/2006/relationships" ref="O946" r:id="rId3471"/>
    <hyperlink xmlns:r="http://schemas.openxmlformats.org/officeDocument/2006/relationships" ref="P946" r:id="rId3472"/>
    <hyperlink xmlns:r="http://schemas.openxmlformats.org/officeDocument/2006/relationships" ref="M947" r:id="rId3473"/>
    <hyperlink xmlns:r="http://schemas.openxmlformats.org/officeDocument/2006/relationships" ref="N947" r:id="rId3474"/>
    <hyperlink xmlns:r="http://schemas.openxmlformats.org/officeDocument/2006/relationships" ref="O947" r:id="rId3475"/>
    <hyperlink xmlns:r="http://schemas.openxmlformats.org/officeDocument/2006/relationships" ref="P947" r:id="rId3476"/>
    <hyperlink xmlns:r="http://schemas.openxmlformats.org/officeDocument/2006/relationships" ref="M948" r:id="rId3477"/>
    <hyperlink xmlns:r="http://schemas.openxmlformats.org/officeDocument/2006/relationships" ref="N948" r:id="rId3478"/>
    <hyperlink xmlns:r="http://schemas.openxmlformats.org/officeDocument/2006/relationships" ref="O948" r:id="rId3479"/>
    <hyperlink xmlns:r="http://schemas.openxmlformats.org/officeDocument/2006/relationships" ref="P948" r:id="rId3480"/>
    <hyperlink xmlns:r="http://schemas.openxmlformats.org/officeDocument/2006/relationships" ref="M949" r:id="rId3481"/>
    <hyperlink xmlns:r="http://schemas.openxmlformats.org/officeDocument/2006/relationships" ref="N949" r:id="rId3482"/>
    <hyperlink xmlns:r="http://schemas.openxmlformats.org/officeDocument/2006/relationships" ref="O949" r:id="rId3483"/>
    <hyperlink xmlns:r="http://schemas.openxmlformats.org/officeDocument/2006/relationships" ref="P949" r:id="rId3484"/>
    <hyperlink xmlns:r="http://schemas.openxmlformats.org/officeDocument/2006/relationships" ref="M950" r:id="rId3485"/>
    <hyperlink xmlns:r="http://schemas.openxmlformats.org/officeDocument/2006/relationships" ref="N950" r:id="rId3486"/>
    <hyperlink xmlns:r="http://schemas.openxmlformats.org/officeDocument/2006/relationships" ref="O950" r:id="rId3487"/>
    <hyperlink xmlns:r="http://schemas.openxmlformats.org/officeDocument/2006/relationships" ref="P950" r:id="rId3488"/>
    <hyperlink xmlns:r="http://schemas.openxmlformats.org/officeDocument/2006/relationships" ref="M951" r:id="rId3489"/>
    <hyperlink xmlns:r="http://schemas.openxmlformats.org/officeDocument/2006/relationships" ref="N951" r:id="rId3490"/>
    <hyperlink xmlns:r="http://schemas.openxmlformats.org/officeDocument/2006/relationships" ref="O951" r:id="rId3491"/>
    <hyperlink xmlns:r="http://schemas.openxmlformats.org/officeDocument/2006/relationships" ref="P951" r:id="rId3492"/>
    <hyperlink xmlns:r="http://schemas.openxmlformats.org/officeDocument/2006/relationships" ref="M952" r:id="rId3493"/>
    <hyperlink xmlns:r="http://schemas.openxmlformats.org/officeDocument/2006/relationships" ref="N952" r:id="rId3494"/>
    <hyperlink xmlns:r="http://schemas.openxmlformats.org/officeDocument/2006/relationships" ref="P952" r:id="rId3495"/>
    <hyperlink xmlns:r="http://schemas.openxmlformats.org/officeDocument/2006/relationships" ref="M953" r:id="rId3496"/>
    <hyperlink xmlns:r="http://schemas.openxmlformats.org/officeDocument/2006/relationships" ref="N953" r:id="rId3497"/>
    <hyperlink xmlns:r="http://schemas.openxmlformats.org/officeDocument/2006/relationships" ref="O953" r:id="rId3498"/>
    <hyperlink xmlns:r="http://schemas.openxmlformats.org/officeDocument/2006/relationships" ref="P953" r:id="rId3499"/>
    <hyperlink xmlns:r="http://schemas.openxmlformats.org/officeDocument/2006/relationships" ref="M954" r:id="rId3500"/>
    <hyperlink xmlns:r="http://schemas.openxmlformats.org/officeDocument/2006/relationships" ref="N954" r:id="rId3501"/>
    <hyperlink xmlns:r="http://schemas.openxmlformats.org/officeDocument/2006/relationships" ref="O954" r:id="rId3502"/>
    <hyperlink xmlns:r="http://schemas.openxmlformats.org/officeDocument/2006/relationships" ref="P954" r:id="rId3503"/>
    <hyperlink xmlns:r="http://schemas.openxmlformats.org/officeDocument/2006/relationships" ref="M955" r:id="rId3504"/>
    <hyperlink xmlns:r="http://schemas.openxmlformats.org/officeDocument/2006/relationships" ref="N955" r:id="rId3505"/>
    <hyperlink xmlns:r="http://schemas.openxmlformats.org/officeDocument/2006/relationships" ref="P955" r:id="rId3506"/>
    <hyperlink xmlns:r="http://schemas.openxmlformats.org/officeDocument/2006/relationships" ref="M957" r:id="rId3507"/>
    <hyperlink xmlns:r="http://schemas.openxmlformats.org/officeDocument/2006/relationships" ref="N957" r:id="rId3508"/>
    <hyperlink xmlns:r="http://schemas.openxmlformats.org/officeDocument/2006/relationships" ref="O957" r:id="rId3509"/>
    <hyperlink xmlns:r="http://schemas.openxmlformats.org/officeDocument/2006/relationships" ref="P957" r:id="rId3510"/>
    <hyperlink xmlns:r="http://schemas.openxmlformats.org/officeDocument/2006/relationships" ref="M958" r:id="rId3511"/>
    <hyperlink xmlns:r="http://schemas.openxmlformats.org/officeDocument/2006/relationships" ref="N958" r:id="rId3512"/>
    <hyperlink xmlns:r="http://schemas.openxmlformats.org/officeDocument/2006/relationships" ref="O958" r:id="rId3513"/>
    <hyperlink xmlns:r="http://schemas.openxmlformats.org/officeDocument/2006/relationships" ref="P958" r:id="rId3514"/>
    <hyperlink xmlns:r="http://schemas.openxmlformats.org/officeDocument/2006/relationships" ref="M959" r:id="rId3515"/>
    <hyperlink xmlns:r="http://schemas.openxmlformats.org/officeDocument/2006/relationships" ref="N959" r:id="rId3516"/>
    <hyperlink xmlns:r="http://schemas.openxmlformats.org/officeDocument/2006/relationships" ref="O959" r:id="rId3517"/>
    <hyperlink xmlns:r="http://schemas.openxmlformats.org/officeDocument/2006/relationships" ref="P959" r:id="rId3518"/>
    <hyperlink xmlns:r="http://schemas.openxmlformats.org/officeDocument/2006/relationships" ref="M960" r:id="rId3519"/>
    <hyperlink xmlns:r="http://schemas.openxmlformats.org/officeDocument/2006/relationships" ref="N960" r:id="rId3520"/>
    <hyperlink xmlns:r="http://schemas.openxmlformats.org/officeDocument/2006/relationships" ref="O960" r:id="rId3521"/>
    <hyperlink xmlns:r="http://schemas.openxmlformats.org/officeDocument/2006/relationships" ref="P960" r:id="rId3522"/>
    <hyperlink xmlns:r="http://schemas.openxmlformats.org/officeDocument/2006/relationships" ref="M961" r:id="rId3523"/>
    <hyperlink xmlns:r="http://schemas.openxmlformats.org/officeDocument/2006/relationships" ref="N961" r:id="rId3524"/>
    <hyperlink xmlns:r="http://schemas.openxmlformats.org/officeDocument/2006/relationships" ref="O961" r:id="rId3525"/>
    <hyperlink xmlns:r="http://schemas.openxmlformats.org/officeDocument/2006/relationships" ref="P961" r:id="rId3526"/>
    <hyperlink xmlns:r="http://schemas.openxmlformats.org/officeDocument/2006/relationships" ref="M962" r:id="rId3527"/>
    <hyperlink xmlns:r="http://schemas.openxmlformats.org/officeDocument/2006/relationships" ref="N962" r:id="rId3528"/>
    <hyperlink xmlns:r="http://schemas.openxmlformats.org/officeDocument/2006/relationships" ref="P962" r:id="rId3529"/>
    <hyperlink xmlns:r="http://schemas.openxmlformats.org/officeDocument/2006/relationships" ref="M963" r:id="rId3530"/>
    <hyperlink xmlns:r="http://schemas.openxmlformats.org/officeDocument/2006/relationships" ref="N963" r:id="rId3531"/>
    <hyperlink xmlns:r="http://schemas.openxmlformats.org/officeDocument/2006/relationships" ref="O963" r:id="rId3532"/>
    <hyperlink xmlns:r="http://schemas.openxmlformats.org/officeDocument/2006/relationships" ref="P963" r:id="rId3533"/>
    <hyperlink xmlns:r="http://schemas.openxmlformats.org/officeDocument/2006/relationships" ref="M964" r:id="rId3534"/>
    <hyperlink xmlns:r="http://schemas.openxmlformats.org/officeDocument/2006/relationships" ref="N964" r:id="rId3535"/>
    <hyperlink xmlns:r="http://schemas.openxmlformats.org/officeDocument/2006/relationships" ref="O964" r:id="rId3536"/>
    <hyperlink xmlns:r="http://schemas.openxmlformats.org/officeDocument/2006/relationships" ref="P964" r:id="rId3537"/>
    <hyperlink xmlns:r="http://schemas.openxmlformats.org/officeDocument/2006/relationships" ref="M965" r:id="rId3538"/>
    <hyperlink xmlns:r="http://schemas.openxmlformats.org/officeDocument/2006/relationships" ref="N965" r:id="rId3539"/>
    <hyperlink xmlns:r="http://schemas.openxmlformats.org/officeDocument/2006/relationships" ref="O965" r:id="rId3540"/>
    <hyperlink xmlns:r="http://schemas.openxmlformats.org/officeDocument/2006/relationships" ref="P965" r:id="rId3541"/>
    <hyperlink xmlns:r="http://schemas.openxmlformats.org/officeDocument/2006/relationships" ref="M966" r:id="rId3542"/>
    <hyperlink xmlns:r="http://schemas.openxmlformats.org/officeDocument/2006/relationships" ref="N966" r:id="rId3543"/>
    <hyperlink xmlns:r="http://schemas.openxmlformats.org/officeDocument/2006/relationships" ref="O966" r:id="rId3544"/>
    <hyperlink xmlns:r="http://schemas.openxmlformats.org/officeDocument/2006/relationships" ref="P966" r:id="rId3545"/>
    <hyperlink xmlns:r="http://schemas.openxmlformats.org/officeDocument/2006/relationships" ref="M967" r:id="rId3546"/>
    <hyperlink xmlns:r="http://schemas.openxmlformats.org/officeDocument/2006/relationships" ref="N967" r:id="rId3547"/>
    <hyperlink xmlns:r="http://schemas.openxmlformats.org/officeDocument/2006/relationships" ref="O967" r:id="rId3548"/>
    <hyperlink xmlns:r="http://schemas.openxmlformats.org/officeDocument/2006/relationships" ref="P967" r:id="rId3549"/>
    <hyperlink xmlns:r="http://schemas.openxmlformats.org/officeDocument/2006/relationships" ref="M968" r:id="rId3550"/>
    <hyperlink xmlns:r="http://schemas.openxmlformats.org/officeDocument/2006/relationships" ref="N968" r:id="rId3551"/>
    <hyperlink xmlns:r="http://schemas.openxmlformats.org/officeDocument/2006/relationships" ref="O968" r:id="rId3552"/>
    <hyperlink xmlns:r="http://schemas.openxmlformats.org/officeDocument/2006/relationships" ref="P968" r:id="rId3553"/>
    <hyperlink xmlns:r="http://schemas.openxmlformats.org/officeDocument/2006/relationships" ref="M969" r:id="rId3554"/>
    <hyperlink xmlns:r="http://schemas.openxmlformats.org/officeDocument/2006/relationships" ref="N969" r:id="rId3555"/>
    <hyperlink xmlns:r="http://schemas.openxmlformats.org/officeDocument/2006/relationships" ref="P969" r:id="rId3556"/>
    <hyperlink xmlns:r="http://schemas.openxmlformats.org/officeDocument/2006/relationships" ref="M970" r:id="rId3557"/>
    <hyperlink xmlns:r="http://schemas.openxmlformats.org/officeDocument/2006/relationships" ref="N970" r:id="rId3558"/>
    <hyperlink xmlns:r="http://schemas.openxmlformats.org/officeDocument/2006/relationships" ref="O970" r:id="rId3559"/>
    <hyperlink xmlns:r="http://schemas.openxmlformats.org/officeDocument/2006/relationships" ref="P970" r:id="rId3560"/>
    <hyperlink xmlns:r="http://schemas.openxmlformats.org/officeDocument/2006/relationships" ref="M971" r:id="rId3561"/>
    <hyperlink xmlns:r="http://schemas.openxmlformats.org/officeDocument/2006/relationships" ref="N971" r:id="rId3562"/>
    <hyperlink xmlns:r="http://schemas.openxmlformats.org/officeDocument/2006/relationships" ref="O971" r:id="rId3563"/>
    <hyperlink xmlns:r="http://schemas.openxmlformats.org/officeDocument/2006/relationships" ref="P971" r:id="rId3564"/>
    <hyperlink xmlns:r="http://schemas.openxmlformats.org/officeDocument/2006/relationships" ref="M972" r:id="rId3565"/>
    <hyperlink xmlns:r="http://schemas.openxmlformats.org/officeDocument/2006/relationships" ref="N972" r:id="rId3566"/>
    <hyperlink xmlns:r="http://schemas.openxmlformats.org/officeDocument/2006/relationships" ref="O972" r:id="rId3567"/>
    <hyperlink xmlns:r="http://schemas.openxmlformats.org/officeDocument/2006/relationships" ref="P972" r:id="rId3568"/>
    <hyperlink xmlns:r="http://schemas.openxmlformats.org/officeDocument/2006/relationships" ref="M973" r:id="rId3569"/>
    <hyperlink xmlns:r="http://schemas.openxmlformats.org/officeDocument/2006/relationships" ref="N973" r:id="rId3570"/>
    <hyperlink xmlns:r="http://schemas.openxmlformats.org/officeDocument/2006/relationships" ref="O973" r:id="rId3571"/>
    <hyperlink xmlns:r="http://schemas.openxmlformats.org/officeDocument/2006/relationships" ref="P973" r:id="rId3572"/>
    <hyperlink xmlns:r="http://schemas.openxmlformats.org/officeDocument/2006/relationships" ref="M974" r:id="rId3573"/>
    <hyperlink xmlns:r="http://schemas.openxmlformats.org/officeDocument/2006/relationships" ref="N974" r:id="rId3574"/>
    <hyperlink xmlns:r="http://schemas.openxmlformats.org/officeDocument/2006/relationships" ref="O974" r:id="rId3575"/>
    <hyperlink xmlns:r="http://schemas.openxmlformats.org/officeDocument/2006/relationships" ref="P974" r:id="rId3576"/>
    <hyperlink xmlns:r="http://schemas.openxmlformats.org/officeDocument/2006/relationships" ref="M975" r:id="rId3577"/>
    <hyperlink xmlns:r="http://schemas.openxmlformats.org/officeDocument/2006/relationships" ref="N975" r:id="rId3578"/>
    <hyperlink xmlns:r="http://schemas.openxmlformats.org/officeDocument/2006/relationships" ref="O975" r:id="rId3579"/>
    <hyperlink xmlns:r="http://schemas.openxmlformats.org/officeDocument/2006/relationships" ref="P975" r:id="rId3580"/>
    <hyperlink xmlns:r="http://schemas.openxmlformats.org/officeDocument/2006/relationships" ref="M976" r:id="rId3581"/>
    <hyperlink xmlns:r="http://schemas.openxmlformats.org/officeDocument/2006/relationships" ref="N976" r:id="rId3582"/>
    <hyperlink xmlns:r="http://schemas.openxmlformats.org/officeDocument/2006/relationships" ref="P976" r:id="rId3583"/>
    <hyperlink xmlns:r="http://schemas.openxmlformats.org/officeDocument/2006/relationships" ref="M977" r:id="rId3584"/>
    <hyperlink xmlns:r="http://schemas.openxmlformats.org/officeDocument/2006/relationships" ref="N977" r:id="rId3585"/>
    <hyperlink xmlns:r="http://schemas.openxmlformats.org/officeDocument/2006/relationships" ref="P977" r:id="rId3586"/>
    <hyperlink xmlns:r="http://schemas.openxmlformats.org/officeDocument/2006/relationships" ref="M978" r:id="rId3587"/>
    <hyperlink xmlns:r="http://schemas.openxmlformats.org/officeDocument/2006/relationships" ref="N978" r:id="rId3588"/>
    <hyperlink xmlns:r="http://schemas.openxmlformats.org/officeDocument/2006/relationships" ref="O978" r:id="rId3589"/>
    <hyperlink xmlns:r="http://schemas.openxmlformats.org/officeDocument/2006/relationships" ref="P978" r:id="rId3590"/>
    <hyperlink xmlns:r="http://schemas.openxmlformats.org/officeDocument/2006/relationships" ref="M979" r:id="rId3591"/>
    <hyperlink xmlns:r="http://schemas.openxmlformats.org/officeDocument/2006/relationships" ref="N979" r:id="rId3592"/>
    <hyperlink xmlns:r="http://schemas.openxmlformats.org/officeDocument/2006/relationships" ref="P979" r:id="rId3593"/>
    <hyperlink xmlns:r="http://schemas.openxmlformats.org/officeDocument/2006/relationships" ref="M980" r:id="rId3594"/>
    <hyperlink xmlns:r="http://schemas.openxmlformats.org/officeDocument/2006/relationships" ref="N980" r:id="rId3595"/>
    <hyperlink xmlns:r="http://schemas.openxmlformats.org/officeDocument/2006/relationships" ref="O980" r:id="rId3596"/>
    <hyperlink xmlns:r="http://schemas.openxmlformats.org/officeDocument/2006/relationships" ref="P980" r:id="rId3597"/>
    <hyperlink xmlns:r="http://schemas.openxmlformats.org/officeDocument/2006/relationships" ref="M981" r:id="rId3598"/>
    <hyperlink xmlns:r="http://schemas.openxmlformats.org/officeDocument/2006/relationships" ref="N981" r:id="rId3599"/>
    <hyperlink xmlns:r="http://schemas.openxmlformats.org/officeDocument/2006/relationships" ref="O981" r:id="rId3600"/>
    <hyperlink xmlns:r="http://schemas.openxmlformats.org/officeDocument/2006/relationships" ref="P981" r:id="rId3601"/>
    <hyperlink xmlns:r="http://schemas.openxmlformats.org/officeDocument/2006/relationships" ref="M982" r:id="rId3602"/>
    <hyperlink xmlns:r="http://schemas.openxmlformats.org/officeDocument/2006/relationships" ref="N982" r:id="rId3603"/>
    <hyperlink xmlns:r="http://schemas.openxmlformats.org/officeDocument/2006/relationships" ref="P982" r:id="rId3604"/>
    <hyperlink xmlns:r="http://schemas.openxmlformats.org/officeDocument/2006/relationships" ref="M983" r:id="rId3605"/>
    <hyperlink xmlns:r="http://schemas.openxmlformats.org/officeDocument/2006/relationships" ref="N983" r:id="rId3606"/>
    <hyperlink xmlns:r="http://schemas.openxmlformats.org/officeDocument/2006/relationships" ref="P983" r:id="rId3607"/>
    <hyperlink xmlns:r="http://schemas.openxmlformats.org/officeDocument/2006/relationships" ref="M984" r:id="rId3608"/>
    <hyperlink xmlns:r="http://schemas.openxmlformats.org/officeDocument/2006/relationships" ref="N984" r:id="rId3609"/>
    <hyperlink xmlns:r="http://schemas.openxmlformats.org/officeDocument/2006/relationships" ref="P984" r:id="rId3610"/>
    <hyperlink xmlns:r="http://schemas.openxmlformats.org/officeDocument/2006/relationships" ref="M985" r:id="rId3611"/>
    <hyperlink xmlns:r="http://schemas.openxmlformats.org/officeDocument/2006/relationships" ref="N985" r:id="rId3612"/>
    <hyperlink xmlns:r="http://schemas.openxmlformats.org/officeDocument/2006/relationships" ref="P985" r:id="rId3613"/>
    <hyperlink xmlns:r="http://schemas.openxmlformats.org/officeDocument/2006/relationships" ref="M986" r:id="rId3614"/>
    <hyperlink xmlns:r="http://schemas.openxmlformats.org/officeDocument/2006/relationships" ref="N986" r:id="rId3615"/>
    <hyperlink xmlns:r="http://schemas.openxmlformats.org/officeDocument/2006/relationships" ref="O986" r:id="rId3616"/>
    <hyperlink xmlns:r="http://schemas.openxmlformats.org/officeDocument/2006/relationships" ref="P986" r:id="rId3617"/>
    <hyperlink xmlns:r="http://schemas.openxmlformats.org/officeDocument/2006/relationships" ref="M987" r:id="rId3618"/>
    <hyperlink xmlns:r="http://schemas.openxmlformats.org/officeDocument/2006/relationships" ref="N987" r:id="rId3619"/>
    <hyperlink xmlns:r="http://schemas.openxmlformats.org/officeDocument/2006/relationships" ref="O987" r:id="rId3620"/>
    <hyperlink xmlns:r="http://schemas.openxmlformats.org/officeDocument/2006/relationships" ref="P987" r:id="rId3621"/>
    <hyperlink xmlns:r="http://schemas.openxmlformats.org/officeDocument/2006/relationships" ref="M988" r:id="rId3622"/>
    <hyperlink xmlns:r="http://schemas.openxmlformats.org/officeDocument/2006/relationships" ref="N988" r:id="rId3623"/>
    <hyperlink xmlns:r="http://schemas.openxmlformats.org/officeDocument/2006/relationships" ref="O988" r:id="rId3624"/>
    <hyperlink xmlns:r="http://schemas.openxmlformats.org/officeDocument/2006/relationships" ref="P988" r:id="rId3625"/>
    <hyperlink xmlns:r="http://schemas.openxmlformats.org/officeDocument/2006/relationships" ref="M989" r:id="rId3626"/>
    <hyperlink xmlns:r="http://schemas.openxmlformats.org/officeDocument/2006/relationships" ref="N989" r:id="rId3627"/>
    <hyperlink xmlns:r="http://schemas.openxmlformats.org/officeDocument/2006/relationships" ref="O989" r:id="rId3628"/>
    <hyperlink xmlns:r="http://schemas.openxmlformats.org/officeDocument/2006/relationships" ref="P989" r:id="rId3629"/>
    <hyperlink xmlns:r="http://schemas.openxmlformats.org/officeDocument/2006/relationships" ref="M990" r:id="rId3630"/>
    <hyperlink xmlns:r="http://schemas.openxmlformats.org/officeDocument/2006/relationships" ref="N990" r:id="rId3631"/>
    <hyperlink xmlns:r="http://schemas.openxmlformats.org/officeDocument/2006/relationships" ref="O990" r:id="rId3632"/>
    <hyperlink xmlns:r="http://schemas.openxmlformats.org/officeDocument/2006/relationships" ref="P990" r:id="rId3633"/>
    <hyperlink xmlns:r="http://schemas.openxmlformats.org/officeDocument/2006/relationships" ref="M991" r:id="rId3634"/>
    <hyperlink xmlns:r="http://schemas.openxmlformats.org/officeDocument/2006/relationships" ref="N991" r:id="rId3635"/>
    <hyperlink xmlns:r="http://schemas.openxmlformats.org/officeDocument/2006/relationships" ref="O991" r:id="rId3636"/>
    <hyperlink xmlns:r="http://schemas.openxmlformats.org/officeDocument/2006/relationships" ref="P991" r:id="rId3637"/>
    <hyperlink xmlns:r="http://schemas.openxmlformats.org/officeDocument/2006/relationships" ref="M992" r:id="rId3638"/>
    <hyperlink xmlns:r="http://schemas.openxmlformats.org/officeDocument/2006/relationships" ref="N992" r:id="rId3639"/>
    <hyperlink xmlns:r="http://schemas.openxmlformats.org/officeDocument/2006/relationships" ref="O992" r:id="rId3640"/>
    <hyperlink xmlns:r="http://schemas.openxmlformats.org/officeDocument/2006/relationships" ref="P992" r:id="rId3641"/>
    <hyperlink xmlns:r="http://schemas.openxmlformats.org/officeDocument/2006/relationships" ref="M993" r:id="rId3642"/>
    <hyperlink xmlns:r="http://schemas.openxmlformats.org/officeDocument/2006/relationships" ref="N993" r:id="rId3643"/>
    <hyperlink xmlns:r="http://schemas.openxmlformats.org/officeDocument/2006/relationships" ref="O993" r:id="rId3644"/>
    <hyperlink xmlns:r="http://schemas.openxmlformats.org/officeDocument/2006/relationships" ref="P993" r:id="rId3645"/>
    <hyperlink xmlns:r="http://schemas.openxmlformats.org/officeDocument/2006/relationships" ref="M994" r:id="rId3646"/>
    <hyperlink xmlns:r="http://schemas.openxmlformats.org/officeDocument/2006/relationships" ref="N994" r:id="rId3647"/>
    <hyperlink xmlns:r="http://schemas.openxmlformats.org/officeDocument/2006/relationships" ref="O994" r:id="rId3648"/>
    <hyperlink xmlns:r="http://schemas.openxmlformats.org/officeDocument/2006/relationships" ref="P994" r:id="rId3649"/>
    <hyperlink xmlns:r="http://schemas.openxmlformats.org/officeDocument/2006/relationships" ref="M995" r:id="rId3650"/>
    <hyperlink xmlns:r="http://schemas.openxmlformats.org/officeDocument/2006/relationships" ref="N995" r:id="rId3651"/>
    <hyperlink xmlns:r="http://schemas.openxmlformats.org/officeDocument/2006/relationships" ref="P995" r:id="rId3652"/>
    <hyperlink xmlns:r="http://schemas.openxmlformats.org/officeDocument/2006/relationships" ref="M996" r:id="rId3653"/>
    <hyperlink xmlns:r="http://schemas.openxmlformats.org/officeDocument/2006/relationships" ref="N996" r:id="rId3654"/>
    <hyperlink xmlns:r="http://schemas.openxmlformats.org/officeDocument/2006/relationships" ref="O996" r:id="rId3655"/>
    <hyperlink xmlns:r="http://schemas.openxmlformats.org/officeDocument/2006/relationships" ref="P996" r:id="rId3656"/>
    <hyperlink xmlns:r="http://schemas.openxmlformats.org/officeDocument/2006/relationships" ref="M997" r:id="rId3657"/>
    <hyperlink xmlns:r="http://schemas.openxmlformats.org/officeDocument/2006/relationships" ref="N997" r:id="rId3658"/>
    <hyperlink xmlns:r="http://schemas.openxmlformats.org/officeDocument/2006/relationships" ref="P997" r:id="rId3659"/>
    <hyperlink xmlns:r="http://schemas.openxmlformats.org/officeDocument/2006/relationships" ref="M998" r:id="rId3660"/>
    <hyperlink xmlns:r="http://schemas.openxmlformats.org/officeDocument/2006/relationships" ref="N998" r:id="rId3661"/>
    <hyperlink xmlns:r="http://schemas.openxmlformats.org/officeDocument/2006/relationships" ref="P998" r:id="rId3662"/>
    <hyperlink xmlns:r="http://schemas.openxmlformats.org/officeDocument/2006/relationships" ref="M999" r:id="rId3663"/>
    <hyperlink xmlns:r="http://schemas.openxmlformats.org/officeDocument/2006/relationships" ref="N999" r:id="rId3664"/>
    <hyperlink xmlns:r="http://schemas.openxmlformats.org/officeDocument/2006/relationships" ref="O999" r:id="rId3665"/>
    <hyperlink xmlns:r="http://schemas.openxmlformats.org/officeDocument/2006/relationships" ref="P999" r:id="rId3666"/>
    <hyperlink xmlns:r="http://schemas.openxmlformats.org/officeDocument/2006/relationships" ref="M1000" r:id="rId3667"/>
    <hyperlink xmlns:r="http://schemas.openxmlformats.org/officeDocument/2006/relationships" ref="N1000" r:id="rId3668"/>
    <hyperlink xmlns:r="http://schemas.openxmlformats.org/officeDocument/2006/relationships" ref="O1000" r:id="rId3669"/>
    <hyperlink xmlns:r="http://schemas.openxmlformats.org/officeDocument/2006/relationships" ref="P1000" r:id="rId3670"/>
    <hyperlink xmlns:r="http://schemas.openxmlformats.org/officeDocument/2006/relationships" ref="M1001" r:id="rId3671"/>
    <hyperlink xmlns:r="http://schemas.openxmlformats.org/officeDocument/2006/relationships" ref="N1001" r:id="rId3672"/>
    <hyperlink xmlns:r="http://schemas.openxmlformats.org/officeDocument/2006/relationships" ref="O1001" r:id="rId3673"/>
    <hyperlink xmlns:r="http://schemas.openxmlformats.org/officeDocument/2006/relationships" ref="P1001" r:id="rId3674"/>
    <hyperlink xmlns:r="http://schemas.openxmlformats.org/officeDocument/2006/relationships" ref="N1002" r:id="rId3675"/>
    <hyperlink xmlns:r="http://schemas.openxmlformats.org/officeDocument/2006/relationships" ref="O1002" r:id="rId3676"/>
    <hyperlink xmlns:r="http://schemas.openxmlformats.org/officeDocument/2006/relationships" ref="P1002" r:id="rId3677"/>
    <hyperlink xmlns:r="http://schemas.openxmlformats.org/officeDocument/2006/relationships" ref="M1003" r:id="rId3678"/>
    <hyperlink xmlns:r="http://schemas.openxmlformats.org/officeDocument/2006/relationships" ref="N1003" r:id="rId3679"/>
    <hyperlink xmlns:r="http://schemas.openxmlformats.org/officeDocument/2006/relationships" ref="O1003" r:id="rId3680"/>
    <hyperlink xmlns:r="http://schemas.openxmlformats.org/officeDocument/2006/relationships" ref="P1003" r:id="rId3681"/>
    <hyperlink xmlns:r="http://schemas.openxmlformats.org/officeDocument/2006/relationships" ref="M1004" r:id="rId3682"/>
    <hyperlink xmlns:r="http://schemas.openxmlformats.org/officeDocument/2006/relationships" ref="N1004" r:id="rId3683"/>
    <hyperlink xmlns:r="http://schemas.openxmlformats.org/officeDocument/2006/relationships" ref="O1004" r:id="rId3684"/>
    <hyperlink xmlns:r="http://schemas.openxmlformats.org/officeDocument/2006/relationships" ref="P1004" r:id="rId3685"/>
    <hyperlink xmlns:r="http://schemas.openxmlformats.org/officeDocument/2006/relationships" ref="N1005" r:id="rId3686"/>
    <hyperlink xmlns:r="http://schemas.openxmlformats.org/officeDocument/2006/relationships" ref="O1005" r:id="rId3687"/>
    <hyperlink xmlns:r="http://schemas.openxmlformats.org/officeDocument/2006/relationships" ref="P1005" r:id="rId3688"/>
    <hyperlink xmlns:r="http://schemas.openxmlformats.org/officeDocument/2006/relationships" ref="M1006" r:id="rId3689"/>
    <hyperlink xmlns:r="http://schemas.openxmlformats.org/officeDocument/2006/relationships" ref="N1006" r:id="rId3690"/>
    <hyperlink xmlns:r="http://schemas.openxmlformats.org/officeDocument/2006/relationships" ref="O1006" r:id="rId3691"/>
    <hyperlink xmlns:r="http://schemas.openxmlformats.org/officeDocument/2006/relationships" ref="P1006" r:id="rId3692"/>
    <hyperlink xmlns:r="http://schemas.openxmlformats.org/officeDocument/2006/relationships" ref="M1007" r:id="rId3693"/>
    <hyperlink xmlns:r="http://schemas.openxmlformats.org/officeDocument/2006/relationships" ref="N1007" r:id="rId3694"/>
    <hyperlink xmlns:r="http://schemas.openxmlformats.org/officeDocument/2006/relationships" ref="O1007" r:id="rId3695"/>
    <hyperlink xmlns:r="http://schemas.openxmlformats.org/officeDocument/2006/relationships" ref="P1007" r:id="rId3696"/>
    <hyperlink xmlns:r="http://schemas.openxmlformats.org/officeDocument/2006/relationships" ref="M1008" r:id="rId3697"/>
    <hyperlink xmlns:r="http://schemas.openxmlformats.org/officeDocument/2006/relationships" ref="N1008" r:id="rId3698"/>
    <hyperlink xmlns:r="http://schemas.openxmlformats.org/officeDocument/2006/relationships" ref="P1008" r:id="rId3699"/>
    <hyperlink xmlns:r="http://schemas.openxmlformats.org/officeDocument/2006/relationships" ref="M1009" r:id="rId3700"/>
    <hyperlink xmlns:r="http://schemas.openxmlformats.org/officeDocument/2006/relationships" ref="N1009" r:id="rId3701"/>
    <hyperlink xmlns:r="http://schemas.openxmlformats.org/officeDocument/2006/relationships" ref="P1009" r:id="rId3702"/>
    <hyperlink xmlns:r="http://schemas.openxmlformats.org/officeDocument/2006/relationships" ref="M1010" r:id="rId3703"/>
    <hyperlink xmlns:r="http://schemas.openxmlformats.org/officeDocument/2006/relationships" ref="N1010" r:id="rId3704"/>
    <hyperlink xmlns:r="http://schemas.openxmlformats.org/officeDocument/2006/relationships" ref="P1010" r:id="rId3705"/>
    <hyperlink xmlns:r="http://schemas.openxmlformats.org/officeDocument/2006/relationships" ref="M1011" r:id="rId3706"/>
    <hyperlink xmlns:r="http://schemas.openxmlformats.org/officeDocument/2006/relationships" ref="N1011" r:id="rId3707"/>
    <hyperlink xmlns:r="http://schemas.openxmlformats.org/officeDocument/2006/relationships" ref="P1011" r:id="rId3708"/>
    <hyperlink xmlns:r="http://schemas.openxmlformats.org/officeDocument/2006/relationships" ref="M1012" r:id="rId3709"/>
    <hyperlink xmlns:r="http://schemas.openxmlformats.org/officeDocument/2006/relationships" ref="N1012" r:id="rId3710"/>
    <hyperlink xmlns:r="http://schemas.openxmlformats.org/officeDocument/2006/relationships" ref="O1012" r:id="rId3711"/>
    <hyperlink xmlns:r="http://schemas.openxmlformats.org/officeDocument/2006/relationships" ref="P1012" r:id="rId3712"/>
    <hyperlink xmlns:r="http://schemas.openxmlformats.org/officeDocument/2006/relationships" ref="M1013" r:id="rId3713"/>
    <hyperlink xmlns:r="http://schemas.openxmlformats.org/officeDocument/2006/relationships" ref="N1013" r:id="rId3714"/>
    <hyperlink xmlns:r="http://schemas.openxmlformats.org/officeDocument/2006/relationships" ref="P1013" r:id="rId3715"/>
    <hyperlink xmlns:r="http://schemas.openxmlformats.org/officeDocument/2006/relationships" ref="M1014" r:id="rId3716"/>
    <hyperlink xmlns:r="http://schemas.openxmlformats.org/officeDocument/2006/relationships" ref="N1014" r:id="rId3717"/>
    <hyperlink xmlns:r="http://schemas.openxmlformats.org/officeDocument/2006/relationships" ref="O1014" r:id="rId3718"/>
    <hyperlink xmlns:r="http://schemas.openxmlformats.org/officeDocument/2006/relationships" ref="P1014" r:id="rId3719"/>
    <hyperlink xmlns:r="http://schemas.openxmlformats.org/officeDocument/2006/relationships" ref="M1015" r:id="rId3720"/>
    <hyperlink xmlns:r="http://schemas.openxmlformats.org/officeDocument/2006/relationships" ref="N1015" r:id="rId3721"/>
    <hyperlink xmlns:r="http://schemas.openxmlformats.org/officeDocument/2006/relationships" ref="P1015" r:id="rId3722"/>
    <hyperlink xmlns:r="http://schemas.openxmlformats.org/officeDocument/2006/relationships" ref="M1016" r:id="rId3723"/>
    <hyperlink xmlns:r="http://schemas.openxmlformats.org/officeDocument/2006/relationships" ref="N1016" r:id="rId3724"/>
    <hyperlink xmlns:r="http://schemas.openxmlformats.org/officeDocument/2006/relationships" ref="P1016" r:id="rId3725"/>
    <hyperlink xmlns:r="http://schemas.openxmlformats.org/officeDocument/2006/relationships" ref="M1017" r:id="rId3726"/>
    <hyperlink xmlns:r="http://schemas.openxmlformats.org/officeDocument/2006/relationships" ref="N1017" r:id="rId3727"/>
    <hyperlink xmlns:r="http://schemas.openxmlformats.org/officeDocument/2006/relationships" ref="O1017" r:id="rId3728"/>
    <hyperlink xmlns:r="http://schemas.openxmlformats.org/officeDocument/2006/relationships" ref="P1017" r:id="rId3729"/>
    <hyperlink xmlns:r="http://schemas.openxmlformats.org/officeDocument/2006/relationships" ref="M1018" r:id="rId3730"/>
    <hyperlink xmlns:r="http://schemas.openxmlformats.org/officeDocument/2006/relationships" ref="N1018" r:id="rId3731"/>
    <hyperlink xmlns:r="http://schemas.openxmlformats.org/officeDocument/2006/relationships" ref="O1018" r:id="rId3732"/>
    <hyperlink xmlns:r="http://schemas.openxmlformats.org/officeDocument/2006/relationships" ref="P1018" r:id="rId3733"/>
    <hyperlink xmlns:r="http://schemas.openxmlformats.org/officeDocument/2006/relationships" ref="M1019" r:id="rId3734"/>
    <hyperlink xmlns:r="http://schemas.openxmlformats.org/officeDocument/2006/relationships" ref="N1019" r:id="rId3735"/>
    <hyperlink xmlns:r="http://schemas.openxmlformats.org/officeDocument/2006/relationships" ref="O1019" r:id="rId3736"/>
    <hyperlink xmlns:r="http://schemas.openxmlformats.org/officeDocument/2006/relationships" ref="P1019" r:id="rId3737"/>
    <hyperlink xmlns:r="http://schemas.openxmlformats.org/officeDocument/2006/relationships" ref="M1020" r:id="rId3738"/>
    <hyperlink xmlns:r="http://schemas.openxmlformats.org/officeDocument/2006/relationships" ref="N1020" r:id="rId3739"/>
    <hyperlink xmlns:r="http://schemas.openxmlformats.org/officeDocument/2006/relationships" ref="O1020" r:id="rId3740"/>
    <hyperlink xmlns:r="http://schemas.openxmlformats.org/officeDocument/2006/relationships" ref="P1020" r:id="rId3741"/>
    <hyperlink xmlns:r="http://schemas.openxmlformats.org/officeDocument/2006/relationships" ref="M1021" r:id="rId3742"/>
    <hyperlink xmlns:r="http://schemas.openxmlformats.org/officeDocument/2006/relationships" ref="N1021" r:id="rId3743"/>
    <hyperlink xmlns:r="http://schemas.openxmlformats.org/officeDocument/2006/relationships" ref="P1021" r:id="rId3744"/>
    <hyperlink xmlns:r="http://schemas.openxmlformats.org/officeDocument/2006/relationships" ref="M1022" r:id="rId3745"/>
    <hyperlink xmlns:r="http://schemas.openxmlformats.org/officeDocument/2006/relationships" ref="N1022" r:id="rId3746"/>
    <hyperlink xmlns:r="http://schemas.openxmlformats.org/officeDocument/2006/relationships" ref="O1022" r:id="rId3747"/>
    <hyperlink xmlns:r="http://schemas.openxmlformats.org/officeDocument/2006/relationships" ref="P1022" r:id="rId3748"/>
    <hyperlink xmlns:r="http://schemas.openxmlformats.org/officeDocument/2006/relationships" ref="M1023" r:id="rId3749"/>
    <hyperlink xmlns:r="http://schemas.openxmlformats.org/officeDocument/2006/relationships" ref="N1023" r:id="rId3750"/>
    <hyperlink xmlns:r="http://schemas.openxmlformats.org/officeDocument/2006/relationships" ref="O1023" r:id="rId3751"/>
    <hyperlink xmlns:r="http://schemas.openxmlformats.org/officeDocument/2006/relationships" ref="P1023" r:id="rId3752"/>
    <hyperlink xmlns:r="http://schemas.openxmlformats.org/officeDocument/2006/relationships" ref="M1024" r:id="rId3753"/>
    <hyperlink xmlns:r="http://schemas.openxmlformats.org/officeDocument/2006/relationships" ref="N1024" r:id="rId3754"/>
    <hyperlink xmlns:r="http://schemas.openxmlformats.org/officeDocument/2006/relationships" ref="O1024" r:id="rId3755"/>
    <hyperlink xmlns:r="http://schemas.openxmlformats.org/officeDocument/2006/relationships" ref="P1024" r:id="rId3756"/>
    <hyperlink xmlns:r="http://schemas.openxmlformats.org/officeDocument/2006/relationships" ref="M1025" r:id="rId3757"/>
    <hyperlink xmlns:r="http://schemas.openxmlformats.org/officeDocument/2006/relationships" ref="N1025" r:id="rId3758"/>
    <hyperlink xmlns:r="http://schemas.openxmlformats.org/officeDocument/2006/relationships" ref="O1025" r:id="rId3759"/>
    <hyperlink xmlns:r="http://schemas.openxmlformats.org/officeDocument/2006/relationships" ref="P1025" r:id="rId3760"/>
    <hyperlink xmlns:r="http://schemas.openxmlformats.org/officeDocument/2006/relationships" ref="M1026" r:id="rId3761"/>
    <hyperlink xmlns:r="http://schemas.openxmlformats.org/officeDocument/2006/relationships" ref="N1026" r:id="rId3762"/>
    <hyperlink xmlns:r="http://schemas.openxmlformats.org/officeDocument/2006/relationships" ref="O1026" r:id="rId3763"/>
    <hyperlink xmlns:r="http://schemas.openxmlformats.org/officeDocument/2006/relationships" ref="P1026" r:id="rId3764"/>
    <hyperlink xmlns:r="http://schemas.openxmlformats.org/officeDocument/2006/relationships" ref="M1027" r:id="rId3765"/>
    <hyperlink xmlns:r="http://schemas.openxmlformats.org/officeDocument/2006/relationships" ref="N1027" r:id="rId3766"/>
    <hyperlink xmlns:r="http://schemas.openxmlformats.org/officeDocument/2006/relationships" ref="O1027" r:id="rId3767"/>
    <hyperlink xmlns:r="http://schemas.openxmlformats.org/officeDocument/2006/relationships" ref="P1027" r:id="rId3768"/>
    <hyperlink xmlns:r="http://schemas.openxmlformats.org/officeDocument/2006/relationships" ref="M1028" r:id="rId3769"/>
    <hyperlink xmlns:r="http://schemas.openxmlformats.org/officeDocument/2006/relationships" ref="N1028" r:id="rId3770"/>
    <hyperlink xmlns:r="http://schemas.openxmlformats.org/officeDocument/2006/relationships" ref="P1028" r:id="rId3771"/>
    <hyperlink xmlns:r="http://schemas.openxmlformats.org/officeDocument/2006/relationships" ref="M1029" r:id="rId3772"/>
    <hyperlink xmlns:r="http://schemas.openxmlformats.org/officeDocument/2006/relationships" ref="N1029" r:id="rId3773"/>
    <hyperlink xmlns:r="http://schemas.openxmlformats.org/officeDocument/2006/relationships" ref="P1029" r:id="rId3774"/>
    <hyperlink xmlns:r="http://schemas.openxmlformats.org/officeDocument/2006/relationships" ref="M1030" r:id="rId3775"/>
    <hyperlink xmlns:r="http://schemas.openxmlformats.org/officeDocument/2006/relationships" ref="N1030" r:id="rId3776"/>
    <hyperlink xmlns:r="http://schemas.openxmlformats.org/officeDocument/2006/relationships" ref="P1030" r:id="rId3777"/>
    <hyperlink xmlns:r="http://schemas.openxmlformats.org/officeDocument/2006/relationships" ref="M1031" r:id="rId3778"/>
    <hyperlink xmlns:r="http://schemas.openxmlformats.org/officeDocument/2006/relationships" ref="N1031" r:id="rId3779"/>
    <hyperlink xmlns:r="http://schemas.openxmlformats.org/officeDocument/2006/relationships" ref="P1031" r:id="rId3780"/>
    <hyperlink xmlns:r="http://schemas.openxmlformats.org/officeDocument/2006/relationships" ref="M1032" r:id="rId3781"/>
    <hyperlink xmlns:r="http://schemas.openxmlformats.org/officeDocument/2006/relationships" ref="N1032" r:id="rId3782"/>
    <hyperlink xmlns:r="http://schemas.openxmlformats.org/officeDocument/2006/relationships" ref="O1032" r:id="rId3783"/>
    <hyperlink xmlns:r="http://schemas.openxmlformats.org/officeDocument/2006/relationships" ref="P1032" r:id="rId3784"/>
    <hyperlink xmlns:r="http://schemas.openxmlformats.org/officeDocument/2006/relationships" ref="M1033" r:id="rId3785"/>
    <hyperlink xmlns:r="http://schemas.openxmlformats.org/officeDocument/2006/relationships" ref="N1033" r:id="rId3786"/>
    <hyperlink xmlns:r="http://schemas.openxmlformats.org/officeDocument/2006/relationships" ref="O1033" r:id="rId3787"/>
    <hyperlink xmlns:r="http://schemas.openxmlformats.org/officeDocument/2006/relationships" ref="P1033" r:id="rId3788"/>
    <hyperlink xmlns:r="http://schemas.openxmlformats.org/officeDocument/2006/relationships" ref="M1034" r:id="rId3789"/>
    <hyperlink xmlns:r="http://schemas.openxmlformats.org/officeDocument/2006/relationships" ref="N1034" r:id="rId3790"/>
    <hyperlink xmlns:r="http://schemas.openxmlformats.org/officeDocument/2006/relationships" ref="P1034" r:id="rId3791"/>
    <hyperlink xmlns:r="http://schemas.openxmlformats.org/officeDocument/2006/relationships" ref="M1035" r:id="rId3792"/>
    <hyperlink xmlns:r="http://schemas.openxmlformats.org/officeDocument/2006/relationships" ref="N1035" r:id="rId3793"/>
    <hyperlink xmlns:r="http://schemas.openxmlformats.org/officeDocument/2006/relationships" ref="O1035" r:id="rId3794"/>
    <hyperlink xmlns:r="http://schemas.openxmlformats.org/officeDocument/2006/relationships" ref="P1035" r:id="rId3795"/>
    <hyperlink xmlns:r="http://schemas.openxmlformats.org/officeDocument/2006/relationships" ref="M1036" r:id="rId3796"/>
    <hyperlink xmlns:r="http://schemas.openxmlformats.org/officeDocument/2006/relationships" ref="N1036" r:id="rId3797"/>
    <hyperlink xmlns:r="http://schemas.openxmlformats.org/officeDocument/2006/relationships" ref="O1036" r:id="rId3798"/>
    <hyperlink xmlns:r="http://schemas.openxmlformats.org/officeDocument/2006/relationships" ref="P1036" r:id="rId3799"/>
    <hyperlink xmlns:r="http://schemas.openxmlformats.org/officeDocument/2006/relationships" ref="M1037" r:id="rId3800"/>
    <hyperlink xmlns:r="http://schemas.openxmlformats.org/officeDocument/2006/relationships" ref="N1037" r:id="rId3801"/>
    <hyperlink xmlns:r="http://schemas.openxmlformats.org/officeDocument/2006/relationships" ref="O1037" r:id="rId3802"/>
    <hyperlink xmlns:r="http://schemas.openxmlformats.org/officeDocument/2006/relationships" ref="P1037" r:id="rId3803"/>
    <hyperlink xmlns:r="http://schemas.openxmlformats.org/officeDocument/2006/relationships" ref="M1038" r:id="rId3804"/>
    <hyperlink xmlns:r="http://schemas.openxmlformats.org/officeDocument/2006/relationships" ref="N1038" r:id="rId3805"/>
    <hyperlink xmlns:r="http://schemas.openxmlformats.org/officeDocument/2006/relationships" ref="P1038" r:id="rId3806"/>
    <hyperlink xmlns:r="http://schemas.openxmlformats.org/officeDocument/2006/relationships" ref="M1039" r:id="rId3807"/>
    <hyperlink xmlns:r="http://schemas.openxmlformats.org/officeDocument/2006/relationships" ref="N1039" r:id="rId3808"/>
    <hyperlink xmlns:r="http://schemas.openxmlformats.org/officeDocument/2006/relationships" ref="P1039" r:id="rId3809"/>
    <hyperlink xmlns:r="http://schemas.openxmlformats.org/officeDocument/2006/relationships" ref="M1040" r:id="rId3810"/>
    <hyperlink xmlns:r="http://schemas.openxmlformats.org/officeDocument/2006/relationships" ref="N1040" r:id="rId3811"/>
    <hyperlink xmlns:r="http://schemas.openxmlformats.org/officeDocument/2006/relationships" ref="P1040" r:id="rId3812"/>
    <hyperlink xmlns:r="http://schemas.openxmlformats.org/officeDocument/2006/relationships" ref="M1041" r:id="rId3813"/>
    <hyperlink xmlns:r="http://schemas.openxmlformats.org/officeDocument/2006/relationships" ref="N1041" r:id="rId3814"/>
    <hyperlink xmlns:r="http://schemas.openxmlformats.org/officeDocument/2006/relationships" ref="O1041" r:id="rId3815"/>
    <hyperlink xmlns:r="http://schemas.openxmlformats.org/officeDocument/2006/relationships" ref="P1041" r:id="rId3816"/>
    <hyperlink xmlns:r="http://schemas.openxmlformats.org/officeDocument/2006/relationships" ref="M1042" r:id="rId3817"/>
    <hyperlink xmlns:r="http://schemas.openxmlformats.org/officeDocument/2006/relationships" ref="N1042" r:id="rId3818"/>
    <hyperlink xmlns:r="http://schemas.openxmlformats.org/officeDocument/2006/relationships" ref="O1042" r:id="rId3819"/>
    <hyperlink xmlns:r="http://schemas.openxmlformats.org/officeDocument/2006/relationships" ref="P1042" r:id="rId3820"/>
    <hyperlink xmlns:r="http://schemas.openxmlformats.org/officeDocument/2006/relationships" ref="M1043" r:id="rId3821"/>
    <hyperlink xmlns:r="http://schemas.openxmlformats.org/officeDocument/2006/relationships" ref="N1043" r:id="rId3822"/>
    <hyperlink xmlns:r="http://schemas.openxmlformats.org/officeDocument/2006/relationships" ref="P1043" r:id="rId3823"/>
    <hyperlink xmlns:r="http://schemas.openxmlformats.org/officeDocument/2006/relationships" ref="M1044" r:id="rId3824"/>
    <hyperlink xmlns:r="http://schemas.openxmlformats.org/officeDocument/2006/relationships" ref="N1044" r:id="rId3825"/>
    <hyperlink xmlns:r="http://schemas.openxmlformats.org/officeDocument/2006/relationships" ref="O1044" r:id="rId3826"/>
    <hyperlink xmlns:r="http://schemas.openxmlformats.org/officeDocument/2006/relationships" ref="P1044" r:id="rId3827"/>
    <hyperlink xmlns:r="http://schemas.openxmlformats.org/officeDocument/2006/relationships" ref="M1045" r:id="rId3828"/>
    <hyperlink xmlns:r="http://schemas.openxmlformats.org/officeDocument/2006/relationships" ref="N1045" r:id="rId3829"/>
    <hyperlink xmlns:r="http://schemas.openxmlformats.org/officeDocument/2006/relationships" ref="O1045" r:id="rId3830"/>
    <hyperlink xmlns:r="http://schemas.openxmlformats.org/officeDocument/2006/relationships" ref="P1045" r:id="rId3831"/>
    <hyperlink xmlns:r="http://schemas.openxmlformats.org/officeDocument/2006/relationships" ref="M1046" r:id="rId3832"/>
    <hyperlink xmlns:r="http://schemas.openxmlformats.org/officeDocument/2006/relationships" ref="N1046" r:id="rId3833"/>
    <hyperlink xmlns:r="http://schemas.openxmlformats.org/officeDocument/2006/relationships" ref="P1046" r:id="rId3834"/>
    <hyperlink xmlns:r="http://schemas.openxmlformats.org/officeDocument/2006/relationships" ref="M1047" r:id="rId3835"/>
    <hyperlink xmlns:r="http://schemas.openxmlformats.org/officeDocument/2006/relationships" ref="N1047" r:id="rId3836"/>
    <hyperlink xmlns:r="http://schemas.openxmlformats.org/officeDocument/2006/relationships" ref="O1047" r:id="rId3837"/>
    <hyperlink xmlns:r="http://schemas.openxmlformats.org/officeDocument/2006/relationships" ref="P1047" r:id="rId3838"/>
    <hyperlink xmlns:r="http://schemas.openxmlformats.org/officeDocument/2006/relationships" ref="M1048" r:id="rId3839"/>
    <hyperlink xmlns:r="http://schemas.openxmlformats.org/officeDocument/2006/relationships" ref="N1048" r:id="rId3840"/>
    <hyperlink xmlns:r="http://schemas.openxmlformats.org/officeDocument/2006/relationships" ref="O1048" r:id="rId3841"/>
    <hyperlink xmlns:r="http://schemas.openxmlformats.org/officeDocument/2006/relationships" ref="P1048" r:id="rId3842"/>
    <hyperlink xmlns:r="http://schemas.openxmlformats.org/officeDocument/2006/relationships" ref="M1049" r:id="rId3843"/>
    <hyperlink xmlns:r="http://schemas.openxmlformats.org/officeDocument/2006/relationships" ref="N1049" r:id="rId3844"/>
    <hyperlink xmlns:r="http://schemas.openxmlformats.org/officeDocument/2006/relationships" ref="O1049" r:id="rId3845"/>
    <hyperlink xmlns:r="http://schemas.openxmlformats.org/officeDocument/2006/relationships" ref="P1049" r:id="rId3846"/>
    <hyperlink xmlns:r="http://schemas.openxmlformats.org/officeDocument/2006/relationships" ref="M1050" r:id="rId3847"/>
    <hyperlink xmlns:r="http://schemas.openxmlformats.org/officeDocument/2006/relationships" ref="N1050" r:id="rId3848"/>
    <hyperlink xmlns:r="http://schemas.openxmlformats.org/officeDocument/2006/relationships" ref="P1050" r:id="rId3849"/>
    <hyperlink xmlns:r="http://schemas.openxmlformats.org/officeDocument/2006/relationships" ref="M1051" r:id="rId3850"/>
    <hyperlink xmlns:r="http://schemas.openxmlformats.org/officeDocument/2006/relationships" ref="N1051" r:id="rId3851"/>
    <hyperlink xmlns:r="http://schemas.openxmlformats.org/officeDocument/2006/relationships" ref="O1051" r:id="rId3852"/>
    <hyperlink xmlns:r="http://schemas.openxmlformats.org/officeDocument/2006/relationships" ref="P1051" r:id="rId3853"/>
    <hyperlink xmlns:r="http://schemas.openxmlformats.org/officeDocument/2006/relationships" ref="M1052" r:id="rId3854"/>
    <hyperlink xmlns:r="http://schemas.openxmlformats.org/officeDocument/2006/relationships" ref="N1052" r:id="rId3855"/>
    <hyperlink xmlns:r="http://schemas.openxmlformats.org/officeDocument/2006/relationships" ref="O1052" r:id="rId3856"/>
    <hyperlink xmlns:r="http://schemas.openxmlformats.org/officeDocument/2006/relationships" ref="P1052" r:id="rId3857"/>
    <hyperlink xmlns:r="http://schemas.openxmlformats.org/officeDocument/2006/relationships" ref="M1053" r:id="rId3858"/>
    <hyperlink xmlns:r="http://schemas.openxmlformats.org/officeDocument/2006/relationships" ref="N1053" r:id="rId3859"/>
    <hyperlink xmlns:r="http://schemas.openxmlformats.org/officeDocument/2006/relationships" ref="O1053" r:id="rId3860"/>
    <hyperlink xmlns:r="http://schemas.openxmlformats.org/officeDocument/2006/relationships" ref="P1053" r:id="rId3861"/>
    <hyperlink xmlns:r="http://schemas.openxmlformats.org/officeDocument/2006/relationships" ref="N1054" r:id="rId3862"/>
    <hyperlink xmlns:r="http://schemas.openxmlformats.org/officeDocument/2006/relationships" ref="O1054" r:id="rId3863"/>
    <hyperlink xmlns:r="http://schemas.openxmlformats.org/officeDocument/2006/relationships" ref="P1054" r:id="rId3864"/>
    <hyperlink xmlns:r="http://schemas.openxmlformats.org/officeDocument/2006/relationships" ref="M1055" r:id="rId3865"/>
    <hyperlink xmlns:r="http://schemas.openxmlformats.org/officeDocument/2006/relationships" ref="N1055" r:id="rId3866"/>
    <hyperlink xmlns:r="http://schemas.openxmlformats.org/officeDocument/2006/relationships" ref="O1055" r:id="rId3867"/>
    <hyperlink xmlns:r="http://schemas.openxmlformats.org/officeDocument/2006/relationships" ref="P1055" r:id="rId3868"/>
    <hyperlink xmlns:r="http://schemas.openxmlformats.org/officeDocument/2006/relationships" ref="M1056" r:id="rId3869"/>
    <hyperlink xmlns:r="http://schemas.openxmlformats.org/officeDocument/2006/relationships" ref="N1056" r:id="rId3870"/>
    <hyperlink xmlns:r="http://schemas.openxmlformats.org/officeDocument/2006/relationships" ref="O1056" r:id="rId3871"/>
    <hyperlink xmlns:r="http://schemas.openxmlformats.org/officeDocument/2006/relationships" ref="P1056" r:id="rId3872"/>
    <hyperlink xmlns:r="http://schemas.openxmlformats.org/officeDocument/2006/relationships" ref="M1057" r:id="rId3873"/>
    <hyperlink xmlns:r="http://schemas.openxmlformats.org/officeDocument/2006/relationships" ref="N1057" r:id="rId3874"/>
    <hyperlink xmlns:r="http://schemas.openxmlformats.org/officeDocument/2006/relationships" ref="O1057" r:id="rId3875"/>
    <hyperlink xmlns:r="http://schemas.openxmlformats.org/officeDocument/2006/relationships" ref="P1057" r:id="rId3876"/>
    <hyperlink xmlns:r="http://schemas.openxmlformats.org/officeDocument/2006/relationships" ref="M1058" r:id="rId3877"/>
    <hyperlink xmlns:r="http://schemas.openxmlformats.org/officeDocument/2006/relationships" ref="N1058" r:id="rId3878"/>
    <hyperlink xmlns:r="http://schemas.openxmlformats.org/officeDocument/2006/relationships" ref="O1058" r:id="rId3879"/>
    <hyperlink xmlns:r="http://schemas.openxmlformats.org/officeDocument/2006/relationships" ref="P1058" r:id="rId3880"/>
    <hyperlink xmlns:r="http://schemas.openxmlformats.org/officeDocument/2006/relationships" ref="M1059" r:id="rId3881"/>
    <hyperlink xmlns:r="http://schemas.openxmlformats.org/officeDocument/2006/relationships" ref="N1059" r:id="rId3882"/>
    <hyperlink xmlns:r="http://schemas.openxmlformats.org/officeDocument/2006/relationships" ref="O1059" r:id="rId3883"/>
    <hyperlink xmlns:r="http://schemas.openxmlformats.org/officeDocument/2006/relationships" ref="P1059" r:id="rId3884"/>
    <hyperlink xmlns:r="http://schemas.openxmlformats.org/officeDocument/2006/relationships" ref="N1060" r:id="rId3885"/>
    <hyperlink xmlns:r="http://schemas.openxmlformats.org/officeDocument/2006/relationships" ref="O1060" r:id="rId3886"/>
    <hyperlink xmlns:r="http://schemas.openxmlformats.org/officeDocument/2006/relationships" ref="P1060" r:id="rId3887"/>
    <hyperlink xmlns:r="http://schemas.openxmlformats.org/officeDocument/2006/relationships" ref="M1061" r:id="rId3888"/>
    <hyperlink xmlns:r="http://schemas.openxmlformats.org/officeDocument/2006/relationships" ref="N1061" r:id="rId3889"/>
    <hyperlink xmlns:r="http://schemas.openxmlformats.org/officeDocument/2006/relationships" ref="O1061" r:id="rId3890"/>
    <hyperlink xmlns:r="http://schemas.openxmlformats.org/officeDocument/2006/relationships" ref="P1061" r:id="rId3891"/>
    <hyperlink xmlns:r="http://schemas.openxmlformats.org/officeDocument/2006/relationships" ref="M1062" r:id="rId3892"/>
    <hyperlink xmlns:r="http://schemas.openxmlformats.org/officeDocument/2006/relationships" ref="N1062" r:id="rId3893"/>
    <hyperlink xmlns:r="http://schemas.openxmlformats.org/officeDocument/2006/relationships" ref="O1062" r:id="rId3894"/>
    <hyperlink xmlns:r="http://schemas.openxmlformats.org/officeDocument/2006/relationships" ref="P1062" r:id="rId3895"/>
    <hyperlink xmlns:r="http://schemas.openxmlformats.org/officeDocument/2006/relationships" ref="M1063" r:id="rId3896"/>
    <hyperlink xmlns:r="http://schemas.openxmlformats.org/officeDocument/2006/relationships" ref="N1063" r:id="rId3897"/>
    <hyperlink xmlns:r="http://schemas.openxmlformats.org/officeDocument/2006/relationships" ref="O1063" r:id="rId3898"/>
    <hyperlink xmlns:r="http://schemas.openxmlformats.org/officeDocument/2006/relationships" ref="P1063" r:id="rId3899"/>
    <hyperlink xmlns:r="http://schemas.openxmlformats.org/officeDocument/2006/relationships" ref="M1064" r:id="rId3900"/>
    <hyperlink xmlns:r="http://schemas.openxmlformats.org/officeDocument/2006/relationships" ref="N1064" r:id="rId3901"/>
    <hyperlink xmlns:r="http://schemas.openxmlformats.org/officeDocument/2006/relationships" ref="O1064" r:id="rId3902"/>
    <hyperlink xmlns:r="http://schemas.openxmlformats.org/officeDocument/2006/relationships" ref="P1064" r:id="rId3903"/>
    <hyperlink xmlns:r="http://schemas.openxmlformats.org/officeDocument/2006/relationships" ref="M1065" r:id="rId3904"/>
    <hyperlink xmlns:r="http://schemas.openxmlformats.org/officeDocument/2006/relationships" ref="N1065" r:id="rId3905"/>
    <hyperlink xmlns:r="http://schemas.openxmlformats.org/officeDocument/2006/relationships" ref="O1065" r:id="rId3906"/>
    <hyperlink xmlns:r="http://schemas.openxmlformats.org/officeDocument/2006/relationships" ref="P1065" r:id="rId3907"/>
    <hyperlink xmlns:r="http://schemas.openxmlformats.org/officeDocument/2006/relationships" ref="M1066" r:id="rId3908"/>
    <hyperlink xmlns:r="http://schemas.openxmlformats.org/officeDocument/2006/relationships" ref="N1066" r:id="rId3909"/>
    <hyperlink xmlns:r="http://schemas.openxmlformats.org/officeDocument/2006/relationships" ref="P1066" r:id="rId3910"/>
    <hyperlink xmlns:r="http://schemas.openxmlformats.org/officeDocument/2006/relationships" ref="M1067" r:id="rId3911"/>
    <hyperlink xmlns:r="http://schemas.openxmlformats.org/officeDocument/2006/relationships" ref="N1067" r:id="rId3912"/>
    <hyperlink xmlns:r="http://schemas.openxmlformats.org/officeDocument/2006/relationships" ref="P1067" r:id="rId3913"/>
    <hyperlink xmlns:r="http://schemas.openxmlformats.org/officeDocument/2006/relationships" ref="M1068" r:id="rId3914"/>
    <hyperlink xmlns:r="http://schemas.openxmlformats.org/officeDocument/2006/relationships" ref="N1068" r:id="rId3915"/>
    <hyperlink xmlns:r="http://schemas.openxmlformats.org/officeDocument/2006/relationships" ref="P1068" r:id="rId3916"/>
    <hyperlink xmlns:r="http://schemas.openxmlformats.org/officeDocument/2006/relationships" ref="M1069" r:id="rId3917"/>
    <hyperlink xmlns:r="http://schemas.openxmlformats.org/officeDocument/2006/relationships" ref="N1069" r:id="rId3918"/>
    <hyperlink xmlns:r="http://schemas.openxmlformats.org/officeDocument/2006/relationships" ref="P1069" r:id="rId3919"/>
    <hyperlink xmlns:r="http://schemas.openxmlformats.org/officeDocument/2006/relationships" ref="M1070" r:id="rId3920"/>
    <hyperlink xmlns:r="http://schemas.openxmlformats.org/officeDocument/2006/relationships" ref="N1070" r:id="rId3921"/>
    <hyperlink xmlns:r="http://schemas.openxmlformats.org/officeDocument/2006/relationships" ref="O1070" r:id="rId3922"/>
    <hyperlink xmlns:r="http://schemas.openxmlformats.org/officeDocument/2006/relationships" ref="P1070" r:id="rId3923"/>
    <hyperlink xmlns:r="http://schemas.openxmlformats.org/officeDocument/2006/relationships" ref="M1071" r:id="rId3924"/>
    <hyperlink xmlns:r="http://schemas.openxmlformats.org/officeDocument/2006/relationships" ref="N1071" r:id="rId3925"/>
    <hyperlink xmlns:r="http://schemas.openxmlformats.org/officeDocument/2006/relationships" ref="O1071" r:id="rId3926"/>
    <hyperlink xmlns:r="http://schemas.openxmlformats.org/officeDocument/2006/relationships" ref="P1071" r:id="rId3927"/>
    <hyperlink xmlns:r="http://schemas.openxmlformats.org/officeDocument/2006/relationships" ref="M1072" r:id="rId3928"/>
    <hyperlink xmlns:r="http://schemas.openxmlformats.org/officeDocument/2006/relationships" ref="N1072" r:id="rId3929"/>
    <hyperlink xmlns:r="http://schemas.openxmlformats.org/officeDocument/2006/relationships" ref="O1072" r:id="rId3930"/>
    <hyperlink xmlns:r="http://schemas.openxmlformats.org/officeDocument/2006/relationships" ref="P1072" r:id="rId3931"/>
    <hyperlink xmlns:r="http://schemas.openxmlformats.org/officeDocument/2006/relationships" ref="M1073" r:id="rId3932"/>
    <hyperlink xmlns:r="http://schemas.openxmlformats.org/officeDocument/2006/relationships" ref="N1073" r:id="rId3933"/>
    <hyperlink xmlns:r="http://schemas.openxmlformats.org/officeDocument/2006/relationships" ref="P1073" r:id="rId3934"/>
    <hyperlink xmlns:r="http://schemas.openxmlformats.org/officeDocument/2006/relationships" ref="M1074" r:id="rId3935"/>
    <hyperlink xmlns:r="http://schemas.openxmlformats.org/officeDocument/2006/relationships" ref="N1074" r:id="rId3936"/>
    <hyperlink xmlns:r="http://schemas.openxmlformats.org/officeDocument/2006/relationships" ref="O1074" r:id="rId3937"/>
    <hyperlink xmlns:r="http://schemas.openxmlformats.org/officeDocument/2006/relationships" ref="P1074" r:id="rId3938"/>
    <hyperlink xmlns:r="http://schemas.openxmlformats.org/officeDocument/2006/relationships" ref="M1075" r:id="rId3939"/>
    <hyperlink xmlns:r="http://schemas.openxmlformats.org/officeDocument/2006/relationships" ref="N1075" r:id="rId3940"/>
    <hyperlink xmlns:r="http://schemas.openxmlformats.org/officeDocument/2006/relationships" ref="O1075" r:id="rId3941"/>
    <hyperlink xmlns:r="http://schemas.openxmlformats.org/officeDocument/2006/relationships" ref="P1075" r:id="rId3942"/>
    <hyperlink xmlns:r="http://schemas.openxmlformats.org/officeDocument/2006/relationships" ref="M1076" r:id="rId3943"/>
    <hyperlink xmlns:r="http://schemas.openxmlformats.org/officeDocument/2006/relationships" ref="N1076" r:id="rId3944"/>
    <hyperlink xmlns:r="http://schemas.openxmlformats.org/officeDocument/2006/relationships" ref="P1076" r:id="rId3945"/>
    <hyperlink xmlns:r="http://schemas.openxmlformats.org/officeDocument/2006/relationships" ref="M1077" r:id="rId3946"/>
    <hyperlink xmlns:r="http://schemas.openxmlformats.org/officeDocument/2006/relationships" ref="N1077" r:id="rId3947"/>
    <hyperlink xmlns:r="http://schemas.openxmlformats.org/officeDocument/2006/relationships" ref="P1077" r:id="rId3948"/>
    <hyperlink xmlns:r="http://schemas.openxmlformats.org/officeDocument/2006/relationships" ref="M1078" r:id="rId3949"/>
    <hyperlink xmlns:r="http://schemas.openxmlformats.org/officeDocument/2006/relationships" ref="N1078" r:id="rId3950"/>
    <hyperlink xmlns:r="http://schemas.openxmlformats.org/officeDocument/2006/relationships" ref="O1078" r:id="rId3951"/>
    <hyperlink xmlns:r="http://schemas.openxmlformats.org/officeDocument/2006/relationships" ref="P1078" r:id="rId3952"/>
    <hyperlink xmlns:r="http://schemas.openxmlformats.org/officeDocument/2006/relationships" ref="M1079" r:id="rId3953"/>
    <hyperlink xmlns:r="http://schemas.openxmlformats.org/officeDocument/2006/relationships" ref="N1079" r:id="rId3954"/>
    <hyperlink xmlns:r="http://schemas.openxmlformats.org/officeDocument/2006/relationships" ref="O1079" r:id="rId3955"/>
    <hyperlink xmlns:r="http://schemas.openxmlformats.org/officeDocument/2006/relationships" ref="P1079" r:id="rId3956"/>
    <hyperlink xmlns:r="http://schemas.openxmlformats.org/officeDocument/2006/relationships" ref="M1080" r:id="rId3957"/>
    <hyperlink xmlns:r="http://schemas.openxmlformats.org/officeDocument/2006/relationships" ref="N1080" r:id="rId3958"/>
    <hyperlink xmlns:r="http://schemas.openxmlformats.org/officeDocument/2006/relationships" ref="O1080" r:id="rId3959"/>
    <hyperlink xmlns:r="http://schemas.openxmlformats.org/officeDocument/2006/relationships" ref="P1080" r:id="rId3960"/>
    <hyperlink xmlns:r="http://schemas.openxmlformats.org/officeDocument/2006/relationships" ref="M1081" r:id="rId3961"/>
    <hyperlink xmlns:r="http://schemas.openxmlformats.org/officeDocument/2006/relationships" ref="N1081" r:id="rId3962"/>
    <hyperlink xmlns:r="http://schemas.openxmlformats.org/officeDocument/2006/relationships" ref="P1081" r:id="rId3963"/>
    <hyperlink xmlns:r="http://schemas.openxmlformats.org/officeDocument/2006/relationships" ref="N1082" r:id="rId3964"/>
    <hyperlink xmlns:r="http://schemas.openxmlformats.org/officeDocument/2006/relationships" ref="O1082" r:id="rId3965"/>
    <hyperlink xmlns:r="http://schemas.openxmlformats.org/officeDocument/2006/relationships" ref="P1082" r:id="rId3966"/>
    <hyperlink xmlns:r="http://schemas.openxmlformats.org/officeDocument/2006/relationships" ref="M1083" r:id="rId3967"/>
    <hyperlink xmlns:r="http://schemas.openxmlformats.org/officeDocument/2006/relationships" ref="N1083" r:id="rId3968"/>
    <hyperlink xmlns:r="http://schemas.openxmlformats.org/officeDocument/2006/relationships" ref="P1083" r:id="rId3969"/>
    <hyperlink xmlns:r="http://schemas.openxmlformats.org/officeDocument/2006/relationships" ref="M1084" r:id="rId3970"/>
    <hyperlink xmlns:r="http://schemas.openxmlformats.org/officeDocument/2006/relationships" ref="N1084" r:id="rId3971"/>
    <hyperlink xmlns:r="http://schemas.openxmlformats.org/officeDocument/2006/relationships" ref="P1084" r:id="rId3972"/>
    <hyperlink xmlns:r="http://schemas.openxmlformats.org/officeDocument/2006/relationships" ref="M1085" r:id="rId3973"/>
    <hyperlink xmlns:r="http://schemas.openxmlformats.org/officeDocument/2006/relationships" ref="N1085" r:id="rId3974"/>
    <hyperlink xmlns:r="http://schemas.openxmlformats.org/officeDocument/2006/relationships" ref="P1085" r:id="rId3975"/>
    <hyperlink xmlns:r="http://schemas.openxmlformats.org/officeDocument/2006/relationships" ref="M1086" r:id="rId3976"/>
    <hyperlink xmlns:r="http://schemas.openxmlformats.org/officeDocument/2006/relationships" ref="N1086" r:id="rId3977"/>
    <hyperlink xmlns:r="http://schemas.openxmlformats.org/officeDocument/2006/relationships" ref="O1086" r:id="rId3978"/>
    <hyperlink xmlns:r="http://schemas.openxmlformats.org/officeDocument/2006/relationships" ref="P1086" r:id="rId3979"/>
    <hyperlink xmlns:r="http://schemas.openxmlformats.org/officeDocument/2006/relationships" ref="N1087" r:id="rId3980"/>
    <hyperlink xmlns:r="http://schemas.openxmlformats.org/officeDocument/2006/relationships" ref="O1087" r:id="rId3981"/>
    <hyperlink xmlns:r="http://schemas.openxmlformats.org/officeDocument/2006/relationships" ref="P1087" r:id="rId3982"/>
    <hyperlink xmlns:r="http://schemas.openxmlformats.org/officeDocument/2006/relationships" ref="M1088" r:id="rId3983"/>
    <hyperlink xmlns:r="http://schemas.openxmlformats.org/officeDocument/2006/relationships" ref="N1088" r:id="rId3984"/>
    <hyperlink xmlns:r="http://schemas.openxmlformats.org/officeDocument/2006/relationships" ref="O1088" r:id="rId3985"/>
    <hyperlink xmlns:r="http://schemas.openxmlformats.org/officeDocument/2006/relationships" ref="P1088" r:id="rId3986"/>
    <hyperlink xmlns:r="http://schemas.openxmlformats.org/officeDocument/2006/relationships" ref="M1089" r:id="rId3987"/>
    <hyperlink xmlns:r="http://schemas.openxmlformats.org/officeDocument/2006/relationships" ref="N1089" r:id="rId3988"/>
    <hyperlink xmlns:r="http://schemas.openxmlformats.org/officeDocument/2006/relationships" ref="O1089" r:id="rId3989"/>
    <hyperlink xmlns:r="http://schemas.openxmlformats.org/officeDocument/2006/relationships" ref="P1089" r:id="rId3990"/>
    <hyperlink xmlns:r="http://schemas.openxmlformats.org/officeDocument/2006/relationships" ref="M1090" r:id="rId3991"/>
    <hyperlink xmlns:r="http://schemas.openxmlformats.org/officeDocument/2006/relationships" ref="N1090" r:id="rId3992"/>
    <hyperlink xmlns:r="http://schemas.openxmlformats.org/officeDocument/2006/relationships" ref="O1090" r:id="rId3993"/>
    <hyperlink xmlns:r="http://schemas.openxmlformats.org/officeDocument/2006/relationships" ref="P1090" r:id="rId3994"/>
    <hyperlink xmlns:r="http://schemas.openxmlformats.org/officeDocument/2006/relationships" ref="M1091" r:id="rId3995"/>
    <hyperlink xmlns:r="http://schemas.openxmlformats.org/officeDocument/2006/relationships" ref="N1091" r:id="rId3996"/>
    <hyperlink xmlns:r="http://schemas.openxmlformats.org/officeDocument/2006/relationships" ref="O1091" r:id="rId3997"/>
    <hyperlink xmlns:r="http://schemas.openxmlformats.org/officeDocument/2006/relationships" ref="P1091" r:id="rId3998"/>
    <hyperlink xmlns:r="http://schemas.openxmlformats.org/officeDocument/2006/relationships" ref="M1092" r:id="rId3999"/>
    <hyperlink xmlns:r="http://schemas.openxmlformats.org/officeDocument/2006/relationships" ref="N1092" r:id="rId4000"/>
    <hyperlink xmlns:r="http://schemas.openxmlformats.org/officeDocument/2006/relationships" ref="O1092" r:id="rId4001"/>
    <hyperlink xmlns:r="http://schemas.openxmlformats.org/officeDocument/2006/relationships" ref="P1092" r:id="rId4002"/>
    <hyperlink xmlns:r="http://schemas.openxmlformats.org/officeDocument/2006/relationships" ref="M1093" r:id="rId4003"/>
    <hyperlink xmlns:r="http://schemas.openxmlformats.org/officeDocument/2006/relationships" ref="N1093" r:id="rId4004"/>
    <hyperlink xmlns:r="http://schemas.openxmlformats.org/officeDocument/2006/relationships" ref="O1093" r:id="rId4005"/>
    <hyperlink xmlns:r="http://schemas.openxmlformats.org/officeDocument/2006/relationships" ref="P1093" r:id="rId4006"/>
    <hyperlink xmlns:r="http://schemas.openxmlformats.org/officeDocument/2006/relationships" ref="M1094" r:id="rId4007"/>
    <hyperlink xmlns:r="http://schemas.openxmlformats.org/officeDocument/2006/relationships" ref="N1094" r:id="rId4008"/>
    <hyperlink xmlns:r="http://schemas.openxmlformats.org/officeDocument/2006/relationships" ref="O1094" r:id="rId4009"/>
    <hyperlink xmlns:r="http://schemas.openxmlformats.org/officeDocument/2006/relationships" ref="P1094" r:id="rId4010"/>
    <hyperlink xmlns:r="http://schemas.openxmlformats.org/officeDocument/2006/relationships" ref="M1095" r:id="rId4011"/>
    <hyperlink xmlns:r="http://schemas.openxmlformats.org/officeDocument/2006/relationships" ref="N1095" r:id="rId4012"/>
    <hyperlink xmlns:r="http://schemas.openxmlformats.org/officeDocument/2006/relationships" ref="O1095" r:id="rId4013"/>
    <hyperlink xmlns:r="http://schemas.openxmlformats.org/officeDocument/2006/relationships" ref="P1095" r:id="rId4014"/>
    <hyperlink xmlns:r="http://schemas.openxmlformats.org/officeDocument/2006/relationships" ref="M1096" r:id="rId4015"/>
    <hyperlink xmlns:r="http://schemas.openxmlformats.org/officeDocument/2006/relationships" ref="N1096" r:id="rId4016"/>
    <hyperlink xmlns:r="http://schemas.openxmlformats.org/officeDocument/2006/relationships" ref="O1096" r:id="rId4017"/>
    <hyperlink xmlns:r="http://schemas.openxmlformats.org/officeDocument/2006/relationships" ref="P1096" r:id="rId4018"/>
    <hyperlink xmlns:r="http://schemas.openxmlformats.org/officeDocument/2006/relationships" ref="M1097" r:id="rId4019"/>
    <hyperlink xmlns:r="http://schemas.openxmlformats.org/officeDocument/2006/relationships" ref="N1097" r:id="rId4020"/>
    <hyperlink xmlns:r="http://schemas.openxmlformats.org/officeDocument/2006/relationships" ref="P1097" r:id="rId4021"/>
    <hyperlink xmlns:r="http://schemas.openxmlformats.org/officeDocument/2006/relationships" ref="M1098" r:id="rId4022"/>
    <hyperlink xmlns:r="http://schemas.openxmlformats.org/officeDocument/2006/relationships" ref="N1098" r:id="rId4023"/>
    <hyperlink xmlns:r="http://schemas.openxmlformats.org/officeDocument/2006/relationships" ref="O1098" r:id="rId4024"/>
    <hyperlink xmlns:r="http://schemas.openxmlformats.org/officeDocument/2006/relationships" ref="P1098" r:id="rId4025"/>
    <hyperlink xmlns:r="http://schemas.openxmlformats.org/officeDocument/2006/relationships" ref="M1099" r:id="rId4026"/>
    <hyperlink xmlns:r="http://schemas.openxmlformats.org/officeDocument/2006/relationships" ref="N1099" r:id="rId4027"/>
    <hyperlink xmlns:r="http://schemas.openxmlformats.org/officeDocument/2006/relationships" ref="P1099" r:id="rId4028"/>
    <hyperlink xmlns:r="http://schemas.openxmlformats.org/officeDocument/2006/relationships" ref="M1100" r:id="rId4029"/>
    <hyperlink xmlns:r="http://schemas.openxmlformats.org/officeDocument/2006/relationships" ref="N1100" r:id="rId4030"/>
    <hyperlink xmlns:r="http://schemas.openxmlformats.org/officeDocument/2006/relationships" ref="O1100" r:id="rId4031"/>
    <hyperlink xmlns:r="http://schemas.openxmlformats.org/officeDocument/2006/relationships" ref="P1100" r:id="rId4032"/>
    <hyperlink xmlns:r="http://schemas.openxmlformats.org/officeDocument/2006/relationships" ref="M1101" r:id="rId4033"/>
    <hyperlink xmlns:r="http://schemas.openxmlformats.org/officeDocument/2006/relationships" ref="N1101" r:id="rId4034"/>
    <hyperlink xmlns:r="http://schemas.openxmlformats.org/officeDocument/2006/relationships" ref="O1101" r:id="rId4035"/>
    <hyperlink xmlns:r="http://schemas.openxmlformats.org/officeDocument/2006/relationships" ref="P1101" r:id="rId4036"/>
    <hyperlink xmlns:r="http://schemas.openxmlformats.org/officeDocument/2006/relationships" ref="M1102" r:id="rId4037"/>
    <hyperlink xmlns:r="http://schemas.openxmlformats.org/officeDocument/2006/relationships" ref="N1102" r:id="rId4038"/>
    <hyperlink xmlns:r="http://schemas.openxmlformats.org/officeDocument/2006/relationships" ref="O1102" r:id="rId4039"/>
    <hyperlink xmlns:r="http://schemas.openxmlformats.org/officeDocument/2006/relationships" ref="P1102" r:id="rId4040"/>
    <hyperlink xmlns:r="http://schemas.openxmlformats.org/officeDocument/2006/relationships" ref="M1103" r:id="rId4041"/>
    <hyperlink xmlns:r="http://schemas.openxmlformats.org/officeDocument/2006/relationships" ref="N1103" r:id="rId4042"/>
    <hyperlink xmlns:r="http://schemas.openxmlformats.org/officeDocument/2006/relationships" ref="P1103" r:id="rId4043"/>
    <hyperlink xmlns:r="http://schemas.openxmlformats.org/officeDocument/2006/relationships" ref="M1104" r:id="rId4044"/>
    <hyperlink xmlns:r="http://schemas.openxmlformats.org/officeDocument/2006/relationships" ref="N1104" r:id="rId4045"/>
    <hyperlink xmlns:r="http://schemas.openxmlformats.org/officeDocument/2006/relationships" ref="P1104" r:id="rId4046"/>
    <hyperlink xmlns:r="http://schemas.openxmlformats.org/officeDocument/2006/relationships" ref="M1105" r:id="rId4047"/>
    <hyperlink xmlns:r="http://schemas.openxmlformats.org/officeDocument/2006/relationships" ref="N1105" r:id="rId4048"/>
    <hyperlink xmlns:r="http://schemas.openxmlformats.org/officeDocument/2006/relationships" ref="P1105" r:id="rId4049"/>
    <hyperlink xmlns:r="http://schemas.openxmlformats.org/officeDocument/2006/relationships" ref="M1106" r:id="rId4050"/>
    <hyperlink xmlns:r="http://schemas.openxmlformats.org/officeDocument/2006/relationships" ref="N1106" r:id="rId4051"/>
    <hyperlink xmlns:r="http://schemas.openxmlformats.org/officeDocument/2006/relationships" ref="O1106" r:id="rId4052"/>
    <hyperlink xmlns:r="http://schemas.openxmlformats.org/officeDocument/2006/relationships" ref="P1106" r:id="rId4053"/>
    <hyperlink xmlns:r="http://schemas.openxmlformats.org/officeDocument/2006/relationships" ref="M1107" r:id="rId4054"/>
    <hyperlink xmlns:r="http://schemas.openxmlformats.org/officeDocument/2006/relationships" ref="N1107" r:id="rId4055"/>
    <hyperlink xmlns:r="http://schemas.openxmlformats.org/officeDocument/2006/relationships" ref="P1107" r:id="rId4056"/>
    <hyperlink xmlns:r="http://schemas.openxmlformats.org/officeDocument/2006/relationships" ref="M1108" r:id="rId4057"/>
    <hyperlink xmlns:r="http://schemas.openxmlformats.org/officeDocument/2006/relationships" ref="N1108" r:id="rId4058"/>
    <hyperlink xmlns:r="http://schemas.openxmlformats.org/officeDocument/2006/relationships" ref="O1108" r:id="rId4059"/>
    <hyperlink xmlns:r="http://schemas.openxmlformats.org/officeDocument/2006/relationships" ref="P1108" r:id="rId4060"/>
    <hyperlink xmlns:r="http://schemas.openxmlformats.org/officeDocument/2006/relationships" ref="M1109" r:id="rId4061"/>
    <hyperlink xmlns:r="http://schemas.openxmlformats.org/officeDocument/2006/relationships" ref="N1109" r:id="rId4062"/>
    <hyperlink xmlns:r="http://schemas.openxmlformats.org/officeDocument/2006/relationships" ref="O1109" r:id="rId4063"/>
    <hyperlink xmlns:r="http://schemas.openxmlformats.org/officeDocument/2006/relationships" ref="P1109" r:id="rId4064"/>
    <hyperlink xmlns:r="http://schemas.openxmlformats.org/officeDocument/2006/relationships" ref="M1110" r:id="rId4065"/>
    <hyperlink xmlns:r="http://schemas.openxmlformats.org/officeDocument/2006/relationships" ref="N1110" r:id="rId4066"/>
    <hyperlink xmlns:r="http://schemas.openxmlformats.org/officeDocument/2006/relationships" ref="P1110" r:id="rId4067"/>
    <hyperlink xmlns:r="http://schemas.openxmlformats.org/officeDocument/2006/relationships" ref="M1111" r:id="rId4068"/>
    <hyperlink xmlns:r="http://schemas.openxmlformats.org/officeDocument/2006/relationships" ref="N1111" r:id="rId4069"/>
    <hyperlink xmlns:r="http://schemas.openxmlformats.org/officeDocument/2006/relationships" ref="O1111" r:id="rId4070"/>
    <hyperlink xmlns:r="http://schemas.openxmlformats.org/officeDocument/2006/relationships" ref="P1111" r:id="rId4071"/>
    <hyperlink xmlns:r="http://schemas.openxmlformats.org/officeDocument/2006/relationships" ref="M1112" r:id="rId4072"/>
    <hyperlink xmlns:r="http://schemas.openxmlformats.org/officeDocument/2006/relationships" ref="N1112" r:id="rId4073"/>
    <hyperlink xmlns:r="http://schemas.openxmlformats.org/officeDocument/2006/relationships" ref="O1112" r:id="rId4074"/>
    <hyperlink xmlns:r="http://schemas.openxmlformats.org/officeDocument/2006/relationships" ref="P1112" r:id="rId4075"/>
    <hyperlink xmlns:r="http://schemas.openxmlformats.org/officeDocument/2006/relationships" ref="M1113" r:id="rId4076"/>
    <hyperlink xmlns:r="http://schemas.openxmlformats.org/officeDocument/2006/relationships" ref="N1113" r:id="rId4077"/>
    <hyperlink xmlns:r="http://schemas.openxmlformats.org/officeDocument/2006/relationships" ref="O1113" r:id="rId4078"/>
    <hyperlink xmlns:r="http://schemas.openxmlformats.org/officeDocument/2006/relationships" ref="P1113" r:id="rId4079"/>
    <hyperlink xmlns:r="http://schemas.openxmlformats.org/officeDocument/2006/relationships" ref="M1114" r:id="rId4080"/>
    <hyperlink xmlns:r="http://schemas.openxmlformats.org/officeDocument/2006/relationships" ref="N1114" r:id="rId4081"/>
    <hyperlink xmlns:r="http://schemas.openxmlformats.org/officeDocument/2006/relationships" ref="O1114" r:id="rId4082"/>
    <hyperlink xmlns:r="http://schemas.openxmlformats.org/officeDocument/2006/relationships" ref="P1114" r:id="rId4083"/>
    <hyperlink xmlns:r="http://schemas.openxmlformats.org/officeDocument/2006/relationships" ref="M1115" r:id="rId4084"/>
    <hyperlink xmlns:r="http://schemas.openxmlformats.org/officeDocument/2006/relationships" ref="N1115" r:id="rId4085"/>
    <hyperlink xmlns:r="http://schemas.openxmlformats.org/officeDocument/2006/relationships" ref="O1115" r:id="rId4086"/>
    <hyperlink xmlns:r="http://schemas.openxmlformats.org/officeDocument/2006/relationships" ref="P1115" r:id="rId4087"/>
    <hyperlink xmlns:r="http://schemas.openxmlformats.org/officeDocument/2006/relationships" ref="M1116" r:id="rId4088"/>
    <hyperlink xmlns:r="http://schemas.openxmlformats.org/officeDocument/2006/relationships" ref="N1116" r:id="rId4089"/>
    <hyperlink xmlns:r="http://schemas.openxmlformats.org/officeDocument/2006/relationships" ref="O1116" r:id="rId4090"/>
    <hyperlink xmlns:r="http://schemas.openxmlformats.org/officeDocument/2006/relationships" ref="P1116" r:id="rId4091"/>
    <hyperlink xmlns:r="http://schemas.openxmlformats.org/officeDocument/2006/relationships" ref="M1117" r:id="rId4092"/>
    <hyperlink xmlns:r="http://schemas.openxmlformats.org/officeDocument/2006/relationships" ref="N1117" r:id="rId4093"/>
    <hyperlink xmlns:r="http://schemas.openxmlformats.org/officeDocument/2006/relationships" ref="O1117" r:id="rId4094"/>
    <hyperlink xmlns:r="http://schemas.openxmlformats.org/officeDocument/2006/relationships" ref="P1117" r:id="rId4095"/>
    <hyperlink xmlns:r="http://schemas.openxmlformats.org/officeDocument/2006/relationships" ref="M1118" r:id="rId4096"/>
    <hyperlink xmlns:r="http://schemas.openxmlformats.org/officeDocument/2006/relationships" ref="N1118" r:id="rId4097"/>
    <hyperlink xmlns:r="http://schemas.openxmlformats.org/officeDocument/2006/relationships" ref="O1118" r:id="rId4098"/>
    <hyperlink xmlns:r="http://schemas.openxmlformats.org/officeDocument/2006/relationships" ref="P1118" r:id="rId4099"/>
    <hyperlink xmlns:r="http://schemas.openxmlformats.org/officeDocument/2006/relationships" ref="M1119" r:id="rId4100"/>
    <hyperlink xmlns:r="http://schemas.openxmlformats.org/officeDocument/2006/relationships" ref="N1119" r:id="rId4101"/>
    <hyperlink xmlns:r="http://schemas.openxmlformats.org/officeDocument/2006/relationships" ref="P1119" r:id="rId4102"/>
    <hyperlink xmlns:r="http://schemas.openxmlformats.org/officeDocument/2006/relationships" ref="M1120" r:id="rId4103"/>
    <hyperlink xmlns:r="http://schemas.openxmlformats.org/officeDocument/2006/relationships" ref="N1120" r:id="rId4104"/>
    <hyperlink xmlns:r="http://schemas.openxmlformats.org/officeDocument/2006/relationships" ref="O1120" r:id="rId4105"/>
    <hyperlink xmlns:r="http://schemas.openxmlformats.org/officeDocument/2006/relationships" ref="P1120" r:id="rId4106"/>
    <hyperlink xmlns:r="http://schemas.openxmlformats.org/officeDocument/2006/relationships" ref="M1121" r:id="rId4107"/>
    <hyperlink xmlns:r="http://schemas.openxmlformats.org/officeDocument/2006/relationships" ref="N1121" r:id="rId4108"/>
    <hyperlink xmlns:r="http://schemas.openxmlformats.org/officeDocument/2006/relationships" ref="O1121" r:id="rId4109"/>
    <hyperlink xmlns:r="http://schemas.openxmlformats.org/officeDocument/2006/relationships" ref="P1121" r:id="rId4110"/>
    <hyperlink xmlns:r="http://schemas.openxmlformats.org/officeDocument/2006/relationships" ref="M1122" r:id="rId4111"/>
    <hyperlink xmlns:r="http://schemas.openxmlformats.org/officeDocument/2006/relationships" ref="N1122" r:id="rId4112"/>
    <hyperlink xmlns:r="http://schemas.openxmlformats.org/officeDocument/2006/relationships" ref="O1122" r:id="rId4113"/>
    <hyperlink xmlns:r="http://schemas.openxmlformats.org/officeDocument/2006/relationships" ref="P1122" r:id="rId4114"/>
    <hyperlink xmlns:r="http://schemas.openxmlformats.org/officeDocument/2006/relationships" ref="M1123" r:id="rId4115"/>
    <hyperlink xmlns:r="http://schemas.openxmlformats.org/officeDocument/2006/relationships" ref="N1123" r:id="rId4116"/>
    <hyperlink xmlns:r="http://schemas.openxmlformats.org/officeDocument/2006/relationships" ref="O1123" r:id="rId4117"/>
    <hyperlink xmlns:r="http://schemas.openxmlformats.org/officeDocument/2006/relationships" ref="P1123" r:id="rId4118"/>
    <hyperlink xmlns:r="http://schemas.openxmlformats.org/officeDocument/2006/relationships" ref="M1124" r:id="rId4119"/>
    <hyperlink xmlns:r="http://schemas.openxmlformats.org/officeDocument/2006/relationships" ref="N1124" r:id="rId4120"/>
    <hyperlink xmlns:r="http://schemas.openxmlformats.org/officeDocument/2006/relationships" ref="P1124" r:id="rId4121"/>
    <hyperlink xmlns:r="http://schemas.openxmlformats.org/officeDocument/2006/relationships" ref="M1125" r:id="rId4122"/>
    <hyperlink xmlns:r="http://schemas.openxmlformats.org/officeDocument/2006/relationships" ref="N1125" r:id="rId4123"/>
    <hyperlink xmlns:r="http://schemas.openxmlformats.org/officeDocument/2006/relationships" ref="P1125" r:id="rId4124"/>
    <hyperlink xmlns:r="http://schemas.openxmlformats.org/officeDocument/2006/relationships" ref="M1126" r:id="rId4125"/>
    <hyperlink xmlns:r="http://schemas.openxmlformats.org/officeDocument/2006/relationships" ref="N1126" r:id="rId4126"/>
    <hyperlink xmlns:r="http://schemas.openxmlformats.org/officeDocument/2006/relationships" ref="O1126" r:id="rId4127"/>
    <hyperlink xmlns:r="http://schemas.openxmlformats.org/officeDocument/2006/relationships" ref="P1126" r:id="rId4128"/>
    <hyperlink xmlns:r="http://schemas.openxmlformats.org/officeDocument/2006/relationships" ref="M1127" r:id="rId4129"/>
    <hyperlink xmlns:r="http://schemas.openxmlformats.org/officeDocument/2006/relationships" ref="N1127" r:id="rId4130"/>
    <hyperlink xmlns:r="http://schemas.openxmlformats.org/officeDocument/2006/relationships" ref="O1127" r:id="rId4131"/>
    <hyperlink xmlns:r="http://schemas.openxmlformats.org/officeDocument/2006/relationships" ref="P1127" r:id="rId4132"/>
    <hyperlink xmlns:r="http://schemas.openxmlformats.org/officeDocument/2006/relationships" ref="M1128" r:id="rId4133"/>
    <hyperlink xmlns:r="http://schemas.openxmlformats.org/officeDocument/2006/relationships" ref="N1128" r:id="rId4134"/>
    <hyperlink xmlns:r="http://schemas.openxmlformats.org/officeDocument/2006/relationships" ref="O1128" r:id="rId4135"/>
    <hyperlink xmlns:r="http://schemas.openxmlformats.org/officeDocument/2006/relationships" ref="P1128" r:id="rId4136"/>
    <hyperlink xmlns:r="http://schemas.openxmlformats.org/officeDocument/2006/relationships" ref="M1129" r:id="rId4137"/>
    <hyperlink xmlns:r="http://schemas.openxmlformats.org/officeDocument/2006/relationships" ref="N1129" r:id="rId4138"/>
    <hyperlink xmlns:r="http://schemas.openxmlformats.org/officeDocument/2006/relationships" ref="O1129" r:id="rId4139"/>
    <hyperlink xmlns:r="http://schemas.openxmlformats.org/officeDocument/2006/relationships" ref="P1129" r:id="rId4140"/>
    <hyperlink xmlns:r="http://schemas.openxmlformats.org/officeDocument/2006/relationships" ref="M1130" r:id="rId4141"/>
    <hyperlink xmlns:r="http://schemas.openxmlformats.org/officeDocument/2006/relationships" ref="N1130" r:id="rId4142"/>
    <hyperlink xmlns:r="http://schemas.openxmlformats.org/officeDocument/2006/relationships" ref="O1130" r:id="rId4143"/>
    <hyperlink xmlns:r="http://schemas.openxmlformats.org/officeDocument/2006/relationships" ref="P1130" r:id="rId4144"/>
    <hyperlink xmlns:r="http://schemas.openxmlformats.org/officeDocument/2006/relationships" ref="M1131" r:id="rId4145"/>
    <hyperlink xmlns:r="http://schemas.openxmlformats.org/officeDocument/2006/relationships" ref="N1131" r:id="rId4146"/>
    <hyperlink xmlns:r="http://schemas.openxmlformats.org/officeDocument/2006/relationships" ref="P1131" r:id="rId4147"/>
    <hyperlink xmlns:r="http://schemas.openxmlformats.org/officeDocument/2006/relationships" ref="M1132" r:id="rId4148"/>
    <hyperlink xmlns:r="http://schemas.openxmlformats.org/officeDocument/2006/relationships" ref="N1132" r:id="rId4149"/>
    <hyperlink xmlns:r="http://schemas.openxmlformats.org/officeDocument/2006/relationships" ref="O1132" r:id="rId4150"/>
    <hyperlink xmlns:r="http://schemas.openxmlformats.org/officeDocument/2006/relationships" ref="P1132" r:id="rId4151"/>
    <hyperlink xmlns:r="http://schemas.openxmlformats.org/officeDocument/2006/relationships" ref="M1133" r:id="rId4152"/>
    <hyperlink xmlns:r="http://schemas.openxmlformats.org/officeDocument/2006/relationships" ref="N1133" r:id="rId4153"/>
    <hyperlink xmlns:r="http://schemas.openxmlformats.org/officeDocument/2006/relationships" ref="O1133" r:id="rId4154"/>
    <hyperlink xmlns:r="http://schemas.openxmlformats.org/officeDocument/2006/relationships" ref="P1133" r:id="rId4155"/>
    <hyperlink xmlns:r="http://schemas.openxmlformats.org/officeDocument/2006/relationships" ref="M1134" r:id="rId4156"/>
    <hyperlink xmlns:r="http://schemas.openxmlformats.org/officeDocument/2006/relationships" ref="N1134" r:id="rId4157"/>
    <hyperlink xmlns:r="http://schemas.openxmlformats.org/officeDocument/2006/relationships" ref="O1134" r:id="rId4158"/>
    <hyperlink xmlns:r="http://schemas.openxmlformats.org/officeDocument/2006/relationships" ref="P1134" r:id="rId4159"/>
    <hyperlink xmlns:r="http://schemas.openxmlformats.org/officeDocument/2006/relationships" ref="M1135" r:id="rId4160"/>
    <hyperlink xmlns:r="http://schemas.openxmlformats.org/officeDocument/2006/relationships" ref="N1135" r:id="rId4161"/>
    <hyperlink xmlns:r="http://schemas.openxmlformats.org/officeDocument/2006/relationships" ref="O1135" r:id="rId4162"/>
    <hyperlink xmlns:r="http://schemas.openxmlformats.org/officeDocument/2006/relationships" ref="P1135" r:id="rId4163"/>
    <hyperlink xmlns:r="http://schemas.openxmlformats.org/officeDocument/2006/relationships" ref="M1136" r:id="rId4164"/>
    <hyperlink xmlns:r="http://schemas.openxmlformats.org/officeDocument/2006/relationships" ref="N1136" r:id="rId4165"/>
    <hyperlink xmlns:r="http://schemas.openxmlformats.org/officeDocument/2006/relationships" ref="O1136" r:id="rId4166"/>
    <hyperlink xmlns:r="http://schemas.openxmlformats.org/officeDocument/2006/relationships" ref="P1136" r:id="rId4167"/>
    <hyperlink xmlns:r="http://schemas.openxmlformats.org/officeDocument/2006/relationships" ref="M1137" r:id="rId4168"/>
    <hyperlink xmlns:r="http://schemas.openxmlformats.org/officeDocument/2006/relationships" ref="N1137" r:id="rId4169"/>
    <hyperlink xmlns:r="http://schemas.openxmlformats.org/officeDocument/2006/relationships" ref="O1137" r:id="rId4170"/>
    <hyperlink xmlns:r="http://schemas.openxmlformats.org/officeDocument/2006/relationships" ref="P1137" r:id="rId4171"/>
    <hyperlink xmlns:r="http://schemas.openxmlformats.org/officeDocument/2006/relationships" ref="M1138" r:id="rId4172"/>
    <hyperlink xmlns:r="http://schemas.openxmlformats.org/officeDocument/2006/relationships" ref="N1138" r:id="rId4173"/>
    <hyperlink xmlns:r="http://schemas.openxmlformats.org/officeDocument/2006/relationships" ref="O1138" r:id="rId4174"/>
    <hyperlink xmlns:r="http://schemas.openxmlformats.org/officeDocument/2006/relationships" ref="P1138" r:id="rId4175"/>
    <hyperlink xmlns:r="http://schemas.openxmlformats.org/officeDocument/2006/relationships" ref="M1139" r:id="rId4176"/>
    <hyperlink xmlns:r="http://schemas.openxmlformats.org/officeDocument/2006/relationships" ref="N1139" r:id="rId4177"/>
    <hyperlink xmlns:r="http://schemas.openxmlformats.org/officeDocument/2006/relationships" ref="O1139" r:id="rId4178"/>
    <hyperlink xmlns:r="http://schemas.openxmlformats.org/officeDocument/2006/relationships" ref="P1139" r:id="rId4179"/>
    <hyperlink xmlns:r="http://schemas.openxmlformats.org/officeDocument/2006/relationships" ref="M1140" r:id="rId4180"/>
    <hyperlink xmlns:r="http://schemas.openxmlformats.org/officeDocument/2006/relationships" ref="N1140" r:id="rId4181"/>
    <hyperlink xmlns:r="http://schemas.openxmlformats.org/officeDocument/2006/relationships" ref="O1140" r:id="rId4182"/>
    <hyperlink xmlns:r="http://schemas.openxmlformats.org/officeDocument/2006/relationships" ref="P1140" r:id="rId4183"/>
    <hyperlink xmlns:r="http://schemas.openxmlformats.org/officeDocument/2006/relationships" ref="M1141" r:id="rId4184"/>
    <hyperlink xmlns:r="http://schemas.openxmlformats.org/officeDocument/2006/relationships" ref="N1141" r:id="rId4185"/>
    <hyperlink xmlns:r="http://schemas.openxmlformats.org/officeDocument/2006/relationships" ref="O1141" r:id="rId4186"/>
    <hyperlink xmlns:r="http://schemas.openxmlformats.org/officeDocument/2006/relationships" ref="P1141" r:id="rId4187"/>
    <hyperlink xmlns:r="http://schemas.openxmlformats.org/officeDocument/2006/relationships" ref="M1142" r:id="rId4188"/>
    <hyperlink xmlns:r="http://schemas.openxmlformats.org/officeDocument/2006/relationships" ref="N1142" r:id="rId4189"/>
    <hyperlink xmlns:r="http://schemas.openxmlformats.org/officeDocument/2006/relationships" ref="O1142" r:id="rId4190"/>
    <hyperlink xmlns:r="http://schemas.openxmlformats.org/officeDocument/2006/relationships" ref="P1142" r:id="rId4191"/>
    <hyperlink xmlns:r="http://schemas.openxmlformats.org/officeDocument/2006/relationships" ref="M1143" r:id="rId4192"/>
    <hyperlink xmlns:r="http://schemas.openxmlformats.org/officeDocument/2006/relationships" ref="N1143" r:id="rId4193"/>
    <hyperlink xmlns:r="http://schemas.openxmlformats.org/officeDocument/2006/relationships" ref="P1143" r:id="rId4194"/>
    <hyperlink xmlns:r="http://schemas.openxmlformats.org/officeDocument/2006/relationships" ref="M1144" r:id="rId4195"/>
    <hyperlink xmlns:r="http://schemas.openxmlformats.org/officeDocument/2006/relationships" ref="N1144" r:id="rId4196"/>
    <hyperlink xmlns:r="http://schemas.openxmlformats.org/officeDocument/2006/relationships" ref="P1144" r:id="rId4197"/>
    <hyperlink xmlns:r="http://schemas.openxmlformats.org/officeDocument/2006/relationships" ref="M1145" r:id="rId4198"/>
    <hyperlink xmlns:r="http://schemas.openxmlformats.org/officeDocument/2006/relationships" ref="N1145" r:id="rId4199"/>
    <hyperlink xmlns:r="http://schemas.openxmlformats.org/officeDocument/2006/relationships" ref="O1145" r:id="rId4200"/>
    <hyperlink xmlns:r="http://schemas.openxmlformats.org/officeDocument/2006/relationships" ref="P1145" r:id="rId4201"/>
    <hyperlink xmlns:r="http://schemas.openxmlformats.org/officeDocument/2006/relationships" ref="M1146" r:id="rId4202"/>
    <hyperlink xmlns:r="http://schemas.openxmlformats.org/officeDocument/2006/relationships" ref="N1146" r:id="rId4203"/>
    <hyperlink xmlns:r="http://schemas.openxmlformats.org/officeDocument/2006/relationships" ref="O1146" r:id="rId4204"/>
    <hyperlink xmlns:r="http://schemas.openxmlformats.org/officeDocument/2006/relationships" ref="P1146" r:id="rId4205"/>
    <hyperlink xmlns:r="http://schemas.openxmlformats.org/officeDocument/2006/relationships" ref="M1147" r:id="rId4206"/>
    <hyperlink xmlns:r="http://schemas.openxmlformats.org/officeDocument/2006/relationships" ref="N1147" r:id="rId4207"/>
    <hyperlink xmlns:r="http://schemas.openxmlformats.org/officeDocument/2006/relationships" ref="P1147" r:id="rId4208"/>
    <hyperlink xmlns:r="http://schemas.openxmlformats.org/officeDocument/2006/relationships" ref="M1148" r:id="rId4209"/>
    <hyperlink xmlns:r="http://schemas.openxmlformats.org/officeDocument/2006/relationships" ref="N1148" r:id="rId4210"/>
    <hyperlink xmlns:r="http://schemas.openxmlformats.org/officeDocument/2006/relationships" ref="O1148" r:id="rId4211"/>
    <hyperlink xmlns:r="http://schemas.openxmlformats.org/officeDocument/2006/relationships" ref="P1148" r:id="rId4212"/>
    <hyperlink xmlns:r="http://schemas.openxmlformats.org/officeDocument/2006/relationships" ref="M1149" r:id="rId4213"/>
    <hyperlink xmlns:r="http://schemas.openxmlformats.org/officeDocument/2006/relationships" ref="N1149" r:id="rId4214"/>
    <hyperlink xmlns:r="http://schemas.openxmlformats.org/officeDocument/2006/relationships" ref="O1149" r:id="rId4215"/>
    <hyperlink xmlns:r="http://schemas.openxmlformats.org/officeDocument/2006/relationships" ref="P1149" r:id="rId4216"/>
    <hyperlink xmlns:r="http://schemas.openxmlformats.org/officeDocument/2006/relationships" ref="M1150" r:id="rId4217"/>
    <hyperlink xmlns:r="http://schemas.openxmlformats.org/officeDocument/2006/relationships" ref="N1150" r:id="rId4218"/>
    <hyperlink xmlns:r="http://schemas.openxmlformats.org/officeDocument/2006/relationships" ref="P1150" r:id="rId4219"/>
    <hyperlink xmlns:r="http://schemas.openxmlformats.org/officeDocument/2006/relationships" ref="M1151" r:id="rId4220"/>
    <hyperlink xmlns:r="http://schemas.openxmlformats.org/officeDocument/2006/relationships" ref="N1151" r:id="rId4221"/>
    <hyperlink xmlns:r="http://schemas.openxmlformats.org/officeDocument/2006/relationships" ref="P1151" r:id="rId4222"/>
    <hyperlink xmlns:r="http://schemas.openxmlformats.org/officeDocument/2006/relationships" ref="M1152" r:id="rId4223"/>
    <hyperlink xmlns:r="http://schemas.openxmlformats.org/officeDocument/2006/relationships" ref="N1152" r:id="rId4224"/>
    <hyperlink xmlns:r="http://schemas.openxmlformats.org/officeDocument/2006/relationships" ref="O1152" r:id="rId4225"/>
    <hyperlink xmlns:r="http://schemas.openxmlformats.org/officeDocument/2006/relationships" ref="P1152" r:id="rId4226"/>
    <hyperlink xmlns:r="http://schemas.openxmlformats.org/officeDocument/2006/relationships" ref="M1153" r:id="rId4227"/>
    <hyperlink xmlns:r="http://schemas.openxmlformats.org/officeDocument/2006/relationships" ref="N1153" r:id="rId4228"/>
    <hyperlink xmlns:r="http://schemas.openxmlformats.org/officeDocument/2006/relationships" ref="O1153" r:id="rId4229"/>
    <hyperlink xmlns:r="http://schemas.openxmlformats.org/officeDocument/2006/relationships" ref="P1153" r:id="rId4230"/>
    <hyperlink xmlns:r="http://schemas.openxmlformats.org/officeDocument/2006/relationships" ref="M1154" r:id="rId4231"/>
    <hyperlink xmlns:r="http://schemas.openxmlformats.org/officeDocument/2006/relationships" ref="N1154" r:id="rId4232"/>
    <hyperlink xmlns:r="http://schemas.openxmlformats.org/officeDocument/2006/relationships" ref="P1154" r:id="rId4233"/>
    <hyperlink xmlns:r="http://schemas.openxmlformats.org/officeDocument/2006/relationships" ref="M1155" r:id="rId4234"/>
    <hyperlink xmlns:r="http://schemas.openxmlformats.org/officeDocument/2006/relationships" ref="N1155" r:id="rId4235"/>
    <hyperlink xmlns:r="http://schemas.openxmlformats.org/officeDocument/2006/relationships" ref="O1155" r:id="rId4236"/>
    <hyperlink xmlns:r="http://schemas.openxmlformats.org/officeDocument/2006/relationships" ref="P1155" r:id="rId4237"/>
    <hyperlink xmlns:r="http://schemas.openxmlformats.org/officeDocument/2006/relationships" ref="M1156" r:id="rId4238"/>
    <hyperlink xmlns:r="http://schemas.openxmlformats.org/officeDocument/2006/relationships" ref="N1156" r:id="rId4239"/>
    <hyperlink xmlns:r="http://schemas.openxmlformats.org/officeDocument/2006/relationships" ref="O1156" r:id="rId4240"/>
    <hyperlink xmlns:r="http://schemas.openxmlformats.org/officeDocument/2006/relationships" ref="P1156" r:id="rId4241"/>
    <hyperlink xmlns:r="http://schemas.openxmlformats.org/officeDocument/2006/relationships" ref="M1157" r:id="rId4242"/>
    <hyperlink xmlns:r="http://schemas.openxmlformats.org/officeDocument/2006/relationships" ref="N1157" r:id="rId4243"/>
    <hyperlink xmlns:r="http://schemas.openxmlformats.org/officeDocument/2006/relationships" ref="O1157" r:id="rId4244"/>
    <hyperlink xmlns:r="http://schemas.openxmlformats.org/officeDocument/2006/relationships" ref="P1157" r:id="rId4245"/>
    <hyperlink xmlns:r="http://schemas.openxmlformats.org/officeDocument/2006/relationships" ref="M1158" r:id="rId4246"/>
    <hyperlink xmlns:r="http://schemas.openxmlformats.org/officeDocument/2006/relationships" ref="N1158" r:id="rId4247"/>
    <hyperlink xmlns:r="http://schemas.openxmlformats.org/officeDocument/2006/relationships" ref="P1158" r:id="rId4248"/>
    <hyperlink xmlns:r="http://schemas.openxmlformats.org/officeDocument/2006/relationships" ref="M1159" r:id="rId4249"/>
    <hyperlink xmlns:r="http://schemas.openxmlformats.org/officeDocument/2006/relationships" ref="N1159" r:id="rId4250"/>
    <hyperlink xmlns:r="http://schemas.openxmlformats.org/officeDocument/2006/relationships" ref="O1159" r:id="rId4251"/>
    <hyperlink xmlns:r="http://schemas.openxmlformats.org/officeDocument/2006/relationships" ref="P1159" r:id="rId4252"/>
    <hyperlink xmlns:r="http://schemas.openxmlformats.org/officeDocument/2006/relationships" ref="M1160" r:id="rId4253"/>
    <hyperlink xmlns:r="http://schemas.openxmlformats.org/officeDocument/2006/relationships" ref="N1160" r:id="rId4254"/>
    <hyperlink xmlns:r="http://schemas.openxmlformats.org/officeDocument/2006/relationships" ref="O1160" r:id="rId4255"/>
    <hyperlink xmlns:r="http://schemas.openxmlformats.org/officeDocument/2006/relationships" ref="P1160" r:id="rId4256"/>
    <hyperlink xmlns:r="http://schemas.openxmlformats.org/officeDocument/2006/relationships" ref="M1161" r:id="rId4257"/>
    <hyperlink xmlns:r="http://schemas.openxmlformats.org/officeDocument/2006/relationships" ref="N1161" r:id="rId4258"/>
    <hyperlink xmlns:r="http://schemas.openxmlformats.org/officeDocument/2006/relationships" ref="O1161" r:id="rId4259"/>
    <hyperlink xmlns:r="http://schemas.openxmlformats.org/officeDocument/2006/relationships" ref="P1161" r:id="rId4260"/>
    <hyperlink xmlns:r="http://schemas.openxmlformats.org/officeDocument/2006/relationships" ref="M1162" r:id="rId4261"/>
    <hyperlink xmlns:r="http://schemas.openxmlformats.org/officeDocument/2006/relationships" ref="N1162" r:id="rId4262"/>
    <hyperlink xmlns:r="http://schemas.openxmlformats.org/officeDocument/2006/relationships" ref="O1162" r:id="rId4263"/>
    <hyperlink xmlns:r="http://schemas.openxmlformats.org/officeDocument/2006/relationships" ref="P1162" r:id="rId4264"/>
    <hyperlink xmlns:r="http://schemas.openxmlformats.org/officeDocument/2006/relationships" ref="M1163" r:id="rId4265"/>
    <hyperlink xmlns:r="http://schemas.openxmlformats.org/officeDocument/2006/relationships" ref="N1163" r:id="rId4266"/>
    <hyperlink xmlns:r="http://schemas.openxmlformats.org/officeDocument/2006/relationships" ref="O1163" r:id="rId4267"/>
    <hyperlink xmlns:r="http://schemas.openxmlformats.org/officeDocument/2006/relationships" ref="P1163" r:id="rId4268"/>
    <hyperlink xmlns:r="http://schemas.openxmlformats.org/officeDocument/2006/relationships" ref="M1164" r:id="rId4269"/>
    <hyperlink xmlns:r="http://schemas.openxmlformats.org/officeDocument/2006/relationships" ref="N1164" r:id="rId4270"/>
    <hyperlink xmlns:r="http://schemas.openxmlformats.org/officeDocument/2006/relationships" ref="O1164" r:id="rId4271"/>
    <hyperlink xmlns:r="http://schemas.openxmlformats.org/officeDocument/2006/relationships" ref="P1164" r:id="rId4272"/>
    <hyperlink xmlns:r="http://schemas.openxmlformats.org/officeDocument/2006/relationships" ref="M1165" r:id="rId4273"/>
    <hyperlink xmlns:r="http://schemas.openxmlformats.org/officeDocument/2006/relationships" ref="N1165" r:id="rId4274"/>
    <hyperlink xmlns:r="http://schemas.openxmlformats.org/officeDocument/2006/relationships" ref="O1165" r:id="rId4275"/>
    <hyperlink xmlns:r="http://schemas.openxmlformats.org/officeDocument/2006/relationships" ref="P1165" r:id="rId4276"/>
    <hyperlink xmlns:r="http://schemas.openxmlformats.org/officeDocument/2006/relationships" ref="M1166" r:id="rId4277"/>
    <hyperlink xmlns:r="http://schemas.openxmlformats.org/officeDocument/2006/relationships" ref="N1166" r:id="rId4278"/>
    <hyperlink xmlns:r="http://schemas.openxmlformats.org/officeDocument/2006/relationships" ref="O1166" r:id="rId4279"/>
    <hyperlink xmlns:r="http://schemas.openxmlformats.org/officeDocument/2006/relationships" ref="P1166" r:id="rId4280"/>
    <hyperlink xmlns:r="http://schemas.openxmlformats.org/officeDocument/2006/relationships" ref="M1167" r:id="rId4281"/>
    <hyperlink xmlns:r="http://schemas.openxmlformats.org/officeDocument/2006/relationships" ref="N1167" r:id="rId4282"/>
    <hyperlink xmlns:r="http://schemas.openxmlformats.org/officeDocument/2006/relationships" ref="O1167" r:id="rId4283"/>
    <hyperlink xmlns:r="http://schemas.openxmlformats.org/officeDocument/2006/relationships" ref="P1167" r:id="rId4284"/>
    <hyperlink xmlns:r="http://schemas.openxmlformats.org/officeDocument/2006/relationships" ref="M1168" r:id="rId4285"/>
    <hyperlink xmlns:r="http://schemas.openxmlformats.org/officeDocument/2006/relationships" ref="N1168" r:id="rId4286"/>
    <hyperlink xmlns:r="http://schemas.openxmlformats.org/officeDocument/2006/relationships" ref="O1168" r:id="rId4287"/>
    <hyperlink xmlns:r="http://schemas.openxmlformats.org/officeDocument/2006/relationships" ref="P1168" r:id="rId4288"/>
    <hyperlink xmlns:r="http://schemas.openxmlformats.org/officeDocument/2006/relationships" ref="M1169" r:id="rId4289"/>
    <hyperlink xmlns:r="http://schemas.openxmlformats.org/officeDocument/2006/relationships" ref="N1169" r:id="rId4290"/>
    <hyperlink xmlns:r="http://schemas.openxmlformats.org/officeDocument/2006/relationships" ref="O1169" r:id="rId4291"/>
    <hyperlink xmlns:r="http://schemas.openxmlformats.org/officeDocument/2006/relationships" ref="P1169" r:id="rId4292"/>
    <hyperlink xmlns:r="http://schemas.openxmlformats.org/officeDocument/2006/relationships" ref="M1170" r:id="rId4293"/>
    <hyperlink xmlns:r="http://schemas.openxmlformats.org/officeDocument/2006/relationships" ref="N1170" r:id="rId4294"/>
    <hyperlink xmlns:r="http://schemas.openxmlformats.org/officeDocument/2006/relationships" ref="O1170" r:id="rId4295"/>
    <hyperlink xmlns:r="http://schemas.openxmlformats.org/officeDocument/2006/relationships" ref="P1170" r:id="rId4296"/>
    <hyperlink xmlns:r="http://schemas.openxmlformats.org/officeDocument/2006/relationships" ref="M1171" r:id="rId4297"/>
    <hyperlink xmlns:r="http://schemas.openxmlformats.org/officeDocument/2006/relationships" ref="N1171" r:id="rId4298"/>
    <hyperlink xmlns:r="http://schemas.openxmlformats.org/officeDocument/2006/relationships" ref="O1171" r:id="rId4299"/>
    <hyperlink xmlns:r="http://schemas.openxmlformats.org/officeDocument/2006/relationships" ref="P1171" r:id="rId4300"/>
    <hyperlink xmlns:r="http://schemas.openxmlformats.org/officeDocument/2006/relationships" ref="M1172" r:id="rId4301"/>
    <hyperlink xmlns:r="http://schemas.openxmlformats.org/officeDocument/2006/relationships" ref="N1172" r:id="rId4302"/>
    <hyperlink xmlns:r="http://schemas.openxmlformats.org/officeDocument/2006/relationships" ref="P1172" r:id="rId4303"/>
    <hyperlink xmlns:r="http://schemas.openxmlformats.org/officeDocument/2006/relationships" ref="M1173" r:id="rId4304"/>
    <hyperlink xmlns:r="http://schemas.openxmlformats.org/officeDocument/2006/relationships" ref="N1173" r:id="rId4305"/>
    <hyperlink xmlns:r="http://schemas.openxmlformats.org/officeDocument/2006/relationships" ref="O1173" r:id="rId4306"/>
    <hyperlink xmlns:r="http://schemas.openxmlformats.org/officeDocument/2006/relationships" ref="P1173" r:id="rId4307"/>
    <hyperlink xmlns:r="http://schemas.openxmlformats.org/officeDocument/2006/relationships" ref="M1174" r:id="rId4308"/>
    <hyperlink xmlns:r="http://schemas.openxmlformats.org/officeDocument/2006/relationships" ref="N1174" r:id="rId4309"/>
    <hyperlink xmlns:r="http://schemas.openxmlformats.org/officeDocument/2006/relationships" ref="P1174" r:id="rId4310"/>
    <hyperlink xmlns:r="http://schemas.openxmlformats.org/officeDocument/2006/relationships" ref="M1175" r:id="rId4311"/>
    <hyperlink xmlns:r="http://schemas.openxmlformats.org/officeDocument/2006/relationships" ref="N1175" r:id="rId4312"/>
    <hyperlink xmlns:r="http://schemas.openxmlformats.org/officeDocument/2006/relationships" ref="O1175" r:id="rId4313"/>
    <hyperlink xmlns:r="http://schemas.openxmlformats.org/officeDocument/2006/relationships" ref="P1175" r:id="rId4314"/>
    <hyperlink xmlns:r="http://schemas.openxmlformats.org/officeDocument/2006/relationships" ref="M1176" r:id="rId4315"/>
    <hyperlink xmlns:r="http://schemas.openxmlformats.org/officeDocument/2006/relationships" ref="N1176" r:id="rId4316"/>
    <hyperlink xmlns:r="http://schemas.openxmlformats.org/officeDocument/2006/relationships" ref="P1176" r:id="rId4317"/>
    <hyperlink xmlns:r="http://schemas.openxmlformats.org/officeDocument/2006/relationships" ref="M1177" r:id="rId4318"/>
    <hyperlink xmlns:r="http://schemas.openxmlformats.org/officeDocument/2006/relationships" ref="N1177" r:id="rId4319"/>
    <hyperlink xmlns:r="http://schemas.openxmlformats.org/officeDocument/2006/relationships" ref="O1177" r:id="rId4320"/>
    <hyperlink xmlns:r="http://schemas.openxmlformats.org/officeDocument/2006/relationships" ref="P1177" r:id="rId4321"/>
    <hyperlink xmlns:r="http://schemas.openxmlformats.org/officeDocument/2006/relationships" ref="M1178" r:id="rId4322"/>
    <hyperlink xmlns:r="http://schemas.openxmlformats.org/officeDocument/2006/relationships" ref="N1178" r:id="rId4323"/>
    <hyperlink xmlns:r="http://schemas.openxmlformats.org/officeDocument/2006/relationships" ref="O1178" r:id="rId4324"/>
    <hyperlink xmlns:r="http://schemas.openxmlformats.org/officeDocument/2006/relationships" ref="P1178" r:id="rId4325"/>
    <hyperlink xmlns:r="http://schemas.openxmlformats.org/officeDocument/2006/relationships" ref="M1179" r:id="rId4326"/>
    <hyperlink xmlns:r="http://schemas.openxmlformats.org/officeDocument/2006/relationships" ref="N1179" r:id="rId4327"/>
    <hyperlink xmlns:r="http://schemas.openxmlformats.org/officeDocument/2006/relationships" ref="O1179" r:id="rId4328"/>
    <hyperlink xmlns:r="http://schemas.openxmlformats.org/officeDocument/2006/relationships" ref="P1179" r:id="rId4329"/>
    <hyperlink xmlns:r="http://schemas.openxmlformats.org/officeDocument/2006/relationships" ref="M1180" r:id="rId4330"/>
    <hyperlink xmlns:r="http://schemas.openxmlformats.org/officeDocument/2006/relationships" ref="N1180" r:id="rId4331"/>
    <hyperlink xmlns:r="http://schemas.openxmlformats.org/officeDocument/2006/relationships" ref="O1180" r:id="rId4332"/>
    <hyperlink xmlns:r="http://schemas.openxmlformats.org/officeDocument/2006/relationships" ref="P1180" r:id="rId4333"/>
    <hyperlink xmlns:r="http://schemas.openxmlformats.org/officeDocument/2006/relationships" ref="M1181" r:id="rId4334"/>
    <hyperlink xmlns:r="http://schemas.openxmlformats.org/officeDocument/2006/relationships" ref="N1181" r:id="rId4335"/>
    <hyperlink xmlns:r="http://schemas.openxmlformats.org/officeDocument/2006/relationships" ref="O1181" r:id="rId4336"/>
    <hyperlink xmlns:r="http://schemas.openxmlformats.org/officeDocument/2006/relationships" ref="P1181" r:id="rId4337"/>
    <hyperlink xmlns:r="http://schemas.openxmlformats.org/officeDocument/2006/relationships" ref="M1182" r:id="rId4338"/>
    <hyperlink xmlns:r="http://schemas.openxmlformats.org/officeDocument/2006/relationships" ref="N1182" r:id="rId4339"/>
    <hyperlink xmlns:r="http://schemas.openxmlformats.org/officeDocument/2006/relationships" ref="O1182" r:id="rId4340"/>
    <hyperlink xmlns:r="http://schemas.openxmlformats.org/officeDocument/2006/relationships" ref="P1182" r:id="rId4341"/>
    <hyperlink xmlns:r="http://schemas.openxmlformats.org/officeDocument/2006/relationships" ref="M1183" r:id="rId4342"/>
    <hyperlink xmlns:r="http://schemas.openxmlformats.org/officeDocument/2006/relationships" ref="N1183" r:id="rId4343"/>
    <hyperlink xmlns:r="http://schemas.openxmlformats.org/officeDocument/2006/relationships" ref="P1183" r:id="rId4344"/>
    <hyperlink xmlns:r="http://schemas.openxmlformats.org/officeDocument/2006/relationships" ref="M1184" r:id="rId4345"/>
    <hyperlink xmlns:r="http://schemas.openxmlformats.org/officeDocument/2006/relationships" ref="N1184" r:id="rId4346"/>
    <hyperlink xmlns:r="http://schemas.openxmlformats.org/officeDocument/2006/relationships" ref="O1184" r:id="rId4347"/>
    <hyperlink xmlns:r="http://schemas.openxmlformats.org/officeDocument/2006/relationships" ref="P1184" r:id="rId4348"/>
    <hyperlink xmlns:r="http://schemas.openxmlformats.org/officeDocument/2006/relationships" ref="M1185" r:id="rId4349"/>
    <hyperlink xmlns:r="http://schemas.openxmlformats.org/officeDocument/2006/relationships" ref="N1185" r:id="rId4350"/>
    <hyperlink xmlns:r="http://schemas.openxmlformats.org/officeDocument/2006/relationships" ref="P1185" r:id="rId4351"/>
    <hyperlink xmlns:r="http://schemas.openxmlformats.org/officeDocument/2006/relationships" ref="M1186" r:id="rId4352"/>
    <hyperlink xmlns:r="http://schemas.openxmlformats.org/officeDocument/2006/relationships" ref="N1186" r:id="rId4353"/>
    <hyperlink xmlns:r="http://schemas.openxmlformats.org/officeDocument/2006/relationships" ref="P1186" r:id="rId4354"/>
    <hyperlink xmlns:r="http://schemas.openxmlformats.org/officeDocument/2006/relationships" ref="M1187" r:id="rId4355"/>
    <hyperlink xmlns:r="http://schemas.openxmlformats.org/officeDocument/2006/relationships" ref="N1187" r:id="rId4356"/>
    <hyperlink xmlns:r="http://schemas.openxmlformats.org/officeDocument/2006/relationships" ref="O1187" r:id="rId4357"/>
    <hyperlink xmlns:r="http://schemas.openxmlformats.org/officeDocument/2006/relationships" ref="P1187" r:id="rId4358"/>
    <hyperlink xmlns:r="http://schemas.openxmlformats.org/officeDocument/2006/relationships" ref="M1188" r:id="rId4359"/>
    <hyperlink xmlns:r="http://schemas.openxmlformats.org/officeDocument/2006/relationships" ref="N1188" r:id="rId4360"/>
    <hyperlink xmlns:r="http://schemas.openxmlformats.org/officeDocument/2006/relationships" ref="O1188" r:id="rId4361"/>
    <hyperlink xmlns:r="http://schemas.openxmlformats.org/officeDocument/2006/relationships" ref="P1188" r:id="rId4362"/>
    <hyperlink xmlns:r="http://schemas.openxmlformats.org/officeDocument/2006/relationships" ref="M1189" r:id="rId4363"/>
    <hyperlink xmlns:r="http://schemas.openxmlformats.org/officeDocument/2006/relationships" ref="N1189" r:id="rId4364"/>
    <hyperlink xmlns:r="http://schemas.openxmlformats.org/officeDocument/2006/relationships" ref="O1189" r:id="rId4365"/>
    <hyperlink xmlns:r="http://schemas.openxmlformats.org/officeDocument/2006/relationships" ref="P1189" r:id="rId4366"/>
    <hyperlink xmlns:r="http://schemas.openxmlformats.org/officeDocument/2006/relationships" ref="M1190" r:id="rId4367"/>
    <hyperlink xmlns:r="http://schemas.openxmlformats.org/officeDocument/2006/relationships" ref="N1190" r:id="rId4368"/>
    <hyperlink xmlns:r="http://schemas.openxmlformats.org/officeDocument/2006/relationships" ref="O1190" r:id="rId4369"/>
    <hyperlink xmlns:r="http://schemas.openxmlformats.org/officeDocument/2006/relationships" ref="P1190" r:id="rId4370"/>
    <hyperlink xmlns:r="http://schemas.openxmlformats.org/officeDocument/2006/relationships" ref="M1191" r:id="rId4371"/>
    <hyperlink xmlns:r="http://schemas.openxmlformats.org/officeDocument/2006/relationships" ref="N1191" r:id="rId4372"/>
    <hyperlink xmlns:r="http://schemas.openxmlformats.org/officeDocument/2006/relationships" ref="O1191" r:id="rId4373"/>
    <hyperlink xmlns:r="http://schemas.openxmlformats.org/officeDocument/2006/relationships" ref="P1191" r:id="rId4374"/>
    <hyperlink xmlns:r="http://schemas.openxmlformats.org/officeDocument/2006/relationships" ref="M1192" r:id="rId4375"/>
    <hyperlink xmlns:r="http://schemas.openxmlformats.org/officeDocument/2006/relationships" ref="N1192" r:id="rId4376"/>
    <hyperlink xmlns:r="http://schemas.openxmlformats.org/officeDocument/2006/relationships" ref="O1192" r:id="rId4377"/>
    <hyperlink xmlns:r="http://schemas.openxmlformats.org/officeDocument/2006/relationships" ref="P1192" r:id="rId4378"/>
    <hyperlink xmlns:r="http://schemas.openxmlformats.org/officeDocument/2006/relationships" ref="M1193" r:id="rId4379"/>
    <hyperlink xmlns:r="http://schemas.openxmlformats.org/officeDocument/2006/relationships" ref="N1193" r:id="rId4380"/>
    <hyperlink xmlns:r="http://schemas.openxmlformats.org/officeDocument/2006/relationships" ref="O1193" r:id="rId4381"/>
    <hyperlink xmlns:r="http://schemas.openxmlformats.org/officeDocument/2006/relationships" ref="P1193" r:id="rId4382"/>
    <hyperlink xmlns:r="http://schemas.openxmlformats.org/officeDocument/2006/relationships" ref="M1194" r:id="rId4383"/>
    <hyperlink xmlns:r="http://schemas.openxmlformats.org/officeDocument/2006/relationships" ref="N1194" r:id="rId4384"/>
    <hyperlink xmlns:r="http://schemas.openxmlformats.org/officeDocument/2006/relationships" ref="O1194" r:id="rId4385"/>
    <hyperlink xmlns:r="http://schemas.openxmlformats.org/officeDocument/2006/relationships" ref="P1194" r:id="rId4386"/>
    <hyperlink xmlns:r="http://schemas.openxmlformats.org/officeDocument/2006/relationships" ref="M1195" r:id="rId4387"/>
    <hyperlink xmlns:r="http://schemas.openxmlformats.org/officeDocument/2006/relationships" ref="N1195" r:id="rId4388"/>
    <hyperlink xmlns:r="http://schemas.openxmlformats.org/officeDocument/2006/relationships" ref="O1195" r:id="rId4389"/>
    <hyperlink xmlns:r="http://schemas.openxmlformats.org/officeDocument/2006/relationships" ref="P1195" r:id="rId4390"/>
    <hyperlink xmlns:r="http://schemas.openxmlformats.org/officeDocument/2006/relationships" ref="M1196" r:id="rId4391"/>
    <hyperlink xmlns:r="http://schemas.openxmlformats.org/officeDocument/2006/relationships" ref="N1196" r:id="rId4392"/>
    <hyperlink xmlns:r="http://schemas.openxmlformats.org/officeDocument/2006/relationships" ref="O1196" r:id="rId4393"/>
    <hyperlink xmlns:r="http://schemas.openxmlformats.org/officeDocument/2006/relationships" ref="P1196" r:id="rId4394"/>
    <hyperlink xmlns:r="http://schemas.openxmlformats.org/officeDocument/2006/relationships" ref="M1197" r:id="rId4395"/>
    <hyperlink xmlns:r="http://schemas.openxmlformats.org/officeDocument/2006/relationships" ref="N1197" r:id="rId4396"/>
    <hyperlink xmlns:r="http://schemas.openxmlformats.org/officeDocument/2006/relationships" ref="O1197" r:id="rId4397"/>
    <hyperlink xmlns:r="http://schemas.openxmlformats.org/officeDocument/2006/relationships" ref="P1197" r:id="rId4398"/>
    <hyperlink xmlns:r="http://schemas.openxmlformats.org/officeDocument/2006/relationships" ref="M1199" r:id="rId4399"/>
    <hyperlink xmlns:r="http://schemas.openxmlformats.org/officeDocument/2006/relationships" ref="N1199" r:id="rId4400"/>
    <hyperlink xmlns:r="http://schemas.openxmlformats.org/officeDocument/2006/relationships" ref="O1199" r:id="rId4401"/>
    <hyperlink xmlns:r="http://schemas.openxmlformats.org/officeDocument/2006/relationships" ref="P1199" r:id="rId4402"/>
    <hyperlink xmlns:r="http://schemas.openxmlformats.org/officeDocument/2006/relationships" ref="M1200" r:id="rId4403"/>
    <hyperlink xmlns:r="http://schemas.openxmlformats.org/officeDocument/2006/relationships" ref="N1200" r:id="rId4404"/>
    <hyperlink xmlns:r="http://schemas.openxmlformats.org/officeDocument/2006/relationships" ref="O1200" r:id="rId4405"/>
    <hyperlink xmlns:r="http://schemas.openxmlformats.org/officeDocument/2006/relationships" ref="P1200" r:id="rId4406"/>
    <hyperlink xmlns:r="http://schemas.openxmlformats.org/officeDocument/2006/relationships" ref="M1201" r:id="rId4407"/>
    <hyperlink xmlns:r="http://schemas.openxmlformats.org/officeDocument/2006/relationships" ref="N1201" r:id="rId4408"/>
    <hyperlink xmlns:r="http://schemas.openxmlformats.org/officeDocument/2006/relationships" ref="O1201" r:id="rId4409"/>
    <hyperlink xmlns:r="http://schemas.openxmlformats.org/officeDocument/2006/relationships" ref="P1201" r:id="rId4410"/>
    <hyperlink xmlns:r="http://schemas.openxmlformats.org/officeDocument/2006/relationships" ref="M1202" r:id="rId4411"/>
    <hyperlink xmlns:r="http://schemas.openxmlformats.org/officeDocument/2006/relationships" ref="N1202" r:id="rId4412"/>
    <hyperlink xmlns:r="http://schemas.openxmlformats.org/officeDocument/2006/relationships" ref="O1202" r:id="rId4413"/>
    <hyperlink xmlns:r="http://schemas.openxmlformats.org/officeDocument/2006/relationships" ref="P1202" r:id="rId4414"/>
    <hyperlink xmlns:r="http://schemas.openxmlformats.org/officeDocument/2006/relationships" ref="M1203" r:id="rId4415"/>
    <hyperlink xmlns:r="http://schemas.openxmlformats.org/officeDocument/2006/relationships" ref="N1203" r:id="rId4416"/>
    <hyperlink xmlns:r="http://schemas.openxmlformats.org/officeDocument/2006/relationships" ref="O1203" r:id="rId4417"/>
    <hyperlink xmlns:r="http://schemas.openxmlformats.org/officeDocument/2006/relationships" ref="P1203" r:id="rId4418"/>
    <hyperlink xmlns:r="http://schemas.openxmlformats.org/officeDocument/2006/relationships" ref="M1204" r:id="rId4419"/>
    <hyperlink xmlns:r="http://schemas.openxmlformats.org/officeDocument/2006/relationships" ref="N1204" r:id="rId4420"/>
    <hyperlink xmlns:r="http://schemas.openxmlformats.org/officeDocument/2006/relationships" ref="O1204" r:id="rId4421"/>
    <hyperlink xmlns:r="http://schemas.openxmlformats.org/officeDocument/2006/relationships" ref="P1204" r:id="rId4422"/>
    <hyperlink xmlns:r="http://schemas.openxmlformats.org/officeDocument/2006/relationships" ref="M1205" r:id="rId4423"/>
    <hyperlink xmlns:r="http://schemas.openxmlformats.org/officeDocument/2006/relationships" ref="N1205" r:id="rId4424"/>
    <hyperlink xmlns:r="http://schemas.openxmlformats.org/officeDocument/2006/relationships" ref="O1205" r:id="rId4425"/>
    <hyperlink xmlns:r="http://schemas.openxmlformats.org/officeDocument/2006/relationships" ref="P1205" r:id="rId4426"/>
    <hyperlink xmlns:r="http://schemas.openxmlformats.org/officeDocument/2006/relationships" ref="M1206" r:id="rId4427"/>
    <hyperlink xmlns:r="http://schemas.openxmlformats.org/officeDocument/2006/relationships" ref="N1206" r:id="rId4428"/>
    <hyperlink xmlns:r="http://schemas.openxmlformats.org/officeDocument/2006/relationships" ref="O1206" r:id="rId4429"/>
    <hyperlink xmlns:r="http://schemas.openxmlformats.org/officeDocument/2006/relationships" ref="P1206" r:id="rId4430"/>
    <hyperlink xmlns:r="http://schemas.openxmlformats.org/officeDocument/2006/relationships" ref="M1207" r:id="rId4431"/>
    <hyperlink xmlns:r="http://schemas.openxmlformats.org/officeDocument/2006/relationships" ref="N1207" r:id="rId4432"/>
    <hyperlink xmlns:r="http://schemas.openxmlformats.org/officeDocument/2006/relationships" ref="O1207" r:id="rId4433"/>
    <hyperlink xmlns:r="http://schemas.openxmlformats.org/officeDocument/2006/relationships" ref="P1207" r:id="rId4434"/>
    <hyperlink xmlns:r="http://schemas.openxmlformats.org/officeDocument/2006/relationships" ref="M1208" r:id="rId4435"/>
    <hyperlink xmlns:r="http://schemas.openxmlformats.org/officeDocument/2006/relationships" ref="N1208" r:id="rId4436"/>
    <hyperlink xmlns:r="http://schemas.openxmlformats.org/officeDocument/2006/relationships" ref="O1208" r:id="rId4437"/>
    <hyperlink xmlns:r="http://schemas.openxmlformats.org/officeDocument/2006/relationships" ref="P1208" r:id="rId4438"/>
    <hyperlink xmlns:r="http://schemas.openxmlformats.org/officeDocument/2006/relationships" ref="M1209" r:id="rId4439"/>
    <hyperlink xmlns:r="http://schemas.openxmlformats.org/officeDocument/2006/relationships" ref="N1209" r:id="rId4440"/>
    <hyperlink xmlns:r="http://schemas.openxmlformats.org/officeDocument/2006/relationships" ref="O1209" r:id="rId4441"/>
    <hyperlink xmlns:r="http://schemas.openxmlformats.org/officeDocument/2006/relationships" ref="P1209" r:id="rId4442"/>
    <hyperlink xmlns:r="http://schemas.openxmlformats.org/officeDocument/2006/relationships" ref="M1210" r:id="rId4443"/>
    <hyperlink xmlns:r="http://schemas.openxmlformats.org/officeDocument/2006/relationships" ref="N1210" r:id="rId4444"/>
    <hyperlink xmlns:r="http://schemas.openxmlformats.org/officeDocument/2006/relationships" ref="P1210" r:id="rId4445"/>
    <hyperlink xmlns:r="http://schemas.openxmlformats.org/officeDocument/2006/relationships" ref="M1211" r:id="rId4446"/>
    <hyperlink xmlns:r="http://schemas.openxmlformats.org/officeDocument/2006/relationships" ref="N1211" r:id="rId4447"/>
    <hyperlink xmlns:r="http://schemas.openxmlformats.org/officeDocument/2006/relationships" ref="P1211" r:id="rId4448"/>
    <hyperlink xmlns:r="http://schemas.openxmlformats.org/officeDocument/2006/relationships" ref="M1212" r:id="rId4449"/>
    <hyperlink xmlns:r="http://schemas.openxmlformats.org/officeDocument/2006/relationships" ref="N1212" r:id="rId4450"/>
    <hyperlink xmlns:r="http://schemas.openxmlformats.org/officeDocument/2006/relationships" ref="P1212" r:id="rId4451"/>
    <hyperlink xmlns:r="http://schemas.openxmlformats.org/officeDocument/2006/relationships" ref="M1213" r:id="rId4452"/>
    <hyperlink xmlns:r="http://schemas.openxmlformats.org/officeDocument/2006/relationships" ref="N1213" r:id="rId4453"/>
    <hyperlink xmlns:r="http://schemas.openxmlformats.org/officeDocument/2006/relationships" ref="O1213" r:id="rId4454"/>
    <hyperlink xmlns:r="http://schemas.openxmlformats.org/officeDocument/2006/relationships" ref="P1213" r:id="rId4455"/>
    <hyperlink xmlns:r="http://schemas.openxmlformats.org/officeDocument/2006/relationships" ref="M1214" r:id="rId4456"/>
    <hyperlink xmlns:r="http://schemas.openxmlformats.org/officeDocument/2006/relationships" ref="N1214" r:id="rId4457"/>
    <hyperlink xmlns:r="http://schemas.openxmlformats.org/officeDocument/2006/relationships" ref="O1214" r:id="rId4458"/>
    <hyperlink xmlns:r="http://schemas.openxmlformats.org/officeDocument/2006/relationships" ref="P1214" r:id="rId4459"/>
    <hyperlink xmlns:r="http://schemas.openxmlformats.org/officeDocument/2006/relationships" ref="M1215" r:id="rId4460"/>
    <hyperlink xmlns:r="http://schemas.openxmlformats.org/officeDocument/2006/relationships" ref="N1215" r:id="rId4461"/>
    <hyperlink xmlns:r="http://schemas.openxmlformats.org/officeDocument/2006/relationships" ref="P1215" r:id="rId4462"/>
    <hyperlink xmlns:r="http://schemas.openxmlformats.org/officeDocument/2006/relationships" ref="M1216" r:id="rId4463"/>
    <hyperlink xmlns:r="http://schemas.openxmlformats.org/officeDocument/2006/relationships" ref="N1216" r:id="rId4464"/>
    <hyperlink xmlns:r="http://schemas.openxmlformats.org/officeDocument/2006/relationships" ref="O1216" r:id="rId4465"/>
    <hyperlink xmlns:r="http://schemas.openxmlformats.org/officeDocument/2006/relationships" ref="P1216" r:id="rId4466"/>
    <hyperlink xmlns:r="http://schemas.openxmlformats.org/officeDocument/2006/relationships" ref="M1217" r:id="rId4467"/>
    <hyperlink xmlns:r="http://schemas.openxmlformats.org/officeDocument/2006/relationships" ref="N1217" r:id="rId4468"/>
    <hyperlink xmlns:r="http://schemas.openxmlformats.org/officeDocument/2006/relationships" ref="O1217" r:id="rId4469"/>
    <hyperlink xmlns:r="http://schemas.openxmlformats.org/officeDocument/2006/relationships" ref="P1217" r:id="rId4470"/>
    <hyperlink xmlns:r="http://schemas.openxmlformats.org/officeDocument/2006/relationships" ref="M1218" r:id="rId4471"/>
    <hyperlink xmlns:r="http://schemas.openxmlformats.org/officeDocument/2006/relationships" ref="N1218" r:id="rId4472"/>
    <hyperlink xmlns:r="http://schemas.openxmlformats.org/officeDocument/2006/relationships" ref="O1218" r:id="rId4473"/>
    <hyperlink xmlns:r="http://schemas.openxmlformats.org/officeDocument/2006/relationships" ref="P1218" r:id="rId4474"/>
    <hyperlink xmlns:r="http://schemas.openxmlformats.org/officeDocument/2006/relationships" ref="M1219" r:id="rId4475"/>
    <hyperlink xmlns:r="http://schemas.openxmlformats.org/officeDocument/2006/relationships" ref="N1219" r:id="rId4476"/>
    <hyperlink xmlns:r="http://schemas.openxmlformats.org/officeDocument/2006/relationships" ref="P1219" r:id="rId4477"/>
    <hyperlink xmlns:r="http://schemas.openxmlformats.org/officeDocument/2006/relationships" ref="M1220" r:id="rId4478"/>
    <hyperlink xmlns:r="http://schemas.openxmlformats.org/officeDocument/2006/relationships" ref="N1220" r:id="rId4479"/>
    <hyperlink xmlns:r="http://schemas.openxmlformats.org/officeDocument/2006/relationships" ref="O1220" r:id="rId4480"/>
    <hyperlink xmlns:r="http://schemas.openxmlformats.org/officeDocument/2006/relationships" ref="P1220" r:id="rId4481"/>
    <hyperlink xmlns:r="http://schemas.openxmlformats.org/officeDocument/2006/relationships" ref="M1221" r:id="rId4482"/>
    <hyperlink xmlns:r="http://schemas.openxmlformats.org/officeDocument/2006/relationships" ref="N1221" r:id="rId4483"/>
    <hyperlink xmlns:r="http://schemas.openxmlformats.org/officeDocument/2006/relationships" ref="O1221" r:id="rId4484"/>
    <hyperlink xmlns:r="http://schemas.openxmlformats.org/officeDocument/2006/relationships" ref="P1221" r:id="rId4485"/>
    <hyperlink xmlns:r="http://schemas.openxmlformats.org/officeDocument/2006/relationships" ref="M1222" r:id="rId4486"/>
    <hyperlink xmlns:r="http://schemas.openxmlformats.org/officeDocument/2006/relationships" ref="N1222" r:id="rId4487"/>
    <hyperlink xmlns:r="http://schemas.openxmlformats.org/officeDocument/2006/relationships" ref="O1222" r:id="rId4488"/>
    <hyperlink xmlns:r="http://schemas.openxmlformats.org/officeDocument/2006/relationships" ref="P1222" r:id="rId4489"/>
    <hyperlink xmlns:r="http://schemas.openxmlformats.org/officeDocument/2006/relationships" ref="M1223" r:id="rId4490"/>
    <hyperlink xmlns:r="http://schemas.openxmlformats.org/officeDocument/2006/relationships" ref="N1223" r:id="rId4491"/>
    <hyperlink xmlns:r="http://schemas.openxmlformats.org/officeDocument/2006/relationships" ref="O1223" r:id="rId4492"/>
    <hyperlink xmlns:r="http://schemas.openxmlformats.org/officeDocument/2006/relationships" ref="P1223" r:id="rId4493"/>
    <hyperlink xmlns:r="http://schemas.openxmlformats.org/officeDocument/2006/relationships" ref="M1224" r:id="rId4494"/>
    <hyperlink xmlns:r="http://schemas.openxmlformats.org/officeDocument/2006/relationships" ref="N1224" r:id="rId4495"/>
    <hyperlink xmlns:r="http://schemas.openxmlformats.org/officeDocument/2006/relationships" ref="P1224" r:id="rId4496"/>
    <hyperlink xmlns:r="http://schemas.openxmlformats.org/officeDocument/2006/relationships" ref="M1225" r:id="rId4497"/>
    <hyperlink xmlns:r="http://schemas.openxmlformats.org/officeDocument/2006/relationships" ref="N1225" r:id="rId4498"/>
    <hyperlink xmlns:r="http://schemas.openxmlformats.org/officeDocument/2006/relationships" ref="O1225" r:id="rId4499"/>
    <hyperlink xmlns:r="http://schemas.openxmlformats.org/officeDocument/2006/relationships" ref="P1225" r:id="rId4500"/>
    <hyperlink xmlns:r="http://schemas.openxmlformats.org/officeDocument/2006/relationships" ref="M1226" r:id="rId4501"/>
    <hyperlink xmlns:r="http://schemas.openxmlformats.org/officeDocument/2006/relationships" ref="N1226" r:id="rId4502"/>
    <hyperlink xmlns:r="http://schemas.openxmlformats.org/officeDocument/2006/relationships" ref="O1226" r:id="rId4503"/>
    <hyperlink xmlns:r="http://schemas.openxmlformats.org/officeDocument/2006/relationships" ref="P1226" r:id="rId4504"/>
    <hyperlink xmlns:r="http://schemas.openxmlformats.org/officeDocument/2006/relationships" ref="M1227" r:id="rId4505"/>
    <hyperlink xmlns:r="http://schemas.openxmlformats.org/officeDocument/2006/relationships" ref="N1227" r:id="rId4506"/>
    <hyperlink xmlns:r="http://schemas.openxmlformats.org/officeDocument/2006/relationships" ref="O1227" r:id="rId4507"/>
    <hyperlink xmlns:r="http://schemas.openxmlformats.org/officeDocument/2006/relationships" ref="P1227" r:id="rId4508"/>
    <hyperlink xmlns:r="http://schemas.openxmlformats.org/officeDocument/2006/relationships" ref="M1228" r:id="rId4509"/>
    <hyperlink xmlns:r="http://schemas.openxmlformats.org/officeDocument/2006/relationships" ref="N1228" r:id="rId4510"/>
    <hyperlink xmlns:r="http://schemas.openxmlformats.org/officeDocument/2006/relationships" ref="O1228" r:id="rId4511"/>
    <hyperlink xmlns:r="http://schemas.openxmlformats.org/officeDocument/2006/relationships" ref="P1228" r:id="rId4512"/>
    <hyperlink xmlns:r="http://schemas.openxmlformats.org/officeDocument/2006/relationships" ref="M1229" r:id="rId4513"/>
    <hyperlink xmlns:r="http://schemas.openxmlformats.org/officeDocument/2006/relationships" ref="N1229" r:id="rId4514"/>
    <hyperlink xmlns:r="http://schemas.openxmlformats.org/officeDocument/2006/relationships" ref="P1229" r:id="rId4515"/>
    <hyperlink xmlns:r="http://schemas.openxmlformats.org/officeDocument/2006/relationships" ref="M1230" r:id="rId4516"/>
    <hyperlink xmlns:r="http://schemas.openxmlformats.org/officeDocument/2006/relationships" ref="N1230" r:id="rId4517"/>
    <hyperlink xmlns:r="http://schemas.openxmlformats.org/officeDocument/2006/relationships" ref="O1230" r:id="rId4518"/>
    <hyperlink xmlns:r="http://schemas.openxmlformats.org/officeDocument/2006/relationships" ref="P1230" r:id="rId4519"/>
    <hyperlink xmlns:r="http://schemas.openxmlformats.org/officeDocument/2006/relationships" ref="M1231" r:id="rId4520"/>
    <hyperlink xmlns:r="http://schemas.openxmlformats.org/officeDocument/2006/relationships" ref="N1231" r:id="rId4521"/>
    <hyperlink xmlns:r="http://schemas.openxmlformats.org/officeDocument/2006/relationships" ref="O1231" r:id="rId4522"/>
    <hyperlink xmlns:r="http://schemas.openxmlformats.org/officeDocument/2006/relationships" ref="P1231" r:id="rId4523"/>
    <hyperlink xmlns:r="http://schemas.openxmlformats.org/officeDocument/2006/relationships" ref="M1232" r:id="rId4524"/>
    <hyperlink xmlns:r="http://schemas.openxmlformats.org/officeDocument/2006/relationships" ref="N1232" r:id="rId4525"/>
    <hyperlink xmlns:r="http://schemas.openxmlformats.org/officeDocument/2006/relationships" ref="P1232" r:id="rId4526"/>
    <hyperlink xmlns:r="http://schemas.openxmlformats.org/officeDocument/2006/relationships" ref="M1233" r:id="rId4527"/>
    <hyperlink xmlns:r="http://schemas.openxmlformats.org/officeDocument/2006/relationships" ref="N1233" r:id="rId4528"/>
    <hyperlink xmlns:r="http://schemas.openxmlformats.org/officeDocument/2006/relationships" ref="O1233" r:id="rId4529"/>
    <hyperlink xmlns:r="http://schemas.openxmlformats.org/officeDocument/2006/relationships" ref="P1233" r:id="rId4530"/>
    <hyperlink xmlns:r="http://schemas.openxmlformats.org/officeDocument/2006/relationships" ref="M1234" r:id="rId4531"/>
    <hyperlink xmlns:r="http://schemas.openxmlformats.org/officeDocument/2006/relationships" ref="N1234" r:id="rId4532"/>
    <hyperlink xmlns:r="http://schemas.openxmlformats.org/officeDocument/2006/relationships" ref="P1234" r:id="rId4533"/>
    <hyperlink xmlns:r="http://schemas.openxmlformats.org/officeDocument/2006/relationships" ref="M1235" r:id="rId4534"/>
    <hyperlink xmlns:r="http://schemas.openxmlformats.org/officeDocument/2006/relationships" ref="N1235" r:id="rId4535"/>
    <hyperlink xmlns:r="http://schemas.openxmlformats.org/officeDocument/2006/relationships" ref="O1235" r:id="rId4536"/>
    <hyperlink xmlns:r="http://schemas.openxmlformats.org/officeDocument/2006/relationships" ref="P1235" r:id="rId4537"/>
    <hyperlink xmlns:r="http://schemas.openxmlformats.org/officeDocument/2006/relationships" ref="M1236" r:id="rId4538"/>
    <hyperlink xmlns:r="http://schemas.openxmlformats.org/officeDocument/2006/relationships" ref="N1236" r:id="rId4539"/>
    <hyperlink xmlns:r="http://schemas.openxmlformats.org/officeDocument/2006/relationships" ref="P1236" r:id="rId4540"/>
    <hyperlink xmlns:r="http://schemas.openxmlformats.org/officeDocument/2006/relationships" ref="M1237" r:id="rId4541"/>
    <hyperlink xmlns:r="http://schemas.openxmlformats.org/officeDocument/2006/relationships" ref="N1237" r:id="rId4542"/>
    <hyperlink xmlns:r="http://schemas.openxmlformats.org/officeDocument/2006/relationships" ref="P1237" r:id="rId4543"/>
    <hyperlink xmlns:r="http://schemas.openxmlformats.org/officeDocument/2006/relationships" ref="M1238" r:id="rId4544"/>
    <hyperlink xmlns:r="http://schemas.openxmlformats.org/officeDocument/2006/relationships" ref="N1238" r:id="rId4545"/>
    <hyperlink xmlns:r="http://schemas.openxmlformats.org/officeDocument/2006/relationships" ref="O1238" r:id="rId4546"/>
    <hyperlink xmlns:r="http://schemas.openxmlformats.org/officeDocument/2006/relationships" ref="P1238" r:id="rId4547"/>
    <hyperlink xmlns:r="http://schemas.openxmlformats.org/officeDocument/2006/relationships" ref="M1239" r:id="rId4548"/>
    <hyperlink xmlns:r="http://schemas.openxmlformats.org/officeDocument/2006/relationships" ref="N1239" r:id="rId4549"/>
    <hyperlink xmlns:r="http://schemas.openxmlformats.org/officeDocument/2006/relationships" ref="O1239" r:id="rId4550"/>
    <hyperlink xmlns:r="http://schemas.openxmlformats.org/officeDocument/2006/relationships" ref="P1239" r:id="rId4551"/>
    <hyperlink xmlns:r="http://schemas.openxmlformats.org/officeDocument/2006/relationships" ref="M1240" r:id="rId4552"/>
    <hyperlink xmlns:r="http://schemas.openxmlformats.org/officeDocument/2006/relationships" ref="N1240" r:id="rId4553"/>
    <hyperlink xmlns:r="http://schemas.openxmlformats.org/officeDocument/2006/relationships" ref="P1240" r:id="rId4554"/>
    <hyperlink xmlns:r="http://schemas.openxmlformats.org/officeDocument/2006/relationships" ref="M1241" r:id="rId4555"/>
    <hyperlink xmlns:r="http://schemas.openxmlformats.org/officeDocument/2006/relationships" ref="N1241" r:id="rId4556"/>
    <hyperlink xmlns:r="http://schemas.openxmlformats.org/officeDocument/2006/relationships" ref="O1241" r:id="rId4557"/>
    <hyperlink xmlns:r="http://schemas.openxmlformats.org/officeDocument/2006/relationships" ref="P1241" r:id="rId4558"/>
    <hyperlink xmlns:r="http://schemas.openxmlformats.org/officeDocument/2006/relationships" ref="M1242" r:id="rId4559"/>
    <hyperlink xmlns:r="http://schemas.openxmlformats.org/officeDocument/2006/relationships" ref="N1242" r:id="rId4560"/>
    <hyperlink xmlns:r="http://schemas.openxmlformats.org/officeDocument/2006/relationships" ref="O1242" r:id="rId4561"/>
    <hyperlink xmlns:r="http://schemas.openxmlformats.org/officeDocument/2006/relationships" ref="P1242" r:id="rId4562"/>
    <hyperlink xmlns:r="http://schemas.openxmlformats.org/officeDocument/2006/relationships" ref="M1243" r:id="rId4563"/>
    <hyperlink xmlns:r="http://schemas.openxmlformats.org/officeDocument/2006/relationships" ref="N1243" r:id="rId4564"/>
    <hyperlink xmlns:r="http://schemas.openxmlformats.org/officeDocument/2006/relationships" ref="O1243" r:id="rId4565"/>
    <hyperlink xmlns:r="http://schemas.openxmlformats.org/officeDocument/2006/relationships" ref="P1243" r:id="rId4566"/>
    <hyperlink xmlns:r="http://schemas.openxmlformats.org/officeDocument/2006/relationships" ref="M1244" r:id="rId4567"/>
    <hyperlink xmlns:r="http://schemas.openxmlformats.org/officeDocument/2006/relationships" ref="N1244" r:id="rId4568"/>
    <hyperlink xmlns:r="http://schemas.openxmlformats.org/officeDocument/2006/relationships" ref="O1244" r:id="rId4569"/>
    <hyperlink xmlns:r="http://schemas.openxmlformats.org/officeDocument/2006/relationships" ref="P1244" r:id="rId4570"/>
    <hyperlink xmlns:r="http://schemas.openxmlformats.org/officeDocument/2006/relationships" ref="M1245" r:id="rId4571"/>
    <hyperlink xmlns:r="http://schemas.openxmlformats.org/officeDocument/2006/relationships" ref="N1245" r:id="rId4572"/>
    <hyperlink xmlns:r="http://schemas.openxmlformats.org/officeDocument/2006/relationships" ref="O1245" r:id="rId4573"/>
    <hyperlink xmlns:r="http://schemas.openxmlformats.org/officeDocument/2006/relationships" ref="P1245" r:id="rId4574"/>
    <hyperlink xmlns:r="http://schemas.openxmlformats.org/officeDocument/2006/relationships" ref="M1246" r:id="rId4575"/>
    <hyperlink xmlns:r="http://schemas.openxmlformats.org/officeDocument/2006/relationships" ref="N1246" r:id="rId4576"/>
    <hyperlink xmlns:r="http://schemas.openxmlformats.org/officeDocument/2006/relationships" ref="O1246" r:id="rId4577"/>
    <hyperlink xmlns:r="http://schemas.openxmlformats.org/officeDocument/2006/relationships" ref="P1246" r:id="rId4578"/>
    <hyperlink xmlns:r="http://schemas.openxmlformats.org/officeDocument/2006/relationships" ref="M1247" r:id="rId4579"/>
    <hyperlink xmlns:r="http://schemas.openxmlformats.org/officeDocument/2006/relationships" ref="N1247" r:id="rId4580"/>
    <hyperlink xmlns:r="http://schemas.openxmlformats.org/officeDocument/2006/relationships" ref="P1247" r:id="rId4581"/>
    <hyperlink xmlns:r="http://schemas.openxmlformats.org/officeDocument/2006/relationships" ref="M1248" r:id="rId4582"/>
    <hyperlink xmlns:r="http://schemas.openxmlformats.org/officeDocument/2006/relationships" ref="N1248" r:id="rId4583"/>
    <hyperlink xmlns:r="http://schemas.openxmlformats.org/officeDocument/2006/relationships" ref="O1248" r:id="rId4584"/>
    <hyperlink xmlns:r="http://schemas.openxmlformats.org/officeDocument/2006/relationships" ref="P1248" r:id="rId4585"/>
    <hyperlink xmlns:r="http://schemas.openxmlformats.org/officeDocument/2006/relationships" ref="M1249" r:id="rId4586"/>
    <hyperlink xmlns:r="http://schemas.openxmlformats.org/officeDocument/2006/relationships" ref="N1249" r:id="rId4587"/>
    <hyperlink xmlns:r="http://schemas.openxmlformats.org/officeDocument/2006/relationships" ref="O1249" r:id="rId4588"/>
    <hyperlink xmlns:r="http://schemas.openxmlformats.org/officeDocument/2006/relationships" ref="P1249" r:id="rId4589"/>
    <hyperlink xmlns:r="http://schemas.openxmlformats.org/officeDocument/2006/relationships" ref="M1250" r:id="rId4590"/>
    <hyperlink xmlns:r="http://schemas.openxmlformats.org/officeDocument/2006/relationships" ref="N1250" r:id="rId4591"/>
    <hyperlink xmlns:r="http://schemas.openxmlformats.org/officeDocument/2006/relationships" ref="P1250" r:id="rId4592"/>
    <hyperlink xmlns:r="http://schemas.openxmlformats.org/officeDocument/2006/relationships" ref="M1251" r:id="rId4593"/>
    <hyperlink xmlns:r="http://schemas.openxmlformats.org/officeDocument/2006/relationships" ref="N1251" r:id="rId4594"/>
    <hyperlink xmlns:r="http://schemas.openxmlformats.org/officeDocument/2006/relationships" ref="O1251" r:id="rId4595"/>
    <hyperlink xmlns:r="http://schemas.openxmlformats.org/officeDocument/2006/relationships" ref="P1251" r:id="rId4596"/>
    <hyperlink xmlns:r="http://schemas.openxmlformats.org/officeDocument/2006/relationships" ref="M1252" r:id="rId4597"/>
    <hyperlink xmlns:r="http://schemas.openxmlformats.org/officeDocument/2006/relationships" ref="N1252" r:id="rId4598"/>
    <hyperlink xmlns:r="http://schemas.openxmlformats.org/officeDocument/2006/relationships" ref="O1252" r:id="rId4599"/>
    <hyperlink xmlns:r="http://schemas.openxmlformats.org/officeDocument/2006/relationships" ref="P1252" r:id="rId4600"/>
    <hyperlink xmlns:r="http://schemas.openxmlformats.org/officeDocument/2006/relationships" ref="M1253" r:id="rId4601"/>
    <hyperlink xmlns:r="http://schemas.openxmlformats.org/officeDocument/2006/relationships" ref="N1253" r:id="rId4602"/>
    <hyperlink xmlns:r="http://schemas.openxmlformats.org/officeDocument/2006/relationships" ref="O1253" r:id="rId4603"/>
    <hyperlink xmlns:r="http://schemas.openxmlformats.org/officeDocument/2006/relationships" ref="P1253" r:id="rId4604"/>
    <hyperlink xmlns:r="http://schemas.openxmlformats.org/officeDocument/2006/relationships" ref="P1254" r:id="rId4605"/>
    <hyperlink xmlns:r="http://schemas.openxmlformats.org/officeDocument/2006/relationships" ref="M1255" r:id="rId4606"/>
    <hyperlink xmlns:r="http://schemas.openxmlformats.org/officeDocument/2006/relationships" ref="N1255" r:id="rId4607"/>
    <hyperlink xmlns:r="http://schemas.openxmlformats.org/officeDocument/2006/relationships" ref="O1255" r:id="rId4608"/>
    <hyperlink xmlns:r="http://schemas.openxmlformats.org/officeDocument/2006/relationships" ref="P1255" r:id="rId4609"/>
    <hyperlink xmlns:r="http://schemas.openxmlformats.org/officeDocument/2006/relationships" ref="M1256" r:id="rId4610"/>
    <hyperlink xmlns:r="http://schemas.openxmlformats.org/officeDocument/2006/relationships" ref="P1256" r:id="rId46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9"/>
  <sheetViews>
    <sheetView workbookViewId="0">
      <pane xSplit="1" ySplit="19" topLeftCell="B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2" customWidth="1" min="2" max="2"/>
    <col width="8" customWidth="1" min="3" max="3"/>
    <col width="34" customWidth="1" min="4" max="4"/>
    <col width="20" customWidth="1" min="5" max="5"/>
    <col width="18" customWidth="1" min="6" max="6"/>
    <col width="18" customWidth="1" min="7" max="7"/>
    <col width="16" customWidth="1" min="8" max="8"/>
    <col width="16" customWidth="1" min="9" max="9"/>
    <col width="14" customWidth="1" min="10" max="10"/>
  </cols>
  <sheetData>
    <row r="1">
      <c r="A1" s="5" t="inlineStr">
        <is>
          <t>Modèle B : abonnement territorial, chiffre d’affaires par communauté de communes</t>
        </is>
      </c>
    </row>
    <row r="2">
      <c r="A2" s="6" t="inlineStr">
        <is>
          <t>Abonnement annuel HT = socle + prix par habitant × population, plafonné. Modifiez les cases jaunes : tout se recalcule.</t>
        </is>
      </c>
    </row>
    <row r="4">
      <c r="A4" s="7" t="inlineStr">
        <is>
          <t>Socle annuel HT</t>
        </is>
      </c>
      <c r="B4" s="8" t="n">
        <v>10000</v>
      </c>
      <c r="D4" s="7" t="inlineStr">
        <is>
          <t>Si toutes les CC signaient</t>
        </is>
      </c>
      <c r="G4" s="7" t="inlineStr">
        <is>
          <t>Selon la part des CC clientes</t>
        </is>
      </c>
    </row>
    <row r="5">
      <c r="A5" s="7" t="inlineStr">
        <is>
          <t>Prix par habitant HT</t>
        </is>
      </c>
      <c r="B5" s="9" t="n">
        <v>0.2</v>
      </c>
      <c r="D5" t="inlineStr">
        <is>
          <t>Communautés de communes</t>
        </is>
      </c>
      <c r="E5" s="10">
        <f>COUNTA(A20:A1008)</f>
        <v/>
      </c>
      <c r="G5" s="7" t="inlineStr">
        <is>
          <t>Part des CC</t>
        </is>
      </c>
      <c r="H5" s="7" t="inlineStr">
        <is>
          <t>CC clientes</t>
        </is>
      </c>
      <c r="I5" s="7" t="inlineStr">
        <is>
          <t>Abonnements / an</t>
        </is>
      </c>
    </row>
    <row r="6">
      <c r="A6" s="7" t="inlineStr">
        <is>
          <t>Plafond annuel HT</t>
        </is>
      </c>
      <c r="B6" s="8" t="n">
        <v>59000</v>
      </c>
      <c r="D6" t="inlineStr">
        <is>
          <t>Abonnements annuels récurrents</t>
        </is>
      </c>
      <c r="E6" s="11">
        <f>SUM(E20:E1008)</f>
        <v/>
      </c>
      <c r="G6" s="12" t="n">
        <v>0.01</v>
      </c>
      <c r="H6" s="3">
        <f>ROUND(G6*$E$5,0)</f>
        <v/>
      </c>
      <c r="I6" s="13">
        <f>G6*$E$6</f>
        <v/>
      </c>
    </row>
    <row r="7">
      <c r="A7" s="7" t="inlineStr">
        <is>
          <t>Mise en service HT (1re année)</t>
        </is>
      </c>
      <c r="B7" s="8" t="n">
        <v>5000</v>
      </c>
      <c r="D7" t="inlineStr">
        <is>
          <t>Mises en service</t>
        </is>
      </c>
      <c r="E7" s="11">
        <f>SUM(F20:F1008)</f>
        <v/>
      </c>
      <c r="G7" s="12" t="n">
        <v>0.05</v>
      </c>
      <c r="H7" s="3">
        <f>ROUND(G7*$E$5,0)</f>
        <v/>
      </c>
      <c r="I7" s="13">
        <f>G7*$E$6</f>
        <v/>
      </c>
    </row>
    <row r="8">
      <c r="A8" s="7" t="inlineStr">
        <is>
          <t>Seuil de dispense de procédure HT</t>
        </is>
      </c>
      <c r="B8" s="8" t="n">
        <v>60000</v>
      </c>
      <c r="D8" t="inlineStr">
        <is>
          <t>Chiffre d’affaires de la 1re année</t>
        </is>
      </c>
      <c r="E8" s="11">
        <f>SUM(G20:G1008)</f>
        <v/>
      </c>
      <c r="G8" s="12" t="n">
        <v>0.1</v>
      </c>
      <c r="H8" s="3">
        <f>ROUND(G8*$E$5,0)</f>
        <v/>
      </c>
      <c r="I8" s="13">
        <f>G8*$E$6</f>
        <v/>
      </c>
    </row>
    <row r="9">
      <c r="D9" t="inlineStr">
        <is>
          <t>Chiffre d’affaires sur 3 ans</t>
        </is>
      </c>
      <c r="E9" s="11">
        <f>SUM(H20:H1008)</f>
        <v/>
      </c>
      <c r="G9" s="12" t="n">
        <v>0.2</v>
      </c>
      <c r="H9" s="3">
        <f>ROUND(G9*$E$5,0)</f>
        <v/>
      </c>
      <c r="I9" s="13">
        <f>G9*$E$6</f>
        <v/>
      </c>
    </row>
    <row r="10">
      <c r="D10" t="inlineStr">
        <is>
          <t>Abonnement moyen par CC</t>
        </is>
      </c>
      <c r="E10" s="11">
        <f>AVERAGE(E20:E1008)</f>
        <v/>
      </c>
      <c r="G10" s="12" t="n">
        <v>0.3</v>
      </c>
      <c r="H10" s="3">
        <f>ROUND(G10*$E$5,0)</f>
        <v/>
      </c>
      <c r="I10" s="13">
        <f>G10*$E$6</f>
        <v/>
      </c>
    </row>
    <row r="11">
      <c r="D11" t="inlineStr">
        <is>
          <t>CC au-dessus du seuil sur 3 ans</t>
        </is>
      </c>
      <c r="E11" s="10">
        <f>COUNTIF(I20:I1008,"Oui")</f>
        <v/>
      </c>
      <c r="G11" s="12" t="n">
        <v>0.5</v>
      </c>
      <c r="H11" s="3">
        <f>ROUND(G11*$E$5,0)</f>
        <v/>
      </c>
      <c r="I11" s="13">
        <f>G11*$E$6</f>
        <v/>
      </c>
    </row>
    <row r="13">
      <c r="G13" s="6" t="inlineStr">
        <is>
          <t>Moyenne : chaque CC cliente rapporte en moyenne l’abonnement moyen ci-contre.</t>
        </is>
      </c>
    </row>
    <row r="19" ht="32" customHeight="1">
      <c r="A19" s="1" t="inlineStr">
        <is>
          <t>Communauté de communes</t>
        </is>
      </c>
      <c r="B19" s="1" t="inlineStr">
        <is>
          <t>Département</t>
        </is>
      </c>
      <c r="C19" s="1" t="inlineStr">
        <is>
          <t>Code</t>
        </is>
      </c>
      <c r="D19" s="1" t="inlineStr">
        <is>
          <t>Population</t>
        </is>
      </c>
      <c r="E19" s="1" t="inlineStr">
        <is>
          <t>Abonnement annuel HT</t>
        </is>
      </c>
      <c r="F19" s="1" t="inlineStr">
        <is>
          <t>Mise en service HT</t>
        </is>
      </c>
      <c r="G19" s="1" t="inlineStr">
        <is>
          <t>Total 1re année HT</t>
        </is>
      </c>
      <c r="H19" s="1" t="inlineStr">
        <is>
          <t>Total 3 ans HT</t>
        </is>
      </c>
      <c r="I19" s="1" t="inlineStr">
        <is>
          <t>Au-dessus du seuil sur 3 ans</t>
        </is>
      </c>
      <c r="J19" s="1" t="inlineStr">
        <is>
          <t>Coût par habitant / an</t>
        </is>
      </c>
    </row>
    <row r="20">
      <c r="A20" t="inlineStr">
        <is>
          <t>CC Bresse et Saône</t>
        </is>
      </c>
      <c r="B20" t="inlineStr">
        <is>
          <t>Ain</t>
        </is>
      </c>
      <c r="C20" t="inlineStr">
        <is>
          <t>01</t>
        </is>
      </c>
      <c r="D20" s="3" t="n">
        <v>25700</v>
      </c>
      <c r="E20" s="13">
        <f>MIN($B$4+$B$5*D20,$B$6)</f>
        <v/>
      </c>
      <c r="F20" s="13">
        <f>$B$7</f>
        <v/>
      </c>
      <c r="G20" s="13">
        <f>E20+F20</f>
        <v/>
      </c>
      <c r="H20" s="13">
        <f>3*E20+F20</f>
        <v/>
      </c>
      <c r="I20">
        <f>IF(H20&gt;$B$8,"Oui","Non")</f>
        <v/>
      </c>
      <c r="J20" s="14">
        <f>IF(D20&gt;0,E20/D20,"")</f>
        <v/>
      </c>
    </row>
    <row r="21">
      <c r="A21" s="15" t="inlineStr">
        <is>
          <t>CC Bugey Sud</t>
        </is>
      </c>
      <c r="B21" s="15" t="inlineStr">
        <is>
          <t>Ain</t>
        </is>
      </c>
      <c r="C21" s="15" t="inlineStr">
        <is>
          <t>01</t>
        </is>
      </c>
      <c r="D21" s="16" t="n">
        <v>34086</v>
      </c>
      <c r="E21" s="17">
        <f>MIN($B$4+$B$5*D21,$B$6)</f>
        <v/>
      </c>
      <c r="F21" s="17">
        <f>$B$7</f>
        <v/>
      </c>
      <c r="G21" s="17">
        <f>E21+F21</f>
        <v/>
      </c>
      <c r="H21" s="17">
        <f>3*E21+F21</f>
        <v/>
      </c>
      <c r="I21" s="15">
        <f>IF(H21&gt;$B$8,"Oui","Non")</f>
        <v/>
      </c>
      <c r="J21" s="18">
        <f>IF(D21&gt;0,E21/D21,"")</f>
        <v/>
      </c>
    </row>
    <row r="22">
      <c r="A22" t="inlineStr">
        <is>
          <t>CC Dombes Saône Vallée</t>
        </is>
      </c>
      <c r="B22" t="inlineStr">
        <is>
          <t>Ain</t>
        </is>
      </c>
      <c r="C22" t="inlineStr">
        <is>
          <t>01</t>
        </is>
      </c>
      <c r="D22" s="3" t="n">
        <v>40893</v>
      </c>
      <c r="E22" s="13">
        <f>MIN($B$4+$B$5*D22,$B$6)</f>
        <v/>
      </c>
      <c r="F22" s="13">
        <f>$B$7</f>
        <v/>
      </c>
      <c r="G22" s="13">
        <f>E22+F22</f>
        <v/>
      </c>
      <c r="H22" s="13">
        <f>3*E22+F22</f>
        <v/>
      </c>
      <c r="I22">
        <f>IF(H22&gt;$B$8,"Oui","Non")</f>
        <v/>
      </c>
      <c r="J22" s="14">
        <f>IF(D22&gt;0,E22/D22,"")</f>
        <v/>
      </c>
    </row>
    <row r="23">
      <c r="A23" s="15" t="inlineStr">
        <is>
          <t>CC Rives de l'Ain - Pays du Cerdon</t>
        </is>
      </c>
      <c r="B23" s="15" t="inlineStr">
        <is>
          <t>Ain</t>
        </is>
      </c>
      <c r="C23" s="15" t="inlineStr">
        <is>
          <t>01</t>
        </is>
      </c>
      <c r="D23" s="16" t="n">
        <v>14873</v>
      </c>
      <c r="E23" s="17">
        <f>MIN($B$4+$B$5*D23,$B$6)</f>
        <v/>
      </c>
      <c r="F23" s="17">
        <f>$B$7</f>
        <v/>
      </c>
      <c r="G23" s="17">
        <f>E23+F23</f>
        <v/>
      </c>
      <c r="H23" s="17">
        <f>3*E23+F23</f>
        <v/>
      </c>
      <c r="I23" s="15">
        <f>IF(H23&gt;$B$8,"Oui","Non")</f>
        <v/>
      </c>
      <c r="J23" s="18">
        <f>IF(D23&gt;0,E23/D23,"")</f>
        <v/>
      </c>
    </row>
    <row r="24">
      <c r="A24" t="inlineStr">
        <is>
          <t>CC Terre Valserhône (CCTV)</t>
        </is>
      </c>
      <c r="B24" t="inlineStr">
        <is>
          <t>Ain</t>
        </is>
      </c>
      <c r="C24" t="inlineStr">
        <is>
          <t>01</t>
        </is>
      </c>
      <c r="D24" s="3" t="n">
        <v>21657</v>
      </c>
      <c r="E24" s="13">
        <f>MIN($B$4+$B$5*D24,$B$6)</f>
        <v/>
      </c>
      <c r="F24" s="13">
        <f>$B$7</f>
        <v/>
      </c>
      <c r="G24" s="13">
        <f>E24+F24</f>
        <v/>
      </c>
      <c r="H24" s="13">
        <f>3*E24+F24</f>
        <v/>
      </c>
      <c r="I24">
        <f>IF(H24&gt;$B$8,"Oui","Non")</f>
        <v/>
      </c>
      <c r="J24" s="14">
        <f>IF(D24&gt;0,E24/D24,"")</f>
        <v/>
      </c>
    </row>
    <row r="25">
      <c r="A25" s="15" t="inlineStr">
        <is>
          <t>CC Usses et Rhône</t>
        </is>
      </c>
      <c r="B25" s="15" t="inlineStr">
        <is>
          <t>Ain, Haute-Savoie</t>
        </is>
      </c>
      <c r="C25" s="15" t="inlineStr">
        <is>
          <t>01, 74</t>
        </is>
      </c>
      <c r="D25" s="16" t="n">
        <v>21475</v>
      </c>
      <c r="E25" s="17">
        <f>MIN($B$4+$B$5*D25,$B$6)</f>
        <v/>
      </c>
      <c r="F25" s="17">
        <f>$B$7</f>
        <v/>
      </c>
      <c r="G25" s="17">
        <f>E25+F25</f>
        <v/>
      </c>
      <c r="H25" s="17">
        <f>3*E25+F25</f>
        <v/>
      </c>
      <c r="I25" s="15">
        <f>IF(H25&gt;$B$8,"Oui","Non")</f>
        <v/>
      </c>
      <c r="J25" s="18">
        <f>IF(D25&gt;0,E25/D25,"")</f>
        <v/>
      </c>
    </row>
    <row r="26">
      <c r="A26" t="inlineStr">
        <is>
          <t>CC Val de Saône Centre</t>
        </is>
      </c>
      <c r="B26" t="inlineStr">
        <is>
          <t>Ain</t>
        </is>
      </c>
      <c r="C26" t="inlineStr">
        <is>
          <t>01</t>
        </is>
      </c>
      <c r="D26" s="3" t="n">
        <v>21022</v>
      </c>
      <c r="E26" s="13">
        <f>MIN($B$4+$B$5*D26,$B$6)</f>
        <v/>
      </c>
      <c r="F26" s="13">
        <f>$B$7</f>
        <v/>
      </c>
      <c r="G26" s="13">
        <f>E26+F26</f>
        <v/>
      </c>
      <c r="H26" s="13">
        <f>3*E26+F26</f>
        <v/>
      </c>
      <c r="I26">
        <f>IF(H26&gt;$B$8,"Oui","Non")</f>
        <v/>
      </c>
      <c r="J26" s="14">
        <f>IF(D26&gt;0,E26/D26,"")</f>
        <v/>
      </c>
    </row>
    <row r="27">
      <c r="A27" s="15" t="inlineStr">
        <is>
          <t>CC de Miribel et du Plateau</t>
        </is>
      </c>
      <c r="B27" s="15" t="inlineStr">
        <is>
          <t>Ain</t>
        </is>
      </c>
      <c r="C27" s="15" t="inlineStr">
        <is>
          <t>01</t>
        </is>
      </c>
      <c r="D27" s="16" t="n">
        <v>25161</v>
      </c>
      <c r="E27" s="17">
        <f>MIN($B$4+$B$5*D27,$B$6)</f>
        <v/>
      </c>
      <c r="F27" s="17">
        <f>$B$7</f>
        <v/>
      </c>
      <c r="G27" s="17">
        <f>E27+F27</f>
        <v/>
      </c>
      <c r="H27" s="17">
        <f>3*E27+F27</f>
        <v/>
      </c>
      <c r="I27" s="15">
        <f>IF(H27&gt;$B$8,"Oui","Non")</f>
        <v/>
      </c>
      <c r="J27" s="18">
        <f>IF(D27&gt;0,E27/D27,"")</f>
        <v/>
      </c>
    </row>
    <row r="28">
      <c r="A28" t="inlineStr">
        <is>
          <t>CC de la Côtière à Montluel</t>
        </is>
      </c>
      <c r="B28" t="inlineStr">
        <is>
          <t>Ain</t>
        </is>
      </c>
      <c r="C28" t="inlineStr">
        <is>
          <t>01</t>
        </is>
      </c>
      <c r="D28" s="3" t="n">
        <v>25504</v>
      </c>
      <c r="E28" s="13">
        <f>MIN($B$4+$B$5*D28,$B$6)</f>
        <v/>
      </c>
      <c r="F28" s="13">
        <f>$B$7</f>
        <v/>
      </c>
      <c r="G28" s="13">
        <f>E28+F28</f>
        <v/>
      </c>
      <c r="H28" s="13">
        <f>3*E28+F28</f>
        <v/>
      </c>
      <c r="I28">
        <f>IF(H28&gt;$B$8,"Oui","Non")</f>
        <v/>
      </c>
      <c r="J28" s="14">
        <f>IF(D28&gt;0,E28/D28,"")</f>
        <v/>
      </c>
    </row>
    <row r="29">
      <c r="A29" s="15" t="inlineStr">
        <is>
          <t>CC de la Dombes</t>
        </is>
      </c>
      <c r="B29" s="15" t="inlineStr">
        <is>
          <t>Ain</t>
        </is>
      </c>
      <c r="C29" s="15" t="inlineStr">
        <is>
          <t>01</t>
        </is>
      </c>
      <c r="D29" s="16" t="n">
        <v>40570</v>
      </c>
      <c r="E29" s="17">
        <f>MIN($B$4+$B$5*D29,$B$6)</f>
        <v/>
      </c>
      <c r="F29" s="17">
        <f>$B$7</f>
        <v/>
      </c>
      <c r="G29" s="17">
        <f>E29+F29</f>
        <v/>
      </c>
      <c r="H29" s="17">
        <f>3*E29+F29</f>
        <v/>
      </c>
      <c r="I29" s="15">
        <f>IF(H29&gt;$B$8,"Oui","Non")</f>
        <v/>
      </c>
      <c r="J29" s="18">
        <f>IF(D29&gt;0,E29/D29,"")</f>
        <v/>
      </c>
    </row>
    <row r="30">
      <c r="A30" t="inlineStr">
        <is>
          <t>CC de la Plaine de l'Ain</t>
        </is>
      </c>
      <c r="B30" t="inlineStr">
        <is>
          <t>Ain</t>
        </is>
      </c>
      <c r="C30" t="inlineStr">
        <is>
          <t>01</t>
        </is>
      </c>
      <c r="D30" s="3" t="n">
        <v>82840</v>
      </c>
      <c r="E30" s="13">
        <f>MIN($B$4+$B$5*D30,$B$6)</f>
        <v/>
      </c>
      <c r="F30" s="13">
        <f>$B$7</f>
        <v/>
      </c>
      <c r="G30" s="13">
        <f>E30+F30</f>
        <v/>
      </c>
      <c r="H30" s="13">
        <f>3*E30+F30</f>
        <v/>
      </c>
      <c r="I30">
        <f>IF(H30&gt;$B$8,"Oui","Non")</f>
        <v/>
      </c>
      <c r="J30" s="14">
        <f>IF(D30&gt;0,E30/D30,"")</f>
        <v/>
      </c>
    </row>
    <row r="31">
      <c r="A31" s="15" t="inlineStr">
        <is>
          <t>CC de la Veyle</t>
        </is>
      </c>
      <c r="B31" s="15" t="inlineStr">
        <is>
          <t>Ain</t>
        </is>
      </c>
      <c r="C31" s="15" t="inlineStr">
        <is>
          <t>01</t>
        </is>
      </c>
      <c r="D31" s="16" t="n">
        <v>23254</v>
      </c>
      <c r="E31" s="17">
        <f>MIN($B$4+$B$5*D31,$B$6)</f>
        <v/>
      </c>
      <c r="F31" s="17">
        <f>$B$7</f>
        <v/>
      </c>
      <c r="G31" s="17">
        <f>E31+F31</f>
        <v/>
      </c>
      <c r="H31" s="17">
        <f>3*E31+F31</f>
        <v/>
      </c>
      <c r="I31" s="15">
        <f>IF(H31&gt;$B$8,"Oui","Non")</f>
        <v/>
      </c>
      <c r="J31" s="18">
        <f>IF(D31&gt;0,E31/D31,"")</f>
        <v/>
      </c>
    </row>
    <row r="32">
      <c r="A32" t="inlineStr">
        <is>
          <t>CC Picardie des Châteaux</t>
        </is>
      </c>
      <c r="B32" t="inlineStr">
        <is>
          <t>Aisne</t>
        </is>
      </c>
      <c r="C32" t="inlineStr">
        <is>
          <t>02</t>
        </is>
      </c>
      <c r="D32" s="3" t="n">
        <v>16677</v>
      </c>
      <c r="E32" s="13">
        <f>MIN($B$4+$B$5*D32,$B$6)</f>
        <v/>
      </c>
      <c r="F32" s="13">
        <f>$B$7</f>
        <v/>
      </c>
      <c r="G32" s="13">
        <f>E32+F32</f>
        <v/>
      </c>
      <c r="H32" s="13">
        <f>3*E32+F32</f>
        <v/>
      </c>
      <c r="I32">
        <f>IF(H32&gt;$B$8,"Oui","Non")</f>
        <v/>
      </c>
      <c r="J32" s="14">
        <f>IF(D32&gt;0,E32/D32,"")</f>
        <v/>
      </c>
    </row>
    <row r="33">
      <c r="A33" s="15" t="inlineStr">
        <is>
          <t>CC Retz en Valois</t>
        </is>
      </c>
      <c r="B33" s="15" t="inlineStr">
        <is>
          <t>Aisne</t>
        </is>
      </c>
      <c r="C33" s="15" t="inlineStr">
        <is>
          <t>02</t>
        </is>
      </c>
      <c r="D33" s="16" t="n">
        <v>28939</v>
      </c>
      <c r="E33" s="17">
        <f>MIN($B$4+$B$5*D33,$B$6)</f>
        <v/>
      </c>
      <c r="F33" s="17">
        <f>$B$7</f>
        <v/>
      </c>
      <c r="G33" s="17">
        <f>E33+F33</f>
        <v/>
      </c>
      <c r="H33" s="17">
        <f>3*E33+F33</f>
        <v/>
      </c>
      <c r="I33" s="15">
        <f>IF(H33&gt;$B$8,"Oui","Non")</f>
        <v/>
      </c>
      <c r="J33" s="18">
        <f>IF(D33&gt;0,E33/D33,"")</f>
        <v/>
      </c>
    </row>
    <row r="34">
      <c r="A34" t="inlineStr">
        <is>
          <t>CC Thiérache Sambre et Oise</t>
        </is>
      </c>
      <c r="B34" t="inlineStr">
        <is>
          <t>Aisne</t>
        </is>
      </c>
      <c r="C34" t="inlineStr">
        <is>
          <t>02</t>
        </is>
      </c>
      <c r="D34" s="3" t="n">
        <v>16396</v>
      </c>
      <c r="E34" s="13">
        <f>MIN($B$4+$B$5*D34,$B$6)</f>
        <v/>
      </c>
      <c r="F34" s="13">
        <f>$B$7</f>
        <v/>
      </c>
      <c r="G34" s="13">
        <f>E34+F34</f>
        <v/>
      </c>
      <c r="H34" s="13">
        <f>3*E34+F34</f>
        <v/>
      </c>
      <c r="I34">
        <f>IF(H34&gt;$B$8,"Oui","Non")</f>
        <v/>
      </c>
      <c r="J34" s="14">
        <f>IF(D34&gt;0,E34/D34,"")</f>
        <v/>
      </c>
    </row>
    <row r="35">
      <c r="A35" s="15" t="inlineStr">
        <is>
          <t>CC de l'Est de la Somme</t>
        </is>
      </c>
      <c r="B35" s="15" t="inlineStr">
        <is>
          <t>Aisne, Somme</t>
        </is>
      </c>
      <c r="C35" s="15" t="inlineStr">
        <is>
          <t>02, 80</t>
        </is>
      </c>
      <c r="D35" s="16" t="n">
        <v>19688</v>
      </c>
      <c r="E35" s="17">
        <f>MIN($B$4+$B$5*D35,$B$6)</f>
        <v/>
      </c>
      <c r="F35" s="17">
        <f>$B$7</f>
        <v/>
      </c>
      <c r="G35" s="17">
        <f>E35+F35</f>
        <v/>
      </c>
      <c r="H35" s="17">
        <f>3*E35+F35</f>
        <v/>
      </c>
      <c r="I35" s="15">
        <f>IF(H35&gt;$B$8,"Oui","Non")</f>
        <v/>
      </c>
      <c r="J35" s="18">
        <f>IF(D35&gt;0,E35/D35,"")</f>
        <v/>
      </c>
    </row>
    <row r="36">
      <c r="A36" t="inlineStr">
        <is>
          <t>CC de la Champagne Picarde</t>
        </is>
      </c>
      <c r="B36" t="inlineStr">
        <is>
          <t>Aisne</t>
        </is>
      </c>
      <c r="C36" t="inlineStr">
        <is>
          <t>02</t>
        </is>
      </c>
      <c r="D36" s="3" t="n">
        <v>20858</v>
      </c>
      <c r="E36" s="13">
        <f>MIN($B$4+$B$5*D36,$B$6)</f>
        <v/>
      </c>
      <c r="F36" s="13">
        <f>$B$7</f>
        <v/>
      </c>
      <c r="G36" s="13">
        <f>E36+F36</f>
        <v/>
      </c>
      <c r="H36" s="13">
        <f>3*E36+F36</f>
        <v/>
      </c>
      <c r="I36">
        <f>IF(H36&gt;$B$8,"Oui","Non")</f>
        <v/>
      </c>
      <c r="J36" s="14">
        <f>IF(D36&gt;0,E36/D36,"")</f>
        <v/>
      </c>
    </row>
    <row r="37">
      <c r="A37" s="15" t="inlineStr">
        <is>
          <t>CC de la Thiérache du Centre</t>
        </is>
      </c>
      <c r="B37" s="15" t="inlineStr">
        <is>
          <t>Aisne</t>
        </is>
      </c>
      <c r="C37" s="15" t="inlineStr">
        <is>
          <t>02</t>
        </is>
      </c>
      <c r="D37" s="16" t="n">
        <v>25752</v>
      </c>
      <c r="E37" s="17">
        <f>MIN($B$4+$B$5*D37,$B$6)</f>
        <v/>
      </c>
      <c r="F37" s="17">
        <f>$B$7</f>
        <v/>
      </c>
      <c r="G37" s="17">
        <f>E37+F37</f>
        <v/>
      </c>
      <c r="H37" s="17">
        <f>3*E37+F37</f>
        <v/>
      </c>
      <c r="I37" s="15">
        <f>IF(H37&gt;$B$8,"Oui","Non")</f>
        <v/>
      </c>
      <c r="J37" s="18">
        <f>IF(D37&gt;0,E37/D37,"")</f>
        <v/>
      </c>
    </row>
    <row r="38">
      <c r="A38" t="inlineStr">
        <is>
          <t>CC des Portes de la Thiérache</t>
        </is>
      </c>
      <c r="B38" t="inlineStr">
        <is>
          <t>Aisne</t>
        </is>
      </c>
      <c r="C38" t="inlineStr">
        <is>
          <t>02</t>
        </is>
      </c>
      <c r="D38" s="3" t="n">
        <v>6651</v>
      </c>
      <c r="E38" s="13">
        <f>MIN($B$4+$B$5*D38,$B$6)</f>
        <v/>
      </c>
      <c r="F38" s="13">
        <f>$B$7</f>
        <v/>
      </c>
      <c r="G38" s="13">
        <f>E38+F38</f>
        <v/>
      </c>
      <c r="H38" s="13">
        <f>3*E38+F38</f>
        <v/>
      </c>
      <c r="I38">
        <f>IF(H38&gt;$B$8,"Oui","Non")</f>
        <v/>
      </c>
      <c r="J38" s="14">
        <f>IF(D38&gt;0,E38/D38,"")</f>
        <v/>
      </c>
    </row>
    <row r="39">
      <c r="A39" s="15" t="inlineStr">
        <is>
          <t>CC des Trois Rivières</t>
        </is>
      </c>
      <c r="B39" s="15" t="inlineStr">
        <is>
          <t>Aisne</t>
        </is>
      </c>
      <c r="C39" s="15" t="inlineStr">
        <is>
          <t>02</t>
        </is>
      </c>
      <c r="D39" s="16" t="n">
        <v>20540</v>
      </c>
      <c r="E39" s="17">
        <f>MIN($B$4+$B$5*D39,$B$6)</f>
        <v/>
      </c>
      <c r="F39" s="17">
        <f>$B$7</f>
        <v/>
      </c>
      <c r="G39" s="17">
        <f>E39+F39</f>
        <v/>
      </c>
      <c r="H39" s="17">
        <f>3*E39+F39</f>
        <v/>
      </c>
      <c r="I39" s="15">
        <f>IF(H39&gt;$B$8,"Oui","Non")</f>
        <v/>
      </c>
      <c r="J39" s="18">
        <f>IF(D39&gt;0,E39/D39,"")</f>
        <v/>
      </c>
    </row>
    <row r="40">
      <c r="A40" t="inlineStr">
        <is>
          <t>CC du Canton d'Oulchy-le-Château</t>
        </is>
      </c>
      <c r="B40" t="inlineStr">
        <is>
          <t>Aisne</t>
        </is>
      </c>
      <c r="C40" t="inlineStr">
        <is>
          <t>02</t>
        </is>
      </c>
      <c r="D40" s="3" t="n">
        <v>5536</v>
      </c>
      <c r="E40" s="13">
        <f>MIN($B$4+$B$5*D40,$B$6)</f>
        <v/>
      </c>
      <c r="F40" s="13">
        <f>$B$7</f>
        <v/>
      </c>
      <c r="G40" s="13">
        <f>E40+F40</f>
        <v/>
      </c>
      <c r="H40" s="13">
        <f>3*E40+F40</f>
        <v/>
      </c>
      <c r="I40">
        <f>IF(H40&gt;$B$8,"Oui","Non")</f>
        <v/>
      </c>
      <c r="J40" s="14">
        <f>IF(D40&gt;0,E40/D40,"")</f>
        <v/>
      </c>
    </row>
    <row r="41">
      <c r="A41" s="15" t="inlineStr">
        <is>
          <t>CC du Canton de Charly-sur-Marne</t>
        </is>
      </c>
      <c r="B41" s="15" t="inlineStr">
        <is>
          <t>Aisne</t>
        </is>
      </c>
      <c r="C41" s="15" t="inlineStr">
        <is>
          <t>02</t>
        </is>
      </c>
      <c r="D41" s="16" t="n">
        <v>15339</v>
      </c>
      <c r="E41" s="17">
        <f>MIN($B$4+$B$5*D41,$B$6)</f>
        <v/>
      </c>
      <c r="F41" s="17">
        <f>$B$7</f>
        <v/>
      </c>
      <c r="G41" s="17">
        <f>E41+F41</f>
        <v/>
      </c>
      <c r="H41" s="17">
        <f>3*E41+F41</f>
        <v/>
      </c>
      <c r="I41" s="15">
        <f>IF(H41&gt;$B$8,"Oui","Non")</f>
        <v/>
      </c>
      <c r="J41" s="18">
        <f>IF(D41&gt;0,E41/D41,"")</f>
        <v/>
      </c>
    </row>
    <row r="42">
      <c r="A42" t="inlineStr">
        <is>
          <t>CC du Chemin des Dames</t>
        </is>
      </c>
      <c r="B42" t="inlineStr">
        <is>
          <t>Aisne</t>
        </is>
      </c>
      <c r="C42" t="inlineStr">
        <is>
          <t>02</t>
        </is>
      </c>
      <c r="D42" s="3" t="n">
        <v>5501</v>
      </c>
      <c r="E42" s="13">
        <f>MIN($B$4+$B$5*D42,$B$6)</f>
        <v/>
      </c>
      <c r="F42" s="13">
        <f>$B$7</f>
        <v/>
      </c>
      <c r="G42" s="13">
        <f>E42+F42</f>
        <v/>
      </c>
      <c r="H42" s="13">
        <f>3*E42+F42</f>
        <v/>
      </c>
      <c r="I42">
        <f>IF(H42&gt;$B$8,"Oui","Non")</f>
        <v/>
      </c>
      <c r="J42" s="14">
        <f>IF(D42&gt;0,E42/D42,"")</f>
        <v/>
      </c>
    </row>
    <row r="43">
      <c r="A43" s="15" t="inlineStr">
        <is>
          <t>CC du Pays de la Serre</t>
        </is>
      </c>
      <c r="B43" s="15" t="inlineStr">
        <is>
          <t>Aisne</t>
        </is>
      </c>
      <c r="C43" s="15" t="inlineStr">
        <is>
          <t>02</t>
        </is>
      </c>
      <c r="D43" s="16" t="n">
        <v>14372</v>
      </c>
      <c r="E43" s="17">
        <f>MIN($B$4+$B$5*D43,$B$6)</f>
        <v/>
      </c>
      <c r="F43" s="17">
        <f>$B$7</f>
        <v/>
      </c>
      <c r="G43" s="17">
        <f>E43+F43</f>
        <v/>
      </c>
      <c r="H43" s="17">
        <f>3*E43+F43</f>
        <v/>
      </c>
      <c r="I43" s="15">
        <f>IF(H43&gt;$B$8,"Oui","Non")</f>
        <v/>
      </c>
      <c r="J43" s="18">
        <f>IF(D43&gt;0,E43/D43,"")</f>
        <v/>
      </c>
    </row>
    <row r="44">
      <c r="A44" t="inlineStr">
        <is>
          <t>CC du Pays du Vermandois</t>
        </is>
      </c>
      <c r="B44" t="inlineStr">
        <is>
          <t>Aisne</t>
        </is>
      </c>
      <c r="C44" t="inlineStr">
        <is>
          <t>02</t>
        </is>
      </c>
      <c r="D44" s="3" t="n">
        <v>30859</v>
      </c>
      <c r="E44" s="13">
        <f>MIN($B$4+$B$5*D44,$B$6)</f>
        <v/>
      </c>
      <c r="F44" s="13">
        <f>$B$7</f>
        <v/>
      </c>
      <c r="G44" s="13">
        <f>E44+F44</f>
        <v/>
      </c>
      <c r="H44" s="13">
        <f>3*E44+F44</f>
        <v/>
      </c>
      <c r="I44">
        <f>IF(H44&gt;$B$8,"Oui","Non")</f>
        <v/>
      </c>
      <c r="J44" s="14">
        <f>IF(D44&gt;0,E44/D44,"")</f>
        <v/>
      </c>
    </row>
    <row r="45">
      <c r="A45" s="15" t="inlineStr">
        <is>
          <t>CC du Val de l'Aisne</t>
        </is>
      </c>
      <c r="B45" s="15" t="inlineStr">
        <is>
          <t>Aisne</t>
        </is>
      </c>
      <c r="C45" s="15" t="inlineStr">
        <is>
          <t>02</t>
        </is>
      </c>
      <c r="D45" s="16" t="n">
        <v>20284</v>
      </c>
      <c r="E45" s="17">
        <f>MIN($B$4+$B$5*D45,$B$6)</f>
        <v/>
      </c>
      <c r="F45" s="17">
        <f>$B$7</f>
        <v/>
      </c>
      <c r="G45" s="17">
        <f>E45+F45</f>
        <v/>
      </c>
      <c r="H45" s="17">
        <f>3*E45+F45</f>
        <v/>
      </c>
      <c r="I45" s="15">
        <f>IF(H45&gt;$B$8,"Oui","Non")</f>
        <v/>
      </c>
      <c r="J45" s="18">
        <f>IF(D45&gt;0,E45/D45,"")</f>
        <v/>
      </c>
    </row>
    <row r="46">
      <c r="A46" t="inlineStr">
        <is>
          <t>CC du Val de l'Oise</t>
        </is>
      </c>
      <c r="B46" t="inlineStr">
        <is>
          <t>Aisne</t>
        </is>
      </c>
      <c r="C46" t="inlineStr">
        <is>
          <t>02</t>
        </is>
      </c>
      <c r="D46" s="3" t="n">
        <v>15838</v>
      </c>
      <c r="E46" s="13">
        <f>MIN($B$4+$B$5*D46,$B$6)</f>
        <v/>
      </c>
      <c r="F46" s="13">
        <f>$B$7</f>
        <v/>
      </c>
      <c r="G46" s="13">
        <f>E46+F46</f>
        <v/>
      </c>
      <c r="H46" s="13">
        <f>3*E46+F46</f>
        <v/>
      </c>
      <c r="I46">
        <f>IF(H46&gt;$B$8,"Oui","Non")</f>
        <v/>
      </c>
      <c r="J46" s="14">
        <f>IF(D46&gt;0,E46/D46,"")</f>
        <v/>
      </c>
    </row>
    <row r="47">
      <c r="A47" s="15" t="inlineStr">
        <is>
          <t>CC Commentry Montmarault Néris Communauté</t>
        </is>
      </c>
      <c r="B47" s="15" t="inlineStr">
        <is>
          <t>Allier</t>
        </is>
      </c>
      <c r="C47" s="15" t="inlineStr">
        <is>
          <t>03</t>
        </is>
      </c>
      <c r="D47" s="16" t="n">
        <v>25346</v>
      </c>
      <c r="E47" s="17">
        <f>MIN($B$4+$B$5*D47,$B$6)</f>
        <v/>
      </c>
      <c r="F47" s="17">
        <f>$B$7</f>
        <v/>
      </c>
      <c r="G47" s="17">
        <f>E47+F47</f>
        <v/>
      </c>
      <c r="H47" s="17">
        <f>3*E47+F47</f>
        <v/>
      </c>
      <c r="I47" s="15">
        <f>IF(H47&gt;$B$8,"Oui","Non")</f>
        <v/>
      </c>
      <c r="J47" s="18">
        <f>IF(D47&gt;0,E47/D47,"")</f>
        <v/>
      </c>
    </row>
    <row r="48">
      <c r="A48" t="inlineStr">
        <is>
          <t>CC Entr'Allier Besbre et Loire</t>
        </is>
      </c>
      <c r="B48" t="inlineStr">
        <is>
          <t>Allier</t>
        </is>
      </c>
      <c r="C48" t="inlineStr">
        <is>
          <t>03</t>
        </is>
      </c>
      <c r="D48" s="3" t="n">
        <v>24322</v>
      </c>
      <c r="E48" s="13">
        <f>MIN($B$4+$B$5*D48,$B$6)</f>
        <v/>
      </c>
      <c r="F48" s="13">
        <f>$B$7</f>
        <v/>
      </c>
      <c r="G48" s="13">
        <f>E48+F48</f>
        <v/>
      </c>
      <c r="H48" s="13">
        <f>3*E48+F48</f>
        <v/>
      </c>
      <c r="I48">
        <f>IF(H48&gt;$B$8,"Oui","Non")</f>
        <v/>
      </c>
      <c r="J48" s="14">
        <f>IF(D48&gt;0,E48/D48,"")</f>
        <v/>
      </c>
    </row>
    <row r="49">
      <c r="A49" s="15" t="inlineStr">
        <is>
          <t>CC Le Grand Charolais</t>
        </is>
      </c>
      <c r="B49" s="15" t="inlineStr">
        <is>
          <t>Allier, Saône-et-Loire</t>
        </is>
      </c>
      <c r="C49" s="15" t="inlineStr">
        <is>
          <t>03, 71</t>
        </is>
      </c>
      <c r="D49" s="16" t="n">
        <v>39454</v>
      </c>
      <c r="E49" s="17">
        <f>MIN($B$4+$B$5*D49,$B$6)</f>
        <v/>
      </c>
      <c r="F49" s="17">
        <f>$B$7</f>
        <v/>
      </c>
      <c r="G49" s="17">
        <f>E49+F49</f>
        <v/>
      </c>
      <c r="H49" s="17">
        <f>3*E49+F49</f>
        <v/>
      </c>
      <c r="I49" s="15">
        <f>IF(H49&gt;$B$8,"Oui","Non")</f>
        <v/>
      </c>
      <c r="J49" s="18">
        <f>IF(D49&gt;0,E49/D49,"")</f>
        <v/>
      </c>
    </row>
    <row r="50">
      <c r="A50" t="inlineStr">
        <is>
          <t>CC Saint-Pourçain Sioule Limagne</t>
        </is>
      </c>
      <c r="B50" t="inlineStr">
        <is>
          <t>Allier</t>
        </is>
      </c>
      <c r="C50" t="inlineStr">
        <is>
          <t>03</t>
        </is>
      </c>
      <c r="D50" s="3" t="n">
        <v>33672</v>
      </c>
      <c r="E50" s="13">
        <f>MIN($B$4+$B$5*D50,$B$6)</f>
        <v/>
      </c>
      <c r="F50" s="13">
        <f>$B$7</f>
        <v/>
      </c>
      <c r="G50" s="13">
        <f>E50+F50</f>
        <v/>
      </c>
      <c r="H50" s="13">
        <f>3*E50+F50</f>
        <v/>
      </c>
      <c r="I50">
        <f>IF(H50&gt;$B$8,"Oui","Non")</f>
        <v/>
      </c>
      <c r="J50" s="14">
        <f>IF(D50&gt;0,E50/D50,"")</f>
        <v/>
      </c>
    </row>
    <row r="51">
      <c r="A51" s="15" t="inlineStr">
        <is>
          <t>CC du Bocage Bourbonnais</t>
        </is>
      </c>
      <c r="B51" s="15" t="inlineStr">
        <is>
          <t>Allier</t>
        </is>
      </c>
      <c r="C51" s="15" t="inlineStr">
        <is>
          <t>03</t>
        </is>
      </c>
      <c r="D51" s="16" t="n">
        <v>13654</v>
      </c>
      <c r="E51" s="17">
        <f>MIN($B$4+$B$5*D51,$B$6)</f>
        <v/>
      </c>
      <c r="F51" s="17">
        <f>$B$7</f>
        <v/>
      </c>
      <c r="G51" s="17">
        <f>E51+F51</f>
        <v/>
      </c>
      <c r="H51" s="17">
        <f>3*E51+F51</f>
        <v/>
      </c>
      <c r="I51" s="15">
        <f>IF(H51&gt;$B$8,"Oui","Non")</f>
        <v/>
      </c>
      <c r="J51" s="18">
        <f>IF(D51&gt;0,E51/D51,"")</f>
        <v/>
      </c>
    </row>
    <row r="52">
      <c r="A52" t="inlineStr">
        <is>
          <t>CC du Pays d'Huriel</t>
        </is>
      </c>
      <c r="B52" t="inlineStr">
        <is>
          <t>Allier</t>
        </is>
      </c>
      <c r="C52" t="inlineStr">
        <is>
          <t>03</t>
        </is>
      </c>
      <c r="D52" s="3" t="n">
        <v>7332</v>
      </c>
      <c r="E52" s="13">
        <f>MIN($B$4+$B$5*D52,$B$6)</f>
        <v/>
      </c>
      <c r="F52" s="13">
        <f>$B$7</f>
        <v/>
      </c>
      <c r="G52" s="13">
        <f>E52+F52</f>
        <v/>
      </c>
      <c r="H52" s="13">
        <f>3*E52+F52</f>
        <v/>
      </c>
      <c r="I52">
        <f>IF(H52&gt;$B$8,"Oui","Non")</f>
        <v/>
      </c>
      <c r="J52" s="14">
        <f>IF(D52&gt;0,E52/D52,"")</f>
        <v/>
      </c>
    </row>
    <row r="53">
      <c r="A53" s="15" t="inlineStr">
        <is>
          <t>CC du Pays de Lapalisse</t>
        </is>
      </c>
      <c r="B53" s="15" t="inlineStr">
        <is>
          <t>Allier</t>
        </is>
      </c>
      <c r="C53" s="15" t="inlineStr">
        <is>
          <t>03</t>
        </is>
      </c>
      <c r="D53" s="16" t="n">
        <v>8460</v>
      </c>
      <c r="E53" s="17">
        <f>MIN($B$4+$B$5*D53,$B$6)</f>
        <v/>
      </c>
      <c r="F53" s="17">
        <f>$B$7</f>
        <v/>
      </c>
      <c r="G53" s="17">
        <f>E53+F53</f>
        <v/>
      </c>
      <c r="H53" s="17">
        <f>3*E53+F53</f>
        <v/>
      </c>
      <c r="I53" s="15">
        <f>IF(H53&gt;$B$8,"Oui","Non")</f>
        <v/>
      </c>
      <c r="J53" s="18">
        <f>IF(D53&gt;0,E53/D53,"")</f>
        <v/>
      </c>
    </row>
    <row r="54">
      <c r="A54" t="inlineStr">
        <is>
          <t>CC du Pays de Tronçais</t>
        </is>
      </c>
      <c r="B54" t="inlineStr">
        <is>
          <t>Allier</t>
        </is>
      </c>
      <c r="C54" t="inlineStr">
        <is>
          <t>03</t>
        </is>
      </c>
      <c r="D54" s="3" t="n">
        <v>7431</v>
      </c>
      <c r="E54" s="13">
        <f>MIN($B$4+$B$5*D54,$B$6)</f>
        <v/>
      </c>
      <c r="F54" s="13">
        <f>$B$7</f>
        <v/>
      </c>
      <c r="G54" s="13">
        <f>E54+F54</f>
        <v/>
      </c>
      <c r="H54" s="13">
        <f>3*E54+F54</f>
        <v/>
      </c>
      <c r="I54">
        <f>IF(H54&gt;$B$8,"Oui","Non")</f>
        <v/>
      </c>
      <c r="J54" s="14">
        <f>IF(D54&gt;0,E54/D54,"")</f>
        <v/>
      </c>
    </row>
    <row r="55">
      <c r="A55" s="15" t="inlineStr">
        <is>
          <t>CC du Val de Cher</t>
        </is>
      </c>
      <c r="B55" s="15" t="inlineStr">
        <is>
          <t>Allier</t>
        </is>
      </c>
      <c r="C55" s="15" t="inlineStr">
        <is>
          <t>03</t>
        </is>
      </c>
      <c r="D55" s="16" t="n">
        <v>5461</v>
      </c>
      <c r="E55" s="17">
        <f>MIN($B$4+$B$5*D55,$B$6)</f>
        <v/>
      </c>
      <c r="F55" s="17">
        <f>$B$7</f>
        <v/>
      </c>
      <c r="G55" s="17">
        <f>E55+F55</f>
        <v/>
      </c>
      <c r="H55" s="17">
        <f>3*E55+F55</f>
        <v/>
      </c>
      <c r="I55" s="15">
        <f>IF(H55&gt;$B$8,"Oui","Non")</f>
        <v/>
      </c>
      <c r="J55" s="18">
        <f>IF(D55&gt;0,E55/D55,"")</f>
        <v/>
      </c>
    </row>
    <row r="56">
      <c r="A56" t="inlineStr">
        <is>
          <t>CC Alpes-Provence-Verdon "Sources de lumière"</t>
        </is>
      </c>
      <c r="B56" t="inlineStr">
        <is>
          <t>Alpes-de-Haute-Provence</t>
        </is>
      </c>
      <c r="C56" t="inlineStr">
        <is>
          <t>04</t>
        </is>
      </c>
      <c r="D56" s="3" t="n">
        <v>11417</v>
      </c>
      <c r="E56" s="13">
        <f>MIN($B$4+$B$5*D56,$B$6)</f>
        <v/>
      </c>
      <c r="F56" s="13">
        <f>$B$7</f>
        <v/>
      </c>
      <c r="G56" s="13">
        <f>E56+F56</f>
        <v/>
      </c>
      <c r="H56" s="13">
        <f>3*E56+F56</f>
        <v/>
      </c>
      <c r="I56">
        <f>IF(H56&gt;$B$8,"Oui","Non")</f>
        <v/>
      </c>
      <c r="J56" s="14">
        <f>IF(D56&gt;0,E56/D56,"")</f>
        <v/>
      </c>
    </row>
    <row r="57">
      <c r="A57" s="15" t="inlineStr">
        <is>
          <t>CC Haute-Provence - Pays de Banon</t>
        </is>
      </c>
      <c r="B57" s="15" t="inlineStr">
        <is>
          <t>Alpes-de-Haute-Provence</t>
        </is>
      </c>
      <c r="C57" s="15" t="inlineStr">
        <is>
          <t>04</t>
        </is>
      </c>
      <c r="D57" s="16" t="n">
        <v>10059</v>
      </c>
      <c r="E57" s="17">
        <f>MIN($B$4+$B$5*D57,$B$6)</f>
        <v/>
      </c>
      <c r="F57" s="17">
        <f>$B$7</f>
        <v/>
      </c>
      <c r="G57" s="17">
        <f>E57+F57</f>
        <v/>
      </c>
      <c r="H57" s="17">
        <f>3*E57+F57</f>
        <v/>
      </c>
      <c r="I57" s="15">
        <f>IF(H57&gt;$B$8,"Oui","Non")</f>
        <v/>
      </c>
      <c r="J57" s="18">
        <f>IF(D57&gt;0,E57/D57,"")</f>
        <v/>
      </c>
    </row>
    <row r="58">
      <c r="A58" t="inlineStr">
        <is>
          <t>CC Jabron-Lure-Vançon-Durance</t>
        </is>
      </c>
      <c r="B58" t="inlineStr">
        <is>
          <t>Alpes-de-Haute-Provence, Drôme</t>
        </is>
      </c>
      <c r="C58" t="inlineStr">
        <is>
          <t>04, 26</t>
        </is>
      </c>
      <c r="D58" s="3" t="n">
        <v>5393</v>
      </c>
      <c r="E58" s="13">
        <f>MIN($B$4+$B$5*D58,$B$6)</f>
        <v/>
      </c>
      <c r="F58" s="13">
        <f>$B$7</f>
        <v/>
      </c>
      <c r="G58" s="13">
        <f>E58+F58</f>
        <v/>
      </c>
      <c r="H58" s="13">
        <f>3*E58+F58</f>
        <v/>
      </c>
      <c r="I58">
        <f>IF(H58&gt;$B$8,"Oui","Non")</f>
        <v/>
      </c>
      <c r="J58" s="14">
        <f>IF(D58&gt;0,E58/D58,"")</f>
        <v/>
      </c>
    </row>
    <row r="59">
      <c r="A59" s="15" t="inlineStr">
        <is>
          <t>CC Pays Forcalquier et Montagne de Lure</t>
        </is>
      </c>
      <c r="B59" s="15" t="inlineStr">
        <is>
          <t>Alpes-de-Haute-Provence</t>
        </is>
      </c>
      <c r="C59" s="15" t="inlineStr">
        <is>
          <t>04</t>
        </is>
      </c>
      <c r="D59" s="16" t="n">
        <v>9996</v>
      </c>
      <c r="E59" s="17">
        <f>MIN($B$4+$B$5*D59,$B$6)</f>
        <v/>
      </c>
      <c r="F59" s="17">
        <f>$B$7</f>
        <v/>
      </c>
      <c r="G59" s="17">
        <f>E59+F59</f>
        <v/>
      </c>
      <c r="H59" s="17">
        <f>3*E59+F59</f>
        <v/>
      </c>
      <c r="I59" s="15">
        <f>IF(H59&gt;$B$8,"Oui","Non")</f>
        <v/>
      </c>
      <c r="J59" s="18">
        <f>IF(D59&gt;0,E59/D59,"")</f>
        <v/>
      </c>
    </row>
    <row r="60">
      <c r="A60" t="inlineStr">
        <is>
          <t>CC Pays d'Apt-Luberon</t>
        </is>
      </c>
      <c r="B60" t="inlineStr">
        <is>
          <t>Alpes-de-Haute-Provence, Vaucluse</t>
        </is>
      </c>
      <c r="C60" t="inlineStr">
        <is>
          <t>04, 84</t>
        </is>
      </c>
      <c r="D60" s="3" t="n">
        <v>28347</v>
      </c>
      <c r="E60" s="13">
        <f>MIN($B$4+$B$5*D60,$B$6)</f>
        <v/>
      </c>
      <c r="F60" s="13">
        <f>$B$7</f>
        <v/>
      </c>
      <c r="G60" s="13">
        <f>E60+F60</f>
        <v/>
      </c>
      <c r="H60" s="13">
        <f>3*E60+F60</f>
        <v/>
      </c>
      <c r="I60">
        <f>IF(H60&gt;$B$8,"Oui","Non")</f>
        <v/>
      </c>
      <c r="J60" s="14">
        <f>IF(D60&gt;0,E60/D60,"")</f>
        <v/>
      </c>
    </row>
    <row r="61">
      <c r="A61" s="15" t="inlineStr">
        <is>
          <t>CC Serre-Ponçon</t>
        </is>
      </c>
      <c r="B61" s="15" t="inlineStr">
        <is>
          <t>Alpes-de-Haute-Provence, Hautes-Alpes</t>
        </is>
      </c>
      <c r="C61" s="15" t="inlineStr">
        <is>
          <t>04, 05</t>
        </is>
      </c>
      <c r="D61" s="16" t="n">
        <v>16945</v>
      </c>
      <c r="E61" s="17">
        <f>MIN($B$4+$B$5*D61,$B$6)</f>
        <v/>
      </c>
      <c r="F61" s="17">
        <f>$B$7</f>
        <v/>
      </c>
      <c r="G61" s="17">
        <f>E61+F61</f>
        <v/>
      </c>
      <c r="H61" s="17">
        <f>3*E61+F61</f>
        <v/>
      </c>
      <c r="I61" s="15">
        <f>IF(H61&gt;$B$8,"Oui","Non")</f>
        <v/>
      </c>
      <c r="J61" s="18">
        <f>IF(D61&gt;0,E61/D61,"")</f>
        <v/>
      </c>
    </row>
    <row r="62">
      <c r="A62" t="inlineStr">
        <is>
          <t>CC Serre-Ponçon Val d'Avance</t>
        </is>
      </c>
      <c r="B62" t="inlineStr">
        <is>
          <t>Alpes-de-Haute-Provence, Hautes-Alpes</t>
        </is>
      </c>
      <c r="C62" t="inlineStr">
        <is>
          <t>04, 05</t>
        </is>
      </c>
      <c r="D62" s="3" t="n">
        <v>7859</v>
      </c>
      <c r="E62" s="13">
        <f>MIN($B$4+$B$5*D62,$B$6)</f>
        <v/>
      </c>
      <c r="F62" s="13">
        <f>$B$7</f>
        <v/>
      </c>
      <c r="G62" s="13">
        <f>E62+F62</f>
        <v/>
      </c>
      <c r="H62" s="13">
        <f>3*E62+F62</f>
        <v/>
      </c>
      <c r="I62">
        <f>IF(H62&gt;$B$8,"Oui","Non")</f>
        <v/>
      </c>
      <c r="J62" s="14">
        <f>IF(D62&gt;0,E62/D62,"")</f>
        <v/>
      </c>
    </row>
    <row r="63">
      <c r="A63" s="15" t="inlineStr">
        <is>
          <t>CC Vallée de l'Ubaye - Serre-Ponçon</t>
        </is>
      </c>
      <c r="B63" s="15" t="inlineStr">
        <is>
          <t>Alpes-de-Haute-Provence</t>
        </is>
      </c>
      <c r="C63" s="15" t="inlineStr">
        <is>
          <t>04</t>
        </is>
      </c>
      <c r="D63" s="16" t="n">
        <v>7620</v>
      </c>
      <c r="E63" s="17">
        <f>MIN($B$4+$B$5*D63,$B$6)</f>
        <v/>
      </c>
      <c r="F63" s="17">
        <f>$B$7</f>
        <v/>
      </c>
      <c r="G63" s="17">
        <f>E63+F63</f>
        <v/>
      </c>
      <c r="H63" s="17">
        <f>3*E63+F63</f>
        <v/>
      </c>
      <c r="I63" s="15">
        <f>IF(H63&gt;$B$8,"Oui","Non")</f>
        <v/>
      </c>
      <c r="J63" s="18">
        <f>IF(D63&gt;0,E63/D63,"")</f>
        <v/>
      </c>
    </row>
    <row r="64">
      <c r="A64" t="inlineStr">
        <is>
          <t>CC du Sisteronais-Buëch</t>
        </is>
      </c>
      <c r="B64" t="inlineStr">
        <is>
          <t>Alpes-de-Haute-Provence, Hautes-Alpes, Drôme</t>
        </is>
      </c>
      <c r="C64" t="inlineStr">
        <is>
          <t>04, 05, 26</t>
        </is>
      </c>
      <c r="D64" s="3" t="n">
        <v>25482</v>
      </c>
      <c r="E64" s="13">
        <f>MIN($B$4+$B$5*D64,$B$6)</f>
        <v/>
      </c>
      <c r="F64" s="13">
        <f>$B$7</f>
        <v/>
      </c>
      <c r="G64" s="13">
        <f>E64+F64</f>
        <v/>
      </c>
      <c r="H64" s="13">
        <f>3*E64+F64</f>
        <v/>
      </c>
      <c r="I64">
        <f>IF(H64&gt;$B$8,"Oui","Non")</f>
        <v/>
      </c>
      <c r="J64" s="14">
        <f>IF(D64&gt;0,E64/D64,"")</f>
        <v/>
      </c>
    </row>
    <row r="65">
      <c r="A65" s="15" t="inlineStr">
        <is>
          <t>CC Buëch-Dévoluy</t>
        </is>
      </c>
      <c r="B65" s="15" t="inlineStr">
        <is>
          <t>Hautes-Alpes</t>
        </is>
      </c>
      <c r="C65" s="15" t="inlineStr">
        <is>
          <t>05</t>
        </is>
      </c>
      <c r="D65" s="16" t="n">
        <v>9597</v>
      </c>
      <c r="E65" s="17">
        <f>MIN($B$4+$B$5*D65,$B$6)</f>
        <v/>
      </c>
      <c r="F65" s="17">
        <f>$B$7</f>
        <v/>
      </c>
      <c r="G65" s="17">
        <f>E65+F65</f>
        <v/>
      </c>
      <c r="H65" s="17">
        <f>3*E65+F65</f>
        <v/>
      </c>
      <c r="I65" s="15">
        <f>IF(H65&gt;$B$8,"Oui","Non")</f>
        <v/>
      </c>
      <c r="J65" s="18">
        <f>IF(D65&gt;0,E65/D65,"")</f>
        <v/>
      </c>
    </row>
    <row r="66">
      <c r="A66" t="inlineStr">
        <is>
          <t>CC Champsaur-Valgaudemar</t>
        </is>
      </c>
      <c r="B66" t="inlineStr">
        <is>
          <t>Hautes-Alpes</t>
        </is>
      </c>
      <c r="C66" t="inlineStr">
        <is>
          <t>05</t>
        </is>
      </c>
      <c r="D66" s="3" t="n">
        <v>11528</v>
      </c>
      <c r="E66" s="13">
        <f>MIN($B$4+$B$5*D66,$B$6)</f>
        <v/>
      </c>
      <c r="F66" s="13">
        <f>$B$7</f>
        <v/>
      </c>
      <c r="G66" s="13">
        <f>E66+F66</f>
        <v/>
      </c>
      <c r="H66" s="13">
        <f>3*E66+F66</f>
        <v/>
      </c>
      <c r="I66">
        <f>IF(H66&gt;$B$8,"Oui","Non")</f>
        <v/>
      </c>
      <c r="J66" s="14">
        <f>IF(D66&gt;0,E66/D66,"")</f>
        <v/>
      </c>
    </row>
    <row r="67">
      <c r="A67" s="15" t="inlineStr">
        <is>
          <t>CC du Briançonnais</t>
        </is>
      </c>
      <c r="B67" s="15" t="inlineStr">
        <is>
          <t>Hautes-Alpes</t>
        </is>
      </c>
      <c r="C67" s="15" t="inlineStr">
        <is>
          <t>05</t>
        </is>
      </c>
      <c r="D67" s="16" t="n">
        <v>18947</v>
      </c>
      <c r="E67" s="17">
        <f>MIN($B$4+$B$5*D67,$B$6)</f>
        <v/>
      </c>
      <c r="F67" s="17">
        <f>$B$7</f>
        <v/>
      </c>
      <c r="G67" s="17">
        <f>E67+F67</f>
        <v/>
      </c>
      <c r="H67" s="17">
        <f>3*E67+F67</f>
        <v/>
      </c>
      <c r="I67" s="15">
        <f>IF(H67&gt;$B$8,"Oui","Non")</f>
        <v/>
      </c>
      <c r="J67" s="18">
        <f>IF(D67&gt;0,E67/D67,"")</f>
        <v/>
      </c>
    </row>
    <row r="68">
      <c r="A68" t="inlineStr">
        <is>
          <t>CC du Guillestrois et du Queyras</t>
        </is>
      </c>
      <c r="B68" t="inlineStr">
        <is>
          <t>Hautes-Alpes</t>
        </is>
      </c>
      <c r="C68" t="inlineStr">
        <is>
          <t>05</t>
        </is>
      </c>
      <c r="D68" s="3" t="n">
        <v>7955</v>
      </c>
      <c r="E68" s="13">
        <f>MIN($B$4+$B$5*D68,$B$6)</f>
        <v/>
      </c>
      <c r="F68" s="13">
        <f>$B$7</f>
        <v/>
      </c>
      <c r="G68" s="13">
        <f>E68+F68</f>
        <v/>
      </c>
      <c r="H68" s="13">
        <f>3*E68+F68</f>
        <v/>
      </c>
      <c r="I68">
        <f>IF(H68&gt;$B$8,"Oui","Non")</f>
        <v/>
      </c>
      <c r="J68" s="14">
        <f>IF(D68&gt;0,E68/D68,"")</f>
        <v/>
      </c>
    </row>
    <row r="69">
      <c r="A69" s="15" t="inlineStr">
        <is>
          <t>CC du Pays des Ecrins</t>
        </is>
      </c>
      <c r="B69" s="15" t="inlineStr">
        <is>
          <t>Hautes-Alpes</t>
        </is>
      </c>
      <c r="C69" s="15" t="inlineStr">
        <is>
          <t>05</t>
        </is>
      </c>
      <c r="D69" s="16" t="n">
        <v>6582</v>
      </c>
      <c r="E69" s="17">
        <f>MIN($B$4+$B$5*D69,$B$6)</f>
        <v/>
      </c>
      <c r="F69" s="17">
        <f>$B$7</f>
        <v/>
      </c>
      <c r="G69" s="17">
        <f>E69+F69</f>
        <v/>
      </c>
      <c r="H69" s="17">
        <f>3*E69+F69</f>
        <v/>
      </c>
      <c r="I69" s="15">
        <f>IF(H69&gt;$B$8,"Oui","Non")</f>
        <v/>
      </c>
      <c r="J69" s="18">
        <f>IF(D69&gt;0,E69/D69,"")</f>
        <v/>
      </c>
    </row>
    <row r="70">
      <c r="A70" t="inlineStr">
        <is>
          <t>CC Alpes d'Azur</t>
        </is>
      </c>
      <c r="B70" t="inlineStr">
        <is>
          <t>Alpes-Maritimes</t>
        </is>
      </c>
      <c r="C70" t="inlineStr">
        <is>
          <t>06</t>
        </is>
      </c>
      <c r="D70" s="3" t="n">
        <v>10015</v>
      </c>
      <c r="E70" s="13">
        <f>MIN($B$4+$B$5*D70,$B$6)</f>
        <v/>
      </c>
      <c r="F70" s="13">
        <f>$B$7</f>
        <v/>
      </c>
      <c r="G70" s="13">
        <f>E70+F70</f>
        <v/>
      </c>
      <c r="H70" s="13">
        <f>3*E70+F70</f>
        <v/>
      </c>
      <c r="I70">
        <f>IF(H70&gt;$B$8,"Oui","Non")</f>
        <v/>
      </c>
      <c r="J70" s="14">
        <f>IF(D70&gt;0,E70/D70,"")</f>
        <v/>
      </c>
    </row>
    <row r="71">
      <c r="A71" s="15" t="inlineStr">
        <is>
          <t>CC du Pays des Paillons</t>
        </is>
      </c>
      <c r="B71" s="15" t="inlineStr">
        <is>
          <t>Alpes-Maritimes</t>
        </is>
      </c>
      <c r="C71" s="15" t="inlineStr">
        <is>
          <t>06</t>
        </is>
      </c>
      <c r="D71" s="16" t="n">
        <v>21426</v>
      </c>
      <c r="E71" s="17">
        <f>MIN($B$4+$B$5*D71,$B$6)</f>
        <v/>
      </c>
      <c r="F71" s="17">
        <f>$B$7</f>
        <v/>
      </c>
      <c r="G71" s="17">
        <f>E71+F71</f>
        <v/>
      </c>
      <c r="H71" s="17">
        <f>3*E71+F71</f>
        <v/>
      </c>
      <c r="I71" s="15">
        <f>IF(H71&gt;$B$8,"Oui","Non")</f>
        <v/>
      </c>
      <c r="J71" s="18">
        <f>IF(D71&gt;0,E71/D71,"")</f>
        <v/>
      </c>
    </row>
    <row r="72">
      <c r="A72" t="inlineStr">
        <is>
          <t>CC Ardèche Rhône Coiron</t>
        </is>
      </c>
      <c r="B72" t="inlineStr">
        <is>
          <t>Ardèche</t>
        </is>
      </c>
      <c r="C72" t="inlineStr">
        <is>
          <t>07</t>
        </is>
      </c>
      <c r="D72" s="3" t="n">
        <v>23067</v>
      </c>
      <c r="E72" s="13">
        <f>MIN($B$4+$B$5*D72,$B$6)</f>
        <v/>
      </c>
      <c r="F72" s="13">
        <f>$B$7</f>
        <v/>
      </c>
      <c r="G72" s="13">
        <f>E72+F72</f>
        <v/>
      </c>
      <c r="H72" s="13">
        <f>3*E72+F72</f>
        <v/>
      </c>
      <c r="I72">
        <f>IF(H72&gt;$B$8,"Oui","Non")</f>
        <v/>
      </c>
      <c r="J72" s="14">
        <f>IF(D72&gt;0,E72/D72,"")</f>
        <v/>
      </c>
    </row>
    <row r="73">
      <c r="A73" s="15" t="inlineStr">
        <is>
          <t>CC Ardèche des Sources et Volcans</t>
        </is>
      </c>
      <c r="B73" s="15" t="inlineStr">
        <is>
          <t>Ardèche</t>
        </is>
      </c>
      <c r="C73" s="15" t="inlineStr">
        <is>
          <t>07</t>
        </is>
      </c>
      <c r="D73" s="16" t="n">
        <v>9752</v>
      </c>
      <c r="E73" s="17">
        <f>MIN($B$4+$B$5*D73,$B$6)</f>
        <v/>
      </c>
      <c r="F73" s="17">
        <f>$B$7</f>
        <v/>
      </c>
      <c r="G73" s="17">
        <f>E73+F73</f>
        <v/>
      </c>
      <c r="H73" s="17">
        <f>3*E73+F73</f>
        <v/>
      </c>
      <c r="I73" s="15">
        <f>IF(H73&gt;$B$8,"Oui","Non")</f>
        <v/>
      </c>
      <c r="J73" s="18">
        <f>IF(D73&gt;0,E73/D73,"")</f>
        <v/>
      </c>
    </row>
    <row r="74">
      <c r="A74" t="inlineStr">
        <is>
          <t>CC Berg et Coiron</t>
        </is>
      </c>
      <c r="B74" t="inlineStr">
        <is>
          <t>Ardèche</t>
        </is>
      </c>
      <c r="C74" t="inlineStr">
        <is>
          <t>07</t>
        </is>
      </c>
      <c r="D74" s="3" t="n">
        <v>7981</v>
      </c>
      <c r="E74" s="13">
        <f>MIN($B$4+$B$5*D74,$B$6)</f>
        <v/>
      </c>
      <c r="F74" s="13">
        <f>$B$7</f>
        <v/>
      </c>
      <c r="G74" s="13">
        <f>E74+F74</f>
        <v/>
      </c>
      <c r="H74" s="13">
        <f>3*E74+F74</f>
        <v/>
      </c>
      <c r="I74">
        <f>IF(H74&gt;$B$8,"Oui","Non")</f>
        <v/>
      </c>
      <c r="J74" s="14">
        <f>IF(D74&gt;0,E74/D74,"")</f>
        <v/>
      </c>
    </row>
    <row r="75">
      <c r="A75" s="15" t="inlineStr">
        <is>
          <t>CC Montagne d'Ardèche</t>
        </is>
      </c>
      <c r="B75" s="15" t="inlineStr">
        <is>
          <t>Ardèche</t>
        </is>
      </c>
      <c r="C75" s="15" t="inlineStr">
        <is>
          <t>07</t>
        </is>
      </c>
      <c r="D75" s="16" t="n">
        <v>4819</v>
      </c>
      <c r="E75" s="17">
        <f>MIN($B$4+$B$5*D75,$B$6)</f>
        <v/>
      </c>
      <c r="F75" s="17">
        <f>$B$7</f>
        <v/>
      </c>
      <c r="G75" s="17">
        <f>E75+F75</f>
        <v/>
      </c>
      <c r="H75" s="17">
        <f>3*E75+F75</f>
        <v/>
      </c>
      <c r="I75" s="15">
        <f>IF(H75&gt;$B$8,"Oui","Non")</f>
        <v/>
      </c>
      <c r="J75" s="18">
        <f>IF(D75&gt;0,E75/D75,"")</f>
        <v/>
      </c>
    </row>
    <row r="76">
      <c r="A76" t="inlineStr">
        <is>
          <t>CC Pays des Vans en Cévennes</t>
        </is>
      </c>
      <c r="B76" t="inlineStr">
        <is>
          <t>Ardèche</t>
        </is>
      </c>
      <c r="C76" t="inlineStr">
        <is>
          <t>07</t>
        </is>
      </c>
      <c r="D76" s="3" t="n">
        <v>9536</v>
      </c>
      <c r="E76" s="13">
        <f>MIN($B$4+$B$5*D76,$B$6)</f>
        <v/>
      </c>
      <c r="F76" s="13">
        <f>$B$7</f>
        <v/>
      </c>
      <c r="G76" s="13">
        <f>E76+F76</f>
        <v/>
      </c>
      <c r="H76" s="13">
        <f>3*E76+F76</f>
        <v/>
      </c>
      <c r="I76">
        <f>IF(H76&gt;$B$8,"Oui","Non")</f>
        <v/>
      </c>
      <c r="J76" s="14">
        <f>IF(D76&gt;0,E76/D76,"")</f>
        <v/>
      </c>
    </row>
    <row r="77">
      <c r="A77" s="15" t="inlineStr">
        <is>
          <t>CC Porte de Dromardèche</t>
        </is>
      </c>
      <c r="B77" s="15" t="inlineStr">
        <is>
          <t>Ardèche, Drôme</t>
        </is>
      </c>
      <c r="C77" s="15" t="inlineStr">
        <is>
          <t>07, 26</t>
        </is>
      </c>
      <c r="D77" s="16" t="n">
        <v>47996</v>
      </c>
      <c r="E77" s="17">
        <f>MIN($B$4+$B$5*D77,$B$6)</f>
        <v/>
      </c>
      <c r="F77" s="17">
        <f>$B$7</f>
        <v/>
      </c>
      <c r="G77" s="17">
        <f>E77+F77</f>
        <v/>
      </c>
      <c r="H77" s="17">
        <f>3*E77+F77</f>
        <v/>
      </c>
      <c r="I77" s="15">
        <f>IF(H77&gt;$B$8,"Oui","Non")</f>
        <v/>
      </c>
      <c r="J77" s="18">
        <f>IF(D77&gt;0,E77/D77,"")</f>
        <v/>
      </c>
    </row>
    <row r="78">
      <c r="A78" t="inlineStr">
        <is>
          <t>CC Rhône Crussol</t>
        </is>
      </c>
      <c r="B78" t="inlineStr">
        <is>
          <t>Ardèche</t>
        </is>
      </c>
      <c r="C78" t="inlineStr">
        <is>
          <t>07</t>
        </is>
      </c>
      <c r="D78" s="3" t="n">
        <v>34874</v>
      </c>
      <c r="E78" s="13">
        <f>MIN($B$4+$B$5*D78,$B$6)</f>
        <v/>
      </c>
      <c r="F78" s="13">
        <f>$B$7</f>
        <v/>
      </c>
      <c r="G78" s="13">
        <f>E78+F78</f>
        <v/>
      </c>
      <c r="H78" s="13">
        <f>3*E78+F78</f>
        <v/>
      </c>
      <c r="I78">
        <f>IF(H78&gt;$B$8,"Oui","Non")</f>
        <v/>
      </c>
      <c r="J78" s="14">
        <f>IF(D78&gt;0,E78/D78,"")</f>
        <v/>
      </c>
    </row>
    <row r="79">
      <c r="A79" s="15" t="inlineStr">
        <is>
          <t>CC Val Eyrieux</t>
        </is>
      </c>
      <c r="B79" s="15" t="inlineStr">
        <is>
          <t>Ardèche</t>
        </is>
      </c>
      <c r="C79" s="15" t="inlineStr">
        <is>
          <t>07</t>
        </is>
      </c>
      <c r="D79" s="16" t="n">
        <v>12291</v>
      </c>
      <c r="E79" s="17">
        <f>MIN($B$4+$B$5*D79,$B$6)</f>
        <v/>
      </c>
      <c r="F79" s="17">
        <f>$B$7</f>
        <v/>
      </c>
      <c r="G79" s="17">
        <f>E79+F79</f>
        <v/>
      </c>
      <c r="H79" s="17">
        <f>3*E79+F79</f>
        <v/>
      </c>
      <c r="I79" s="15">
        <f>IF(H79&gt;$B$8,"Oui","Non")</f>
        <v/>
      </c>
      <c r="J79" s="18">
        <f>IF(D79&gt;0,E79/D79,"")</f>
        <v/>
      </c>
    </row>
    <row r="80">
      <c r="A80" t="inlineStr">
        <is>
          <t>CC Val de Ligne</t>
        </is>
      </c>
      <c r="B80" t="inlineStr">
        <is>
          <t>Ardèche</t>
        </is>
      </c>
      <c r="C80" t="inlineStr">
        <is>
          <t>07</t>
        </is>
      </c>
      <c r="D80" s="3" t="n">
        <v>6048</v>
      </c>
      <c r="E80" s="13">
        <f>MIN($B$4+$B$5*D80,$B$6)</f>
        <v/>
      </c>
      <c r="F80" s="13">
        <f>$B$7</f>
        <v/>
      </c>
      <c r="G80" s="13">
        <f>E80+F80</f>
        <v/>
      </c>
      <c r="H80" s="13">
        <f>3*E80+F80</f>
        <v/>
      </c>
      <c r="I80">
        <f>IF(H80&gt;$B$8,"Oui","Non")</f>
        <v/>
      </c>
      <c r="J80" s="14">
        <f>IF(D80&gt;0,E80/D80,"")</f>
        <v/>
      </c>
    </row>
    <row r="81">
      <c r="A81" s="15" t="inlineStr">
        <is>
          <t>CC de Cèze Cévennes</t>
        </is>
      </c>
      <c r="B81" s="15" t="inlineStr">
        <is>
          <t>Ardèche, Gard</t>
        </is>
      </c>
      <c r="C81" s="15" t="inlineStr">
        <is>
          <t>07, 30</t>
        </is>
      </c>
      <c r="D81" s="16" t="n">
        <v>19141</v>
      </c>
      <c r="E81" s="17">
        <f>MIN($B$4+$B$5*D81,$B$6)</f>
        <v/>
      </c>
      <c r="F81" s="17">
        <f>$B$7</f>
        <v/>
      </c>
      <c r="G81" s="17">
        <f>E81+F81</f>
        <v/>
      </c>
      <c r="H81" s="17">
        <f>3*E81+F81</f>
        <v/>
      </c>
      <c r="I81" s="15">
        <f>IF(H81&gt;$B$8,"Oui","Non")</f>
        <v/>
      </c>
      <c r="J81" s="18">
        <f>IF(D81&gt;0,E81/D81,"")</f>
        <v/>
      </c>
    </row>
    <row r="82">
      <c r="A82" t="inlineStr">
        <is>
          <t>CC des Gorges de l'Ardèche</t>
        </is>
      </c>
      <c r="B82" t="inlineStr">
        <is>
          <t>Ardèche</t>
        </is>
      </c>
      <c r="C82" t="inlineStr">
        <is>
          <t>07</t>
        </is>
      </c>
      <c r="D82" s="3" t="n">
        <v>15681</v>
      </c>
      <c r="E82" s="13">
        <f>MIN($B$4+$B$5*D82,$B$6)</f>
        <v/>
      </c>
      <c r="F82" s="13">
        <f>$B$7</f>
        <v/>
      </c>
      <c r="G82" s="13">
        <f>E82+F82</f>
        <v/>
      </c>
      <c r="H82" s="13">
        <f>3*E82+F82</f>
        <v/>
      </c>
      <c r="I82">
        <f>IF(H82&gt;$B$8,"Oui","Non")</f>
        <v/>
      </c>
      <c r="J82" s="14">
        <f>IF(D82&gt;0,E82/D82,"")</f>
        <v/>
      </c>
    </row>
    <row r="83">
      <c r="A83" s="15" t="inlineStr">
        <is>
          <t>CC du Bassin d'Aubenas</t>
        </is>
      </c>
      <c r="B83" s="15" t="inlineStr">
        <is>
          <t>Ardèche</t>
        </is>
      </c>
      <c r="C83" s="15" t="inlineStr">
        <is>
          <t>07</t>
        </is>
      </c>
      <c r="D83" s="16" t="n">
        <v>40748</v>
      </c>
      <c r="E83" s="17">
        <f>MIN($B$4+$B$5*D83,$B$6)</f>
        <v/>
      </c>
      <c r="F83" s="17">
        <f>$B$7</f>
        <v/>
      </c>
      <c r="G83" s="17">
        <f>E83+F83</f>
        <v/>
      </c>
      <c r="H83" s="17">
        <f>3*E83+F83</f>
        <v/>
      </c>
      <c r="I83" s="15">
        <f>IF(H83&gt;$B$8,"Oui","Non")</f>
        <v/>
      </c>
      <c r="J83" s="18">
        <f>IF(D83&gt;0,E83/D83,"")</f>
        <v/>
      </c>
    </row>
    <row r="84">
      <c r="A84" t="inlineStr">
        <is>
          <t>CC du Pays Beaume-Drobie</t>
        </is>
      </c>
      <c r="B84" t="inlineStr">
        <is>
          <t>Ardèche</t>
        </is>
      </c>
      <c r="C84" t="inlineStr">
        <is>
          <t>07</t>
        </is>
      </c>
      <c r="D84" s="3" t="n">
        <v>9170</v>
      </c>
      <c r="E84" s="13">
        <f>MIN($B$4+$B$5*D84,$B$6)</f>
        <v/>
      </c>
      <c r="F84" s="13">
        <f>$B$7</f>
        <v/>
      </c>
      <c r="G84" s="13">
        <f>E84+F84</f>
        <v/>
      </c>
      <c r="H84" s="13">
        <f>3*E84+F84</f>
        <v/>
      </c>
      <c r="I84">
        <f>IF(H84&gt;$B$8,"Oui","Non")</f>
        <v/>
      </c>
      <c r="J84" s="14">
        <f>IF(D84&gt;0,E84/D84,"")</f>
        <v/>
      </c>
    </row>
    <row r="85">
      <c r="A85" s="15" t="inlineStr">
        <is>
          <t>CC du Pays de Lamastre</t>
        </is>
      </c>
      <c r="B85" s="15" t="inlineStr">
        <is>
          <t>Ardèche</t>
        </is>
      </c>
      <c r="C85" s="15" t="inlineStr">
        <is>
          <t>07</t>
        </is>
      </c>
      <c r="D85" s="16" t="n">
        <v>6678</v>
      </c>
      <c r="E85" s="17">
        <f>MIN($B$4+$B$5*D85,$B$6)</f>
        <v/>
      </c>
      <c r="F85" s="17">
        <f>$B$7</f>
        <v/>
      </c>
      <c r="G85" s="17">
        <f>E85+F85</f>
        <v/>
      </c>
      <c r="H85" s="17">
        <f>3*E85+F85</f>
        <v/>
      </c>
      <c r="I85" s="15">
        <f>IF(H85&gt;$B$8,"Oui","Non")</f>
        <v/>
      </c>
      <c r="J85" s="18">
        <f>IF(D85&gt;0,E85/D85,"")</f>
        <v/>
      </c>
    </row>
    <row r="86">
      <c r="A86" t="inlineStr">
        <is>
          <t>CC du Rhône aux Gorges de l'Ardèche</t>
        </is>
      </c>
      <c r="B86" t="inlineStr">
        <is>
          <t>Ardèche</t>
        </is>
      </c>
      <c r="C86" t="inlineStr">
        <is>
          <t>07</t>
        </is>
      </c>
      <c r="D86" s="3" t="n">
        <v>19145</v>
      </c>
      <c r="E86" s="13">
        <f>MIN($B$4+$B$5*D86,$B$6)</f>
        <v/>
      </c>
      <c r="F86" s="13">
        <f>$B$7</f>
        <v/>
      </c>
      <c r="G86" s="13">
        <f>E86+F86</f>
        <v/>
      </c>
      <c r="H86" s="13">
        <f>3*E86+F86</f>
        <v/>
      </c>
      <c r="I86">
        <f>IF(H86&gt;$B$8,"Oui","Non")</f>
        <v/>
      </c>
      <c r="J86" s="14">
        <f>IF(D86&gt;0,E86/D86,"")</f>
        <v/>
      </c>
    </row>
    <row r="87">
      <c r="A87" s="15" t="inlineStr">
        <is>
          <t>CC du Val d'Ay</t>
        </is>
      </c>
      <c r="B87" s="15" t="inlineStr">
        <is>
          <t>Ardèche</t>
        </is>
      </c>
      <c r="C87" s="15" t="inlineStr">
        <is>
          <t>07</t>
        </is>
      </c>
      <c r="D87" s="16" t="n">
        <v>5879</v>
      </c>
      <c r="E87" s="17">
        <f>MIN($B$4+$B$5*D87,$B$6)</f>
        <v/>
      </c>
      <c r="F87" s="17">
        <f>$B$7</f>
        <v/>
      </c>
      <c r="G87" s="17">
        <f>E87+F87</f>
        <v/>
      </c>
      <c r="H87" s="17">
        <f>3*E87+F87</f>
        <v/>
      </c>
      <c r="I87" s="15">
        <f>IF(H87&gt;$B$8,"Oui","Non")</f>
        <v/>
      </c>
      <c r="J87" s="18">
        <f>IF(D87&gt;0,E87/D87,"")</f>
        <v/>
      </c>
    </row>
    <row r="88">
      <c r="A88" t="inlineStr">
        <is>
          <t>CC Ardenne, Rives de Meuse</t>
        </is>
      </c>
      <c r="B88" t="inlineStr">
        <is>
          <t>Ardennes</t>
        </is>
      </c>
      <c r="C88" t="inlineStr">
        <is>
          <t>08</t>
        </is>
      </c>
      <c r="D88" s="3" t="n">
        <v>25753</v>
      </c>
      <c r="E88" s="13">
        <f>MIN($B$4+$B$5*D88,$B$6)</f>
        <v/>
      </c>
      <c r="F88" s="13">
        <f>$B$7</f>
        <v/>
      </c>
      <c r="G88" s="13">
        <f>E88+F88</f>
        <v/>
      </c>
      <c r="H88" s="13">
        <f>3*E88+F88</f>
        <v/>
      </c>
      <c r="I88">
        <f>IF(H88&gt;$B$8,"Oui","Non")</f>
        <v/>
      </c>
      <c r="J88" s="14">
        <f>IF(D88&gt;0,E88/D88,"")</f>
        <v/>
      </c>
    </row>
    <row r="89">
      <c r="A89" s="15" t="inlineStr">
        <is>
          <t>CC Ardennes Thiérache</t>
        </is>
      </c>
      <c r="B89" s="15" t="inlineStr">
        <is>
          <t>Ardennes</t>
        </is>
      </c>
      <c r="C89" s="15" t="inlineStr">
        <is>
          <t>08</t>
        </is>
      </c>
      <c r="D89" s="16" t="n">
        <v>9464</v>
      </c>
      <c r="E89" s="17">
        <f>MIN($B$4+$B$5*D89,$B$6)</f>
        <v/>
      </c>
      <c r="F89" s="17">
        <f>$B$7</f>
        <v/>
      </c>
      <c r="G89" s="17">
        <f>E89+F89</f>
        <v/>
      </c>
      <c r="H89" s="17">
        <f>3*E89+F89</f>
        <v/>
      </c>
      <c r="I89" s="15">
        <f>IF(H89&gt;$B$8,"Oui","Non")</f>
        <v/>
      </c>
      <c r="J89" s="18">
        <f>IF(D89&gt;0,E89/D89,"")</f>
        <v/>
      </c>
    </row>
    <row r="90">
      <c r="A90" t="inlineStr">
        <is>
          <t>CC Vallées et Plateau d'Ardenne</t>
        </is>
      </c>
      <c r="B90" t="inlineStr">
        <is>
          <t>Ardennes</t>
        </is>
      </c>
      <c r="C90" t="inlineStr">
        <is>
          <t>08</t>
        </is>
      </c>
      <c r="D90" s="3" t="n">
        <v>23974</v>
      </c>
      <c r="E90" s="13">
        <f>MIN($B$4+$B$5*D90,$B$6)</f>
        <v/>
      </c>
      <c r="F90" s="13">
        <f>$B$7</f>
        <v/>
      </c>
      <c r="G90" s="13">
        <f>E90+F90</f>
        <v/>
      </c>
      <c r="H90" s="13">
        <f>3*E90+F90</f>
        <v/>
      </c>
      <c r="I90">
        <f>IF(H90&gt;$B$8,"Oui","Non")</f>
        <v/>
      </c>
      <c r="J90" s="14">
        <f>IF(D90&gt;0,E90/D90,"")</f>
        <v/>
      </c>
    </row>
    <row r="91">
      <c r="A91" s="15" t="inlineStr">
        <is>
          <t>CC de l'Argonne Ardennaise</t>
        </is>
      </c>
      <c r="B91" s="15" t="inlineStr">
        <is>
          <t>Ardennes</t>
        </is>
      </c>
      <c r="C91" s="15" t="inlineStr">
        <is>
          <t>08</t>
        </is>
      </c>
      <c r="D91" s="16" t="n">
        <v>16486</v>
      </c>
      <c r="E91" s="17">
        <f>MIN($B$4+$B$5*D91,$B$6)</f>
        <v/>
      </c>
      <c r="F91" s="17">
        <f>$B$7</f>
        <v/>
      </c>
      <c r="G91" s="17">
        <f>E91+F91</f>
        <v/>
      </c>
      <c r="H91" s="17">
        <f>3*E91+F91</f>
        <v/>
      </c>
      <c r="I91" s="15">
        <f>IF(H91&gt;$B$8,"Oui","Non")</f>
        <v/>
      </c>
      <c r="J91" s="18">
        <f>IF(D91&gt;0,E91/D91,"")</f>
        <v/>
      </c>
    </row>
    <row r="92">
      <c r="A92" t="inlineStr">
        <is>
          <t>CC des Crêtes Préardennaises</t>
        </is>
      </c>
      <c r="B92" t="inlineStr">
        <is>
          <t>Ardennes</t>
        </is>
      </c>
      <c r="C92" t="inlineStr">
        <is>
          <t>08</t>
        </is>
      </c>
      <c r="D92" s="3" t="n">
        <v>21654</v>
      </c>
      <c r="E92" s="13">
        <f>MIN($B$4+$B$5*D92,$B$6)</f>
        <v/>
      </c>
      <c r="F92" s="13">
        <f>$B$7</f>
        <v/>
      </c>
      <c r="G92" s="13">
        <f>E92+F92</f>
        <v/>
      </c>
      <c r="H92" s="13">
        <f>3*E92+F92</f>
        <v/>
      </c>
      <c r="I92">
        <f>IF(H92&gt;$B$8,"Oui","Non")</f>
        <v/>
      </c>
      <c r="J92" s="14">
        <f>IF(D92&gt;0,E92/D92,"")</f>
        <v/>
      </c>
    </row>
    <row r="93">
      <c r="A93" s="15" t="inlineStr">
        <is>
          <t>CC des Portes du Luxembourg</t>
        </is>
      </c>
      <c r="B93" s="15" t="inlineStr">
        <is>
          <t>Ardennes</t>
        </is>
      </c>
      <c r="C93" s="15" t="inlineStr">
        <is>
          <t>08</t>
        </is>
      </c>
      <c r="D93" s="16" t="n">
        <v>19472</v>
      </c>
      <c r="E93" s="17">
        <f>MIN($B$4+$B$5*D93,$B$6)</f>
        <v/>
      </c>
      <c r="F93" s="17">
        <f>$B$7</f>
        <v/>
      </c>
      <c r="G93" s="17">
        <f>E93+F93</f>
        <v/>
      </c>
      <c r="H93" s="17">
        <f>3*E93+F93</f>
        <v/>
      </c>
      <c r="I93" s="15">
        <f>IF(H93&gt;$B$8,"Oui","Non")</f>
        <v/>
      </c>
      <c r="J93" s="18">
        <f>IF(D93&gt;0,E93/D93,"")</f>
        <v/>
      </c>
    </row>
    <row r="94">
      <c r="A94" t="inlineStr">
        <is>
          <t>CC du Pays Rethélois</t>
        </is>
      </c>
      <c r="B94" t="inlineStr">
        <is>
          <t>Ardennes</t>
        </is>
      </c>
      <c r="C94" t="inlineStr">
        <is>
          <t>08</t>
        </is>
      </c>
      <c r="D94" s="3" t="n">
        <v>30021</v>
      </c>
      <c r="E94" s="13">
        <f>MIN($B$4+$B$5*D94,$B$6)</f>
        <v/>
      </c>
      <c r="F94" s="13">
        <f>$B$7</f>
        <v/>
      </c>
      <c r="G94" s="13">
        <f>E94+F94</f>
        <v/>
      </c>
      <c r="H94" s="13">
        <f>3*E94+F94</f>
        <v/>
      </c>
      <c r="I94">
        <f>IF(H94&gt;$B$8,"Oui","Non")</f>
        <v/>
      </c>
      <c r="J94" s="14">
        <f>IF(D94&gt;0,E94/D94,"")</f>
        <v/>
      </c>
    </row>
    <row r="95">
      <c r="A95" s="15" t="inlineStr">
        <is>
          <t>CC Arize Lèze</t>
        </is>
      </c>
      <c r="B95" s="15" t="inlineStr">
        <is>
          <t>Ariège</t>
        </is>
      </c>
      <c r="C95" s="15" t="inlineStr">
        <is>
          <t>09</t>
        </is>
      </c>
      <c r="D95" s="16" t="n">
        <v>11064</v>
      </c>
      <c r="E95" s="17">
        <f>MIN($B$4+$B$5*D95,$B$6)</f>
        <v/>
      </c>
      <c r="F95" s="17">
        <f>$B$7</f>
        <v/>
      </c>
      <c r="G95" s="17">
        <f>E95+F95</f>
        <v/>
      </c>
      <c r="H95" s="17">
        <f>3*E95+F95</f>
        <v/>
      </c>
      <c r="I95" s="15">
        <f>IF(H95&gt;$B$8,"Oui","Non")</f>
        <v/>
      </c>
      <c r="J95" s="18">
        <f>IF(D95&gt;0,E95/D95,"")</f>
        <v/>
      </c>
    </row>
    <row r="96">
      <c r="A96" t="inlineStr">
        <is>
          <t>CC Couserans-Pyrénées</t>
        </is>
      </c>
      <c r="B96" t="inlineStr">
        <is>
          <t>Ariège</t>
        </is>
      </c>
      <c r="C96" t="inlineStr">
        <is>
          <t>09</t>
        </is>
      </c>
      <c r="D96" s="3" t="n">
        <v>30003</v>
      </c>
      <c r="E96" s="13">
        <f>MIN($B$4+$B$5*D96,$B$6)</f>
        <v/>
      </c>
      <c r="F96" s="13">
        <f>$B$7</f>
        <v/>
      </c>
      <c r="G96" s="13">
        <f>E96+F96</f>
        <v/>
      </c>
      <c r="H96" s="13">
        <f>3*E96+F96</f>
        <v/>
      </c>
      <c r="I96">
        <f>IF(H96&gt;$B$8,"Oui","Non")</f>
        <v/>
      </c>
      <c r="J96" s="14">
        <f>IF(D96&gt;0,E96/D96,"")</f>
        <v/>
      </c>
    </row>
    <row r="97">
      <c r="A97" s="15" t="inlineStr">
        <is>
          <t>CC de la Haute Ariège</t>
        </is>
      </c>
      <c r="B97" s="15" t="inlineStr">
        <is>
          <t>Ariège</t>
        </is>
      </c>
      <c r="C97" s="15" t="inlineStr">
        <is>
          <t>09</t>
        </is>
      </c>
      <c r="D97" s="16" t="n">
        <v>7149</v>
      </c>
      <c r="E97" s="17">
        <f>MIN($B$4+$B$5*D97,$B$6)</f>
        <v/>
      </c>
      <c r="F97" s="17">
        <f>$B$7</f>
        <v/>
      </c>
      <c r="G97" s="17">
        <f>E97+F97</f>
        <v/>
      </c>
      <c r="H97" s="17">
        <f>3*E97+F97</f>
        <v/>
      </c>
      <c r="I97" s="15">
        <f>IF(H97&gt;$B$8,"Oui","Non")</f>
        <v/>
      </c>
      <c r="J97" s="18">
        <f>IF(D97&gt;0,E97/D97,"")</f>
        <v/>
      </c>
    </row>
    <row r="98">
      <c r="A98" t="inlineStr">
        <is>
          <t>CC des Portes d'Ariège Pyrénées</t>
        </is>
      </c>
      <c r="B98" t="inlineStr">
        <is>
          <t>Ariège</t>
        </is>
      </c>
      <c r="C98" t="inlineStr">
        <is>
          <t>09</t>
        </is>
      </c>
      <c r="D98" s="3" t="n">
        <v>40642</v>
      </c>
      <c r="E98" s="13">
        <f>MIN($B$4+$B$5*D98,$B$6)</f>
        <v/>
      </c>
      <c r="F98" s="13">
        <f>$B$7</f>
        <v/>
      </c>
      <c r="G98" s="13">
        <f>E98+F98</f>
        <v/>
      </c>
      <c r="H98" s="13">
        <f>3*E98+F98</f>
        <v/>
      </c>
      <c r="I98">
        <f>IF(H98&gt;$B$8,"Oui","Non")</f>
        <v/>
      </c>
      <c r="J98" s="14">
        <f>IF(D98&gt;0,E98/D98,"")</f>
        <v/>
      </c>
    </row>
    <row r="99">
      <c r="A99" s="15" t="inlineStr">
        <is>
          <t>CC du Pays d'Olmes</t>
        </is>
      </c>
      <c r="B99" s="15" t="inlineStr">
        <is>
          <t>Ariège</t>
        </is>
      </c>
      <c r="C99" s="15" t="inlineStr">
        <is>
          <t>09</t>
        </is>
      </c>
      <c r="D99" s="16" t="n">
        <v>14774</v>
      </c>
      <c r="E99" s="17">
        <f>MIN($B$4+$B$5*D99,$B$6)</f>
        <v/>
      </c>
      <c r="F99" s="17">
        <f>$B$7</f>
        <v/>
      </c>
      <c r="G99" s="17">
        <f>E99+F99</f>
        <v/>
      </c>
      <c r="H99" s="17">
        <f>3*E99+F99</f>
        <v/>
      </c>
      <c r="I99" s="15">
        <f>IF(H99&gt;$B$8,"Oui","Non")</f>
        <v/>
      </c>
      <c r="J99" s="18">
        <f>IF(D99&gt;0,E99/D99,"")</f>
        <v/>
      </c>
    </row>
    <row r="100">
      <c r="A100" t="inlineStr">
        <is>
          <t>CC du Pays de Mirepoix</t>
        </is>
      </c>
      <c r="B100" t="inlineStr">
        <is>
          <t>Ariège</t>
        </is>
      </c>
      <c r="C100" t="inlineStr">
        <is>
          <t>09</t>
        </is>
      </c>
      <c r="D100" s="3" t="n">
        <v>10584</v>
      </c>
      <c r="E100" s="13">
        <f>MIN($B$4+$B$5*D100,$B$6)</f>
        <v/>
      </c>
      <c r="F100" s="13">
        <f>$B$7</f>
        <v/>
      </c>
      <c r="G100" s="13">
        <f>E100+F100</f>
        <v/>
      </c>
      <c r="H100" s="13">
        <f>3*E100+F100</f>
        <v/>
      </c>
      <c r="I100">
        <f>IF(H100&gt;$B$8,"Oui","Non")</f>
        <v/>
      </c>
      <c r="J100" s="14">
        <f>IF(D100&gt;0,E100/D100,"")</f>
        <v/>
      </c>
    </row>
    <row r="101">
      <c r="A101" s="15" t="inlineStr">
        <is>
          <t>CC du Pays de Tarascon</t>
        </is>
      </c>
      <c r="B101" s="15" t="inlineStr">
        <is>
          <t>Ariège</t>
        </is>
      </c>
      <c r="C101" s="15" t="inlineStr">
        <is>
          <t>09</t>
        </is>
      </c>
      <c r="D101" s="16" t="n">
        <v>8581</v>
      </c>
      <c r="E101" s="17">
        <f>MIN($B$4+$B$5*D101,$B$6)</f>
        <v/>
      </c>
      <c r="F101" s="17">
        <f>$B$7</f>
        <v/>
      </c>
      <c r="G101" s="17">
        <f>E101+F101</f>
        <v/>
      </c>
      <c r="H101" s="17">
        <f>3*E101+F101</f>
        <v/>
      </c>
      <c r="I101" s="15">
        <f>IF(H101&gt;$B$8,"Oui","Non")</f>
        <v/>
      </c>
      <c r="J101" s="18">
        <f>IF(D101&gt;0,E101/D101,"")</f>
        <v/>
      </c>
    </row>
    <row r="102">
      <c r="A102" t="inlineStr">
        <is>
          <t>CC Forêts, Lacs, Terres en Champagne</t>
        </is>
      </c>
      <c r="B102" t="inlineStr">
        <is>
          <t>Aube</t>
        </is>
      </c>
      <c r="C102" t="inlineStr">
        <is>
          <t>10</t>
        </is>
      </c>
      <c r="D102" s="3" t="n">
        <v>6811</v>
      </c>
      <c r="E102" s="13">
        <f>MIN($B$4+$B$5*D102,$B$6)</f>
        <v/>
      </c>
      <c r="F102" s="13">
        <f>$B$7</f>
        <v/>
      </c>
      <c r="G102" s="13">
        <f>E102+F102</f>
        <v/>
      </c>
      <c r="H102" s="13">
        <f>3*E102+F102</f>
        <v/>
      </c>
      <c r="I102">
        <f>IF(H102&gt;$B$8,"Oui","Non")</f>
        <v/>
      </c>
      <c r="J102" s="14">
        <f>IF(D102&gt;0,E102/D102,"")</f>
        <v/>
      </c>
    </row>
    <row r="103">
      <c r="A103" s="15" t="inlineStr">
        <is>
          <t>CC Seine et Aube</t>
        </is>
      </c>
      <c r="B103" s="15" t="inlineStr">
        <is>
          <t>Aube</t>
        </is>
      </c>
      <c r="C103" s="15" t="inlineStr">
        <is>
          <t>10</t>
        </is>
      </c>
      <c r="D103" s="16" t="n">
        <v>10213</v>
      </c>
      <c r="E103" s="17">
        <f>MIN($B$4+$B$5*D103,$B$6)</f>
        <v/>
      </c>
      <c r="F103" s="17">
        <f>$B$7</f>
        <v/>
      </c>
      <c r="G103" s="17">
        <f>E103+F103</f>
        <v/>
      </c>
      <c r="H103" s="17">
        <f>3*E103+F103</f>
        <v/>
      </c>
      <c r="I103" s="15">
        <f>IF(H103&gt;$B$8,"Oui","Non")</f>
        <v/>
      </c>
      <c r="J103" s="18">
        <f>IF(D103&gt;0,E103/D103,"")</f>
        <v/>
      </c>
    </row>
    <row r="104">
      <c r="A104" t="inlineStr">
        <is>
          <t>CC d'Arcis, Mailly, Ramerupt</t>
        </is>
      </c>
      <c r="B104" t="inlineStr">
        <is>
          <t>Aube</t>
        </is>
      </c>
      <c r="C104" t="inlineStr">
        <is>
          <t>10</t>
        </is>
      </c>
      <c r="D104" s="3" t="n">
        <v>11802</v>
      </c>
      <c r="E104" s="13">
        <f>MIN($B$4+$B$5*D104,$B$6)</f>
        <v/>
      </c>
      <c r="F104" s="13">
        <f>$B$7</f>
        <v/>
      </c>
      <c r="G104" s="13">
        <f>E104+F104</f>
        <v/>
      </c>
      <c r="H104" s="13">
        <f>3*E104+F104</f>
        <v/>
      </c>
      <c r="I104">
        <f>IF(H104&gt;$B$8,"Oui","Non")</f>
        <v/>
      </c>
      <c r="J104" s="14">
        <f>IF(D104&gt;0,E104/D104,"")</f>
        <v/>
      </c>
    </row>
    <row r="105">
      <c r="A105" s="15" t="inlineStr">
        <is>
          <t>CC de Vendeuvre-Soulaines</t>
        </is>
      </c>
      <c r="B105" s="15" t="inlineStr">
        <is>
          <t>Aube</t>
        </is>
      </c>
      <c r="C105" s="15" t="inlineStr">
        <is>
          <t>10</t>
        </is>
      </c>
      <c r="D105" s="16" t="n">
        <v>7359</v>
      </c>
      <c r="E105" s="17">
        <f>MIN($B$4+$B$5*D105,$B$6)</f>
        <v/>
      </c>
      <c r="F105" s="17">
        <f>$B$7</f>
        <v/>
      </c>
      <c r="G105" s="17">
        <f>E105+F105</f>
        <v/>
      </c>
      <c r="H105" s="17">
        <f>3*E105+F105</f>
        <v/>
      </c>
      <c r="I105" s="15">
        <f>IF(H105&gt;$B$8,"Oui","Non")</f>
        <v/>
      </c>
      <c r="J105" s="18">
        <f>IF(D105&gt;0,E105/D105,"")</f>
        <v/>
      </c>
    </row>
    <row r="106">
      <c r="A106" t="inlineStr">
        <is>
          <t>CC de l'Orvin et de l'Ardusson</t>
        </is>
      </c>
      <c r="B106" t="inlineStr">
        <is>
          <t>Aube</t>
        </is>
      </c>
      <c r="C106" t="inlineStr">
        <is>
          <t>10</t>
        </is>
      </c>
      <c r="D106" s="3" t="n">
        <v>8459</v>
      </c>
      <c r="E106" s="13">
        <f>MIN($B$4+$B$5*D106,$B$6)</f>
        <v/>
      </c>
      <c r="F106" s="13">
        <f>$B$7</f>
        <v/>
      </c>
      <c r="G106" s="13">
        <f>E106+F106</f>
        <v/>
      </c>
      <c r="H106" s="13">
        <f>3*E106+F106</f>
        <v/>
      </c>
      <c r="I106">
        <f>IF(H106&gt;$B$8,"Oui","Non")</f>
        <v/>
      </c>
      <c r="J106" s="14">
        <f>IF(D106&gt;0,E106/D106,"")</f>
        <v/>
      </c>
    </row>
    <row r="107">
      <c r="A107" s="15" t="inlineStr">
        <is>
          <t>CC de la Région de Bar sur Aube</t>
        </is>
      </c>
      <c r="B107" s="15" t="inlineStr">
        <is>
          <t>Aube</t>
        </is>
      </c>
      <c r="C107" s="15" t="inlineStr">
        <is>
          <t>10</t>
        </is>
      </c>
      <c r="D107" s="16" t="n">
        <v>10543</v>
      </c>
      <c r="E107" s="17">
        <f>MIN($B$4+$B$5*D107,$B$6)</f>
        <v/>
      </c>
      <c r="F107" s="17">
        <f>$B$7</f>
        <v/>
      </c>
      <c r="G107" s="17">
        <f>E107+F107</f>
        <v/>
      </c>
      <c r="H107" s="17">
        <f>3*E107+F107</f>
        <v/>
      </c>
      <c r="I107" s="15">
        <f>IF(H107&gt;$B$8,"Oui","Non")</f>
        <v/>
      </c>
      <c r="J107" s="18">
        <f>IF(D107&gt;0,E107/D107,"")</f>
        <v/>
      </c>
    </row>
    <row r="108">
      <c r="A108" t="inlineStr">
        <is>
          <t>CC des Lacs de Champagne</t>
        </is>
      </c>
      <c r="B108" t="inlineStr">
        <is>
          <t>Aube</t>
        </is>
      </c>
      <c r="C108" t="inlineStr">
        <is>
          <t>10</t>
        </is>
      </c>
      <c r="D108" s="3" t="n">
        <v>8976</v>
      </c>
      <c r="E108" s="13">
        <f>MIN($B$4+$B$5*D108,$B$6)</f>
        <v/>
      </c>
      <c r="F108" s="13">
        <f>$B$7</f>
        <v/>
      </c>
      <c r="G108" s="13">
        <f>E108+F108</f>
        <v/>
      </c>
      <c r="H108" s="13">
        <f>3*E108+F108</f>
        <v/>
      </c>
      <c r="I108">
        <f>IF(H108&gt;$B$8,"Oui","Non")</f>
        <v/>
      </c>
      <c r="J108" s="14">
        <f>IF(D108&gt;0,E108/D108,"")</f>
        <v/>
      </c>
    </row>
    <row r="109">
      <c r="A109" s="15" t="inlineStr">
        <is>
          <t>CC des Portes de Romilly sur Seine</t>
        </is>
      </c>
      <c r="B109" s="15" t="inlineStr">
        <is>
          <t>Aube</t>
        </is>
      </c>
      <c r="C109" s="15" t="inlineStr">
        <is>
          <t>10</t>
        </is>
      </c>
      <c r="D109" s="16" t="n">
        <v>18846</v>
      </c>
      <c r="E109" s="17">
        <f>MIN($B$4+$B$5*D109,$B$6)</f>
        <v/>
      </c>
      <c r="F109" s="17">
        <f>$B$7</f>
        <v/>
      </c>
      <c r="G109" s="17">
        <f>E109+F109</f>
        <v/>
      </c>
      <c r="H109" s="17">
        <f>3*E109+F109</f>
        <v/>
      </c>
      <c r="I109" s="15">
        <f>IF(H109&gt;$B$8,"Oui","Non")</f>
        <v/>
      </c>
      <c r="J109" s="18">
        <f>IF(D109&gt;0,E109/D109,"")</f>
        <v/>
      </c>
    </row>
    <row r="110">
      <c r="A110" t="inlineStr">
        <is>
          <t>CC du Barséquanais en Champagne</t>
        </is>
      </c>
      <c r="B110" t="inlineStr">
        <is>
          <t>Aube</t>
        </is>
      </c>
      <c r="C110" t="inlineStr">
        <is>
          <t>10</t>
        </is>
      </c>
      <c r="D110" s="3" t="n">
        <v>18320</v>
      </c>
      <c r="E110" s="13">
        <f>MIN($B$4+$B$5*D110,$B$6)</f>
        <v/>
      </c>
      <c r="F110" s="13">
        <f>$B$7</f>
        <v/>
      </c>
      <c r="G110" s="13">
        <f>E110+F110</f>
        <v/>
      </c>
      <c r="H110" s="13">
        <f>3*E110+F110</f>
        <v/>
      </c>
      <c r="I110">
        <f>IF(H110&gt;$B$8,"Oui","Non")</f>
        <v/>
      </c>
      <c r="J110" s="14">
        <f>IF(D110&gt;0,E110/D110,"")</f>
        <v/>
      </c>
    </row>
    <row r="111">
      <c r="A111" s="15" t="inlineStr">
        <is>
          <t>CC du Chaourçois et du Val d'Armance</t>
        </is>
      </c>
      <c r="B111" s="15" t="inlineStr">
        <is>
          <t>Aube</t>
        </is>
      </c>
      <c r="C111" s="15" t="inlineStr">
        <is>
          <t>10</t>
        </is>
      </c>
      <c r="D111" s="16" t="n">
        <v>10293</v>
      </c>
      <c r="E111" s="17">
        <f>MIN($B$4+$B$5*D111,$B$6)</f>
        <v/>
      </c>
      <c r="F111" s="17">
        <f>$B$7</f>
        <v/>
      </c>
      <c r="G111" s="17">
        <f>E111+F111</f>
        <v/>
      </c>
      <c r="H111" s="17">
        <f>3*E111+F111</f>
        <v/>
      </c>
      <c r="I111" s="15">
        <f>IF(H111&gt;$B$8,"Oui","Non")</f>
        <v/>
      </c>
      <c r="J111" s="18">
        <f>IF(D111&gt;0,E111/D111,"")</f>
        <v/>
      </c>
    </row>
    <row r="112">
      <c r="A112" t="inlineStr">
        <is>
          <t>CC du Nogentais</t>
        </is>
      </c>
      <c r="B112" t="inlineStr">
        <is>
          <t>Aube</t>
        </is>
      </c>
      <c r="C112" t="inlineStr">
        <is>
          <t>10</t>
        </is>
      </c>
      <c r="D112" s="3" t="n">
        <v>16366</v>
      </c>
      <c r="E112" s="13">
        <f>MIN($B$4+$B$5*D112,$B$6)</f>
        <v/>
      </c>
      <c r="F112" s="13">
        <f>$B$7</f>
        <v/>
      </c>
      <c r="G112" s="13">
        <f>E112+F112</f>
        <v/>
      </c>
      <c r="H112" s="13">
        <f>3*E112+F112</f>
        <v/>
      </c>
      <c r="I112">
        <f>IF(H112&gt;$B$8,"Oui","Non")</f>
        <v/>
      </c>
      <c r="J112" s="14">
        <f>IF(D112&gt;0,E112/D112,"")</f>
        <v/>
      </c>
    </row>
    <row r="113">
      <c r="A113" s="15" t="inlineStr">
        <is>
          <t>CC du Pays d'Othe</t>
        </is>
      </c>
      <c r="B113" s="15" t="inlineStr">
        <is>
          <t>Aube</t>
        </is>
      </c>
      <c r="C113" s="15" t="inlineStr">
        <is>
          <t>10</t>
        </is>
      </c>
      <c r="D113" s="16" t="n">
        <v>7548</v>
      </c>
      <c r="E113" s="17">
        <f>MIN($B$4+$B$5*D113,$B$6)</f>
        <v/>
      </c>
      <c r="F113" s="17">
        <f>$B$7</f>
        <v/>
      </c>
      <c r="G113" s="17">
        <f>E113+F113</f>
        <v/>
      </c>
      <c r="H113" s="17">
        <f>3*E113+F113</f>
        <v/>
      </c>
      <c r="I113" s="15">
        <f>IF(H113&gt;$B$8,"Oui","Non")</f>
        <v/>
      </c>
      <c r="J113" s="18">
        <f>IF(D113&gt;0,E113/D113,"")</f>
        <v/>
      </c>
    </row>
    <row r="114">
      <c r="A114" t="inlineStr">
        <is>
          <t>CC Aux sources du Canal du Midi</t>
        </is>
      </c>
      <c r="B114" t="inlineStr">
        <is>
          <t>Aude, Haute-Garonne, Tarn</t>
        </is>
      </c>
      <c r="C114" t="inlineStr">
        <is>
          <t>11, 31, 81</t>
        </is>
      </c>
      <c r="D114" s="3" t="n">
        <v>21764</v>
      </c>
      <c r="E114" s="13">
        <f>MIN($B$4+$B$5*D114,$B$6)</f>
        <v/>
      </c>
      <c r="F114" s="13">
        <f>$B$7</f>
        <v/>
      </c>
      <c r="G114" s="13">
        <f>E114+F114</f>
        <v/>
      </c>
      <c r="H114" s="13">
        <f>3*E114+F114</f>
        <v/>
      </c>
      <c r="I114">
        <f>IF(H114&gt;$B$8,"Oui","Non")</f>
        <v/>
      </c>
      <c r="J114" s="14">
        <f>IF(D114&gt;0,E114/D114,"")</f>
        <v/>
      </c>
    </row>
    <row r="115">
      <c r="A115" s="15" t="inlineStr">
        <is>
          <t>CC Castelnaudary Lauragais Audois</t>
        </is>
      </c>
      <c r="B115" s="15" t="inlineStr">
        <is>
          <t>Aude</t>
        </is>
      </c>
      <c r="C115" s="15" t="inlineStr">
        <is>
          <t>11</t>
        </is>
      </c>
      <c r="D115" s="16" t="n">
        <v>27777</v>
      </c>
      <c r="E115" s="17">
        <f>MIN($B$4+$B$5*D115,$B$6)</f>
        <v/>
      </c>
      <c r="F115" s="17">
        <f>$B$7</f>
        <v/>
      </c>
      <c r="G115" s="17">
        <f>E115+F115</f>
        <v/>
      </c>
      <c r="H115" s="17">
        <f>3*E115+F115</f>
        <v/>
      </c>
      <c r="I115" s="15">
        <f>IF(H115&gt;$B$8,"Oui","Non")</f>
        <v/>
      </c>
      <c r="J115" s="18">
        <f>IF(D115&gt;0,E115/D115,"")</f>
        <v/>
      </c>
    </row>
    <row r="116">
      <c r="A116" t="inlineStr">
        <is>
          <t>CC Corbières Salanque Méditerranée</t>
        </is>
      </c>
      <c r="B116" t="inlineStr">
        <is>
          <t>Aude, Pyrénées-Orientales</t>
        </is>
      </c>
      <c r="C116" t="inlineStr">
        <is>
          <t>11, 66</t>
        </is>
      </c>
      <c r="D116" s="3" t="n">
        <v>25195</v>
      </c>
      <c r="E116" s="13">
        <f>MIN($B$4+$B$5*D116,$B$6)</f>
        <v/>
      </c>
      <c r="F116" s="13">
        <f>$B$7</f>
        <v/>
      </c>
      <c r="G116" s="13">
        <f>E116+F116</f>
        <v/>
      </c>
      <c r="H116" s="13">
        <f>3*E116+F116</f>
        <v/>
      </c>
      <c r="I116">
        <f>IF(H116&gt;$B$8,"Oui","Non")</f>
        <v/>
      </c>
      <c r="J116" s="14">
        <f>IF(D116&gt;0,E116/D116,"")</f>
        <v/>
      </c>
    </row>
    <row r="117">
      <c r="A117" s="15" t="inlineStr">
        <is>
          <t>CC Piège Lauragais Malepère</t>
        </is>
      </c>
      <c r="B117" s="15" t="inlineStr">
        <is>
          <t>Aude</t>
        </is>
      </c>
      <c r="C117" s="15" t="inlineStr">
        <is>
          <t>11</t>
        </is>
      </c>
      <c r="D117" s="16" t="n">
        <v>16299</v>
      </c>
      <c r="E117" s="17">
        <f>MIN($B$4+$B$5*D117,$B$6)</f>
        <v/>
      </c>
      <c r="F117" s="17">
        <f>$B$7</f>
        <v/>
      </c>
      <c r="G117" s="17">
        <f>E117+F117</f>
        <v/>
      </c>
      <c r="H117" s="17">
        <f>3*E117+F117</f>
        <v/>
      </c>
      <c r="I117" s="15">
        <f>IF(H117&gt;$B$8,"Oui","Non")</f>
        <v/>
      </c>
      <c r="J117" s="18">
        <f>IF(D117&gt;0,E117/D117,"")</f>
        <v/>
      </c>
    </row>
    <row r="118">
      <c r="A118" t="inlineStr">
        <is>
          <t>CC Pyrénées audoises</t>
        </is>
      </c>
      <c r="B118" t="inlineStr">
        <is>
          <t>Aude</t>
        </is>
      </c>
      <c r="C118" t="inlineStr">
        <is>
          <t>11</t>
        </is>
      </c>
      <c r="D118" s="3" t="n">
        <v>13522</v>
      </c>
      <c r="E118" s="13">
        <f>MIN($B$4+$B$5*D118,$B$6)</f>
        <v/>
      </c>
      <c r="F118" s="13">
        <f>$B$7</f>
        <v/>
      </c>
      <c r="G118" s="13">
        <f>E118+F118</f>
        <v/>
      </c>
      <c r="H118" s="13">
        <f>3*E118+F118</f>
        <v/>
      </c>
      <c r="I118">
        <f>IF(H118&gt;$B$8,"Oui","Non")</f>
        <v/>
      </c>
      <c r="J118" s="14">
        <f>IF(D118&gt;0,E118/D118,"")</f>
        <v/>
      </c>
    </row>
    <row r="119">
      <c r="A119" s="15" t="inlineStr">
        <is>
          <t>CC Région Lézignanaise, Corbières et Minervois</t>
        </is>
      </c>
      <c r="B119" s="15" t="inlineStr">
        <is>
          <t>Aude</t>
        </is>
      </c>
      <c r="C119" s="15" t="inlineStr">
        <is>
          <t>11</t>
        </is>
      </c>
      <c r="D119" s="16" t="n">
        <v>33313</v>
      </c>
      <c r="E119" s="17">
        <f>MIN($B$4+$B$5*D119,$B$6)</f>
        <v/>
      </c>
      <c r="F119" s="17">
        <f>$B$7</f>
        <v/>
      </c>
      <c r="G119" s="17">
        <f>E119+F119</f>
        <v/>
      </c>
      <c r="H119" s="17">
        <f>3*E119+F119</f>
        <v/>
      </c>
      <c r="I119" s="15">
        <f>IF(H119&gt;$B$8,"Oui","Non")</f>
        <v/>
      </c>
      <c r="J119" s="18">
        <f>IF(D119&gt;0,E119/D119,"")</f>
        <v/>
      </c>
    </row>
    <row r="120">
      <c r="A120" t="inlineStr">
        <is>
          <t>CC de la Montagne Noire</t>
        </is>
      </c>
      <c r="B120" t="inlineStr">
        <is>
          <t>Aude</t>
        </is>
      </c>
      <c r="C120" t="inlineStr">
        <is>
          <t>11</t>
        </is>
      </c>
      <c r="D120" s="3" t="n">
        <v>5972</v>
      </c>
      <c r="E120" s="13">
        <f>MIN($B$4+$B$5*D120,$B$6)</f>
        <v/>
      </c>
      <c r="F120" s="13">
        <f>$B$7</f>
        <v/>
      </c>
      <c r="G120" s="13">
        <f>E120+F120</f>
        <v/>
      </c>
      <c r="H120" s="13">
        <f>3*E120+F120</f>
        <v/>
      </c>
      <c r="I120">
        <f>IF(H120&gt;$B$8,"Oui","Non")</f>
        <v/>
      </c>
      <c r="J120" s="14">
        <f>IF(D120&gt;0,E120/D120,"")</f>
        <v/>
      </c>
    </row>
    <row r="121">
      <c r="A121" s="15" t="inlineStr">
        <is>
          <t>CC du Limouxin</t>
        </is>
      </c>
      <c r="B121" s="15" t="inlineStr">
        <is>
          <t>Aude</t>
        </is>
      </c>
      <c r="C121" s="15" t="inlineStr">
        <is>
          <t>11</t>
        </is>
      </c>
      <c r="D121" s="16" t="n">
        <v>27873</v>
      </c>
      <c r="E121" s="17">
        <f>MIN($B$4+$B$5*D121,$B$6)</f>
        <v/>
      </c>
      <c r="F121" s="17">
        <f>$B$7</f>
        <v/>
      </c>
      <c r="G121" s="17">
        <f>E121+F121</f>
        <v/>
      </c>
      <c r="H121" s="17">
        <f>3*E121+F121</f>
        <v/>
      </c>
      <c r="I121" s="15">
        <f>IF(H121&gt;$B$8,"Oui","Non")</f>
        <v/>
      </c>
      <c r="J121" s="18">
        <f>IF(D121&gt;0,E121/D121,"")</f>
        <v/>
      </c>
    </row>
    <row r="122">
      <c r="A122" t="inlineStr">
        <is>
          <t>CC Aubrac, Carladez et Viadène</t>
        </is>
      </c>
      <c r="B122" t="inlineStr">
        <is>
          <t>Aveyron</t>
        </is>
      </c>
      <c r="C122" t="inlineStr">
        <is>
          <t>12</t>
        </is>
      </c>
      <c r="D122" s="3" t="n">
        <v>9928</v>
      </c>
      <c r="E122" s="13">
        <f>MIN($B$4+$B$5*D122,$B$6)</f>
        <v/>
      </c>
      <c r="F122" s="13">
        <f>$B$7</f>
        <v/>
      </c>
      <c r="G122" s="13">
        <f>E122+F122</f>
        <v/>
      </c>
      <c r="H122" s="13">
        <f>3*E122+F122</f>
        <v/>
      </c>
      <c r="I122">
        <f>IF(H122&gt;$B$8,"Oui","Non")</f>
        <v/>
      </c>
      <c r="J122" s="14">
        <f>IF(D122&gt;0,E122/D122,"")</f>
        <v/>
      </c>
    </row>
    <row r="123">
      <c r="A123" s="15" t="inlineStr">
        <is>
          <t>CC Aveyron Bas Ségala Viaur</t>
        </is>
      </c>
      <c r="B123" s="15" t="inlineStr">
        <is>
          <t>Aveyron</t>
        </is>
      </c>
      <c r="C123" s="15" t="inlineStr">
        <is>
          <t>12</t>
        </is>
      </c>
      <c r="D123" s="16" t="n">
        <v>5573</v>
      </c>
      <c r="E123" s="17">
        <f>MIN($B$4+$B$5*D123,$B$6)</f>
        <v/>
      </c>
      <c r="F123" s="17">
        <f>$B$7</f>
        <v/>
      </c>
      <c r="G123" s="17">
        <f>E123+F123</f>
        <v/>
      </c>
      <c r="H123" s="17">
        <f>3*E123+F123</f>
        <v/>
      </c>
      <c r="I123" s="15">
        <f>IF(H123&gt;$B$8,"Oui","Non")</f>
        <v/>
      </c>
      <c r="J123" s="18">
        <f>IF(D123&gt;0,E123/D123,"")</f>
        <v/>
      </c>
    </row>
    <row r="124">
      <c r="A124" t="inlineStr">
        <is>
          <t>CC Comtal Lot et Truyère</t>
        </is>
      </c>
      <c r="B124" t="inlineStr">
        <is>
          <t>Aveyron</t>
        </is>
      </c>
      <c r="C124" t="inlineStr">
        <is>
          <t>12</t>
        </is>
      </c>
      <c r="D124" s="3" t="n">
        <v>19930</v>
      </c>
      <c r="E124" s="13">
        <f>MIN($B$4+$B$5*D124,$B$6)</f>
        <v/>
      </c>
      <c r="F124" s="13">
        <f>$B$7</f>
        <v/>
      </c>
      <c r="G124" s="13">
        <f>E124+F124</f>
        <v/>
      </c>
      <c r="H124" s="13">
        <f>3*E124+F124</f>
        <v/>
      </c>
      <c r="I124">
        <f>IF(H124&gt;$B$8,"Oui","Non")</f>
        <v/>
      </c>
      <c r="J124" s="14">
        <f>IF(D124&gt;0,E124/D124,"")</f>
        <v/>
      </c>
    </row>
    <row r="125">
      <c r="A125" s="15" t="inlineStr">
        <is>
          <t>CC Conques-Marcillac</t>
        </is>
      </c>
      <c r="B125" s="15" t="inlineStr">
        <is>
          <t>Aveyron</t>
        </is>
      </c>
      <c r="C125" s="15" t="inlineStr">
        <is>
          <t>12</t>
        </is>
      </c>
      <c r="D125" s="16" t="n">
        <v>12143</v>
      </c>
      <c r="E125" s="17">
        <f>MIN($B$4+$B$5*D125,$B$6)</f>
        <v/>
      </c>
      <c r="F125" s="17">
        <f>$B$7</f>
        <v/>
      </c>
      <c r="G125" s="17">
        <f>E125+F125</f>
        <v/>
      </c>
      <c r="H125" s="17">
        <f>3*E125+F125</f>
        <v/>
      </c>
      <c r="I125" s="15">
        <f>IF(H125&gt;$B$8,"Oui","Non")</f>
        <v/>
      </c>
      <c r="J125" s="18">
        <f>IF(D125&gt;0,E125/D125,"")</f>
        <v/>
      </c>
    </row>
    <row r="126">
      <c r="A126" t="inlineStr">
        <is>
          <t>CC Decazeville Communauté</t>
        </is>
      </c>
      <c r="B126" t="inlineStr">
        <is>
          <t>Aveyron</t>
        </is>
      </c>
      <c r="C126" t="inlineStr">
        <is>
          <t>12</t>
        </is>
      </c>
      <c r="D126" s="3" t="n">
        <v>17928</v>
      </c>
      <c r="E126" s="13">
        <f>MIN($B$4+$B$5*D126,$B$6)</f>
        <v/>
      </c>
      <c r="F126" s="13">
        <f>$B$7</f>
        <v/>
      </c>
      <c r="G126" s="13">
        <f>E126+F126</f>
        <v/>
      </c>
      <c r="H126" s="13">
        <f>3*E126+F126</f>
        <v/>
      </c>
      <c r="I126">
        <f>IF(H126&gt;$B$8,"Oui","Non")</f>
        <v/>
      </c>
      <c r="J126" s="14">
        <f>IF(D126&gt;0,E126/D126,"")</f>
        <v/>
      </c>
    </row>
    <row r="127">
      <c r="A127" s="15" t="inlineStr">
        <is>
          <t>CC Grand-Figeac</t>
        </is>
      </c>
      <c r="B127" s="15" t="inlineStr">
        <is>
          <t>Aveyron, Lot</t>
        </is>
      </c>
      <c r="C127" s="15" t="inlineStr">
        <is>
          <t>12, 46</t>
        </is>
      </c>
      <c r="D127" s="16" t="n">
        <v>43924</v>
      </c>
      <c r="E127" s="17">
        <f>MIN($B$4+$B$5*D127,$B$6)</f>
        <v/>
      </c>
      <c r="F127" s="17">
        <f>$B$7</f>
        <v/>
      </c>
      <c r="G127" s="17">
        <f>E127+F127</f>
        <v/>
      </c>
      <c r="H127" s="17">
        <f>3*E127+F127</f>
        <v/>
      </c>
      <c r="I127" s="15">
        <f>IF(H127&gt;$B$8,"Oui","Non")</f>
        <v/>
      </c>
      <c r="J127" s="18">
        <f>IF(D127&gt;0,E127/D127,"")</f>
        <v/>
      </c>
    </row>
    <row r="128">
      <c r="A128" t="inlineStr">
        <is>
          <t>CC Larzac et Vallées</t>
        </is>
      </c>
      <c r="B128" t="inlineStr">
        <is>
          <t>Aveyron</t>
        </is>
      </c>
      <c r="C128" t="inlineStr">
        <is>
          <t>12</t>
        </is>
      </c>
      <c r="D128" s="3" t="n">
        <v>6730</v>
      </c>
      <c r="E128" s="13">
        <f>MIN($B$4+$B$5*D128,$B$6)</f>
        <v/>
      </c>
      <c r="F128" s="13">
        <f>$B$7</f>
        <v/>
      </c>
      <c r="G128" s="13">
        <f>E128+F128</f>
        <v/>
      </c>
      <c r="H128" s="13">
        <f>3*E128+F128</f>
        <v/>
      </c>
      <c r="I128">
        <f>IF(H128&gt;$B$8,"Oui","Non")</f>
        <v/>
      </c>
      <c r="J128" s="14">
        <f>IF(D128&gt;0,E128/D128,"")</f>
        <v/>
      </c>
    </row>
    <row r="129">
      <c r="A129" s="15" t="inlineStr">
        <is>
          <t>CC Monts, Rance et Rougier</t>
        </is>
      </c>
      <c r="B129" s="15" t="inlineStr">
        <is>
          <t>Aveyron</t>
        </is>
      </c>
      <c r="C129" s="15" t="inlineStr">
        <is>
          <t>12</t>
        </is>
      </c>
      <c r="D129" s="16" t="n">
        <v>6323</v>
      </c>
      <c r="E129" s="17">
        <f>MIN($B$4+$B$5*D129,$B$6)</f>
        <v/>
      </c>
      <c r="F129" s="17">
        <f>$B$7</f>
        <v/>
      </c>
      <c r="G129" s="17">
        <f>E129+F129</f>
        <v/>
      </c>
      <c r="H129" s="17">
        <f>3*E129+F129</f>
        <v/>
      </c>
      <c r="I129" s="15">
        <f>IF(H129&gt;$B$8,"Oui","Non")</f>
        <v/>
      </c>
      <c r="J129" s="18">
        <f>IF(D129&gt;0,E129/D129,"")</f>
        <v/>
      </c>
    </row>
    <row r="130">
      <c r="A130" t="inlineStr">
        <is>
          <t>CC Ouest Aveyron Communauté</t>
        </is>
      </c>
      <c r="B130" t="inlineStr">
        <is>
          <t>Aveyron, Lot</t>
        </is>
      </c>
      <c r="C130" t="inlineStr">
        <is>
          <t>12, 46</t>
        </is>
      </c>
      <c r="D130" s="3" t="n">
        <v>27244</v>
      </c>
      <c r="E130" s="13">
        <f>MIN($B$4+$B$5*D130,$B$6)</f>
        <v/>
      </c>
      <c r="F130" s="13">
        <f>$B$7</f>
        <v/>
      </c>
      <c r="G130" s="13">
        <f>E130+F130</f>
        <v/>
      </c>
      <c r="H130" s="13">
        <f>3*E130+F130</f>
        <v/>
      </c>
      <c r="I130">
        <f>IF(H130&gt;$B$8,"Oui","Non")</f>
        <v/>
      </c>
      <c r="J130" s="14">
        <f>IF(D130&gt;0,E130/D130,"")</f>
        <v/>
      </c>
    </row>
    <row r="131">
      <c r="A131" s="15" t="inlineStr">
        <is>
          <t>CC Pays Ségali Communauté</t>
        </is>
      </c>
      <c r="B131" s="15" t="inlineStr">
        <is>
          <t>Aveyron</t>
        </is>
      </c>
      <c r="C131" s="15" t="inlineStr">
        <is>
          <t>12</t>
        </is>
      </c>
      <c r="D131" s="16" t="n">
        <v>18318</v>
      </c>
      <c r="E131" s="17">
        <f>MIN($B$4+$B$5*D131,$B$6)</f>
        <v/>
      </c>
      <c r="F131" s="17">
        <f>$B$7</f>
        <v/>
      </c>
      <c r="G131" s="17">
        <f>E131+F131</f>
        <v/>
      </c>
      <c r="H131" s="17">
        <f>3*E131+F131</f>
        <v/>
      </c>
      <c r="I131" s="15">
        <f>IF(H131&gt;$B$8,"Oui","Non")</f>
        <v/>
      </c>
      <c r="J131" s="18">
        <f>IF(D131&gt;0,E131/D131,"")</f>
        <v/>
      </c>
    </row>
    <row r="132">
      <c r="A132" t="inlineStr">
        <is>
          <t>CC Saint Affricain, Roquefort, Sept Vallons</t>
        </is>
      </c>
      <c r="B132" t="inlineStr">
        <is>
          <t>Aveyron</t>
        </is>
      </c>
      <c r="C132" t="inlineStr">
        <is>
          <t>12</t>
        </is>
      </c>
      <c r="D132" s="3" t="n">
        <v>13444</v>
      </c>
      <c r="E132" s="13">
        <f>MIN($B$4+$B$5*D132,$B$6)</f>
        <v/>
      </c>
      <c r="F132" s="13">
        <f>$B$7</f>
        <v/>
      </c>
      <c r="G132" s="13">
        <f>E132+F132</f>
        <v/>
      </c>
      <c r="H132" s="13">
        <f>3*E132+F132</f>
        <v/>
      </c>
      <c r="I132">
        <f>IF(H132&gt;$B$8,"Oui","Non")</f>
        <v/>
      </c>
      <c r="J132" s="14">
        <f>IF(D132&gt;0,E132/D132,"")</f>
        <v/>
      </c>
    </row>
    <row r="133">
      <c r="A133" s="15" t="inlineStr">
        <is>
          <t>CC de Lévézou Pareloup</t>
        </is>
      </c>
      <c r="B133" s="15" t="inlineStr">
        <is>
          <t>Aveyron</t>
        </is>
      </c>
      <c r="C133" s="15" t="inlineStr">
        <is>
          <t>12</t>
        </is>
      </c>
      <c r="D133" s="16" t="n">
        <v>5332</v>
      </c>
      <c r="E133" s="17">
        <f>MIN($B$4+$B$5*D133,$B$6)</f>
        <v/>
      </c>
      <c r="F133" s="17">
        <f>$B$7</f>
        <v/>
      </c>
      <c r="G133" s="17">
        <f>E133+F133</f>
        <v/>
      </c>
      <c r="H133" s="17">
        <f>3*E133+F133</f>
        <v/>
      </c>
      <c r="I133" s="15">
        <f>IF(H133&gt;$B$8,"Oui","Non")</f>
        <v/>
      </c>
      <c r="J133" s="18">
        <f>IF(D133&gt;0,E133/D133,"")</f>
        <v/>
      </c>
    </row>
    <row r="134">
      <c r="A134" t="inlineStr">
        <is>
          <t>CC de Millau Grands Causses</t>
        </is>
      </c>
      <c r="B134" t="inlineStr">
        <is>
          <t>Aveyron, Lozère</t>
        </is>
      </c>
      <c r="C134" t="inlineStr">
        <is>
          <t>12, 48</t>
        </is>
      </c>
      <c r="D134" s="3" t="n">
        <v>29374</v>
      </c>
      <c r="E134" s="13">
        <f>MIN($B$4+$B$5*D134,$B$6)</f>
        <v/>
      </c>
      <c r="F134" s="13">
        <f>$B$7</f>
        <v/>
      </c>
      <c r="G134" s="13">
        <f>E134+F134</f>
        <v/>
      </c>
      <c r="H134" s="13">
        <f>3*E134+F134</f>
        <v/>
      </c>
      <c r="I134">
        <f>IF(H134&gt;$B$8,"Oui","Non")</f>
        <v/>
      </c>
      <c r="J134" s="14">
        <f>IF(D134&gt;0,E134/D134,"")</f>
        <v/>
      </c>
    </row>
    <row r="135">
      <c r="A135" s="15" t="inlineStr">
        <is>
          <t>CC de la Muse et des Raspes du Tarn</t>
        </is>
      </c>
      <c r="B135" s="15" t="inlineStr">
        <is>
          <t>Aveyron</t>
        </is>
      </c>
      <c r="C135" s="15" t="inlineStr">
        <is>
          <t>12</t>
        </is>
      </c>
      <c r="D135" s="16" t="n">
        <v>5413</v>
      </c>
      <c r="E135" s="17">
        <f>MIN($B$4+$B$5*D135,$B$6)</f>
        <v/>
      </c>
      <c r="F135" s="17">
        <f>$B$7</f>
        <v/>
      </c>
      <c r="G135" s="17">
        <f>E135+F135</f>
        <v/>
      </c>
      <c r="H135" s="17">
        <f>3*E135+F135</f>
        <v/>
      </c>
      <c r="I135" s="15">
        <f>IF(H135&gt;$B$8,"Oui","Non")</f>
        <v/>
      </c>
      <c r="J135" s="18">
        <f>IF(D135&gt;0,E135/D135,"")</f>
        <v/>
      </c>
    </row>
    <row r="136">
      <c r="A136" t="inlineStr">
        <is>
          <t>CC des Causses à l'Aubrac</t>
        </is>
      </c>
      <c r="B136" t="inlineStr">
        <is>
          <t>Aveyron</t>
        </is>
      </c>
      <c r="C136" t="inlineStr">
        <is>
          <t>12</t>
        </is>
      </c>
      <c r="D136" s="3" t="n">
        <v>14487</v>
      </c>
      <c r="E136" s="13">
        <f>MIN($B$4+$B$5*D136,$B$6)</f>
        <v/>
      </c>
      <c r="F136" s="13">
        <f>$B$7</f>
        <v/>
      </c>
      <c r="G136" s="13">
        <f>E136+F136</f>
        <v/>
      </c>
      <c r="H136" s="13">
        <f>3*E136+F136</f>
        <v/>
      </c>
      <c r="I136">
        <f>IF(H136&gt;$B$8,"Oui","Non")</f>
        <v/>
      </c>
      <c r="J136" s="14">
        <f>IF(D136&gt;0,E136/D136,"")</f>
        <v/>
      </c>
    </row>
    <row r="137">
      <c r="A137" s="15" t="inlineStr">
        <is>
          <t>CC du Pays Rignacois</t>
        </is>
      </c>
      <c r="B137" s="15" t="inlineStr">
        <is>
          <t>Aveyron</t>
        </is>
      </c>
      <c r="C137" s="15" t="inlineStr">
        <is>
          <t>12</t>
        </is>
      </c>
      <c r="D137" s="16" t="n">
        <v>5579</v>
      </c>
      <c r="E137" s="17">
        <f>MIN($B$4+$B$5*D137,$B$6)</f>
        <v/>
      </c>
      <c r="F137" s="17">
        <f>$B$7</f>
        <v/>
      </c>
      <c r="G137" s="17">
        <f>E137+F137</f>
        <v/>
      </c>
      <c r="H137" s="17">
        <f>3*E137+F137</f>
        <v/>
      </c>
      <c r="I137" s="15">
        <f>IF(H137&gt;$B$8,"Oui","Non")</f>
        <v/>
      </c>
      <c r="J137" s="18">
        <f>IF(D137&gt;0,E137/D137,"")</f>
        <v/>
      </c>
    </row>
    <row r="138">
      <c r="A138" t="inlineStr">
        <is>
          <t>CC du Pays de Salars</t>
        </is>
      </c>
      <c r="B138" t="inlineStr">
        <is>
          <t>Aveyron</t>
        </is>
      </c>
      <c r="C138" t="inlineStr">
        <is>
          <t>12</t>
        </is>
      </c>
      <c r="D138" s="3" t="n">
        <v>8004</v>
      </c>
      <c r="E138" s="13">
        <f>MIN($B$4+$B$5*D138,$B$6)</f>
        <v/>
      </c>
      <c r="F138" s="13">
        <f>$B$7</f>
        <v/>
      </c>
      <c r="G138" s="13">
        <f>E138+F138</f>
        <v/>
      </c>
      <c r="H138" s="13">
        <f>3*E138+F138</f>
        <v/>
      </c>
      <c r="I138">
        <f>IF(H138&gt;$B$8,"Oui","Non")</f>
        <v/>
      </c>
      <c r="J138" s="14">
        <f>IF(D138&gt;0,E138/D138,"")</f>
        <v/>
      </c>
    </row>
    <row r="139">
      <c r="A139" s="15" t="inlineStr">
        <is>
          <t>CC du Plateau de Montbazens</t>
        </is>
      </c>
      <c r="B139" s="15" t="inlineStr">
        <is>
          <t>Aveyron</t>
        </is>
      </c>
      <c r="C139" s="15" t="inlineStr">
        <is>
          <t>12</t>
        </is>
      </c>
      <c r="D139" s="16" t="n">
        <v>6206</v>
      </c>
      <c r="E139" s="17">
        <f>MIN($B$4+$B$5*D139,$B$6)</f>
        <v/>
      </c>
      <c r="F139" s="17">
        <f>$B$7</f>
        <v/>
      </c>
      <c r="G139" s="17">
        <f>E139+F139</f>
        <v/>
      </c>
      <c r="H139" s="17">
        <f>3*E139+F139</f>
        <v/>
      </c>
      <c r="I139" s="15">
        <f>IF(H139&gt;$B$8,"Oui","Non")</f>
        <v/>
      </c>
      <c r="J139" s="18">
        <f>IF(D139&gt;0,E139/D139,"")</f>
        <v/>
      </c>
    </row>
    <row r="140">
      <c r="A140" t="inlineStr">
        <is>
          <t>CC du Réquistanais</t>
        </is>
      </c>
      <c r="B140" t="inlineStr">
        <is>
          <t>Aveyron</t>
        </is>
      </c>
      <c r="C140" t="inlineStr">
        <is>
          <t>12</t>
        </is>
      </c>
      <c r="D140" s="3" t="n">
        <v>5187</v>
      </c>
      <c r="E140" s="13">
        <f>MIN($B$4+$B$5*D140,$B$6)</f>
        <v/>
      </c>
      <c r="F140" s="13">
        <f>$B$7</f>
        <v/>
      </c>
      <c r="G140" s="13">
        <f>E140+F140</f>
        <v/>
      </c>
      <c r="H140" s="13">
        <f>3*E140+F140</f>
        <v/>
      </c>
      <c r="I140">
        <f>IF(H140&gt;$B$8,"Oui","Non")</f>
        <v/>
      </c>
      <c r="J140" s="14">
        <f>IF(D140&gt;0,E140/D140,"")</f>
        <v/>
      </c>
    </row>
    <row r="141">
      <c r="A141" s="15" t="inlineStr">
        <is>
          <t>CC Vallée des Baux-Alpilles (CC VBA)</t>
        </is>
      </c>
      <c r="B141" s="15" t="inlineStr">
        <is>
          <t>Bouches-du-Rhône</t>
        </is>
      </c>
      <c r="C141" s="15" t="inlineStr">
        <is>
          <t>13</t>
        </is>
      </c>
      <c r="D141" s="16" t="n">
        <v>27706</v>
      </c>
      <c r="E141" s="17">
        <f>MIN($B$4+$B$5*D141,$B$6)</f>
        <v/>
      </c>
      <c r="F141" s="17">
        <f>$B$7</f>
        <v/>
      </c>
      <c r="G141" s="17">
        <f>E141+F141</f>
        <v/>
      </c>
      <c r="H141" s="17">
        <f>3*E141+F141</f>
        <v/>
      </c>
      <c r="I141" s="15">
        <f>IF(H141&gt;$B$8,"Oui","Non")</f>
        <v/>
      </c>
      <c r="J141" s="18">
        <f>IF(D141&gt;0,E141/D141,"")</f>
        <v/>
      </c>
    </row>
    <row r="142">
      <c r="A142" t="inlineStr">
        <is>
          <t>CC Cingal-Suisse Normande</t>
        </is>
      </c>
      <c r="B142" t="inlineStr">
        <is>
          <t>Calvados</t>
        </is>
      </c>
      <c r="C142" t="inlineStr">
        <is>
          <t>14</t>
        </is>
      </c>
      <c r="D142" s="3" t="n">
        <v>23506</v>
      </c>
      <c r="E142" s="13">
        <f>MIN($B$4+$B$5*D142,$B$6)</f>
        <v/>
      </c>
      <c r="F142" s="13">
        <f>$B$7</f>
        <v/>
      </c>
      <c r="G142" s="13">
        <f>E142+F142</f>
        <v/>
      </c>
      <c r="H142" s="13">
        <f>3*E142+F142</f>
        <v/>
      </c>
      <c r="I142">
        <f>IF(H142&gt;$B$8,"Oui","Non")</f>
        <v/>
      </c>
      <c r="J142" s="14">
        <f>IF(D142&gt;0,E142/D142,"")</f>
        <v/>
      </c>
    </row>
    <row r="143">
      <c r="A143" s="15" t="inlineStr">
        <is>
          <t>CC Coeur Côte Fleurie</t>
        </is>
      </c>
      <c r="B143" s="15" t="inlineStr">
        <is>
          <t>Calvados</t>
        </is>
      </c>
      <c r="C143" s="15" t="inlineStr">
        <is>
          <t>14</t>
        </is>
      </c>
      <c r="D143" s="16" t="n">
        <v>20687</v>
      </c>
      <c r="E143" s="17">
        <f>MIN($B$4+$B$5*D143,$B$6)</f>
        <v/>
      </c>
      <c r="F143" s="17">
        <f>$B$7</f>
        <v/>
      </c>
      <c r="G143" s="17">
        <f>E143+F143</f>
        <v/>
      </c>
      <c r="H143" s="17">
        <f>3*E143+F143</f>
        <v/>
      </c>
      <c r="I143" s="15">
        <f>IF(H143&gt;$B$8,"Oui","Non")</f>
        <v/>
      </c>
      <c r="J143" s="18">
        <f>IF(D143&gt;0,E143/D143,"")</f>
        <v/>
      </c>
    </row>
    <row r="144">
      <c r="A144" t="inlineStr">
        <is>
          <t>CC Coeur de Nacre</t>
        </is>
      </c>
      <c r="B144" t="inlineStr">
        <is>
          <t>Calvados</t>
        </is>
      </c>
      <c r="C144" t="inlineStr">
        <is>
          <t>14</t>
        </is>
      </c>
      <c r="D144" s="3" t="n">
        <v>24161</v>
      </c>
      <c r="E144" s="13">
        <f>MIN($B$4+$B$5*D144,$B$6)</f>
        <v/>
      </c>
      <c r="F144" s="13">
        <f>$B$7</f>
        <v/>
      </c>
      <c r="G144" s="13">
        <f>E144+F144</f>
        <v/>
      </c>
      <c r="H144" s="13">
        <f>3*E144+F144</f>
        <v/>
      </c>
      <c r="I144">
        <f>IF(H144&gt;$B$8,"Oui","Non")</f>
        <v/>
      </c>
      <c r="J144" s="14">
        <f>IF(D144&gt;0,E144/D144,"")</f>
        <v/>
      </c>
    </row>
    <row r="145">
      <c r="A145" s="15" t="inlineStr">
        <is>
          <t>CC Intercom de la Vire au Noireau</t>
        </is>
      </c>
      <c r="B145" s="15" t="inlineStr">
        <is>
          <t>Calvados</t>
        </is>
      </c>
      <c r="C145" s="15" t="inlineStr">
        <is>
          <t>14</t>
        </is>
      </c>
      <c r="D145" s="16" t="n">
        <v>46187</v>
      </c>
      <c r="E145" s="17">
        <f>MIN($B$4+$B$5*D145,$B$6)</f>
        <v/>
      </c>
      <c r="F145" s="17">
        <f>$B$7</f>
        <v/>
      </c>
      <c r="G145" s="17">
        <f>E145+F145</f>
        <v/>
      </c>
      <c r="H145" s="17">
        <f>3*E145+F145</f>
        <v/>
      </c>
      <c r="I145" s="15">
        <f>IF(H145&gt;$B$8,"Oui","Non")</f>
        <v/>
      </c>
      <c r="J145" s="18">
        <f>IF(D145&gt;0,E145/D145,"")</f>
        <v/>
      </c>
    </row>
    <row r="146">
      <c r="A146" t="inlineStr">
        <is>
          <t>CC Isigny-Omaha Intercom</t>
        </is>
      </c>
      <c r="B146" t="inlineStr">
        <is>
          <t>Calvados</t>
        </is>
      </c>
      <c r="C146" t="inlineStr">
        <is>
          <t>14</t>
        </is>
      </c>
      <c r="D146" s="3" t="n">
        <v>26420</v>
      </c>
      <c r="E146" s="13">
        <f>MIN($B$4+$B$5*D146,$B$6)</f>
        <v/>
      </c>
      <c r="F146" s="13">
        <f>$B$7</f>
        <v/>
      </c>
      <c r="G146" s="13">
        <f>E146+F146</f>
        <v/>
      </c>
      <c r="H146" s="13">
        <f>3*E146+F146</f>
        <v/>
      </c>
      <c r="I146">
        <f>IF(H146&gt;$B$8,"Oui","Non")</f>
        <v/>
      </c>
      <c r="J146" s="14">
        <f>IF(D146&gt;0,E146/D146,"")</f>
        <v/>
      </c>
    </row>
    <row r="147">
      <c r="A147" s="15" t="inlineStr">
        <is>
          <t>CC Normandie-Cabourg-Pays d'Auge</t>
        </is>
      </c>
      <c r="B147" s="15" t="inlineStr">
        <is>
          <t>Calvados</t>
        </is>
      </c>
      <c r="C147" s="15" t="inlineStr">
        <is>
          <t>14</t>
        </is>
      </c>
      <c r="D147" s="16" t="n">
        <v>31566</v>
      </c>
      <c r="E147" s="17">
        <f>MIN($B$4+$B$5*D147,$B$6)</f>
        <v/>
      </c>
      <c r="F147" s="17">
        <f>$B$7</f>
        <v/>
      </c>
      <c r="G147" s="17">
        <f>E147+F147</f>
        <v/>
      </c>
      <c r="H147" s="17">
        <f>3*E147+F147</f>
        <v/>
      </c>
      <c r="I147" s="15">
        <f>IF(H147&gt;$B$8,"Oui","Non")</f>
        <v/>
      </c>
      <c r="J147" s="18">
        <f>IF(D147&gt;0,E147/D147,"")</f>
        <v/>
      </c>
    </row>
    <row r="148">
      <c r="A148" t="inlineStr">
        <is>
          <t>CC Pré-Bocage Intercom</t>
        </is>
      </c>
      <c r="B148" t="inlineStr">
        <is>
          <t>Calvados</t>
        </is>
      </c>
      <c r="C148" t="inlineStr">
        <is>
          <t>14</t>
        </is>
      </c>
      <c r="D148" s="3" t="n">
        <v>24984</v>
      </c>
      <c r="E148" s="13">
        <f>MIN($B$4+$B$5*D148,$B$6)</f>
        <v/>
      </c>
      <c r="F148" s="13">
        <f>$B$7</f>
        <v/>
      </c>
      <c r="G148" s="13">
        <f>E148+F148</f>
        <v/>
      </c>
      <c r="H148" s="13">
        <f>3*E148+F148</f>
        <v/>
      </c>
      <c r="I148">
        <f>IF(H148&gt;$B$8,"Oui","Non")</f>
        <v/>
      </c>
      <c r="J148" s="14">
        <f>IF(D148&gt;0,E148/D148,"")</f>
        <v/>
      </c>
    </row>
    <row r="149">
      <c r="A149" s="15" t="inlineStr">
        <is>
          <t>CC Seulles Terre et Mer</t>
        </is>
      </c>
      <c r="B149" s="15" t="inlineStr">
        <is>
          <t>Calvados</t>
        </is>
      </c>
      <c r="C149" s="15" t="inlineStr">
        <is>
          <t>14</t>
        </is>
      </c>
      <c r="D149" s="16" t="n">
        <v>17577</v>
      </c>
      <c r="E149" s="17">
        <f>MIN($B$4+$B$5*D149,$B$6)</f>
        <v/>
      </c>
      <c r="F149" s="17">
        <f>$B$7</f>
        <v/>
      </c>
      <c r="G149" s="17">
        <f>E149+F149</f>
        <v/>
      </c>
      <c r="H149" s="17">
        <f>3*E149+F149</f>
        <v/>
      </c>
      <c r="I149" s="15">
        <f>IF(H149&gt;$B$8,"Oui","Non")</f>
        <v/>
      </c>
      <c r="J149" s="18">
        <f>IF(D149&gt;0,E149/D149,"")</f>
        <v/>
      </c>
    </row>
    <row r="150">
      <c r="A150" t="inlineStr">
        <is>
          <t>CC Terre d'Auge</t>
        </is>
      </c>
      <c r="B150" t="inlineStr">
        <is>
          <t>Calvados</t>
        </is>
      </c>
      <c r="C150" t="inlineStr">
        <is>
          <t>14</t>
        </is>
      </c>
      <c r="D150" s="3" t="n">
        <v>19801</v>
      </c>
      <c r="E150" s="13">
        <f>MIN($B$4+$B$5*D150,$B$6)</f>
        <v/>
      </c>
      <c r="F150" s="13">
        <f>$B$7</f>
        <v/>
      </c>
      <c r="G150" s="13">
        <f>E150+F150</f>
        <v/>
      </c>
      <c r="H150" s="13">
        <f>3*E150+F150</f>
        <v/>
      </c>
      <c r="I150">
        <f>IF(H150&gt;$B$8,"Oui","Non")</f>
        <v/>
      </c>
      <c r="J150" s="14">
        <f>IF(D150&gt;0,E150/D150,"")</f>
        <v/>
      </c>
    </row>
    <row r="151">
      <c r="A151" s="15" t="inlineStr">
        <is>
          <t>CC Val ès Dunes</t>
        </is>
      </c>
      <c r="B151" s="15" t="inlineStr">
        <is>
          <t>Calvados</t>
        </is>
      </c>
      <c r="C151" s="15" t="inlineStr">
        <is>
          <t>14</t>
        </is>
      </c>
      <c r="D151" s="16" t="n">
        <v>20565</v>
      </c>
      <c r="E151" s="17">
        <f>MIN($B$4+$B$5*D151,$B$6)</f>
        <v/>
      </c>
      <c r="F151" s="17">
        <f>$B$7</f>
        <v/>
      </c>
      <c r="G151" s="17">
        <f>E151+F151</f>
        <v/>
      </c>
      <c r="H151" s="17">
        <f>3*E151+F151</f>
        <v/>
      </c>
      <c r="I151" s="15">
        <f>IF(H151&gt;$B$8,"Oui","Non")</f>
        <v/>
      </c>
      <c r="J151" s="18">
        <f>IF(D151&gt;0,E151/D151,"")</f>
        <v/>
      </c>
    </row>
    <row r="152">
      <c r="A152" t="inlineStr">
        <is>
          <t>CC Vallées de l'Orne et de l'Odon</t>
        </is>
      </c>
      <c r="B152" t="inlineStr">
        <is>
          <t>Calvados</t>
        </is>
      </c>
      <c r="C152" t="inlineStr">
        <is>
          <t>14</t>
        </is>
      </c>
      <c r="D152" s="3" t="n">
        <v>26436</v>
      </c>
      <c r="E152" s="13">
        <f>MIN($B$4+$B$5*D152,$B$6)</f>
        <v/>
      </c>
      <c r="F152" s="13">
        <f>$B$7</f>
        <v/>
      </c>
      <c r="G152" s="13">
        <f>E152+F152</f>
        <v/>
      </c>
      <c r="H152" s="13">
        <f>3*E152+F152</f>
        <v/>
      </c>
      <c r="I152">
        <f>IF(H152&gt;$B$8,"Oui","Non")</f>
        <v/>
      </c>
      <c r="J152" s="14">
        <f>IF(D152&gt;0,E152/D152,"")</f>
        <v/>
      </c>
    </row>
    <row r="153">
      <c r="A153" s="15" t="inlineStr">
        <is>
          <t>CC de Bayeux Intercom</t>
        </is>
      </c>
      <c r="B153" s="15" t="inlineStr">
        <is>
          <t>Calvados</t>
        </is>
      </c>
      <c r="C153" s="15" t="inlineStr">
        <is>
          <t>14</t>
        </is>
      </c>
      <c r="D153" s="16" t="n">
        <v>29939</v>
      </c>
      <c r="E153" s="17">
        <f>MIN($B$4+$B$5*D153,$B$6)</f>
        <v/>
      </c>
      <c r="F153" s="17">
        <f>$B$7</f>
        <v/>
      </c>
      <c r="G153" s="17">
        <f>E153+F153</f>
        <v/>
      </c>
      <c r="H153" s="17">
        <f>3*E153+F153</f>
        <v/>
      </c>
      <c r="I153" s="15">
        <f>IF(H153&gt;$B$8,"Oui","Non")</f>
        <v/>
      </c>
      <c r="J153" s="18">
        <f>IF(D153&gt;0,E153/D153,"")</f>
        <v/>
      </c>
    </row>
    <row r="154">
      <c r="A154" t="inlineStr">
        <is>
          <t>CC du Pays de Falaise</t>
        </is>
      </c>
      <c r="B154" t="inlineStr">
        <is>
          <t>Calvados</t>
        </is>
      </c>
      <c r="C154" t="inlineStr">
        <is>
          <t>14</t>
        </is>
      </c>
      <c r="D154" s="3" t="n">
        <v>27374</v>
      </c>
      <c r="E154" s="13">
        <f>MIN($B$4+$B$5*D154,$B$6)</f>
        <v/>
      </c>
      <c r="F154" s="13">
        <f>$B$7</f>
        <v/>
      </c>
      <c r="G154" s="13">
        <f>E154+F154</f>
        <v/>
      </c>
      <c r="H154" s="13">
        <f>3*E154+F154</f>
        <v/>
      </c>
      <c r="I154">
        <f>IF(H154&gt;$B$8,"Oui","Non")</f>
        <v/>
      </c>
      <c r="J154" s="14">
        <f>IF(D154&gt;0,E154/D154,"")</f>
        <v/>
      </c>
    </row>
    <row r="155">
      <c r="A155" s="15" t="inlineStr">
        <is>
          <t>CC du Pays de Honfleur-Beuzeville</t>
        </is>
      </c>
      <c r="B155" s="15" t="inlineStr">
        <is>
          <t>Calvados, Eure</t>
        </is>
      </c>
      <c r="C155" s="15" t="inlineStr">
        <is>
          <t>14, 27</t>
        </is>
      </c>
      <c r="D155" s="16" t="n">
        <v>27103</v>
      </c>
      <c r="E155" s="17">
        <f>MIN($B$4+$B$5*D155,$B$6)</f>
        <v/>
      </c>
      <c r="F155" s="17">
        <f>$B$7</f>
        <v/>
      </c>
      <c r="G155" s="17">
        <f>E155+F155</f>
        <v/>
      </c>
      <c r="H155" s="17">
        <f>3*E155+F155</f>
        <v/>
      </c>
      <c r="I155" s="15">
        <f>IF(H155&gt;$B$8,"Oui","Non")</f>
        <v/>
      </c>
      <c r="J155" s="18">
        <f>IF(D155&gt;0,E155/D155,"")</f>
        <v/>
      </c>
    </row>
    <row r="156">
      <c r="A156" t="inlineStr">
        <is>
          <t>CC Cère et Goul en Carladès</t>
        </is>
      </c>
      <c r="B156" t="inlineStr">
        <is>
          <t>Cantal</t>
        </is>
      </c>
      <c r="C156" t="inlineStr">
        <is>
          <t>15</t>
        </is>
      </c>
      <c r="D156" s="3" t="n">
        <v>4997</v>
      </c>
      <c r="E156" s="13">
        <f>MIN($B$4+$B$5*D156,$B$6)</f>
        <v/>
      </c>
      <c r="F156" s="13">
        <f>$B$7</f>
        <v/>
      </c>
      <c r="G156" s="13">
        <f>E156+F156</f>
        <v/>
      </c>
      <c r="H156" s="13">
        <f>3*E156+F156</f>
        <v/>
      </c>
      <c r="I156">
        <f>IF(H156&gt;$B$8,"Oui","Non")</f>
        <v/>
      </c>
      <c r="J156" s="14">
        <f>IF(D156&gt;0,E156/D156,"")</f>
        <v/>
      </c>
    </row>
    <row r="157">
      <c r="A157" s="15" t="inlineStr">
        <is>
          <t>CC Hautes Terres</t>
        </is>
      </c>
      <c r="B157" s="15" t="inlineStr">
        <is>
          <t>Cantal</t>
        </is>
      </c>
      <c r="C157" s="15" t="inlineStr">
        <is>
          <t>15</t>
        </is>
      </c>
      <c r="D157" s="16" t="n">
        <v>11118</v>
      </c>
      <c r="E157" s="17">
        <f>MIN($B$4+$B$5*D157,$B$6)</f>
        <v/>
      </c>
      <c r="F157" s="17">
        <f>$B$7</f>
        <v/>
      </c>
      <c r="G157" s="17">
        <f>E157+F157</f>
        <v/>
      </c>
      <c r="H157" s="17">
        <f>3*E157+F157</f>
        <v/>
      </c>
      <c r="I157" s="15">
        <f>IF(H157&gt;$B$8,"Oui","Non")</f>
        <v/>
      </c>
      <c r="J157" s="18">
        <f>IF(D157&gt;0,E157/D157,"")</f>
        <v/>
      </c>
    </row>
    <row r="158">
      <c r="A158" t="inlineStr">
        <is>
          <t>CC Sumène - Artense</t>
        </is>
      </c>
      <c r="B158" t="inlineStr">
        <is>
          <t>Cantal</t>
        </is>
      </c>
      <c r="C158" t="inlineStr">
        <is>
          <t>15</t>
        </is>
      </c>
      <c r="D158" s="3" t="n">
        <v>8201</v>
      </c>
      <c r="E158" s="13">
        <f>MIN($B$4+$B$5*D158,$B$6)</f>
        <v/>
      </c>
      <c r="F158" s="13">
        <f>$B$7</f>
        <v/>
      </c>
      <c r="G158" s="13">
        <f>E158+F158</f>
        <v/>
      </c>
      <c r="H158" s="13">
        <f>3*E158+F158</f>
        <v/>
      </c>
      <c r="I158">
        <f>IF(H158&gt;$B$8,"Oui","Non")</f>
        <v/>
      </c>
      <c r="J158" s="14">
        <f>IF(D158&gt;0,E158/D158,"")</f>
        <v/>
      </c>
    </row>
    <row r="159">
      <c r="A159" s="15" t="inlineStr">
        <is>
          <t>CC de Saint-Flour</t>
        </is>
      </c>
      <c r="B159" s="15" t="inlineStr">
        <is>
          <t>Cantal</t>
        </is>
      </c>
      <c r="C159" s="15" t="inlineStr">
        <is>
          <t>15</t>
        </is>
      </c>
      <c r="D159" s="16" t="n">
        <v>23264</v>
      </c>
      <c r="E159" s="17">
        <f>MIN($B$4+$B$5*D159,$B$6)</f>
        <v/>
      </c>
      <c r="F159" s="17">
        <f>$B$7</f>
        <v/>
      </c>
      <c r="G159" s="17">
        <f>E159+F159</f>
        <v/>
      </c>
      <c r="H159" s="17">
        <f>3*E159+F159</f>
        <v/>
      </c>
      <c r="I159" s="15">
        <f>IF(H159&gt;$B$8,"Oui","Non")</f>
        <v/>
      </c>
      <c r="J159" s="18">
        <f>IF(D159&gt;0,E159/D159,"")</f>
        <v/>
      </c>
    </row>
    <row r="160">
      <c r="A160" t="inlineStr">
        <is>
          <t>CC de la Châtaigneraie Cantalienne</t>
        </is>
      </c>
      <c r="B160" t="inlineStr">
        <is>
          <t>Cantal</t>
        </is>
      </c>
      <c r="C160" t="inlineStr">
        <is>
          <t>15</t>
        </is>
      </c>
      <c r="D160" s="3" t="n">
        <v>21099</v>
      </c>
      <c r="E160" s="13">
        <f>MIN($B$4+$B$5*D160,$B$6)</f>
        <v/>
      </c>
      <c r="F160" s="13">
        <f>$B$7</f>
        <v/>
      </c>
      <c r="G160" s="13">
        <f>E160+F160</f>
        <v/>
      </c>
      <c r="H160" s="13">
        <f>3*E160+F160</f>
        <v/>
      </c>
      <c r="I160">
        <f>IF(H160&gt;$B$8,"Oui","Non")</f>
        <v/>
      </c>
      <c r="J160" s="14">
        <f>IF(D160&gt;0,E160/D160,"")</f>
        <v/>
      </c>
    </row>
    <row r="161">
      <c r="A161" s="15" t="inlineStr">
        <is>
          <t>CC du Massif du Sancy</t>
        </is>
      </c>
      <c r="B161" s="15" t="inlineStr">
        <is>
          <t>Cantal, Puy-de-Dôme</t>
        </is>
      </c>
      <c r="C161" s="15" t="inlineStr">
        <is>
          <t>15, 63</t>
        </is>
      </c>
      <c r="D161" s="16" t="n">
        <v>9576</v>
      </c>
      <c r="E161" s="17">
        <f>MIN($B$4+$B$5*D161,$B$6)</f>
        <v/>
      </c>
      <c r="F161" s="17">
        <f>$B$7</f>
        <v/>
      </c>
      <c r="G161" s="17">
        <f>E161+F161</f>
        <v/>
      </c>
      <c r="H161" s="17">
        <f>3*E161+F161</f>
        <v/>
      </c>
      <c r="I161" s="15">
        <f>IF(H161&gt;$B$8,"Oui","Non")</f>
        <v/>
      </c>
      <c r="J161" s="18">
        <f>IF(D161&gt;0,E161/D161,"")</f>
        <v/>
      </c>
    </row>
    <row r="162">
      <c r="A162" t="inlineStr">
        <is>
          <t>CC du Pays Gentiane</t>
        </is>
      </c>
      <c r="B162" t="inlineStr">
        <is>
          <t>Cantal</t>
        </is>
      </c>
      <c r="C162" t="inlineStr">
        <is>
          <t>15</t>
        </is>
      </c>
      <c r="D162" s="3" t="n">
        <v>6495</v>
      </c>
      <c r="E162" s="13">
        <f>MIN($B$4+$B$5*D162,$B$6)</f>
        <v/>
      </c>
      <c r="F162" s="13">
        <f>$B$7</f>
        <v/>
      </c>
      <c r="G162" s="13">
        <f>E162+F162</f>
        <v/>
      </c>
      <c r="H162" s="13">
        <f>3*E162+F162</f>
        <v/>
      </c>
      <c r="I162">
        <f>IF(H162&gt;$B$8,"Oui","Non")</f>
        <v/>
      </c>
      <c r="J162" s="14">
        <f>IF(D162&gt;0,E162/D162,"")</f>
        <v/>
      </c>
    </row>
    <row r="163">
      <c r="A163" s="15" t="inlineStr">
        <is>
          <t>CC du Pays de Mauriac</t>
        </is>
      </c>
      <c r="B163" s="15" t="inlineStr">
        <is>
          <t>Cantal</t>
        </is>
      </c>
      <c r="C163" s="15" t="inlineStr">
        <is>
          <t>15</t>
        </is>
      </c>
      <c r="D163" s="16" t="n">
        <v>6552</v>
      </c>
      <c r="E163" s="17">
        <f>MIN($B$4+$B$5*D163,$B$6)</f>
        <v/>
      </c>
      <c r="F163" s="17">
        <f>$B$7</f>
        <v/>
      </c>
      <c r="G163" s="17">
        <f>E163+F163</f>
        <v/>
      </c>
      <c r="H163" s="17">
        <f>3*E163+F163</f>
        <v/>
      </c>
      <c r="I163" s="15">
        <f>IF(H163&gt;$B$8,"Oui","Non")</f>
        <v/>
      </c>
      <c r="J163" s="18">
        <f>IF(D163&gt;0,E163/D163,"")</f>
        <v/>
      </c>
    </row>
    <row r="164">
      <c r="A164" t="inlineStr">
        <is>
          <t>CC du Pays de Salers</t>
        </is>
      </c>
      <c r="B164" t="inlineStr">
        <is>
          <t>Cantal</t>
        </is>
      </c>
      <c r="C164" t="inlineStr">
        <is>
          <t>15</t>
        </is>
      </c>
      <c r="D164" s="3" t="n">
        <v>8416</v>
      </c>
      <c r="E164" s="13">
        <f>MIN($B$4+$B$5*D164,$B$6)</f>
        <v/>
      </c>
      <c r="F164" s="13">
        <f>$B$7</f>
        <v/>
      </c>
      <c r="G164" s="13">
        <f>E164+F164</f>
        <v/>
      </c>
      <c r="H164" s="13">
        <f>3*E164+F164</f>
        <v/>
      </c>
      <c r="I164">
        <f>IF(H164&gt;$B$8,"Oui","Non")</f>
        <v/>
      </c>
      <c r="J164" s="14">
        <f>IF(D164&gt;0,E164/D164,"")</f>
        <v/>
      </c>
    </row>
    <row r="165">
      <c r="A165" s="15" t="inlineStr">
        <is>
          <t>CC Coeur de Charente</t>
        </is>
      </c>
      <c r="B165" s="15" t="inlineStr">
        <is>
          <t>Charente</t>
        </is>
      </c>
      <c r="C165" s="15" t="inlineStr">
        <is>
          <t>16</t>
        </is>
      </c>
      <c r="D165" s="16" t="n">
        <v>22006</v>
      </c>
      <c r="E165" s="17">
        <f>MIN($B$4+$B$5*D165,$B$6)</f>
        <v/>
      </c>
      <c r="F165" s="17">
        <f>$B$7</f>
        <v/>
      </c>
      <c r="G165" s="17">
        <f>E165+F165</f>
        <v/>
      </c>
      <c r="H165" s="17">
        <f>3*E165+F165</f>
        <v/>
      </c>
      <c r="I165" s="15">
        <f>IF(H165&gt;$B$8,"Oui","Non")</f>
        <v/>
      </c>
      <c r="J165" s="18">
        <f>IF(D165&gt;0,E165/D165,"")</f>
        <v/>
      </c>
    </row>
    <row r="166">
      <c r="A166" t="inlineStr">
        <is>
          <t>CC La Rochefoucauld Porte du Périgord</t>
        </is>
      </c>
      <c r="B166" t="inlineStr">
        <is>
          <t>Charente</t>
        </is>
      </c>
      <c r="C166" t="inlineStr">
        <is>
          <t>16</t>
        </is>
      </c>
      <c r="D166" s="3" t="n">
        <v>21882</v>
      </c>
      <c r="E166" s="13">
        <f>MIN($B$4+$B$5*D166,$B$6)</f>
        <v/>
      </c>
      <c r="F166" s="13">
        <f>$B$7</f>
        <v/>
      </c>
      <c r="G166" s="13">
        <f>E166+F166</f>
        <v/>
      </c>
      <c r="H166" s="13">
        <f>3*E166+F166</f>
        <v/>
      </c>
      <c r="I166">
        <f>IF(H166&gt;$B$8,"Oui","Non")</f>
        <v/>
      </c>
      <c r="J166" s="14">
        <f>IF(D166&gt;0,E166/D166,"")</f>
        <v/>
      </c>
    </row>
    <row r="167">
      <c r="A167" s="15" t="inlineStr">
        <is>
          <t>CC Lavalette Tude Dronne</t>
        </is>
      </c>
      <c r="B167" s="15" t="inlineStr">
        <is>
          <t>Charente</t>
        </is>
      </c>
      <c r="C167" s="15" t="inlineStr">
        <is>
          <t>16</t>
        </is>
      </c>
      <c r="D167" s="16" t="n">
        <v>17477</v>
      </c>
      <c r="E167" s="17">
        <f>MIN($B$4+$B$5*D167,$B$6)</f>
        <v/>
      </c>
      <c r="F167" s="17">
        <f>$B$7</f>
        <v/>
      </c>
      <c r="G167" s="17">
        <f>E167+F167</f>
        <v/>
      </c>
      <c r="H167" s="17">
        <f>3*E167+F167</f>
        <v/>
      </c>
      <c r="I167" s="15">
        <f>IF(H167&gt;$B$8,"Oui","Non")</f>
        <v/>
      </c>
      <c r="J167" s="18">
        <f>IF(D167&gt;0,E167/D167,"")</f>
        <v/>
      </c>
    </row>
    <row r="168">
      <c r="A168" t="inlineStr">
        <is>
          <t>CC Val de Charente</t>
        </is>
      </c>
      <c r="B168" t="inlineStr">
        <is>
          <t>Charente</t>
        </is>
      </c>
      <c r="C168" t="inlineStr">
        <is>
          <t>16</t>
        </is>
      </c>
      <c r="D168" s="3" t="n">
        <v>13776</v>
      </c>
      <c r="E168" s="13">
        <f>MIN($B$4+$B$5*D168,$B$6)</f>
        <v/>
      </c>
      <c r="F168" s="13">
        <f>$B$7</f>
        <v/>
      </c>
      <c r="G168" s="13">
        <f>E168+F168</f>
        <v/>
      </c>
      <c r="H168" s="13">
        <f>3*E168+F168</f>
        <v/>
      </c>
      <c r="I168">
        <f>IF(H168&gt;$B$8,"Oui","Non")</f>
        <v/>
      </c>
      <c r="J168" s="14">
        <f>IF(D168&gt;0,E168/D168,"")</f>
        <v/>
      </c>
    </row>
    <row r="169">
      <c r="A169" s="15" t="inlineStr">
        <is>
          <t>CC de Charente Limousine</t>
        </is>
      </c>
      <c r="B169" s="15" t="inlineStr">
        <is>
          <t>Charente</t>
        </is>
      </c>
      <c r="C169" s="15" t="inlineStr">
        <is>
          <t>16</t>
        </is>
      </c>
      <c r="D169" s="16" t="n">
        <v>35187</v>
      </c>
      <c r="E169" s="17">
        <f>MIN($B$4+$B$5*D169,$B$6)</f>
        <v/>
      </c>
      <c r="F169" s="17">
        <f>$B$7</f>
        <v/>
      </c>
      <c r="G169" s="17">
        <f>E169+F169</f>
        <v/>
      </c>
      <c r="H169" s="17">
        <f>3*E169+F169</f>
        <v/>
      </c>
      <c r="I169" s="15">
        <f>IF(H169&gt;$B$8,"Oui","Non")</f>
        <v/>
      </c>
      <c r="J169" s="18">
        <f>IF(D169&gt;0,E169/D169,"")</f>
        <v/>
      </c>
    </row>
    <row r="170">
      <c r="A170" t="inlineStr">
        <is>
          <t>CC des 4B Sud Charente</t>
        </is>
      </c>
      <c r="B170" t="inlineStr">
        <is>
          <t>Charente</t>
        </is>
      </c>
      <c r="C170" t="inlineStr">
        <is>
          <t>16</t>
        </is>
      </c>
      <c r="D170" s="3" t="n">
        <v>19940</v>
      </c>
      <c r="E170" s="13">
        <f>MIN($B$4+$B$5*D170,$B$6)</f>
        <v/>
      </c>
      <c r="F170" s="13">
        <f>$B$7</f>
        <v/>
      </c>
      <c r="G170" s="13">
        <f>E170+F170</f>
        <v/>
      </c>
      <c r="H170" s="13">
        <f>3*E170+F170</f>
        <v/>
      </c>
      <c r="I170">
        <f>IF(H170&gt;$B$8,"Oui","Non")</f>
        <v/>
      </c>
      <c r="J170" s="14">
        <f>IF(D170&gt;0,E170/D170,"")</f>
        <v/>
      </c>
    </row>
    <row r="171">
      <c r="A171" s="15" t="inlineStr">
        <is>
          <t>CC du Rouillacais</t>
        </is>
      </c>
      <c r="B171" s="15" t="inlineStr">
        <is>
          <t>Charente</t>
        </is>
      </c>
      <c r="C171" s="15" t="inlineStr">
        <is>
          <t>16</t>
        </is>
      </c>
      <c r="D171" s="16" t="n">
        <v>9812</v>
      </c>
      <c r="E171" s="17">
        <f>MIN($B$4+$B$5*D171,$B$6)</f>
        <v/>
      </c>
      <c r="F171" s="17">
        <f>$B$7</f>
        <v/>
      </c>
      <c r="G171" s="17">
        <f>E171+F171</f>
        <v/>
      </c>
      <c r="H171" s="17">
        <f>3*E171+F171</f>
        <v/>
      </c>
      <c r="I171" s="15">
        <f>IF(H171&gt;$B$8,"Oui","Non")</f>
        <v/>
      </c>
      <c r="J171" s="18">
        <f>IF(D171&gt;0,E171/D171,"")</f>
        <v/>
      </c>
    </row>
    <row r="172">
      <c r="A172" t="inlineStr">
        <is>
          <t>CC Aunis Atlantique</t>
        </is>
      </c>
      <c r="B172" t="inlineStr">
        <is>
          <t>Charente-Maritime</t>
        </is>
      </c>
      <c r="C172" t="inlineStr">
        <is>
          <t>17</t>
        </is>
      </c>
      <c r="D172" s="3" t="n">
        <v>32371</v>
      </c>
      <c r="E172" s="13">
        <f>MIN($B$4+$B$5*D172,$B$6)</f>
        <v/>
      </c>
      <c r="F172" s="13">
        <f>$B$7</f>
        <v/>
      </c>
      <c r="G172" s="13">
        <f>E172+F172</f>
        <v/>
      </c>
      <c r="H172" s="13">
        <f>3*E172+F172</f>
        <v/>
      </c>
      <c r="I172">
        <f>IF(H172&gt;$B$8,"Oui","Non")</f>
        <v/>
      </c>
      <c r="J172" s="14">
        <f>IF(D172&gt;0,E172/D172,"")</f>
        <v/>
      </c>
    </row>
    <row r="173">
      <c r="A173" s="15" t="inlineStr">
        <is>
          <t>CC Aunis Sud</t>
        </is>
      </c>
      <c r="B173" s="15" t="inlineStr">
        <is>
          <t>Charente-Maritime</t>
        </is>
      </c>
      <c r="C173" s="15" t="inlineStr">
        <is>
          <t>17</t>
        </is>
      </c>
      <c r="D173" s="16" t="n">
        <v>33181</v>
      </c>
      <c r="E173" s="17">
        <f>MIN($B$4+$B$5*D173,$B$6)</f>
        <v/>
      </c>
      <c r="F173" s="17">
        <f>$B$7</f>
        <v/>
      </c>
      <c r="G173" s="17">
        <f>E173+F173</f>
        <v/>
      </c>
      <c r="H173" s="17">
        <f>3*E173+F173</f>
        <v/>
      </c>
      <c r="I173" s="15">
        <f>IF(H173&gt;$B$8,"Oui","Non")</f>
        <v/>
      </c>
      <c r="J173" s="18">
        <f>IF(D173&gt;0,E173/D173,"")</f>
        <v/>
      </c>
    </row>
    <row r="174">
      <c r="A174" t="inlineStr">
        <is>
          <t>CC Coeur de Saintonge</t>
        </is>
      </c>
      <c r="B174" t="inlineStr">
        <is>
          <t>Charente-Maritime</t>
        </is>
      </c>
      <c r="C174" t="inlineStr">
        <is>
          <t>17</t>
        </is>
      </c>
      <c r="D174" s="3" t="n">
        <v>17765</v>
      </c>
      <c r="E174" s="13">
        <f>MIN($B$4+$B$5*D174,$B$6)</f>
        <v/>
      </c>
      <c r="F174" s="13">
        <f>$B$7</f>
        <v/>
      </c>
      <c r="G174" s="13">
        <f>E174+F174</f>
        <v/>
      </c>
      <c r="H174" s="13">
        <f>3*E174+F174</f>
        <v/>
      </c>
      <c r="I174">
        <f>IF(H174&gt;$B$8,"Oui","Non")</f>
        <v/>
      </c>
      <c r="J174" s="14">
        <f>IF(D174&gt;0,E174/D174,"")</f>
        <v/>
      </c>
    </row>
    <row r="175">
      <c r="A175" s="15" t="inlineStr">
        <is>
          <t>CC Vals de Saintonge Communauté</t>
        </is>
      </c>
      <c r="B175" s="15" t="inlineStr">
        <is>
          <t>Charente-Maritime</t>
        </is>
      </c>
      <c r="C175" s="15" t="inlineStr">
        <is>
          <t>17</t>
        </is>
      </c>
      <c r="D175" s="16" t="n">
        <v>52430</v>
      </c>
      <c r="E175" s="17">
        <f>MIN($B$4+$B$5*D175,$B$6)</f>
        <v/>
      </c>
      <c r="F175" s="17">
        <f>$B$7</f>
        <v/>
      </c>
      <c r="G175" s="17">
        <f>E175+F175</f>
        <v/>
      </c>
      <c r="H175" s="17">
        <f>3*E175+F175</f>
        <v/>
      </c>
      <c r="I175" s="15">
        <f>IF(H175&gt;$B$8,"Oui","Non")</f>
        <v/>
      </c>
      <c r="J175" s="18">
        <f>IF(D175&gt;0,E175/D175,"")</f>
        <v/>
      </c>
    </row>
    <row r="176">
      <c r="A176" t="inlineStr">
        <is>
          <t>CC de Gémozac et de la Saintonge Viticole</t>
        </is>
      </c>
      <c r="B176" t="inlineStr">
        <is>
          <t>Charente-Maritime</t>
        </is>
      </c>
      <c r="C176" t="inlineStr">
        <is>
          <t>17</t>
        </is>
      </c>
      <c r="D176" s="3" t="n">
        <v>14806</v>
      </c>
      <c r="E176" s="13">
        <f>MIN($B$4+$B$5*D176,$B$6)</f>
        <v/>
      </c>
      <c r="F176" s="13">
        <f>$B$7</f>
        <v/>
      </c>
      <c r="G176" s="13">
        <f>E176+F176</f>
        <v/>
      </c>
      <c r="H176" s="13">
        <f>3*E176+F176</f>
        <v/>
      </c>
      <c r="I176">
        <f>IF(H176&gt;$B$8,"Oui","Non")</f>
        <v/>
      </c>
      <c r="J176" s="14">
        <f>IF(D176&gt;0,E176/D176,"")</f>
        <v/>
      </c>
    </row>
    <row r="177">
      <c r="A177" s="15" t="inlineStr">
        <is>
          <t>CC de l'Ile d'Oléron</t>
        </is>
      </c>
      <c r="B177" s="15" t="inlineStr">
        <is>
          <t>Charente-Maritime</t>
        </is>
      </c>
      <c r="C177" s="15" t="inlineStr">
        <is>
          <t>17</t>
        </is>
      </c>
      <c r="D177" s="16" t="n">
        <v>22518</v>
      </c>
      <c r="E177" s="17">
        <f>MIN($B$4+$B$5*D177,$B$6)</f>
        <v/>
      </c>
      <c r="F177" s="17">
        <f>$B$7</f>
        <v/>
      </c>
      <c r="G177" s="17">
        <f>E177+F177</f>
        <v/>
      </c>
      <c r="H177" s="17">
        <f>3*E177+F177</f>
        <v/>
      </c>
      <c r="I177" s="15">
        <f>IF(H177&gt;$B$8,"Oui","Non")</f>
        <v/>
      </c>
      <c r="J177" s="18">
        <f>IF(D177&gt;0,E177/D177,"")</f>
        <v/>
      </c>
    </row>
    <row r="178">
      <c r="A178" t="inlineStr">
        <is>
          <t>CC de l'Ile de Ré</t>
        </is>
      </c>
      <c r="B178" t="inlineStr">
        <is>
          <t>Charente-Maritime</t>
        </is>
      </c>
      <c r="C178" t="inlineStr">
        <is>
          <t>17</t>
        </is>
      </c>
      <c r="D178" s="3" t="n">
        <v>17891</v>
      </c>
      <c r="E178" s="13">
        <f>MIN($B$4+$B$5*D178,$B$6)</f>
        <v/>
      </c>
      <c r="F178" s="13">
        <f>$B$7</f>
        <v/>
      </c>
      <c r="G178" s="13">
        <f>E178+F178</f>
        <v/>
      </c>
      <c r="H178" s="13">
        <f>3*E178+F178</f>
        <v/>
      </c>
      <c r="I178">
        <f>IF(H178&gt;$B$8,"Oui","Non")</f>
        <v/>
      </c>
      <c r="J178" s="14">
        <f>IF(D178&gt;0,E178/D178,"")</f>
        <v/>
      </c>
    </row>
    <row r="179">
      <c r="A179" s="15" t="inlineStr">
        <is>
          <t>CC de la Haute Saintonge</t>
        </is>
      </c>
      <c r="B179" s="15" t="inlineStr">
        <is>
          <t>Charente-Maritime</t>
        </is>
      </c>
      <c r="C179" s="15" t="inlineStr">
        <is>
          <t>17</t>
        </is>
      </c>
      <c r="D179" s="16" t="n">
        <v>68842</v>
      </c>
      <c r="E179" s="17">
        <f>MIN($B$4+$B$5*D179,$B$6)</f>
        <v/>
      </c>
      <c r="F179" s="17">
        <f>$B$7</f>
        <v/>
      </c>
      <c r="G179" s="17">
        <f>E179+F179</f>
        <v/>
      </c>
      <c r="H179" s="17">
        <f>3*E179+F179</f>
        <v/>
      </c>
      <c r="I179" s="15">
        <f>IF(H179&gt;$B$8,"Oui","Non")</f>
        <v/>
      </c>
      <c r="J179" s="18">
        <f>IF(D179&gt;0,E179/D179,"")</f>
        <v/>
      </c>
    </row>
    <row r="180">
      <c r="A180" t="inlineStr">
        <is>
          <t>CC du Bassin de Marennes</t>
        </is>
      </c>
      <c r="B180" t="inlineStr">
        <is>
          <t>Charente-Maritime</t>
        </is>
      </c>
      <c r="C180" t="inlineStr">
        <is>
          <t>17</t>
        </is>
      </c>
      <c r="D180" s="3" t="n">
        <v>15522</v>
      </c>
      <c r="E180" s="13">
        <f>MIN($B$4+$B$5*D180,$B$6)</f>
        <v/>
      </c>
      <c r="F180" s="13">
        <f>$B$7</f>
        <v/>
      </c>
      <c r="G180" s="13">
        <f>E180+F180</f>
        <v/>
      </c>
      <c r="H180" s="13">
        <f>3*E180+F180</f>
        <v/>
      </c>
      <c r="I180">
        <f>IF(H180&gt;$B$8,"Oui","Non")</f>
        <v/>
      </c>
      <c r="J180" s="14">
        <f>IF(D180&gt;0,E180/D180,"")</f>
        <v/>
      </c>
    </row>
    <row r="181">
      <c r="A181" s="15" t="inlineStr">
        <is>
          <t>CC Arnon Boischaut Cher</t>
        </is>
      </c>
      <c r="B181" s="15" t="inlineStr">
        <is>
          <t>Cher</t>
        </is>
      </c>
      <c r="C181" s="15" t="inlineStr">
        <is>
          <t>18</t>
        </is>
      </c>
      <c r="D181" s="16" t="n">
        <v>7855</v>
      </c>
      <c r="E181" s="17">
        <f>MIN($B$4+$B$5*D181,$B$6)</f>
        <v/>
      </c>
      <c r="F181" s="17">
        <f>$B$7</f>
        <v/>
      </c>
      <c r="G181" s="17">
        <f>E181+F181</f>
        <v/>
      </c>
      <c r="H181" s="17">
        <f>3*E181+F181</f>
        <v/>
      </c>
      <c r="I181" s="15">
        <f>IF(H181&gt;$B$8,"Oui","Non")</f>
        <v/>
      </c>
      <c r="J181" s="18">
        <f>IF(D181&gt;0,E181/D181,"")</f>
        <v/>
      </c>
    </row>
    <row r="182">
      <c r="A182" t="inlineStr">
        <is>
          <t>CC Berry Grand Sud</t>
        </is>
      </c>
      <c r="B182" t="inlineStr">
        <is>
          <t>Cher</t>
        </is>
      </c>
      <c r="C182" t="inlineStr">
        <is>
          <t>18</t>
        </is>
      </c>
      <c r="D182" s="3" t="n">
        <v>11437</v>
      </c>
      <c r="E182" s="13">
        <f>MIN($B$4+$B$5*D182,$B$6)</f>
        <v/>
      </c>
      <c r="F182" s="13">
        <f>$B$7</f>
        <v/>
      </c>
      <c r="G182" s="13">
        <f>E182+F182</f>
        <v/>
      </c>
      <c r="H182" s="13">
        <f>3*E182+F182</f>
        <v/>
      </c>
      <c r="I182">
        <f>IF(H182&gt;$B$8,"Oui","Non")</f>
        <v/>
      </c>
      <c r="J182" s="14">
        <f>IF(D182&gt;0,E182/D182,"")</f>
        <v/>
      </c>
    </row>
    <row r="183">
      <c r="A183" s="15" t="inlineStr">
        <is>
          <t>CC Berry-Loire-Vauvise</t>
        </is>
      </c>
      <c r="B183" s="15" t="inlineStr">
        <is>
          <t>Cher</t>
        </is>
      </c>
      <c r="C183" s="15" t="inlineStr">
        <is>
          <t>18</t>
        </is>
      </c>
      <c r="D183" s="16" t="n">
        <v>5427</v>
      </c>
      <c r="E183" s="17">
        <f>MIN($B$4+$B$5*D183,$B$6)</f>
        <v/>
      </c>
      <c r="F183" s="17">
        <f>$B$7</f>
        <v/>
      </c>
      <c r="G183" s="17">
        <f>E183+F183</f>
        <v/>
      </c>
      <c r="H183" s="17">
        <f>3*E183+F183</f>
        <v/>
      </c>
      <c r="I183" s="15">
        <f>IF(H183&gt;$B$8,"Oui","Non")</f>
        <v/>
      </c>
      <c r="J183" s="18">
        <f>IF(D183&gt;0,E183/D183,"")</f>
        <v/>
      </c>
    </row>
    <row r="184">
      <c r="A184" t="inlineStr">
        <is>
          <t>CC Coeur de Berry</t>
        </is>
      </c>
      <c r="B184" t="inlineStr">
        <is>
          <t>Cher</t>
        </is>
      </c>
      <c r="C184" t="inlineStr">
        <is>
          <t>18</t>
        </is>
      </c>
      <c r="D184" s="3" t="n">
        <v>6878</v>
      </c>
      <c r="E184" s="13">
        <f>MIN($B$4+$B$5*D184,$B$6)</f>
        <v/>
      </c>
      <c r="F184" s="13">
        <f>$B$7</f>
        <v/>
      </c>
      <c r="G184" s="13">
        <f>E184+F184</f>
        <v/>
      </c>
      <c r="H184" s="13">
        <f>3*E184+F184</f>
        <v/>
      </c>
      <c r="I184">
        <f>IF(H184&gt;$B$8,"Oui","Non")</f>
        <v/>
      </c>
      <c r="J184" s="14">
        <f>IF(D184&gt;0,E184/D184,"")</f>
        <v/>
      </c>
    </row>
    <row r="185">
      <c r="A185" s="15" t="inlineStr">
        <is>
          <t>CC Coeur de France</t>
        </is>
      </c>
      <c r="B185" s="15" t="inlineStr">
        <is>
          <t>Cher</t>
        </is>
      </c>
      <c r="C185" s="15" t="inlineStr">
        <is>
          <t>18</t>
        </is>
      </c>
      <c r="D185" s="16" t="n">
        <v>18225</v>
      </c>
      <c r="E185" s="17">
        <f>MIN($B$4+$B$5*D185,$B$6)</f>
        <v/>
      </c>
      <c r="F185" s="17">
        <f>$B$7</f>
        <v/>
      </c>
      <c r="G185" s="17">
        <f>E185+F185</f>
        <v/>
      </c>
      <c r="H185" s="17">
        <f>3*E185+F185</f>
        <v/>
      </c>
      <c r="I185" s="15">
        <f>IF(H185&gt;$B$8,"Oui","Non")</f>
        <v/>
      </c>
      <c r="J185" s="18">
        <f>IF(D185&gt;0,E185/D185,"")</f>
        <v/>
      </c>
    </row>
    <row r="186">
      <c r="A186" t="inlineStr">
        <is>
          <t>CC FerCher</t>
        </is>
      </c>
      <c r="B186" t="inlineStr">
        <is>
          <t>Cher</t>
        </is>
      </c>
      <c r="C186" t="inlineStr">
        <is>
          <t>18</t>
        </is>
      </c>
      <c r="D186" s="3" t="n">
        <v>11296</v>
      </c>
      <c r="E186" s="13">
        <f>MIN($B$4+$B$5*D186,$B$6)</f>
        <v/>
      </c>
      <c r="F186" s="13">
        <f>$B$7</f>
        <v/>
      </c>
      <c r="G186" s="13">
        <f>E186+F186</f>
        <v/>
      </c>
      <c r="H186" s="13">
        <f>3*E186+F186</f>
        <v/>
      </c>
      <c r="I186">
        <f>IF(H186&gt;$B$8,"Oui","Non")</f>
        <v/>
      </c>
      <c r="J186" s="14">
        <f>IF(D186&gt;0,E186/D186,"")</f>
        <v/>
      </c>
    </row>
    <row r="187">
      <c r="A187" s="15" t="inlineStr">
        <is>
          <t>CC Les Bertranges</t>
        </is>
      </c>
      <c r="B187" s="15" t="inlineStr">
        <is>
          <t>Cher, Nièvre</t>
        </is>
      </c>
      <c r="C187" s="15" t="inlineStr">
        <is>
          <t>18, 58</t>
        </is>
      </c>
      <c r="D187" s="16" t="n">
        <v>19625</v>
      </c>
      <c r="E187" s="17">
        <f>MIN($B$4+$B$5*D187,$B$6)</f>
        <v/>
      </c>
      <c r="F187" s="17">
        <f>$B$7</f>
        <v/>
      </c>
      <c r="G187" s="17">
        <f>E187+F187</f>
        <v/>
      </c>
      <c r="H187" s="17">
        <f>3*E187+F187</f>
        <v/>
      </c>
      <c r="I187" s="15">
        <f>IF(H187&gt;$B$8,"Oui","Non")</f>
        <v/>
      </c>
      <c r="J187" s="18">
        <f>IF(D187&gt;0,E187/D187,"")</f>
        <v/>
      </c>
    </row>
    <row r="188">
      <c r="A188" t="inlineStr">
        <is>
          <t>CC Pays Fort Sancerrois Val de Loire</t>
        </is>
      </c>
      <c r="B188" t="inlineStr">
        <is>
          <t>Cher</t>
        </is>
      </c>
      <c r="C188" t="inlineStr">
        <is>
          <t>18</t>
        </is>
      </c>
      <c r="D188" s="3" t="n">
        <v>18143</v>
      </c>
      <c r="E188" s="13">
        <f>MIN($B$4+$B$5*D188,$B$6)</f>
        <v/>
      </c>
      <c r="F188" s="13">
        <f>$B$7</f>
        <v/>
      </c>
      <c r="G188" s="13">
        <f>E188+F188</f>
        <v/>
      </c>
      <c r="H188" s="13">
        <f>3*E188+F188</f>
        <v/>
      </c>
      <c r="I188">
        <f>IF(H188&gt;$B$8,"Oui","Non")</f>
        <v/>
      </c>
      <c r="J188" s="14">
        <f>IF(D188&gt;0,E188/D188,"")</f>
        <v/>
      </c>
    </row>
    <row r="189">
      <c r="A189" s="15" t="inlineStr">
        <is>
          <t>CC Pays de Nérondes</t>
        </is>
      </c>
      <c r="B189" s="15" t="inlineStr">
        <is>
          <t>Cher</t>
        </is>
      </c>
      <c r="C189" s="15" t="inlineStr">
        <is>
          <t>18</t>
        </is>
      </c>
      <c r="D189" s="16" t="n">
        <v>4644</v>
      </c>
      <c r="E189" s="17">
        <f>MIN($B$4+$B$5*D189,$B$6)</f>
        <v/>
      </c>
      <c r="F189" s="17">
        <f>$B$7</f>
        <v/>
      </c>
      <c r="G189" s="17">
        <f>E189+F189</f>
        <v/>
      </c>
      <c r="H189" s="17">
        <f>3*E189+F189</f>
        <v/>
      </c>
      <c r="I189" s="15">
        <f>IF(H189&gt;$B$8,"Oui","Non")</f>
        <v/>
      </c>
      <c r="J189" s="18">
        <f>IF(D189&gt;0,E189/D189,"")</f>
        <v/>
      </c>
    </row>
    <row r="190">
      <c r="A190" t="inlineStr">
        <is>
          <t>CC Portes du Berry entre Loire et Val d'Aubois</t>
        </is>
      </c>
      <c r="B190" t="inlineStr">
        <is>
          <t>Cher</t>
        </is>
      </c>
      <c r="C190" t="inlineStr">
        <is>
          <t>18</t>
        </is>
      </c>
      <c r="D190" s="3" t="n">
        <v>9478</v>
      </c>
      <c r="E190" s="13">
        <f>MIN($B$4+$B$5*D190,$B$6)</f>
        <v/>
      </c>
      <c r="F190" s="13">
        <f>$B$7</f>
        <v/>
      </c>
      <c r="G190" s="13">
        <f>E190+F190</f>
        <v/>
      </c>
      <c r="H190" s="13">
        <f>3*E190+F190</f>
        <v/>
      </c>
      <c r="I190">
        <f>IF(H190&gt;$B$8,"Oui","Non")</f>
        <v/>
      </c>
      <c r="J190" s="14">
        <f>IF(D190&gt;0,E190/D190,"")</f>
        <v/>
      </c>
    </row>
    <row r="191">
      <c r="A191" s="15" t="inlineStr">
        <is>
          <t>CC Sauldre et Sologne</t>
        </is>
      </c>
      <c r="B191" s="15" t="inlineStr">
        <is>
          <t>Cher</t>
        </is>
      </c>
      <c r="C191" s="15" t="inlineStr">
        <is>
          <t>18</t>
        </is>
      </c>
      <c r="D191" s="16" t="n">
        <v>14335</v>
      </c>
      <c r="E191" s="17">
        <f>MIN($B$4+$B$5*D191,$B$6)</f>
        <v/>
      </c>
      <c r="F191" s="17">
        <f>$B$7</f>
        <v/>
      </c>
      <c r="G191" s="17">
        <f>E191+F191</f>
        <v/>
      </c>
      <c r="H191" s="17">
        <f>3*E191+F191</f>
        <v/>
      </c>
      <c r="I191" s="15">
        <f>IF(H191&gt;$B$8,"Oui","Non")</f>
        <v/>
      </c>
      <c r="J191" s="18">
        <f>IF(D191&gt;0,E191/D191,"")</f>
        <v/>
      </c>
    </row>
    <row r="192">
      <c r="A192" t="inlineStr">
        <is>
          <t>CC Terres du Haut Berry</t>
        </is>
      </c>
      <c r="B192" t="inlineStr">
        <is>
          <t>Cher</t>
        </is>
      </c>
      <c r="C192" t="inlineStr">
        <is>
          <t>18</t>
        </is>
      </c>
      <c r="D192" s="3" t="n">
        <v>25976</v>
      </c>
      <c r="E192" s="13">
        <f>MIN($B$4+$B$5*D192,$B$6)</f>
        <v/>
      </c>
      <c r="F192" s="13">
        <f>$B$7</f>
        <v/>
      </c>
      <c r="G192" s="13">
        <f>E192+F192</f>
        <v/>
      </c>
      <c r="H192" s="13">
        <f>3*E192+F192</f>
        <v/>
      </c>
      <c r="I192">
        <f>IF(H192&gt;$B$8,"Oui","Non")</f>
        <v/>
      </c>
      <c r="J192" s="14">
        <f>IF(D192&gt;0,E192/D192,"")</f>
        <v/>
      </c>
    </row>
    <row r="193">
      <c r="A193" s="15" t="inlineStr">
        <is>
          <t>CC Vierzon-Sologne-Berry</t>
        </is>
      </c>
      <c r="B193" s="15" t="inlineStr">
        <is>
          <t>Cher</t>
        </is>
      </c>
      <c r="C193" s="15" t="inlineStr">
        <is>
          <t>18</t>
        </is>
      </c>
      <c r="D193" s="16" t="n">
        <v>38153</v>
      </c>
      <c r="E193" s="17">
        <f>MIN($B$4+$B$5*D193,$B$6)</f>
        <v/>
      </c>
      <c r="F193" s="17">
        <f>$B$7</f>
        <v/>
      </c>
      <c r="G193" s="17">
        <f>E193+F193</f>
        <v/>
      </c>
      <c r="H193" s="17">
        <f>3*E193+F193</f>
        <v/>
      </c>
      <c r="I193" s="15">
        <f>IF(H193&gt;$B$8,"Oui","Non")</f>
        <v/>
      </c>
      <c r="J193" s="18">
        <f>IF(D193&gt;0,E193/D193,"")</f>
        <v/>
      </c>
    </row>
    <row r="194">
      <c r="A194" t="inlineStr">
        <is>
          <t>CC du Pays d'Issoudun</t>
        </is>
      </c>
      <c r="B194" t="inlineStr">
        <is>
          <t>Cher, Indre</t>
        </is>
      </c>
      <c r="C194" t="inlineStr">
        <is>
          <t>18, 36</t>
        </is>
      </c>
      <c r="D194" s="3" t="n">
        <v>18778</v>
      </c>
      <c r="E194" s="13">
        <f>MIN($B$4+$B$5*D194,$B$6)</f>
        <v/>
      </c>
      <c r="F194" s="13">
        <f>$B$7</f>
        <v/>
      </c>
      <c r="G194" s="13">
        <f>E194+F194</f>
        <v/>
      </c>
      <c r="H194" s="13">
        <f>3*E194+F194</f>
        <v/>
      </c>
      <c r="I194">
        <f>IF(H194&gt;$B$8,"Oui","Non")</f>
        <v/>
      </c>
      <c r="J194" s="14">
        <f>IF(D194&gt;0,E194/D194,"")</f>
        <v/>
      </c>
    </row>
    <row r="195">
      <c r="A195" s="15" t="inlineStr">
        <is>
          <t>CC la Septaine</t>
        </is>
      </c>
      <c r="B195" s="15" t="inlineStr">
        <is>
          <t>Cher</t>
        </is>
      </c>
      <c r="C195" s="15" t="inlineStr">
        <is>
          <t>18</t>
        </is>
      </c>
      <c r="D195" s="16" t="n">
        <v>10794</v>
      </c>
      <c r="E195" s="17">
        <f>MIN($B$4+$B$5*D195,$B$6)</f>
        <v/>
      </c>
      <c r="F195" s="17">
        <f>$B$7</f>
        <v/>
      </c>
      <c r="G195" s="17">
        <f>E195+F195</f>
        <v/>
      </c>
      <c r="H195" s="17">
        <f>3*E195+F195</f>
        <v/>
      </c>
      <c r="I195" s="15">
        <f>IF(H195&gt;$B$8,"Oui","Non")</f>
        <v/>
      </c>
      <c r="J195" s="18">
        <f>IF(D195&gt;0,E195/D195,"")</f>
        <v/>
      </c>
    </row>
    <row r="196">
      <c r="A196" t="inlineStr">
        <is>
          <t>CC le Dunois</t>
        </is>
      </c>
      <c r="B196" t="inlineStr">
        <is>
          <t>Cher</t>
        </is>
      </c>
      <c r="C196" t="inlineStr">
        <is>
          <t>18</t>
        </is>
      </c>
      <c r="D196" s="3" t="n">
        <v>7132</v>
      </c>
      <c r="E196" s="13">
        <f>MIN($B$4+$B$5*D196,$B$6)</f>
        <v/>
      </c>
      <c r="F196" s="13">
        <f>$B$7</f>
        <v/>
      </c>
      <c r="G196" s="13">
        <f>E196+F196</f>
        <v/>
      </c>
      <c r="H196" s="13">
        <f>3*E196+F196</f>
        <v/>
      </c>
      <c r="I196">
        <f>IF(H196&gt;$B$8,"Oui","Non")</f>
        <v/>
      </c>
      <c r="J196" s="14">
        <f>IF(D196&gt;0,E196/D196,"")</f>
        <v/>
      </c>
    </row>
    <row r="197">
      <c r="A197" s="15" t="inlineStr">
        <is>
          <t>CC les Trois Provinces</t>
        </is>
      </c>
      <c r="B197" s="15" t="inlineStr">
        <is>
          <t>Cher</t>
        </is>
      </c>
      <c r="C197" s="15" t="inlineStr">
        <is>
          <t>18</t>
        </is>
      </c>
      <c r="D197" s="16" t="n">
        <v>5025</v>
      </c>
      <c r="E197" s="17">
        <f>MIN($B$4+$B$5*D197,$B$6)</f>
        <v/>
      </c>
      <c r="F197" s="17">
        <f>$B$7</f>
        <v/>
      </c>
      <c r="G197" s="17">
        <f>E197+F197</f>
        <v/>
      </c>
      <c r="H197" s="17">
        <f>3*E197+F197</f>
        <v/>
      </c>
      <c r="I197" s="15">
        <f>IF(H197&gt;$B$8,"Oui","Non")</f>
        <v/>
      </c>
      <c r="J197" s="18">
        <f>IF(D197&gt;0,E197/D197,"")</f>
        <v/>
      </c>
    </row>
    <row r="198">
      <c r="A198" t="inlineStr">
        <is>
          <t>CC Haute-Corrèze Communauté</t>
        </is>
      </c>
      <c r="B198" t="inlineStr">
        <is>
          <t>Corrèze, Creuse</t>
        </is>
      </c>
      <c r="C198" t="inlineStr">
        <is>
          <t>19, 23</t>
        </is>
      </c>
      <c r="D198" s="3" t="n">
        <v>31994</v>
      </c>
      <c r="E198" s="13">
        <f>MIN($B$4+$B$5*D198,$B$6)</f>
        <v/>
      </c>
      <c r="F198" s="13">
        <f>$B$7</f>
        <v/>
      </c>
      <c r="G198" s="13">
        <f>E198+F198</f>
        <v/>
      </c>
      <c r="H198" s="13">
        <f>3*E198+F198</f>
        <v/>
      </c>
      <c r="I198">
        <f>IF(H198&gt;$B$8,"Oui","Non")</f>
        <v/>
      </c>
      <c r="J198" s="14">
        <f>IF(D198&gt;0,E198/D198,"")</f>
        <v/>
      </c>
    </row>
    <row r="199">
      <c r="A199" s="15" t="inlineStr">
        <is>
          <t>CC Midi Corrézien</t>
        </is>
      </c>
      <c r="B199" s="15" t="inlineStr">
        <is>
          <t>Corrèze</t>
        </is>
      </c>
      <c r="C199" s="15" t="inlineStr">
        <is>
          <t>19</t>
        </is>
      </c>
      <c r="D199" s="16" t="n">
        <v>13215</v>
      </c>
      <c r="E199" s="17">
        <f>MIN($B$4+$B$5*D199,$B$6)</f>
        <v/>
      </c>
      <c r="F199" s="17">
        <f>$B$7</f>
        <v/>
      </c>
      <c r="G199" s="17">
        <f>E199+F199</f>
        <v/>
      </c>
      <c r="H199" s="17">
        <f>3*E199+F199</f>
        <v/>
      </c>
      <c r="I199" s="15">
        <f>IF(H199&gt;$B$8,"Oui","Non")</f>
        <v/>
      </c>
      <c r="J199" s="18">
        <f>IF(D199&gt;0,E199/D199,"")</f>
        <v/>
      </c>
    </row>
    <row r="200">
      <c r="A200" t="inlineStr">
        <is>
          <t>CC Vézère-Monédières-Millesources</t>
        </is>
      </c>
      <c r="B200" t="inlineStr">
        <is>
          <t>Corrèze</t>
        </is>
      </c>
      <c r="C200" t="inlineStr">
        <is>
          <t>19</t>
        </is>
      </c>
      <c r="D200" s="3" t="n">
        <v>5691</v>
      </c>
      <c r="E200" s="13">
        <f>MIN($B$4+$B$5*D200,$B$6)</f>
        <v/>
      </c>
      <c r="F200" s="13">
        <f>$B$7</f>
        <v/>
      </c>
      <c r="G200" s="13">
        <f>E200+F200</f>
        <v/>
      </c>
      <c r="H200" s="13">
        <f>3*E200+F200</f>
        <v/>
      </c>
      <c r="I200">
        <f>IF(H200&gt;$B$8,"Oui","Non")</f>
        <v/>
      </c>
      <c r="J200" s="14">
        <f>IF(D200&gt;0,E200/D200,"")</f>
        <v/>
      </c>
    </row>
    <row r="201">
      <c r="A201" s="15" t="inlineStr">
        <is>
          <t>CC Xaintrie Val'Dordogne</t>
        </is>
      </c>
      <c r="B201" s="15" t="inlineStr">
        <is>
          <t>Corrèze</t>
        </is>
      </c>
      <c r="C201" s="15" t="inlineStr">
        <is>
          <t>19</t>
        </is>
      </c>
      <c r="D201" s="16" t="n">
        <v>11120</v>
      </c>
      <c r="E201" s="17">
        <f>MIN($B$4+$B$5*D201,$B$6)</f>
        <v/>
      </c>
      <c r="F201" s="17">
        <f>$B$7</f>
        <v/>
      </c>
      <c r="G201" s="17">
        <f>E201+F201</f>
        <v/>
      </c>
      <c r="H201" s="17">
        <f>3*E201+F201</f>
        <v/>
      </c>
      <c r="I201" s="15">
        <f>IF(H201&gt;$B$8,"Oui","Non")</f>
        <v/>
      </c>
      <c r="J201" s="18">
        <f>IF(D201&gt;0,E201/D201,"")</f>
        <v/>
      </c>
    </row>
    <row r="202">
      <c r="A202" t="inlineStr">
        <is>
          <t>CC de Ventadour - Egletons - Monédières</t>
        </is>
      </c>
      <c r="B202" t="inlineStr">
        <is>
          <t>Corrèze</t>
        </is>
      </c>
      <c r="C202" t="inlineStr">
        <is>
          <t>19</t>
        </is>
      </c>
      <c r="D202" s="3" t="n">
        <v>10212</v>
      </c>
      <c r="E202" s="13">
        <f>MIN($B$4+$B$5*D202,$B$6)</f>
        <v/>
      </c>
      <c r="F202" s="13">
        <f>$B$7</f>
        <v/>
      </c>
      <c r="G202" s="13">
        <f>E202+F202</f>
        <v/>
      </c>
      <c r="H202" s="13">
        <f>3*E202+F202</f>
        <v/>
      </c>
      <c r="I202">
        <f>IF(H202&gt;$B$8,"Oui","Non")</f>
        <v/>
      </c>
      <c r="J202" s="14">
        <f>IF(D202&gt;0,E202/D202,"")</f>
        <v/>
      </c>
    </row>
    <row r="203">
      <c r="A203" s="15" t="inlineStr">
        <is>
          <t>CC du Pays d'Uzerche</t>
        </is>
      </c>
      <c r="B203" s="15" t="inlineStr">
        <is>
          <t>Corrèze</t>
        </is>
      </c>
      <c r="C203" s="15" t="inlineStr">
        <is>
          <t>19</t>
        </is>
      </c>
      <c r="D203" s="16" t="n">
        <v>10599</v>
      </c>
      <c r="E203" s="17">
        <f>MIN($B$4+$B$5*D203,$B$6)</f>
        <v/>
      </c>
      <c r="F203" s="17">
        <f>$B$7</f>
        <v/>
      </c>
      <c r="G203" s="17">
        <f>E203+F203</f>
        <v/>
      </c>
      <c r="H203" s="17">
        <f>3*E203+F203</f>
        <v/>
      </c>
      <c r="I203" s="15">
        <f>IF(H203&gt;$B$8,"Oui","Non")</f>
        <v/>
      </c>
      <c r="J203" s="18">
        <f>IF(D203&gt;0,E203/D203,"")</f>
        <v/>
      </c>
    </row>
    <row r="204">
      <c r="A204" t="inlineStr">
        <is>
          <t>CC du Pays de Lubersac-Pompadour</t>
        </is>
      </c>
      <c r="B204" t="inlineStr">
        <is>
          <t>Corrèze</t>
        </is>
      </c>
      <c r="C204" t="inlineStr">
        <is>
          <t>19</t>
        </is>
      </c>
      <c r="D204" s="3" t="n">
        <v>6785</v>
      </c>
      <c r="E204" s="13">
        <f>MIN($B$4+$B$5*D204,$B$6)</f>
        <v/>
      </c>
      <c r="F204" s="13">
        <f>$B$7</f>
        <v/>
      </c>
      <c r="G204" s="13">
        <f>E204+F204</f>
        <v/>
      </c>
      <c r="H204" s="13">
        <f>3*E204+F204</f>
        <v/>
      </c>
      <c r="I204">
        <f>IF(H204&gt;$B$8,"Oui","Non")</f>
        <v/>
      </c>
      <c r="J204" s="14">
        <f>IF(D204&gt;0,E204/D204,"")</f>
        <v/>
      </c>
    </row>
    <row r="205">
      <c r="A205" s="15" t="inlineStr">
        <is>
          <t>CC du Pays de Saint Yrieix</t>
        </is>
      </c>
      <c r="B205" s="15" t="inlineStr">
        <is>
          <t>Corrèze, Haute-Vienne</t>
        </is>
      </c>
      <c r="C205" s="15" t="inlineStr">
        <is>
          <t>19, 87</t>
        </is>
      </c>
      <c r="D205" s="16" t="n">
        <v>12161</v>
      </c>
      <c r="E205" s="17">
        <f>MIN($B$4+$B$5*D205,$B$6)</f>
        <v/>
      </c>
      <c r="F205" s="17">
        <f>$B$7</f>
        <v/>
      </c>
      <c r="G205" s="17">
        <f>E205+F205</f>
        <v/>
      </c>
      <c r="H205" s="17">
        <f>3*E205+F205</f>
        <v/>
      </c>
      <c r="I205" s="15">
        <f>IF(H205&gt;$B$8,"Oui","Non")</f>
        <v/>
      </c>
      <c r="J205" s="18">
        <f>IF(D205&gt;0,E205/D205,"")</f>
        <v/>
      </c>
    </row>
    <row r="206">
      <c r="A206" t="inlineStr">
        <is>
          <t>CC Auxonne Pontailler Val de Saône</t>
        </is>
      </c>
      <c r="B206" t="inlineStr">
        <is>
          <t>Côte-d'Or</t>
        </is>
      </c>
      <c r="C206" t="inlineStr">
        <is>
          <t>21</t>
        </is>
      </c>
      <c r="D206" s="3" t="n">
        <v>23448</v>
      </c>
      <c r="E206" s="13">
        <f>MIN($B$4+$B$5*D206,$B$6)</f>
        <v/>
      </c>
      <c r="F206" s="13">
        <f>$B$7</f>
        <v/>
      </c>
      <c r="G206" s="13">
        <f>E206+F206</f>
        <v/>
      </c>
      <c r="H206" s="13">
        <f>3*E206+F206</f>
        <v/>
      </c>
      <c r="I206">
        <f>IF(H206&gt;$B$8,"Oui","Non")</f>
        <v/>
      </c>
      <c r="J206" s="14">
        <f>IF(D206&gt;0,E206/D206,"")</f>
        <v/>
      </c>
    </row>
    <row r="207">
      <c r="A207" s="15" t="inlineStr">
        <is>
          <t>CC Forêts, Seine et Suzon</t>
        </is>
      </c>
      <c r="B207" s="15" t="inlineStr">
        <is>
          <t>Côte-d'Or</t>
        </is>
      </c>
      <c r="C207" s="15" t="inlineStr">
        <is>
          <t>21</t>
        </is>
      </c>
      <c r="D207" s="16" t="n">
        <v>7054</v>
      </c>
      <c r="E207" s="17">
        <f>MIN($B$4+$B$5*D207,$B$6)</f>
        <v/>
      </c>
      <c r="F207" s="17">
        <f>$B$7</f>
        <v/>
      </c>
      <c r="G207" s="17">
        <f>E207+F207</f>
        <v/>
      </c>
      <c r="H207" s="17">
        <f>3*E207+F207</f>
        <v/>
      </c>
      <c r="I207" s="15">
        <f>IF(H207&gt;$B$8,"Oui","Non")</f>
        <v/>
      </c>
      <c r="J207" s="18">
        <f>IF(D207&gt;0,E207/D207,"")</f>
        <v/>
      </c>
    </row>
    <row r="208">
      <c r="A208" t="inlineStr">
        <is>
          <t>CC Mirebellois et Fontenois</t>
        </is>
      </c>
      <c r="B208" t="inlineStr">
        <is>
          <t>Côte-d'Or</t>
        </is>
      </c>
      <c r="C208" t="inlineStr">
        <is>
          <t>21</t>
        </is>
      </c>
      <c r="D208" s="3" t="n">
        <v>12549</v>
      </c>
      <c r="E208" s="13">
        <f>MIN($B$4+$B$5*D208,$B$6)</f>
        <v/>
      </c>
      <c r="F208" s="13">
        <f>$B$7</f>
        <v/>
      </c>
      <c r="G208" s="13">
        <f>E208+F208</f>
        <v/>
      </c>
      <c r="H208" s="13">
        <f>3*E208+F208</f>
        <v/>
      </c>
      <c r="I208">
        <f>IF(H208&gt;$B$8,"Oui","Non")</f>
        <v/>
      </c>
      <c r="J208" s="14">
        <f>IF(D208&gt;0,E208/D208,"")</f>
        <v/>
      </c>
    </row>
    <row r="209">
      <c r="A209" s="15" t="inlineStr">
        <is>
          <t>CC Norge et Tille</t>
        </is>
      </c>
      <c r="B209" s="15" t="inlineStr">
        <is>
          <t>Côte-d'Or</t>
        </is>
      </c>
      <c r="C209" s="15" t="inlineStr">
        <is>
          <t>21</t>
        </is>
      </c>
      <c r="D209" s="16" t="n">
        <v>16671</v>
      </c>
      <c r="E209" s="17">
        <f>MIN($B$4+$B$5*D209,$B$6)</f>
        <v/>
      </c>
      <c r="F209" s="17">
        <f>$B$7</f>
        <v/>
      </c>
      <c r="G209" s="17">
        <f>E209+F209</f>
        <v/>
      </c>
      <c r="H209" s="17">
        <f>3*E209+F209</f>
        <v/>
      </c>
      <c r="I209" s="15">
        <f>IF(H209&gt;$B$8,"Oui","Non")</f>
        <v/>
      </c>
      <c r="J209" s="18">
        <f>IF(D209&gt;0,E209/D209,"")</f>
        <v/>
      </c>
    </row>
    <row r="210">
      <c r="A210" t="inlineStr">
        <is>
          <t>CC Ouche et Montagne</t>
        </is>
      </c>
      <c r="B210" t="inlineStr">
        <is>
          <t>Côte-d'Or</t>
        </is>
      </c>
      <c r="C210" t="inlineStr">
        <is>
          <t>21</t>
        </is>
      </c>
      <c r="D210" s="3" t="n">
        <v>11273</v>
      </c>
      <c r="E210" s="13">
        <f>MIN($B$4+$B$5*D210,$B$6)</f>
        <v/>
      </c>
      <c r="F210" s="13">
        <f>$B$7</f>
        <v/>
      </c>
      <c r="G210" s="13">
        <f>E210+F210</f>
        <v/>
      </c>
      <c r="H210" s="13">
        <f>3*E210+F210</f>
        <v/>
      </c>
      <c r="I210">
        <f>IF(H210&gt;$B$8,"Oui","Non")</f>
        <v/>
      </c>
      <c r="J210" s="14">
        <f>IF(D210&gt;0,E210/D210,"")</f>
        <v/>
      </c>
    </row>
    <row r="211">
      <c r="A211" s="15" t="inlineStr">
        <is>
          <t>CC Rives de Saône</t>
        </is>
      </c>
      <c r="B211" s="15" t="inlineStr">
        <is>
          <t>Côte-d'Or</t>
        </is>
      </c>
      <c r="C211" s="15" t="inlineStr">
        <is>
          <t>21</t>
        </is>
      </c>
      <c r="D211" s="16" t="n">
        <v>20587</v>
      </c>
      <c r="E211" s="17">
        <f>MIN($B$4+$B$5*D211,$B$6)</f>
        <v/>
      </c>
      <c r="F211" s="17">
        <f>$B$7</f>
        <v/>
      </c>
      <c r="G211" s="17">
        <f>E211+F211</f>
        <v/>
      </c>
      <c r="H211" s="17">
        <f>3*E211+F211</f>
        <v/>
      </c>
      <c r="I211" s="15">
        <f>IF(H211&gt;$B$8,"Oui","Non")</f>
        <v/>
      </c>
      <c r="J211" s="18">
        <f>IF(D211&gt;0,E211/D211,"")</f>
        <v/>
      </c>
    </row>
    <row r="212">
      <c r="A212" t="inlineStr">
        <is>
          <t>CC Tille et Venelle</t>
        </is>
      </c>
      <c r="B212" t="inlineStr">
        <is>
          <t>Côte-d'Or</t>
        </is>
      </c>
      <c r="C212" t="inlineStr">
        <is>
          <t>21</t>
        </is>
      </c>
      <c r="D212" s="3" t="n">
        <v>4933</v>
      </c>
      <c r="E212" s="13">
        <f>MIN($B$4+$B$5*D212,$B$6)</f>
        <v/>
      </c>
      <c r="F212" s="13">
        <f>$B$7</f>
        <v/>
      </c>
      <c r="G212" s="13">
        <f>E212+F212</f>
        <v/>
      </c>
      <c r="H212" s="13">
        <f>3*E212+F212</f>
        <v/>
      </c>
      <c r="I212">
        <f>IF(H212&gt;$B$8,"Oui","Non")</f>
        <v/>
      </c>
      <c r="J212" s="14">
        <f>IF(D212&gt;0,E212/D212,"")</f>
        <v/>
      </c>
    </row>
    <row r="213">
      <c r="A213" s="15" t="inlineStr">
        <is>
          <t>CC de Gevrey-Chambertin et de Nuits-Saint-Georges</t>
        </is>
      </c>
      <c r="B213" s="15" t="inlineStr">
        <is>
          <t>Côte-d'Or</t>
        </is>
      </c>
      <c r="C213" s="15" t="inlineStr">
        <is>
          <t>21</t>
        </is>
      </c>
      <c r="D213" s="16" t="n">
        <v>29589</v>
      </c>
      <c r="E213" s="17">
        <f>MIN($B$4+$B$5*D213,$B$6)</f>
        <v/>
      </c>
      <c r="F213" s="17">
        <f>$B$7</f>
        <v/>
      </c>
      <c r="G213" s="17">
        <f>E213+F213</f>
        <v/>
      </c>
      <c r="H213" s="17">
        <f>3*E213+F213</f>
        <v/>
      </c>
      <c r="I213" s="15">
        <f>IF(H213&gt;$B$8,"Oui","Non")</f>
        <v/>
      </c>
      <c r="J213" s="18">
        <f>IF(D213&gt;0,E213/D213,"")</f>
        <v/>
      </c>
    </row>
    <row r="214">
      <c r="A214" t="inlineStr">
        <is>
          <t>CC de Pouilly-en-Auxois / Bligny-sur-Ouche</t>
        </is>
      </c>
      <c r="B214" t="inlineStr">
        <is>
          <t>Côte-d'Or</t>
        </is>
      </c>
      <c r="C214" t="inlineStr">
        <is>
          <t>21</t>
        </is>
      </c>
      <c r="D214" s="3" t="n">
        <v>8777</v>
      </c>
      <c r="E214" s="13">
        <f>MIN($B$4+$B$5*D214,$B$6)</f>
        <v/>
      </c>
      <c r="F214" s="13">
        <f>$B$7</f>
        <v/>
      </c>
      <c r="G214" s="13">
        <f>E214+F214</f>
        <v/>
      </c>
      <c r="H214" s="13">
        <f>3*E214+F214</f>
        <v/>
      </c>
      <c r="I214">
        <f>IF(H214&gt;$B$8,"Oui","Non")</f>
        <v/>
      </c>
      <c r="J214" s="14">
        <f>IF(D214&gt;0,E214/D214,"")</f>
        <v/>
      </c>
    </row>
    <row r="215">
      <c r="A215" s="15" t="inlineStr">
        <is>
          <t>CC de Saulieu-Morvan</t>
        </is>
      </c>
      <c r="B215" s="15" t="inlineStr">
        <is>
          <t>Côte-d'Or</t>
        </is>
      </c>
      <c r="C215" s="15" t="inlineStr">
        <is>
          <t>21</t>
        </is>
      </c>
      <c r="D215" s="16" t="n">
        <v>5227</v>
      </c>
      <c r="E215" s="17">
        <f>MIN($B$4+$B$5*D215,$B$6)</f>
        <v/>
      </c>
      <c r="F215" s="17">
        <f>$B$7</f>
        <v/>
      </c>
      <c r="G215" s="17">
        <f>E215+F215</f>
        <v/>
      </c>
      <c r="H215" s="17">
        <f>3*E215+F215</f>
        <v/>
      </c>
      <c r="I215" s="15">
        <f>IF(H215&gt;$B$8,"Oui","Non")</f>
        <v/>
      </c>
      <c r="J215" s="18">
        <f>IF(D215&gt;0,E215/D215,"")</f>
        <v/>
      </c>
    </row>
    <row r="216">
      <c r="A216" t="inlineStr">
        <is>
          <t>CC de la Plaine Dijonnaise</t>
        </is>
      </c>
      <c r="B216" t="inlineStr">
        <is>
          <t>Côte-d'Or</t>
        </is>
      </c>
      <c r="C216" t="inlineStr">
        <is>
          <t>21</t>
        </is>
      </c>
      <c r="D216" s="3" t="n">
        <v>22152</v>
      </c>
      <c r="E216" s="13">
        <f>MIN($B$4+$B$5*D216,$B$6)</f>
        <v/>
      </c>
      <c r="F216" s="13">
        <f>$B$7</f>
        <v/>
      </c>
      <c r="G216" s="13">
        <f>E216+F216</f>
        <v/>
      </c>
      <c r="H216" s="13">
        <f>3*E216+F216</f>
        <v/>
      </c>
      <c r="I216">
        <f>IF(H216&gt;$B$8,"Oui","Non")</f>
        <v/>
      </c>
      <c r="J216" s="14">
        <f>IF(D216&gt;0,E216/D216,"")</f>
        <v/>
      </c>
    </row>
    <row r="217">
      <c r="A217" s="15" t="inlineStr">
        <is>
          <t>CC des Terres d'Auxois</t>
        </is>
      </c>
      <c r="B217" s="15" t="inlineStr">
        <is>
          <t>Côte-d'Or</t>
        </is>
      </c>
      <c r="C217" s="15" t="inlineStr">
        <is>
          <t>21</t>
        </is>
      </c>
      <c r="D217" s="16" t="n">
        <v>15602</v>
      </c>
      <c r="E217" s="17">
        <f>MIN($B$4+$B$5*D217,$B$6)</f>
        <v/>
      </c>
      <c r="F217" s="17">
        <f>$B$7</f>
        <v/>
      </c>
      <c r="G217" s="17">
        <f>E217+F217</f>
        <v/>
      </c>
      <c r="H217" s="17">
        <f>3*E217+F217</f>
        <v/>
      </c>
      <c r="I217" s="15">
        <f>IF(H217&gt;$B$8,"Oui","Non")</f>
        <v/>
      </c>
      <c r="J217" s="18">
        <f>IF(D217&gt;0,E217/D217,"")</f>
        <v/>
      </c>
    </row>
    <row r="218">
      <c r="A218" t="inlineStr">
        <is>
          <t>CC des Vallées de la Tille et de l'Ignon</t>
        </is>
      </c>
      <c r="B218" t="inlineStr">
        <is>
          <t>Côte-d'Or</t>
        </is>
      </c>
      <c r="C218" t="inlineStr">
        <is>
          <t>21</t>
        </is>
      </c>
      <c r="D218" s="3" t="n">
        <v>13659</v>
      </c>
      <c r="E218" s="13">
        <f>MIN($B$4+$B$5*D218,$B$6)</f>
        <v/>
      </c>
      <c r="F218" s="13">
        <f>$B$7</f>
        <v/>
      </c>
      <c r="G218" s="13">
        <f>E218+F218</f>
        <v/>
      </c>
      <c r="H218" s="13">
        <f>3*E218+F218</f>
        <v/>
      </c>
      <c r="I218">
        <f>IF(H218&gt;$B$8,"Oui","Non")</f>
        <v/>
      </c>
      <c r="J218" s="14">
        <f>IF(D218&gt;0,E218/D218,"")</f>
        <v/>
      </c>
    </row>
    <row r="219">
      <c r="A219" s="15" t="inlineStr">
        <is>
          <t>CC du Montbardois</t>
        </is>
      </c>
      <c r="B219" s="15" t="inlineStr">
        <is>
          <t>Côte-d'Or</t>
        </is>
      </c>
      <c r="C219" s="15" t="inlineStr">
        <is>
          <t>21</t>
        </is>
      </c>
      <c r="D219" s="16" t="n">
        <v>10144</v>
      </c>
      <c r="E219" s="17">
        <f>MIN($B$4+$B$5*D219,$B$6)</f>
        <v/>
      </c>
      <c r="F219" s="17">
        <f>$B$7</f>
        <v/>
      </c>
      <c r="G219" s="17">
        <f>E219+F219</f>
        <v/>
      </c>
      <c r="H219" s="17">
        <f>3*E219+F219</f>
        <v/>
      </c>
      <c r="I219" s="15">
        <f>IF(H219&gt;$B$8,"Oui","Non")</f>
        <v/>
      </c>
      <c r="J219" s="18">
        <f>IF(D219&gt;0,E219/D219,"")</f>
        <v/>
      </c>
    </row>
    <row r="220">
      <c r="A220" t="inlineStr">
        <is>
          <t>CC du Pays Arnay Liernais</t>
        </is>
      </c>
      <c r="B220" t="inlineStr">
        <is>
          <t>Côte-d'Or</t>
        </is>
      </c>
      <c r="C220" t="inlineStr">
        <is>
          <t>21</t>
        </is>
      </c>
      <c r="D220" s="3" t="n">
        <v>7000</v>
      </c>
      <c r="E220" s="13">
        <f>MIN($B$4+$B$5*D220,$B$6)</f>
        <v/>
      </c>
      <c r="F220" s="13">
        <f>$B$7</f>
        <v/>
      </c>
      <c r="G220" s="13">
        <f>E220+F220</f>
        <v/>
      </c>
      <c r="H220" s="13">
        <f>3*E220+F220</f>
        <v/>
      </c>
      <c r="I220">
        <f>IF(H220&gt;$B$8,"Oui","Non")</f>
        <v/>
      </c>
      <c r="J220" s="14">
        <f>IF(D220&gt;0,E220/D220,"")</f>
        <v/>
      </c>
    </row>
    <row r="221">
      <c r="A221" s="15" t="inlineStr">
        <is>
          <t>CC du Pays Châtillonnais</t>
        </is>
      </c>
      <c r="B221" s="15" t="inlineStr">
        <is>
          <t>Côte-d'Or</t>
        </is>
      </c>
      <c r="C221" s="15" t="inlineStr">
        <is>
          <t>21</t>
        </is>
      </c>
      <c r="D221" s="16" t="n">
        <v>19533</v>
      </c>
      <c r="E221" s="17">
        <f>MIN($B$4+$B$5*D221,$B$6)</f>
        <v/>
      </c>
      <c r="F221" s="17">
        <f>$B$7</f>
        <v/>
      </c>
      <c r="G221" s="17">
        <f>E221+F221</f>
        <v/>
      </c>
      <c r="H221" s="17">
        <f>3*E221+F221</f>
        <v/>
      </c>
      <c r="I221" s="15">
        <f>IF(H221&gt;$B$8,"Oui","Non")</f>
        <v/>
      </c>
      <c r="J221" s="18">
        <f>IF(D221&gt;0,E221/D221,"")</f>
        <v/>
      </c>
    </row>
    <row r="222">
      <c r="A222" t="inlineStr">
        <is>
          <t>CC du Pays d'Alésia et de la Seine</t>
        </is>
      </c>
      <c r="B222" t="inlineStr">
        <is>
          <t>Côte-d'Or</t>
        </is>
      </c>
      <c r="C222" t="inlineStr">
        <is>
          <t>21</t>
        </is>
      </c>
      <c r="D222" s="3" t="n">
        <v>7352</v>
      </c>
      <c r="E222" s="13">
        <f>MIN($B$4+$B$5*D222,$B$6)</f>
        <v/>
      </c>
      <c r="F222" s="13">
        <f>$B$7</f>
        <v/>
      </c>
      <c r="G222" s="13">
        <f>E222+F222</f>
        <v/>
      </c>
      <c r="H222" s="13">
        <f>3*E222+F222</f>
        <v/>
      </c>
      <c r="I222">
        <f>IF(H222&gt;$B$8,"Oui","Non")</f>
        <v/>
      </c>
      <c r="J222" s="14">
        <f>IF(D222&gt;0,E222/D222,"")</f>
        <v/>
      </c>
    </row>
    <row r="223">
      <c r="A223" s="15" t="inlineStr">
        <is>
          <t>CC Côte d'Emeraude</t>
        </is>
      </c>
      <c r="B223" s="15" t="inlineStr">
        <is>
          <t>Côtes-d'Armor, Ille-et-Vilaine</t>
        </is>
      </c>
      <c r="C223" s="15" t="inlineStr">
        <is>
          <t>22, 35</t>
        </is>
      </c>
      <c r="D223" s="16" t="n">
        <v>28799</v>
      </c>
      <c r="E223" s="17">
        <f>MIN($B$4+$B$5*D223,$B$6)</f>
        <v/>
      </c>
      <c r="F223" s="17">
        <f>$B$7</f>
        <v/>
      </c>
      <c r="G223" s="17">
        <f>E223+F223</f>
        <v/>
      </c>
      <c r="H223" s="17">
        <f>3*E223+F223</f>
        <v/>
      </c>
      <c r="I223" s="15">
        <f>IF(H223&gt;$B$8,"Oui","Non")</f>
        <v/>
      </c>
      <c r="J223" s="18">
        <f>IF(D223&gt;0,E223/D223,"")</f>
        <v/>
      </c>
    </row>
    <row r="224">
      <c r="A224" t="inlineStr">
        <is>
          <t>CC Leff Armor Communauté</t>
        </is>
      </c>
      <c r="B224" t="inlineStr">
        <is>
          <t>Côtes-d'Armor</t>
        </is>
      </c>
      <c r="C224" t="inlineStr">
        <is>
          <t>22</t>
        </is>
      </c>
      <c r="D224" s="3" t="n">
        <v>32064</v>
      </c>
      <c r="E224" s="13">
        <f>MIN($B$4+$B$5*D224,$B$6)</f>
        <v/>
      </c>
      <c r="F224" s="13">
        <f>$B$7</f>
        <v/>
      </c>
      <c r="G224" s="13">
        <f>E224+F224</f>
        <v/>
      </c>
      <c r="H224" s="13">
        <f>3*E224+F224</f>
        <v/>
      </c>
      <c r="I224">
        <f>IF(H224&gt;$B$8,"Oui","Non")</f>
        <v/>
      </c>
      <c r="J224" s="14">
        <f>IF(D224&gt;0,E224/D224,"")</f>
        <v/>
      </c>
    </row>
    <row r="225">
      <c r="A225" s="15" t="inlineStr">
        <is>
          <t>CC Loudéac Communauté - Bretagne Centre</t>
        </is>
      </c>
      <c r="B225" s="15" t="inlineStr">
        <is>
          <t>Côtes-d'Armor</t>
        </is>
      </c>
      <c r="C225" s="15" t="inlineStr">
        <is>
          <t>22</t>
        </is>
      </c>
      <c r="D225" s="16" t="n">
        <v>51811</v>
      </c>
      <c r="E225" s="17">
        <f>MIN($B$4+$B$5*D225,$B$6)</f>
        <v/>
      </c>
      <c r="F225" s="17">
        <f>$B$7</f>
        <v/>
      </c>
      <c r="G225" s="17">
        <f>E225+F225</f>
        <v/>
      </c>
      <c r="H225" s="17">
        <f>3*E225+F225</f>
        <v/>
      </c>
      <c r="I225" s="15">
        <f>IF(H225&gt;$B$8,"Oui","Non")</f>
        <v/>
      </c>
      <c r="J225" s="18">
        <f>IF(D225&gt;0,E225/D225,"")</f>
        <v/>
      </c>
    </row>
    <row r="226">
      <c r="A226" t="inlineStr">
        <is>
          <t>CC Poher Communauté</t>
        </is>
      </c>
      <c r="B226" t="inlineStr">
        <is>
          <t>Côtes-d'Armor, Finistère</t>
        </is>
      </c>
      <c r="C226" t="inlineStr">
        <is>
          <t>22, 29</t>
        </is>
      </c>
      <c r="D226" s="3" t="n">
        <v>15416</v>
      </c>
      <c r="E226" s="13">
        <f>MIN($B$4+$B$5*D226,$B$6)</f>
        <v/>
      </c>
      <c r="F226" s="13">
        <f>$B$7</f>
        <v/>
      </c>
      <c r="G226" s="13">
        <f>E226+F226</f>
        <v/>
      </c>
      <c r="H226" s="13">
        <f>3*E226+F226</f>
        <v/>
      </c>
      <c r="I226">
        <f>IF(H226&gt;$B$8,"Oui","Non")</f>
        <v/>
      </c>
      <c r="J226" s="14">
        <f>IF(D226&gt;0,E226/D226,"")</f>
        <v/>
      </c>
    </row>
    <row r="227">
      <c r="A227" s="15" t="inlineStr">
        <is>
          <t>CC Pontivy Communauté</t>
        </is>
      </c>
      <c r="B227" s="15" t="inlineStr">
        <is>
          <t>Côtes-d'Armor, Morbihan</t>
        </is>
      </c>
      <c r="C227" s="15" t="inlineStr">
        <is>
          <t>22, 56</t>
        </is>
      </c>
      <c r="D227" s="16" t="n">
        <v>46032</v>
      </c>
      <c r="E227" s="17">
        <f>MIN($B$4+$B$5*D227,$B$6)</f>
        <v/>
      </c>
      <c r="F227" s="17">
        <f>$B$7</f>
        <v/>
      </c>
      <c r="G227" s="17">
        <f>E227+F227</f>
        <v/>
      </c>
      <c r="H227" s="17">
        <f>3*E227+F227</f>
        <v/>
      </c>
      <c r="I227" s="15">
        <f>IF(H227&gt;$B$8,"Oui","Non")</f>
        <v/>
      </c>
      <c r="J227" s="18">
        <f>IF(D227&gt;0,E227/D227,"")</f>
        <v/>
      </c>
    </row>
    <row r="228">
      <c r="A228" t="inlineStr">
        <is>
          <t>CC du Kreiz-Breizh (CCKB)</t>
        </is>
      </c>
      <c r="B228" t="inlineStr">
        <is>
          <t>Côtes-d'Armor</t>
        </is>
      </c>
      <c r="C228" t="inlineStr">
        <is>
          <t>22</t>
        </is>
      </c>
      <c r="D228" s="3" t="n">
        <v>18400</v>
      </c>
      <c r="E228" s="13">
        <f>MIN($B$4+$B$5*D228,$B$6)</f>
        <v/>
      </c>
      <c r="F228" s="13">
        <f>$B$7</f>
        <v/>
      </c>
      <c r="G228" s="13">
        <f>E228+F228</f>
        <v/>
      </c>
      <c r="H228" s="13">
        <f>3*E228+F228</f>
        <v/>
      </c>
      <c r="I228">
        <f>IF(H228&gt;$B$8,"Oui","Non")</f>
        <v/>
      </c>
      <c r="J228" s="14">
        <f>IF(D228&gt;0,E228/D228,"")</f>
        <v/>
      </c>
    </row>
    <row r="229">
      <c r="A229" s="15" t="inlineStr">
        <is>
          <t>CC Creuse Confluence</t>
        </is>
      </c>
      <c r="B229" s="15" t="inlineStr">
        <is>
          <t>Creuse</t>
        </is>
      </c>
      <c r="C229" s="15" t="inlineStr">
        <is>
          <t>23</t>
        </is>
      </c>
      <c r="D229" s="16" t="n">
        <v>16479</v>
      </c>
      <c r="E229" s="17">
        <f>MIN($B$4+$B$5*D229,$B$6)</f>
        <v/>
      </c>
      <c r="F229" s="17">
        <f>$B$7</f>
        <v/>
      </c>
      <c r="G229" s="17">
        <f>E229+F229</f>
        <v/>
      </c>
      <c r="H229" s="17">
        <f>3*E229+F229</f>
        <v/>
      </c>
      <c r="I229" s="15">
        <f>IF(H229&gt;$B$8,"Oui","Non")</f>
        <v/>
      </c>
      <c r="J229" s="18">
        <f>IF(D229&gt;0,E229/D229,"")</f>
        <v/>
      </c>
    </row>
    <row r="230">
      <c r="A230" t="inlineStr">
        <is>
          <t>CC Creuse Grand Sud</t>
        </is>
      </c>
      <c r="B230" t="inlineStr">
        <is>
          <t>Creuse</t>
        </is>
      </c>
      <c r="C230" t="inlineStr">
        <is>
          <t>23</t>
        </is>
      </c>
      <c r="D230" s="3" t="n">
        <v>11509</v>
      </c>
      <c r="E230" s="13">
        <f>MIN($B$4+$B$5*D230,$B$6)</f>
        <v/>
      </c>
      <c r="F230" s="13">
        <f>$B$7</f>
        <v/>
      </c>
      <c r="G230" s="13">
        <f>E230+F230</f>
        <v/>
      </c>
      <c r="H230" s="13">
        <f>3*E230+F230</f>
        <v/>
      </c>
      <c r="I230">
        <f>IF(H230&gt;$B$8,"Oui","Non")</f>
        <v/>
      </c>
      <c r="J230" s="14">
        <f>IF(D230&gt;0,E230/D230,"")</f>
        <v/>
      </c>
    </row>
    <row r="231">
      <c r="A231" s="15" t="inlineStr">
        <is>
          <t>CC Creuse Sud Ouest</t>
        </is>
      </c>
      <c r="B231" s="15" t="inlineStr">
        <is>
          <t>Creuse</t>
        </is>
      </c>
      <c r="C231" s="15" t="inlineStr">
        <is>
          <t>23</t>
        </is>
      </c>
      <c r="D231" s="16" t="n">
        <v>13483</v>
      </c>
      <c r="E231" s="17">
        <f>MIN($B$4+$B$5*D231,$B$6)</f>
        <v/>
      </c>
      <c r="F231" s="17">
        <f>$B$7</f>
        <v/>
      </c>
      <c r="G231" s="17">
        <f>E231+F231</f>
        <v/>
      </c>
      <c r="H231" s="17">
        <f>3*E231+F231</f>
        <v/>
      </c>
      <c r="I231" s="15">
        <f>IF(H231&gt;$B$8,"Oui","Non")</f>
        <v/>
      </c>
      <c r="J231" s="18">
        <f>IF(D231&gt;0,E231/D231,"")</f>
        <v/>
      </c>
    </row>
    <row r="232">
      <c r="A232" t="inlineStr">
        <is>
          <t>CC Marche et Combraille en Aquitaine</t>
        </is>
      </c>
      <c r="B232" t="inlineStr">
        <is>
          <t>Creuse</t>
        </is>
      </c>
      <c r="C232" t="inlineStr">
        <is>
          <t>23</t>
        </is>
      </c>
      <c r="D232" s="3" t="n">
        <v>13041</v>
      </c>
      <c r="E232" s="13">
        <f>MIN($B$4+$B$5*D232,$B$6)</f>
        <v/>
      </c>
      <c r="F232" s="13">
        <f>$B$7</f>
        <v/>
      </c>
      <c r="G232" s="13">
        <f>E232+F232</f>
        <v/>
      </c>
      <c r="H232" s="13">
        <f>3*E232+F232</f>
        <v/>
      </c>
      <c r="I232">
        <f>IF(H232&gt;$B$8,"Oui","Non")</f>
        <v/>
      </c>
      <c r="J232" s="14">
        <f>IF(D232&gt;0,E232/D232,"")</f>
        <v/>
      </c>
    </row>
    <row r="233">
      <c r="A233" s="15" t="inlineStr">
        <is>
          <t>CC Portes de la Creuse en Marche</t>
        </is>
      </c>
      <c r="B233" s="15" t="inlineStr">
        <is>
          <t>Creuse</t>
        </is>
      </c>
      <c r="C233" s="15" t="inlineStr">
        <is>
          <t>23</t>
        </is>
      </c>
      <c r="D233" s="16" t="n">
        <v>6630</v>
      </c>
      <c r="E233" s="17">
        <f>MIN($B$4+$B$5*D233,$B$6)</f>
        <v/>
      </c>
      <c r="F233" s="17">
        <f>$B$7</f>
        <v/>
      </c>
      <c r="G233" s="17">
        <f>E233+F233</f>
        <v/>
      </c>
      <c r="H233" s="17">
        <f>3*E233+F233</f>
        <v/>
      </c>
      <c r="I233" s="15">
        <f>IF(H233&gt;$B$8,"Oui","Non")</f>
        <v/>
      </c>
      <c r="J233" s="18">
        <f>IF(D233&gt;0,E233/D233,"")</f>
        <v/>
      </c>
    </row>
    <row r="234">
      <c r="A234" t="inlineStr">
        <is>
          <t>CC de Bénévent Grand Bourg</t>
        </is>
      </c>
      <c r="B234" t="inlineStr">
        <is>
          <t>Creuse</t>
        </is>
      </c>
      <c r="C234" t="inlineStr">
        <is>
          <t>23</t>
        </is>
      </c>
      <c r="D234" s="3" t="n">
        <v>6785</v>
      </c>
      <c r="E234" s="13">
        <f>MIN($B$4+$B$5*D234,$B$6)</f>
        <v/>
      </c>
      <c r="F234" s="13">
        <f>$B$7</f>
        <v/>
      </c>
      <c r="G234" s="13">
        <f>E234+F234</f>
        <v/>
      </c>
      <c r="H234" s="13">
        <f>3*E234+F234</f>
        <v/>
      </c>
      <c r="I234">
        <f>IF(H234&gt;$B$8,"Oui","Non")</f>
        <v/>
      </c>
      <c r="J234" s="14">
        <f>IF(D234&gt;0,E234/D234,"")</f>
        <v/>
      </c>
    </row>
    <row r="235">
      <c r="A235" s="15" t="inlineStr">
        <is>
          <t>CC du Pays Dunois</t>
        </is>
      </c>
      <c r="B235" s="15" t="inlineStr">
        <is>
          <t>Creuse</t>
        </is>
      </c>
      <c r="C235" s="15" t="inlineStr">
        <is>
          <t>23</t>
        </is>
      </c>
      <c r="D235" s="16" t="n">
        <v>6979</v>
      </c>
      <c r="E235" s="17">
        <f>MIN($B$4+$B$5*D235,$B$6)</f>
        <v/>
      </c>
      <c r="F235" s="17">
        <f>$B$7</f>
        <v/>
      </c>
      <c r="G235" s="17">
        <f>E235+F235</f>
        <v/>
      </c>
      <c r="H235" s="17">
        <f>3*E235+F235</f>
        <v/>
      </c>
      <c r="I235" s="15">
        <f>IF(H235&gt;$B$8,"Oui","Non")</f>
        <v/>
      </c>
      <c r="J235" s="18">
        <f>IF(D235&gt;0,E235/D235,"")</f>
        <v/>
      </c>
    </row>
    <row r="236">
      <c r="A236" t="inlineStr">
        <is>
          <t>CC du Pays Sostranien</t>
        </is>
      </c>
      <c r="B236" t="inlineStr">
        <is>
          <t>Creuse</t>
        </is>
      </c>
      <c r="C236" t="inlineStr">
        <is>
          <t>23</t>
        </is>
      </c>
      <c r="D236" s="3" t="n">
        <v>10203</v>
      </c>
      <c r="E236" s="13">
        <f>MIN($B$4+$B$5*D236,$B$6)</f>
        <v/>
      </c>
      <c r="F236" s="13">
        <f>$B$7</f>
        <v/>
      </c>
      <c r="G236" s="13">
        <f>E236+F236</f>
        <v/>
      </c>
      <c r="H236" s="13">
        <f>3*E236+F236</f>
        <v/>
      </c>
      <c r="I236">
        <f>IF(H236&gt;$B$8,"Oui","Non")</f>
        <v/>
      </c>
      <c r="J236" s="14">
        <f>IF(D236&gt;0,E236/D236,"")</f>
        <v/>
      </c>
    </row>
    <row r="237">
      <c r="A237" s="15" t="inlineStr">
        <is>
          <t>CC Castillon/Pujols</t>
        </is>
      </c>
      <c r="B237" s="15" t="inlineStr">
        <is>
          <t>Dordogne, Gironde</t>
        </is>
      </c>
      <c r="C237" s="15" t="inlineStr">
        <is>
          <t>24, 33</t>
        </is>
      </c>
      <c r="D237" s="16" t="n">
        <v>19047</v>
      </c>
      <c r="E237" s="17">
        <f>MIN($B$4+$B$5*D237,$B$6)</f>
        <v/>
      </c>
      <c r="F237" s="17">
        <f>$B$7</f>
        <v/>
      </c>
      <c r="G237" s="17">
        <f>E237+F237</f>
        <v/>
      </c>
      <c r="H237" s="17">
        <f>3*E237+F237</f>
        <v/>
      </c>
      <c r="I237" s="15">
        <f>IF(H237&gt;$B$8,"Oui","Non")</f>
        <v/>
      </c>
      <c r="J237" s="18">
        <f>IF(D237&gt;0,E237/D237,"")</f>
        <v/>
      </c>
    </row>
    <row r="238">
      <c r="A238" t="inlineStr">
        <is>
          <t>CC Dronne et Belle</t>
        </is>
      </c>
      <c r="B238" t="inlineStr">
        <is>
          <t>Dordogne</t>
        </is>
      </c>
      <c r="C238" t="inlineStr">
        <is>
          <t>24</t>
        </is>
      </c>
      <c r="D238" s="3" t="n">
        <v>11393</v>
      </c>
      <c r="E238" s="13">
        <f>MIN($B$4+$B$5*D238,$B$6)</f>
        <v/>
      </c>
      <c r="F238" s="13">
        <f>$B$7</f>
        <v/>
      </c>
      <c r="G238" s="13">
        <f>E238+F238</f>
        <v/>
      </c>
      <c r="H238" s="13">
        <f>3*E238+F238</f>
        <v/>
      </c>
      <c r="I238">
        <f>IF(H238&gt;$B$8,"Oui","Non")</f>
        <v/>
      </c>
      <c r="J238" s="14">
        <f>IF(D238&gt;0,E238/D238,"")</f>
        <v/>
      </c>
    </row>
    <row r="239">
      <c r="A239" s="15" t="inlineStr">
        <is>
          <t>CC Isle Double Landais</t>
        </is>
      </c>
      <c r="B239" s="15" t="inlineStr">
        <is>
          <t>Dordogne</t>
        </is>
      </c>
      <c r="C239" s="15" t="inlineStr">
        <is>
          <t>24</t>
        </is>
      </c>
      <c r="D239" s="16" t="n">
        <v>12546</v>
      </c>
      <c r="E239" s="17">
        <f>MIN($B$4+$B$5*D239,$B$6)</f>
        <v/>
      </c>
      <c r="F239" s="17">
        <f>$B$7</f>
        <v/>
      </c>
      <c r="G239" s="17">
        <f>E239+F239</f>
        <v/>
      </c>
      <c r="H239" s="17">
        <f>3*E239+F239</f>
        <v/>
      </c>
      <c r="I239" s="15">
        <f>IF(H239&gt;$B$8,"Oui","Non")</f>
        <v/>
      </c>
      <c r="J239" s="18">
        <f>IF(D239&gt;0,E239/D239,"")</f>
        <v/>
      </c>
    </row>
    <row r="240">
      <c r="A240" t="inlineStr">
        <is>
          <t>CC Isle Vern Salembre en Périgord</t>
        </is>
      </c>
      <c r="B240" t="inlineStr">
        <is>
          <t>Dordogne</t>
        </is>
      </c>
      <c r="C240" t="inlineStr">
        <is>
          <t>24</t>
        </is>
      </c>
      <c r="D240" s="3" t="n">
        <v>18912</v>
      </c>
      <c r="E240" s="13">
        <f>MIN($B$4+$B$5*D240,$B$6)</f>
        <v/>
      </c>
      <c r="F240" s="13">
        <f>$B$7</f>
        <v/>
      </c>
      <c r="G240" s="13">
        <f>E240+F240</f>
        <v/>
      </c>
      <c r="H240" s="13">
        <f>3*E240+F240</f>
        <v/>
      </c>
      <c r="I240">
        <f>IF(H240&gt;$B$8,"Oui","Non")</f>
        <v/>
      </c>
      <c r="J240" s="14">
        <f>IF(D240&gt;0,E240/D240,"")</f>
        <v/>
      </c>
    </row>
    <row r="241">
      <c r="A241" s="15" t="inlineStr">
        <is>
          <t>CC Isle et Crempse en Périgord</t>
        </is>
      </c>
      <c r="B241" s="15" t="inlineStr">
        <is>
          <t>Dordogne</t>
        </is>
      </c>
      <c r="C241" s="15" t="inlineStr">
        <is>
          <t>24</t>
        </is>
      </c>
      <c r="D241" s="16" t="n">
        <v>14475</v>
      </c>
      <c r="E241" s="17">
        <f>MIN($B$4+$B$5*D241,$B$6)</f>
        <v/>
      </c>
      <c r="F241" s="17">
        <f>$B$7</f>
        <v/>
      </c>
      <c r="G241" s="17">
        <f>E241+F241</f>
        <v/>
      </c>
      <c r="H241" s="17">
        <f>3*E241+F241</f>
        <v/>
      </c>
      <c r="I241" s="15">
        <f>IF(H241&gt;$B$8,"Oui","Non")</f>
        <v/>
      </c>
      <c r="J241" s="18">
        <f>IF(D241&gt;0,E241/D241,"")</f>
        <v/>
      </c>
    </row>
    <row r="242">
      <c r="A242" t="inlineStr">
        <is>
          <t>CC Isle-Loue-Auvézère en Périgord</t>
        </is>
      </c>
      <c r="B242" t="inlineStr">
        <is>
          <t>Dordogne</t>
        </is>
      </c>
      <c r="C242" t="inlineStr">
        <is>
          <t>24</t>
        </is>
      </c>
      <c r="D242" s="3" t="n">
        <v>13805</v>
      </c>
      <c r="E242" s="13">
        <f>MIN($B$4+$B$5*D242,$B$6)</f>
        <v/>
      </c>
      <c r="F242" s="13">
        <f>$B$7</f>
        <v/>
      </c>
      <c r="G242" s="13">
        <f>E242+F242</f>
        <v/>
      </c>
      <c r="H242" s="13">
        <f>3*E242+F242</f>
        <v/>
      </c>
      <c r="I242">
        <f>IF(H242&gt;$B$8,"Oui","Non")</f>
        <v/>
      </c>
      <c r="J242" s="14">
        <f>IF(D242&gt;0,E242/D242,"")</f>
        <v/>
      </c>
    </row>
    <row r="243">
      <c r="A243" s="15" t="inlineStr">
        <is>
          <t>CC Périgord-Limousin</t>
        </is>
      </c>
      <c r="B243" s="15" t="inlineStr">
        <is>
          <t>Dordogne</t>
        </is>
      </c>
      <c r="C243" s="15" t="inlineStr">
        <is>
          <t>24</t>
        </is>
      </c>
      <c r="D243" s="16" t="n">
        <v>14078</v>
      </c>
      <c r="E243" s="17">
        <f>MIN($B$4+$B$5*D243,$B$6)</f>
        <v/>
      </c>
      <c r="F243" s="17">
        <f>$B$7</f>
        <v/>
      </c>
      <c r="G243" s="17">
        <f>E243+F243</f>
        <v/>
      </c>
      <c r="H243" s="17">
        <f>3*E243+F243</f>
        <v/>
      </c>
      <c r="I243" s="15">
        <f>IF(H243&gt;$B$8,"Oui","Non")</f>
        <v/>
      </c>
      <c r="J243" s="18">
        <f>IF(D243&gt;0,E243/D243,"")</f>
        <v/>
      </c>
    </row>
    <row r="244">
      <c r="A244" t="inlineStr">
        <is>
          <t>CC Sarlat-Périgord Noir</t>
        </is>
      </c>
      <c r="B244" t="inlineStr">
        <is>
          <t>Dordogne</t>
        </is>
      </c>
      <c r="C244" t="inlineStr">
        <is>
          <t>24</t>
        </is>
      </c>
      <c r="D244" s="3" t="n">
        <v>16168</v>
      </c>
      <c r="E244" s="13">
        <f>MIN($B$4+$B$5*D244,$B$6)</f>
        <v/>
      </c>
      <c r="F244" s="13">
        <f>$B$7</f>
        <v/>
      </c>
      <c r="G244" s="13">
        <f>E244+F244</f>
        <v/>
      </c>
      <c r="H244" s="13">
        <f>3*E244+F244</f>
        <v/>
      </c>
      <c r="I244">
        <f>IF(H244&gt;$B$8,"Oui","Non")</f>
        <v/>
      </c>
      <c r="J244" s="14">
        <f>IF(D244&gt;0,E244/D244,"")</f>
        <v/>
      </c>
    </row>
    <row r="245">
      <c r="A245" s="15" t="inlineStr">
        <is>
          <t>CC Terrassonnais Haut Périgord Noir</t>
        </is>
      </c>
      <c r="B245" s="15" t="inlineStr">
        <is>
          <t>Dordogne</t>
        </is>
      </c>
      <c r="C245" s="15" t="inlineStr">
        <is>
          <t>24</t>
        </is>
      </c>
      <c r="D245" s="16" t="n">
        <v>22161</v>
      </c>
      <c r="E245" s="17">
        <f>MIN($B$4+$B$5*D245,$B$6)</f>
        <v/>
      </c>
      <c r="F245" s="17">
        <f>$B$7</f>
        <v/>
      </c>
      <c r="G245" s="17">
        <f>E245+F245</f>
        <v/>
      </c>
      <c r="H245" s="17">
        <f>3*E245+F245</f>
        <v/>
      </c>
      <c r="I245" s="15">
        <f>IF(H245&gt;$B$8,"Oui","Non")</f>
        <v/>
      </c>
      <c r="J245" s="18">
        <f>IF(D245&gt;0,E245/D245,"")</f>
        <v/>
      </c>
    </row>
    <row r="246">
      <c r="A246" t="inlineStr">
        <is>
          <t>CC Vallée de la Dordogne et Forêt Bessède</t>
        </is>
      </c>
      <c r="B246" t="inlineStr">
        <is>
          <t>Dordogne</t>
        </is>
      </c>
      <c r="C246" t="inlineStr">
        <is>
          <t>24</t>
        </is>
      </c>
      <c r="D246" s="3" t="n">
        <v>8965</v>
      </c>
      <c r="E246" s="13">
        <f>MIN($B$4+$B$5*D246,$B$6)</f>
        <v/>
      </c>
      <c r="F246" s="13">
        <f>$B$7</f>
        <v/>
      </c>
      <c r="G246" s="13">
        <f>E246+F246</f>
        <v/>
      </c>
      <c r="H246" s="13">
        <f>3*E246+F246</f>
        <v/>
      </c>
      <c r="I246">
        <f>IF(H246&gt;$B$8,"Oui","Non")</f>
        <v/>
      </c>
      <c r="J246" s="14">
        <f>IF(D246&gt;0,E246/D246,"")</f>
        <v/>
      </c>
    </row>
    <row r="247">
      <c r="A247" s="15" t="inlineStr">
        <is>
          <t>CC de Domme- Villefranche du Périgord</t>
        </is>
      </c>
      <c r="B247" s="15" t="inlineStr">
        <is>
          <t>Dordogne</t>
        </is>
      </c>
      <c r="C247" s="15" t="inlineStr">
        <is>
          <t>24</t>
        </is>
      </c>
      <c r="D247" s="16" t="n">
        <v>8552</v>
      </c>
      <c r="E247" s="17">
        <f>MIN($B$4+$B$5*D247,$B$6)</f>
        <v/>
      </c>
      <c r="F247" s="17">
        <f>$B$7</f>
        <v/>
      </c>
      <c r="G247" s="17">
        <f>E247+F247</f>
        <v/>
      </c>
      <c r="H247" s="17">
        <f>3*E247+F247</f>
        <v/>
      </c>
      <c r="I247" s="15">
        <f>IF(H247&gt;$B$8,"Oui","Non")</f>
        <v/>
      </c>
      <c r="J247" s="18">
        <f>IF(D247&gt;0,E247/D247,"")</f>
        <v/>
      </c>
    </row>
    <row r="248">
      <c r="A248" t="inlineStr">
        <is>
          <t>CC de Montaigne Montravel et Gurson</t>
        </is>
      </c>
      <c r="B248" t="inlineStr">
        <is>
          <t>Dordogne</t>
        </is>
      </c>
      <c r="C248" t="inlineStr">
        <is>
          <t>24</t>
        </is>
      </c>
      <c r="D248" s="3" t="n">
        <v>11859</v>
      </c>
      <c r="E248" s="13">
        <f>MIN($B$4+$B$5*D248,$B$6)</f>
        <v/>
      </c>
      <c r="F248" s="13">
        <f>$B$7</f>
        <v/>
      </c>
      <c r="G248" s="13">
        <f>E248+F248</f>
        <v/>
      </c>
      <c r="H248" s="13">
        <f>3*E248+F248</f>
        <v/>
      </c>
      <c r="I248">
        <f>IF(H248&gt;$B$8,"Oui","Non")</f>
        <v/>
      </c>
      <c r="J248" s="14">
        <f>IF(D248&gt;0,E248/D248,"")</f>
        <v/>
      </c>
    </row>
    <row r="249">
      <c r="A249" s="15" t="inlineStr">
        <is>
          <t>CC de Portes Sud Périgord</t>
        </is>
      </c>
      <c r="B249" s="15" t="inlineStr">
        <is>
          <t>Dordogne</t>
        </is>
      </c>
      <c r="C249" s="15" t="inlineStr">
        <is>
          <t>24</t>
        </is>
      </c>
      <c r="D249" s="16" t="n">
        <v>8450</v>
      </c>
      <c r="E249" s="17">
        <f>MIN($B$4+$B$5*D249,$B$6)</f>
        <v/>
      </c>
      <c r="F249" s="17">
        <f>$B$7</f>
        <v/>
      </c>
      <c r="G249" s="17">
        <f>E249+F249</f>
        <v/>
      </c>
      <c r="H249" s="17">
        <f>3*E249+F249</f>
        <v/>
      </c>
      <c r="I249" s="15">
        <f>IF(H249&gt;$B$8,"Oui","Non")</f>
        <v/>
      </c>
      <c r="J249" s="18">
        <f>IF(D249&gt;0,E249/D249,"")</f>
        <v/>
      </c>
    </row>
    <row r="250">
      <c r="A250" t="inlineStr">
        <is>
          <t>CC de la Vallée de l'Homme</t>
        </is>
      </c>
      <c r="B250" t="inlineStr">
        <is>
          <t>Dordogne</t>
        </is>
      </c>
      <c r="C250" t="inlineStr">
        <is>
          <t>24</t>
        </is>
      </c>
      <c r="D250" s="3" t="n">
        <v>15989</v>
      </c>
      <c r="E250" s="13">
        <f>MIN($B$4+$B$5*D250,$B$6)</f>
        <v/>
      </c>
      <c r="F250" s="13">
        <f>$B$7</f>
        <v/>
      </c>
      <c r="G250" s="13">
        <f>E250+F250</f>
        <v/>
      </c>
      <c r="H250" s="13">
        <f>3*E250+F250</f>
        <v/>
      </c>
      <c r="I250">
        <f>IF(H250&gt;$B$8,"Oui","Non")</f>
        <v/>
      </c>
      <c r="J250" s="14">
        <f>IF(D250&gt;0,E250/D250,"")</f>
        <v/>
      </c>
    </row>
    <row r="251">
      <c r="A251" s="15" t="inlineStr">
        <is>
          <t>CC des Bastides Dordogne-Périgord</t>
        </is>
      </c>
      <c r="B251" s="15" t="inlineStr">
        <is>
          <t>Dordogne</t>
        </is>
      </c>
      <c r="C251" s="15" t="inlineStr">
        <is>
          <t>24</t>
        </is>
      </c>
      <c r="D251" s="16" t="n">
        <v>18601</v>
      </c>
      <c r="E251" s="17">
        <f>MIN($B$4+$B$5*D251,$B$6)</f>
        <v/>
      </c>
      <c r="F251" s="17">
        <f>$B$7</f>
        <v/>
      </c>
      <c r="G251" s="17">
        <f>E251+F251</f>
        <v/>
      </c>
      <c r="H251" s="17">
        <f>3*E251+F251</f>
        <v/>
      </c>
      <c r="I251" s="15">
        <f>IF(H251&gt;$B$8,"Oui","Non")</f>
        <v/>
      </c>
      <c r="J251" s="18">
        <f>IF(D251&gt;0,E251/D251,"")</f>
        <v/>
      </c>
    </row>
    <row r="252">
      <c r="A252" t="inlineStr">
        <is>
          <t>CC du Pays Foyen</t>
        </is>
      </c>
      <c r="B252" t="inlineStr">
        <is>
          <t>Dordogne, Gironde</t>
        </is>
      </c>
      <c r="C252" t="inlineStr">
        <is>
          <t>24, 33</t>
        </is>
      </c>
      <c r="D252" s="3" t="n">
        <v>16540</v>
      </c>
      <c r="E252" s="13">
        <f>MIN($B$4+$B$5*D252,$B$6)</f>
        <v/>
      </c>
      <c r="F252" s="13">
        <f>$B$7</f>
        <v/>
      </c>
      <c r="G252" s="13">
        <f>E252+F252</f>
        <v/>
      </c>
      <c r="H252" s="13">
        <f>3*E252+F252</f>
        <v/>
      </c>
      <c r="I252">
        <f>IF(H252&gt;$B$8,"Oui","Non")</f>
        <v/>
      </c>
      <c r="J252" s="14">
        <f>IF(D252&gt;0,E252/D252,"")</f>
        <v/>
      </c>
    </row>
    <row r="253">
      <c r="A253" s="15" t="inlineStr">
        <is>
          <t>CC du Pays de Fénelon</t>
        </is>
      </c>
      <c r="B253" s="15" t="inlineStr">
        <is>
          <t>Dordogne</t>
        </is>
      </c>
      <c r="C253" s="15" t="inlineStr">
        <is>
          <t>24</t>
        </is>
      </c>
      <c r="D253" s="16" t="n">
        <v>9728</v>
      </c>
      <c r="E253" s="17">
        <f>MIN($B$4+$B$5*D253,$B$6)</f>
        <v/>
      </c>
      <c r="F253" s="17">
        <f>$B$7</f>
        <v/>
      </c>
      <c r="G253" s="17">
        <f>E253+F253</f>
        <v/>
      </c>
      <c r="H253" s="17">
        <f>3*E253+F253</f>
        <v/>
      </c>
      <c r="I253" s="15">
        <f>IF(H253&gt;$B$8,"Oui","Non")</f>
        <v/>
      </c>
      <c r="J253" s="18">
        <f>IF(D253&gt;0,E253/D253,"")</f>
        <v/>
      </c>
    </row>
    <row r="254">
      <c r="A254" t="inlineStr">
        <is>
          <t>CC du Pays de Saint Aulaye</t>
        </is>
      </c>
      <c r="B254" t="inlineStr">
        <is>
          <t>Dordogne</t>
        </is>
      </c>
      <c r="C254" t="inlineStr">
        <is>
          <t>24</t>
        </is>
      </c>
      <c r="D254" s="3" t="n">
        <v>6688</v>
      </c>
      <c r="E254" s="13">
        <f>MIN($B$4+$B$5*D254,$B$6)</f>
        <v/>
      </c>
      <c r="F254" s="13">
        <f>$B$7</f>
        <v/>
      </c>
      <c r="G254" s="13">
        <f>E254+F254</f>
        <v/>
      </c>
      <c r="H254" s="13">
        <f>3*E254+F254</f>
        <v/>
      </c>
      <c r="I254">
        <f>IF(H254&gt;$B$8,"Oui","Non")</f>
        <v/>
      </c>
      <c r="J254" s="14">
        <f>IF(D254&gt;0,E254/D254,"")</f>
        <v/>
      </c>
    </row>
    <row r="255">
      <c r="A255" s="15" t="inlineStr">
        <is>
          <t>CC du Périgord Nontronnais</t>
        </is>
      </c>
      <c r="B255" s="15" t="inlineStr">
        <is>
          <t>Dordogne</t>
        </is>
      </c>
      <c r="C255" s="15" t="inlineStr">
        <is>
          <t>24</t>
        </is>
      </c>
      <c r="D255" s="16" t="n">
        <v>15184</v>
      </c>
      <c r="E255" s="17">
        <f>MIN($B$4+$B$5*D255,$B$6)</f>
        <v/>
      </c>
      <c r="F255" s="17">
        <f>$B$7</f>
        <v/>
      </c>
      <c r="G255" s="17">
        <f>E255+F255</f>
        <v/>
      </c>
      <c r="H255" s="17">
        <f>3*E255+F255</f>
        <v/>
      </c>
      <c r="I255" s="15">
        <f>IF(H255&gt;$B$8,"Oui","Non")</f>
        <v/>
      </c>
      <c r="J255" s="18">
        <f>IF(D255&gt;0,E255/D255,"")</f>
        <v/>
      </c>
    </row>
    <row r="256">
      <c r="A256" t="inlineStr">
        <is>
          <t>CC du Périgord Ribéracois</t>
        </is>
      </c>
      <c r="B256" t="inlineStr">
        <is>
          <t>Dordogne</t>
        </is>
      </c>
      <c r="C256" t="inlineStr">
        <is>
          <t>24</t>
        </is>
      </c>
      <c r="D256" s="3" t="n">
        <v>19449</v>
      </c>
      <c r="E256" s="13">
        <f>MIN($B$4+$B$5*D256,$B$6)</f>
        <v/>
      </c>
      <c r="F256" s="13">
        <f>$B$7</f>
        <v/>
      </c>
      <c r="G256" s="13">
        <f>E256+F256</f>
        <v/>
      </c>
      <c r="H256" s="13">
        <f>3*E256+F256</f>
        <v/>
      </c>
      <c r="I256">
        <f>IF(H256&gt;$B$8,"Oui","Non")</f>
        <v/>
      </c>
      <c r="J256" s="14">
        <f>IF(D256&gt;0,E256/D256,"")</f>
        <v/>
      </c>
    </row>
    <row r="257">
      <c r="A257" s="15" t="inlineStr">
        <is>
          <t>CC Altitude 800</t>
        </is>
      </c>
      <c r="B257" s="15" t="inlineStr">
        <is>
          <t>Doubs</t>
        </is>
      </c>
      <c r="C257" s="15" t="inlineStr">
        <is>
          <t>25</t>
        </is>
      </c>
      <c r="D257" s="16" t="n">
        <v>6675</v>
      </c>
      <c r="E257" s="17">
        <f>MIN($B$4+$B$5*D257,$B$6)</f>
        <v/>
      </c>
      <c r="F257" s="17">
        <f>$B$7</f>
        <v/>
      </c>
      <c r="G257" s="17">
        <f>E257+F257</f>
        <v/>
      </c>
      <c r="H257" s="17">
        <f>3*E257+F257</f>
        <v/>
      </c>
      <c r="I257" s="15">
        <f>IF(H257&gt;$B$8,"Oui","Non")</f>
        <v/>
      </c>
      <c r="J257" s="18">
        <f>IF(D257&gt;0,E257/D257,"")</f>
        <v/>
      </c>
    </row>
    <row r="258">
      <c r="A258" t="inlineStr">
        <is>
          <t>CC Entre Doubs et Loue</t>
        </is>
      </c>
      <c r="B258" t="inlineStr">
        <is>
          <t>Doubs</t>
        </is>
      </c>
      <c r="C258" t="inlineStr">
        <is>
          <t>25</t>
        </is>
      </c>
      <c r="D258" s="3" t="n">
        <v>8255</v>
      </c>
      <c r="E258" s="13">
        <f>MIN($B$4+$B$5*D258,$B$6)</f>
        <v/>
      </c>
      <c r="F258" s="13">
        <f>$B$7</f>
        <v/>
      </c>
      <c r="G258" s="13">
        <f>E258+F258</f>
        <v/>
      </c>
      <c r="H258" s="13">
        <f>3*E258+F258</f>
        <v/>
      </c>
      <c r="I258">
        <f>IF(H258&gt;$B$8,"Oui","Non")</f>
        <v/>
      </c>
      <c r="J258" s="14">
        <f>IF(D258&gt;0,E258/D258,"")</f>
        <v/>
      </c>
    </row>
    <row r="259">
      <c r="A259" s="15" t="inlineStr">
        <is>
          <t>CC Loue-Lison</t>
        </is>
      </c>
      <c r="B259" s="15" t="inlineStr">
        <is>
          <t>Doubs</t>
        </is>
      </c>
      <c r="C259" s="15" t="inlineStr">
        <is>
          <t>25</t>
        </is>
      </c>
      <c r="D259" s="16" t="n">
        <v>25269</v>
      </c>
      <c r="E259" s="17">
        <f>MIN($B$4+$B$5*D259,$B$6)</f>
        <v/>
      </c>
      <c r="F259" s="17">
        <f>$B$7</f>
        <v/>
      </c>
      <c r="G259" s="17">
        <f>E259+F259</f>
        <v/>
      </c>
      <c r="H259" s="17">
        <f>3*E259+F259</f>
        <v/>
      </c>
      <c r="I259" s="15">
        <f>IF(H259&gt;$B$8,"Oui","Non")</f>
        <v/>
      </c>
      <c r="J259" s="18">
        <f>IF(D259&gt;0,E259/D259,"")</f>
        <v/>
      </c>
    </row>
    <row r="260">
      <c r="A260" t="inlineStr">
        <is>
          <t>CC des Deux Vallées Vertes</t>
        </is>
      </c>
      <c r="B260" t="inlineStr">
        <is>
          <t>Doubs</t>
        </is>
      </c>
      <c r="C260" t="inlineStr">
        <is>
          <t>25</t>
        </is>
      </c>
      <c r="D260" s="3" t="n">
        <v>15608</v>
      </c>
      <c r="E260" s="13">
        <f>MIN($B$4+$B$5*D260,$B$6)</f>
        <v/>
      </c>
      <c r="F260" s="13">
        <f>$B$7</f>
        <v/>
      </c>
      <c r="G260" s="13">
        <f>E260+F260</f>
        <v/>
      </c>
      <c r="H260" s="13">
        <f>3*E260+F260</f>
        <v/>
      </c>
      <c r="I260">
        <f>IF(H260&gt;$B$8,"Oui","Non")</f>
        <v/>
      </c>
      <c r="J260" s="14">
        <f>IF(D260&gt;0,E260/D260,"")</f>
        <v/>
      </c>
    </row>
    <row r="261">
      <c r="A261" s="15" t="inlineStr">
        <is>
          <t>CC des Lacs et Montagnes du Haut-Doubs</t>
        </is>
      </c>
      <c r="B261" s="15" t="inlineStr">
        <is>
          <t>Doubs</t>
        </is>
      </c>
      <c r="C261" s="15" t="inlineStr">
        <is>
          <t>25</t>
        </is>
      </c>
      <c r="D261" s="16" t="n">
        <v>16727</v>
      </c>
      <c r="E261" s="17">
        <f>MIN($B$4+$B$5*D261,$B$6)</f>
        <v/>
      </c>
      <c r="F261" s="17">
        <f>$B$7</f>
        <v/>
      </c>
      <c r="G261" s="17">
        <f>E261+F261</f>
        <v/>
      </c>
      <c r="H261" s="17">
        <f>3*E261+F261</f>
        <v/>
      </c>
      <c r="I261" s="15">
        <f>IF(H261&gt;$B$8,"Oui","Non")</f>
        <v/>
      </c>
      <c r="J261" s="18">
        <f>IF(D261&gt;0,E261/D261,"")</f>
        <v/>
      </c>
    </row>
    <row r="262">
      <c r="A262" t="inlineStr">
        <is>
          <t>CC des Portes du Haut-Doubs</t>
        </is>
      </c>
      <c r="B262" t="inlineStr">
        <is>
          <t>Doubs</t>
        </is>
      </c>
      <c r="C262" t="inlineStr">
        <is>
          <t>25</t>
        </is>
      </c>
      <c r="D262" s="3" t="n">
        <v>26872</v>
      </c>
      <c r="E262" s="13">
        <f>MIN($B$4+$B$5*D262,$B$6)</f>
        <v/>
      </c>
      <c r="F262" s="13">
        <f>$B$7</f>
        <v/>
      </c>
      <c r="G262" s="13">
        <f>E262+F262</f>
        <v/>
      </c>
      <c r="H262" s="13">
        <f>3*E262+F262</f>
        <v/>
      </c>
      <c r="I262">
        <f>IF(H262&gt;$B$8,"Oui","Non")</f>
        <v/>
      </c>
      <c r="J262" s="14">
        <f>IF(D262&gt;0,E262/D262,"")</f>
        <v/>
      </c>
    </row>
    <row r="263">
      <c r="A263" s="15" t="inlineStr">
        <is>
          <t>CC du Doubs Baumois</t>
        </is>
      </c>
      <c r="B263" s="15" t="inlineStr">
        <is>
          <t>Doubs</t>
        </is>
      </c>
      <c r="C263" s="15" t="inlineStr">
        <is>
          <t>25</t>
        </is>
      </c>
      <c r="D263" s="16" t="n">
        <v>16135</v>
      </c>
      <c r="E263" s="17">
        <f>MIN($B$4+$B$5*D263,$B$6)</f>
        <v/>
      </c>
      <c r="F263" s="17">
        <f>$B$7</f>
        <v/>
      </c>
      <c r="G263" s="17">
        <f>E263+F263</f>
        <v/>
      </c>
      <c r="H263" s="17">
        <f>3*E263+F263</f>
        <v/>
      </c>
      <c r="I263" s="15">
        <f>IF(H263&gt;$B$8,"Oui","Non")</f>
        <v/>
      </c>
      <c r="J263" s="18">
        <f>IF(D263&gt;0,E263/D263,"")</f>
        <v/>
      </c>
    </row>
    <row r="264">
      <c r="A264" t="inlineStr">
        <is>
          <t>CC du Grand Pontarlier</t>
        </is>
      </c>
      <c r="B264" t="inlineStr">
        <is>
          <t>Doubs</t>
        </is>
      </c>
      <c r="C264" t="inlineStr">
        <is>
          <t>25</t>
        </is>
      </c>
      <c r="D264" s="3" t="n">
        <v>28580</v>
      </c>
      <c r="E264" s="13">
        <f>MIN($B$4+$B$5*D264,$B$6)</f>
        <v/>
      </c>
      <c r="F264" s="13">
        <f>$B$7</f>
        <v/>
      </c>
      <c r="G264" s="13">
        <f>E264+F264</f>
        <v/>
      </c>
      <c r="H264" s="13">
        <f>3*E264+F264</f>
        <v/>
      </c>
      <c r="I264">
        <f>IF(H264&gt;$B$8,"Oui","Non")</f>
        <v/>
      </c>
      <c r="J264" s="14">
        <f>IF(D264&gt;0,E264/D264,"")</f>
        <v/>
      </c>
    </row>
    <row r="265">
      <c r="A265" s="15" t="inlineStr">
        <is>
          <t>CC du Pays d'Héricourt</t>
        </is>
      </c>
      <c r="B265" s="15" t="inlineStr">
        <is>
          <t>Doubs, Haute-Saône</t>
        </is>
      </c>
      <c r="C265" s="15" t="inlineStr">
        <is>
          <t>25, 70</t>
        </is>
      </c>
      <c r="D265" s="16" t="n">
        <v>20925</v>
      </c>
      <c r="E265" s="17">
        <f>MIN($B$4+$B$5*D265,$B$6)</f>
        <v/>
      </c>
      <c r="F265" s="17">
        <f>$B$7</f>
        <v/>
      </c>
      <c r="G265" s="17">
        <f>E265+F265</f>
        <v/>
      </c>
      <c r="H265" s="17">
        <f>3*E265+F265</f>
        <v/>
      </c>
      <c r="I265" s="15">
        <f>IF(H265&gt;$B$8,"Oui","Non")</f>
        <v/>
      </c>
      <c r="J265" s="18">
        <f>IF(D265&gt;0,E265/D265,"")</f>
        <v/>
      </c>
    </row>
    <row r="266">
      <c r="A266" t="inlineStr">
        <is>
          <t>CC du Pays de Maîche</t>
        </is>
      </c>
      <c r="B266" t="inlineStr">
        <is>
          <t>Doubs</t>
        </is>
      </c>
      <c r="C266" t="inlineStr">
        <is>
          <t>25</t>
        </is>
      </c>
      <c r="D266" s="3" t="n">
        <v>18577</v>
      </c>
      <c r="E266" s="13">
        <f>MIN($B$4+$B$5*D266,$B$6)</f>
        <v/>
      </c>
      <c r="F266" s="13">
        <f>$B$7</f>
        <v/>
      </c>
      <c r="G266" s="13">
        <f>E266+F266</f>
        <v/>
      </c>
      <c r="H266" s="13">
        <f>3*E266+F266</f>
        <v/>
      </c>
      <c r="I266">
        <f>IF(H266&gt;$B$8,"Oui","Non")</f>
        <v/>
      </c>
      <c r="J266" s="14">
        <f>IF(D266&gt;0,E266/D266,"")</f>
        <v/>
      </c>
    </row>
    <row r="267">
      <c r="A267" s="15" t="inlineStr">
        <is>
          <t>CC du Pays de Sancey-Belleherbe</t>
        </is>
      </c>
      <c r="B267" s="15" t="inlineStr">
        <is>
          <t>Doubs</t>
        </is>
      </c>
      <c r="C267" s="15" t="inlineStr">
        <is>
          <t>25</t>
        </is>
      </c>
      <c r="D267" s="16" t="n">
        <v>5520</v>
      </c>
      <c r="E267" s="17">
        <f>MIN($B$4+$B$5*D267,$B$6)</f>
        <v/>
      </c>
      <c r="F267" s="17">
        <f>$B$7</f>
        <v/>
      </c>
      <c r="G267" s="17">
        <f>E267+F267</f>
        <v/>
      </c>
      <c r="H267" s="17">
        <f>3*E267+F267</f>
        <v/>
      </c>
      <c r="I267" s="15">
        <f>IF(H267&gt;$B$8,"Oui","Non")</f>
        <v/>
      </c>
      <c r="J267" s="18">
        <f>IF(D267&gt;0,E267/D267,"")</f>
        <v/>
      </c>
    </row>
    <row r="268">
      <c r="A268" t="inlineStr">
        <is>
          <t>CC du Pays de Villersexel</t>
        </is>
      </c>
      <c r="B268" t="inlineStr">
        <is>
          <t>Doubs, Haute-Saône</t>
        </is>
      </c>
      <c r="C268" t="inlineStr">
        <is>
          <t>25, 70</t>
        </is>
      </c>
      <c r="D268" s="3" t="n">
        <v>7726</v>
      </c>
      <c r="E268" s="13">
        <f>MIN($B$4+$B$5*D268,$B$6)</f>
        <v/>
      </c>
      <c r="F268" s="13">
        <f>$B$7</f>
        <v/>
      </c>
      <c r="G268" s="13">
        <f>E268+F268</f>
        <v/>
      </c>
      <c r="H268" s="13">
        <f>3*E268+F268</f>
        <v/>
      </c>
      <c r="I268">
        <f>IF(H268&gt;$B$8,"Oui","Non")</f>
        <v/>
      </c>
      <c r="J268" s="14">
        <f>IF(D268&gt;0,E268/D268,"")</f>
        <v/>
      </c>
    </row>
    <row r="269">
      <c r="A269" s="15" t="inlineStr">
        <is>
          <t>CC du Plateau de Frasne et du Val de Drugeon</t>
        </is>
      </c>
      <c r="B269" s="15" t="inlineStr">
        <is>
          <t>Doubs</t>
        </is>
      </c>
      <c r="C269" s="15" t="inlineStr">
        <is>
          <t>25</t>
        </is>
      </c>
      <c r="D269" s="16" t="n">
        <v>6356</v>
      </c>
      <c r="E269" s="17">
        <f>MIN($B$4+$B$5*D269,$B$6)</f>
        <v/>
      </c>
      <c r="F269" s="17">
        <f>$B$7</f>
        <v/>
      </c>
      <c r="G269" s="17">
        <f>E269+F269</f>
        <v/>
      </c>
      <c r="H269" s="17">
        <f>3*E269+F269</f>
        <v/>
      </c>
      <c r="I269" s="15">
        <f>IF(H269&gt;$B$8,"Oui","Non")</f>
        <v/>
      </c>
      <c r="J269" s="18">
        <f>IF(D269&gt;0,E269/D269,"")</f>
        <v/>
      </c>
    </row>
    <row r="270">
      <c r="A270" t="inlineStr">
        <is>
          <t>CC du Plateau de Russey</t>
        </is>
      </c>
      <c r="B270" t="inlineStr">
        <is>
          <t>Doubs</t>
        </is>
      </c>
      <c r="C270" t="inlineStr">
        <is>
          <t>25</t>
        </is>
      </c>
      <c r="D270" s="3" t="n">
        <v>7007</v>
      </c>
      <c r="E270" s="13">
        <f>MIN($B$4+$B$5*D270,$B$6)</f>
        <v/>
      </c>
      <c r="F270" s="13">
        <f>$B$7</f>
        <v/>
      </c>
      <c r="G270" s="13">
        <f>E270+F270</f>
        <v/>
      </c>
      <c r="H270" s="13">
        <f>3*E270+F270</f>
        <v/>
      </c>
      <c r="I270">
        <f>IF(H270&gt;$B$8,"Oui","Non")</f>
        <v/>
      </c>
      <c r="J270" s="14">
        <f>IF(D270&gt;0,E270/D270,"")</f>
        <v/>
      </c>
    </row>
    <row r="271">
      <c r="A271" s="15" t="inlineStr">
        <is>
          <t>CC du Val Marnaysien</t>
        </is>
      </c>
      <c r="B271" s="15" t="inlineStr">
        <is>
          <t>Doubs, Haute-Saône</t>
        </is>
      </c>
      <c r="C271" s="15" t="inlineStr">
        <is>
          <t>25, 70</t>
        </is>
      </c>
      <c r="D271" s="16" t="n">
        <v>14652</v>
      </c>
      <c r="E271" s="17">
        <f>MIN($B$4+$B$5*D271,$B$6)</f>
        <v/>
      </c>
      <c r="F271" s="17">
        <f>$B$7</f>
        <v/>
      </c>
      <c r="G271" s="17">
        <f>E271+F271</f>
        <v/>
      </c>
      <c r="H271" s="17">
        <f>3*E271+F271</f>
        <v/>
      </c>
      <c r="I271" s="15">
        <f>IF(H271&gt;$B$8,"Oui","Non")</f>
        <v/>
      </c>
      <c r="J271" s="18">
        <f>IF(D271&gt;0,E271/D271,"")</f>
        <v/>
      </c>
    </row>
    <row r="272">
      <c r="A272" t="inlineStr">
        <is>
          <t>CC du Val de Morteau</t>
        </is>
      </c>
      <c r="B272" t="inlineStr">
        <is>
          <t>Doubs</t>
        </is>
      </c>
      <c r="C272" t="inlineStr">
        <is>
          <t>25</t>
        </is>
      </c>
      <c r="D272" s="3" t="n">
        <v>21035</v>
      </c>
      <c r="E272" s="13">
        <f>MIN($B$4+$B$5*D272,$B$6)</f>
        <v/>
      </c>
      <c r="F272" s="13">
        <f>$B$7</f>
        <v/>
      </c>
      <c r="G272" s="13">
        <f>E272+F272</f>
        <v/>
      </c>
      <c r="H272" s="13">
        <f>3*E272+F272</f>
        <v/>
      </c>
      <c r="I272">
        <f>IF(H272&gt;$B$8,"Oui","Non")</f>
        <v/>
      </c>
      <c r="J272" s="14">
        <f>IF(D272&gt;0,E272/D272,"")</f>
        <v/>
      </c>
    </row>
    <row r="273">
      <c r="A273" s="15" t="inlineStr">
        <is>
          <t>CC Dieulefit-Bourdeaux</t>
        </is>
      </c>
      <c r="B273" s="15" t="inlineStr">
        <is>
          <t>Drôme</t>
        </is>
      </c>
      <c r="C273" s="15" t="inlineStr">
        <is>
          <t>26</t>
        </is>
      </c>
      <c r="D273" s="16" t="n">
        <v>9592</v>
      </c>
      <c r="E273" s="17">
        <f>MIN($B$4+$B$5*D273,$B$6)</f>
        <v/>
      </c>
      <c r="F273" s="17">
        <f>$B$7</f>
        <v/>
      </c>
      <c r="G273" s="17">
        <f>E273+F273</f>
        <v/>
      </c>
      <c r="H273" s="17">
        <f>3*E273+F273</f>
        <v/>
      </c>
      <c r="I273" s="15">
        <f>IF(H273&gt;$B$8,"Oui","Non")</f>
        <v/>
      </c>
      <c r="J273" s="18">
        <f>IF(D273&gt;0,E273/D273,"")</f>
        <v/>
      </c>
    </row>
    <row r="274">
      <c r="A274" t="inlineStr">
        <is>
          <t>CC Drôme Sud Provence</t>
        </is>
      </c>
      <c r="B274" t="inlineStr">
        <is>
          <t>Drôme</t>
        </is>
      </c>
      <c r="C274" t="inlineStr">
        <is>
          <t>26</t>
        </is>
      </c>
      <c r="D274" s="3" t="n">
        <v>43119</v>
      </c>
      <c r="E274" s="13">
        <f>MIN($B$4+$B$5*D274,$B$6)</f>
        <v/>
      </c>
      <c r="F274" s="13">
        <f>$B$7</f>
        <v/>
      </c>
      <c r="G274" s="13">
        <f>E274+F274</f>
        <v/>
      </c>
      <c r="H274" s="13">
        <f>3*E274+F274</f>
        <v/>
      </c>
      <c r="I274">
        <f>IF(H274&gt;$B$8,"Oui","Non")</f>
        <v/>
      </c>
      <c r="J274" s="14">
        <f>IF(D274&gt;0,E274/D274,"")</f>
        <v/>
      </c>
    </row>
    <row r="275">
      <c r="A275" s="15" t="inlineStr">
        <is>
          <t>CC Enclave des Papes - Pays de Grignan</t>
        </is>
      </c>
      <c r="B275" s="15" t="inlineStr">
        <is>
          <t>Drôme, Vaucluse</t>
        </is>
      </c>
      <c r="C275" s="15" t="inlineStr">
        <is>
          <t>26, 84</t>
        </is>
      </c>
      <c r="D275" s="16" t="n">
        <v>22626</v>
      </c>
      <c r="E275" s="17">
        <f>MIN($B$4+$B$5*D275,$B$6)</f>
        <v/>
      </c>
      <c r="F275" s="17">
        <f>$B$7</f>
        <v/>
      </c>
      <c r="G275" s="17">
        <f>E275+F275</f>
        <v/>
      </c>
      <c r="H275" s="17">
        <f>3*E275+F275</f>
        <v/>
      </c>
      <c r="I275" s="15">
        <f>IF(H275&gt;$B$8,"Oui","Non")</f>
        <v/>
      </c>
      <c r="J275" s="18">
        <f>IF(D275&gt;0,E275/D275,"")</f>
        <v/>
      </c>
    </row>
    <row r="276">
      <c r="A276" t="inlineStr">
        <is>
          <t>CC Vaison Ventoux</t>
        </is>
      </c>
      <c r="B276" t="inlineStr">
        <is>
          <t>Drôme, Vaucluse</t>
        </is>
      </c>
      <c r="C276" t="inlineStr">
        <is>
          <t>26, 84</t>
        </is>
      </c>
      <c r="D276" s="3" t="n">
        <v>16792</v>
      </c>
      <c r="E276" s="13">
        <f>MIN($B$4+$B$5*D276,$B$6)</f>
        <v/>
      </c>
      <c r="F276" s="13">
        <f>$B$7</f>
        <v/>
      </c>
      <c r="G276" s="13">
        <f>E276+F276</f>
        <v/>
      </c>
      <c r="H276" s="13">
        <f>3*E276+F276</f>
        <v/>
      </c>
      <c r="I276">
        <f>IF(H276&gt;$B$8,"Oui","Non")</f>
        <v/>
      </c>
      <c r="J276" s="14">
        <f>IF(D276&gt;0,E276/D276,"")</f>
        <v/>
      </c>
    </row>
    <row r="277">
      <c r="A277" s="15" t="inlineStr">
        <is>
          <t>CC Ventoux Sud</t>
        </is>
      </c>
      <c r="B277" s="15" t="inlineStr">
        <is>
          <t>Drôme, Vaucluse</t>
        </is>
      </c>
      <c r="C277" s="15" t="inlineStr">
        <is>
          <t>26, 84</t>
        </is>
      </c>
      <c r="D277" s="16" t="n">
        <v>9595</v>
      </c>
      <c r="E277" s="17">
        <f>MIN($B$4+$B$5*D277,$B$6)</f>
        <v/>
      </c>
      <c r="F277" s="17">
        <f>$B$7</f>
        <v/>
      </c>
      <c r="G277" s="17">
        <f>E277+F277</f>
        <v/>
      </c>
      <c r="H277" s="17">
        <f>3*E277+F277</f>
        <v/>
      </c>
      <c r="I277" s="15">
        <f>IF(H277&gt;$B$8,"Oui","Non")</f>
        <v/>
      </c>
      <c r="J277" s="18">
        <f>IF(D277&gt;0,E277/D277,"")</f>
        <v/>
      </c>
    </row>
    <row r="278">
      <c r="A278" t="inlineStr">
        <is>
          <t>CC des Baronnies en Drôme Provençale</t>
        </is>
      </c>
      <c r="B278" t="inlineStr">
        <is>
          <t>Drôme</t>
        </is>
      </c>
      <c r="C278" t="inlineStr">
        <is>
          <t>26</t>
        </is>
      </c>
      <c r="D278" s="3" t="n">
        <v>20753</v>
      </c>
      <c r="E278" s="13">
        <f>MIN($B$4+$B$5*D278,$B$6)</f>
        <v/>
      </c>
      <c r="F278" s="13">
        <f>$B$7</f>
        <v/>
      </c>
      <c r="G278" s="13">
        <f>E278+F278</f>
        <v/>
      </c>
      <c r="H278" s="13">
        <f>3*E278+F278</f>
        <v/>
      </c>
      <c r="I278">
        <f>IF(H278&gt;$B$8,"Oui","Non")</f>
        <v/>
      </c>
      <c r="J278" s="14">
        <f>IF(D278&gt;0,E278/D278,"")</f>
        <v/>
      </c>
    </row>
    <row r="279">
      <c r="A279" s="15" t="inlineStr">
        <is>
          <t>CC du Crestois et de Pays de Saillans Coeur de Drôme</t>
        </is>
      </c>
      <c r="B279" s="15" t="inlineStr">
        <is>
          <t>Drôme</t>
        </is>
      </c>
      <c r="C279" s="15" t="inlineStr">
        <is>
          <t>26</t>
        </is>
      </c>
      <c r="D279" s="16" t="n">
        <v>16118</v>
      </c>
      <c r="E279" s="17">
        <f>MIN($B$4+$B$5*D279,$B$6)</f>
        <v/>
      </c>
      <c r="F279" s="17">
        <f>$B$7</f>
        <v/>
      </c>
      <c r="G279" s="17">
        <f>E279+F279</f>
        <v/>
      </c>
      <c r="H279" s="17">
        <f>3*E279+F279</f>
        <v/>
      </c>
      <c r="I279" s="15">
        <f>IF(H279&gt;$B$8,"Oui","Non")</f>
        <v/>
      </c>
      <c r="J279" s="18">
        <f>IF(D279&gt;0,E279/D279,"")</f>
        <v/>
      </c>
    </row>
    <row r="280">
      <c r="A280" t="inlineStr">
        <is>
          <t>CC du Diois</t>
        </is>
      </c>
      <c r="B280" t="inlineStr">
        <is>
          <t>Drôme</t>
        </is>
      </c>
      <c r="C280" t="inlineStr">
        <is>
          <t>26</t>
        </is>
      </c>
      <c r="D280" s="3" t="n">
        <v>12081</v>
      </c>
      <c r="E280" s="13">
        <f>MIN($B$4+$B$5*D280,$B$6)</f>
        <v/>
      </c>
      <c r="F280" s="13">
        <f>$B$7</f>
        <v/>
      </c>
      <c r="G280" s="13">
        <f>E280+F280</f>
        <v/>
      </c>
      <c r="H280" s="13">
        <f>3*E280+F280</f>
        <v/>
      </c>
      <c r="I280">
        <f>IF(H280&gt;$B$8,"Oui","Non")</f>
        <v/>
      </c>
      <c r="J280" s="14">
        <f>IF(D280&gt;0,E280/D280,"")</f>
        <v/>
      </c>
    </row>
    <row r="281">
      <c r="A281" s="15" t="inlineStr">
        <is>
          <t>CC du Royans-Vercors</t>
        </is>
      </c>
      <c r="B281" s="15" t="inlineStr">
        <is>
          <t>Drôme</t>
        </is>
      </c>
      <c r="C281" s="15" t="inlineStr">
        <is>
          <t>26</t>
        </is>
      </c>
      <c r="D281" s="16" t="n">
        <v>9733</v>
      </c>
      <c r="E281" s="17">
        <f>MIN($B$4+$B$5*D281,$B$6)</f>
        <v/>
      </c>
      <c r="F281" s="17">
        <f>$B$7</f>
        <v/>
      </c>
      <c r="G281" s="17">
        <f>E281+F281</f>
        <v/>
      </c>
      <c r="H281" s="17">
        <f>3*E281+F281</f>
        <v/>
      </c>
      <c r="I281" s="15">
        <f>IF(H281&gt;$B$8,"Oui","Non")</f>
        <v/>
      </c>
      <c r="J281" s="18">
        <f>IF(D281&gt;0,E281/D281,"")</f>
        <v/>
      </c>
    </row>
    <row r="282">
      <c r="A282" t="inlineStr">
        <is>
          <t>CC du Val de Drôme en Biovallée</t>
        </is>
      </c>
      <c r="B282" t="inlineStr">
        <is>
          <t>Drôme</t>
        </is>
      </c>
      <c r="C282" t="inlineStr">
        <is>
          <t>26</t>
        </is>
      </c>
      <c r="D282" s="3" t="n">
        <v>31033</v>
      </c>
      <c r="E282" s="13">
        <f>MIN($B$4+$B$5*D282,$B$6)</f>
        <v/>
      </c>
      <c r="F282" s="13">
        <f>$B$7</f>
        <v/>
      </c>
      <c r="G282" s="13">
        <f>E282+F282</f>
        <v/>
      </c>
      <c r="H282" s="13">
        <f>3*E282+F282</f>
        <v/>
      </c>
      <c r="I282">
        <f>IF(H282&gt;$B$8,"Oui","Non")</f>
        <v/>
      </c>
      <c r="J282" s="14">
        <f>IF(D282&gt;0,E282/D282,"")</f>
        <v/>
      </c>
    </row>
    <row r="283">
      <c r="A283" s="15" t="inlineStr">
        <is>
          <t>CC Interco Normandie Sud Eure</t>
        </is>
      </c>
      <c r="B283" s="15" t="inlineStr">
        <is>
          <t>Eure, Eure-et-Loir</t>
        </is>
      </c>
      <c r="C283" s="15" t="inlineStr">
        <is>
          <t>27, 28</t>
        </is>
      </c>
      <c r="D283" s="16" t="n">
        <v>37606</v>
      </c>
      <c r="E283" s="17">
        <f>MIN($B$4+$B$5*D283,$B$6)</f>
        <v/>
      </c>
      <c r="F283" s="17">
        <f>$B$7</f>
        <v/>
      </c>
      <c r="G283" s="17">
        <f>E283+F283</f>
        <v/>
      </c>
      <c r="H283" s="17">
        <f>3*E283+F283</f>
        <v/>
      </c>
      <c r="I283" s="15">
        <f>IF(H283&gt;$B$8,"Oui","Non")</f>
        <v/>
      </c>
      <c r="J283" s="18">
        <f>IF(D283&gt;0,E283/D283,"")</f>
        <v/>
      </c>
    </row>
    <row r="284">
      <c r="A284" t="inlineStr">
        <is>
          <t>CC Intercom Bernay Terres de Normandie</t>
        </is>
      </c>
      <c r="B284" t="inlineStr">
        <is>
          <t>Eure</t>
        </is>
      </c>
      <c r="C284" t="inlineStr">
        <is>
          <t>27</t>
        </is>
      </c>
      <c r="D284" s="3" t="n">
        <v>54314</v>
      </c>
      <c r="E284" s="13">
        <f>MIN($B$4+$B$5*D284,$B$6)</f>
        <v/>
      </c>
      <c r="F284" s="13">
        <f>$B$7</f>
        <v/>
      </c>
      <c r="G284" s="13">
        <f>E284+F284</f>
        <v/>
      </c>
      <c r="H284" s="13">
        <f>3*E284+F284</f>
        <v/>
      </c>
      <c r="I284">
        <f>IF(H284&gt;$B$8,"Oui","Non")</f>
        <v/>
      </c>
      <c r="J284" s="14">
        <f>IF(D284&gt;0,E284/D284,"")</f>
        <v/>
      </c>
    </row>
    <row r="285">
      <c r="A285" s="15" t="inlineStr">
        <is>
          <t>CC Lieuvin Pays d'Auge</t>
        </is>
      </c>
      <c r="B285" s="15" t="inlineStr">
        <is>
          <t>Eure</t>
        </is>
      </c>
      <c r="C285" s="15" t="inlineStr">
        <is>
          <t>27</t>
        </is>
      </c>
      <c r="D285" s="16" t="n">
        <v>20316</v>
      </c>
      <c r="E285" s="17">
        <f>MIN($B$4+$B$5*D285,$B$6)</f>
        <v/>
      </c>
      <c r="F285" s="17">
        <f>$B$7</f>
        <v/>
      </c>
      <c r="G285" s="17">
        <f>E285+F285</f>
        <v/>
      </c>
      <c r="H285" s="17">
        <f>3*E285+F285</f>
        <v/>
      </c>
      <c r="I285" s="15">
        <f>IF(H285&gt;$B$8,"Oui","Non")</f>
        <v/>
      </c>
      <c r="J285" s="18">
        <f>IF(D285&gt;0,E285/D285,"")</f>
        <v/>
      </c>
    </row>
    <row r="286">
      <c r="A286" t="inlineStr">
        <is>
          <t>CC Lyons Andelle</t>
        </is>
      </c>
      <c r="B286" t="inlineStr">
        <is>
          <t>Eure</t>
        </is>
      </c>
      <c r="C286" t="inlineStr">
        <is>
          <t>27</t>
        </is>
      </c>
      <c r="D286" s="3" t="n">
        <v>20594</v>
      </c>
      <c r="E286" s="13">
        <f>MIN($B$4+$B$5*D286,$B$6)</f>
        <v/>
      </c>
      <c r="F286" s="13">
        <f>$B$7</f>
        <v/>
      </c>
      <c r="G286" s="13">
        <f>E286+F286</f>
        <v/>
      </c>
      <c r="H286" s="13">
        <f>3*E286+F286</f>
        <v/>
      </c>
      <c r="I286">
        <f>IF(H286&gt;$B$8,"Oui","Non")</f>
        <v/>
      </c>
      <c r="J286" s="14">
        <f>IF(D286&gt;0,E286/D286,"")</f>
        <v/>
      </c>
    </row>
    <row r="287">
      <c r="A287" s="15" t="inlineStr">
        <is>
          <t>CC Roumois Seine</t>
        </is>
      </c>
      <c r="B287" s="15" t="inlineStr">
        <is>
          <t>Eure, Seine-Maritime</t>
        </is>
      </c>
      <c r="C287" s="15" t="inlineStr">
        <is>
          <t>27, 76</t>
        </is>
      </c>
      <c r="D287" s="16" t="n">
        <v>41773</v>
      </c>
      <c r="E287" s="17">
        <f>MIN($B$4+$B$5*D287,$B$6)</f>
        <v/>
      </c>
      <c r="F287" s="17">
        <f>$B$7</f>
        <v/>
      </c>
      <c r="G287" s="17">
        <f>E287+F287</f>
        <v/>
      </c>
      <c r="H287" s="17">
        <f>3*E287+F287</f>
        <v/>
      </c>
      <c r="I287" s="15">
        <f>IF(H287&gt;$B$8,"Oui","Non")</f>
        <v/>
      </c>
      <c r="J287" s="18">
        <f>IF(D287&gt;0,E287/D287,"")</f>
        <v/>
      </c>
    </row>
    <row r="288">
      <c r="A288" t="inlineStr">
        <is>
          <t>CC de Pont-Audemer / Val de Risle</t>
        </is>
      </c>
      <c r="B288" t="inlineStr">
        <is>
          <t>Eure</t>
        </is>
      </c>
      <c r="C288" t="inlineStr">
        <is>
          <t>27</t>
        </is>
      </c>
      <c r="D288" s="3" t="n">
        <v>32563</v>
      </c>
      <c r="E288" s="13">
        <f>MIN($B$4+$B$5*D288,$B$6)</f>
        <v/>
      </c>
      <c r="F288" s="13">
        <f>$B$7</f>
        <v/>
      </c>
      <c r="G288" s="13">
        <f>E288+F288</f>
        <v/>
      </c>
      <c r="H288" s="13">
        <f>3*E288+F288</f>
        <v/>
      </c>
      <c r="I288">
        <f>IF(H288&gt;$B$8,"Oui","Non")</f>
        <v/>
      </c>
      <c r="J288" s="14">
        <f>IF(D288&gt;0,E288/D288,"")</f>
        <v/>
      </c>
    </row>
    <row r="289">
      <c r="A289" s="15" t="inlineStr">
        <is>
          <t>CC des Quatre Rivières en Bray</t>
        </is>
      </c>
      <c r="B289" s="15" t="inlineStr">
        <is>
          <t>Eure, Seine-Maritime</t>
        </is>
      </c>
      <c r="C289" s="15" t="inlineStr">
        <is>
          <t>27, 76</t>
        </is>
      </c>
      <c r="D289" s="16" t="n">
        <v>28632</v>
      </c>
      <c r="E289" s="17">
        <f>MIN($B$4+$B$5*D289,$B$6)</f>
        <v/>
      </c>
      <c r="F289" s="17">
        <f>$B$7</f>
        <v/>
      </c>
      <c r="G289" s="17">
        <f>E289+F289</f>
        <v/>
      </c>
      <c r="H289" s="17">
        <f>3*E289+F289</f>
        <v/>
      </c>
      <c r="I289" s="15">
        <f>IF(H289&gt;$B$8,"Oui","Non")</f>
        <v/>
      </c>
      <c r="J289" s="18">
        <f>IF(D289&gt;0,E289/D289,"")</f>
        <v/>
      </c>
    </row>
    <row r="290">
      <c r="A290" t="inlineStr">
        <is>
          <t>CC du Pays de Conches</t>
        </is>
      </c>
      <c r="B290" t="inlineStr">
        <is>
          <t>Eure</t>
        </is>
      </c>
      <c r="C290" t="inlineStr">
        <is>
          <t>27</t>
        </is>
      </c>
      <c r="D290" s="3" t="n">
        <v>18141</v>
      </c>
      <c r="E290" s="13">
        <f>MIN($B$4+$B$5*D290,$B$6)</f>
        <v/>
      </c>
      <c r="F290" s="13">
        <f>$B$7</f>
        <v/>
      </c>
      <c r="G290" s="13">
        <f>E290+F290</f>
        <v/>
      </c>
      <c r="H290" s="13">
        <f>3*E290+F290</f>
        <v/>
      </c>
      <c r="I290">
        <f>IF(H290&gt;$B$8,"Oui","Non")</f>
        <v/>
      </c>
      <c r="J290" s="14">
        <f>IF(D290&gt;0,E290/D290,"")</f>
        <v/>
      </c>
    </row>
    <row r="291">
      <c r="A291" s="15" t="inlineStr">
        <is>
          <t>CC du Pays du Neubourg</t>
        </is>
      </c>
      <c r="B291" s="15" t="inlineStr">
        <is>
          <t>Eure</t>
        </is>
      </c>
      <c r="C291" s="15" t="inlineStr">
        <is>
          <t>27</t>
        </is>
      </c>
      <c r="D291" s="16" t="n">
        <v>22537</v>
      </c>
      <c r="E291" s="17">
        <f>MIN($B$4+$B$5*D291,$B$6)</f>
        <v/>
      </c>
      <c r="F291" s="17">
        <f>$B$7</f>
        <v/>
      </c>
      <c r="G291" s="17">
        <f>E291+F291</f>
        <v/>
      </c>
      <c r="H291" s="17">
        <f>3*E291+F291</f>
        <v/>
      </c>
      <c r="I291" s="15">
        <f>IF(H291&gt;$B$8,"Oui","Non")</f>
        <v/>
      </c>
      <c r="J291" s="18">
        <f>IF(D291&gt;0,E291/D291,"")</f>
        <v/>
      </c>
    </row>
    <row r="292">
      <c r="A292" t="inlineStr">
        <is>
          <t>CC du Vexin Normand</t>
        </is>
      </c>
      <c r="B292" t="inlineStr">
        <is>
          <t>Eure</t>
        </is>
      </c>
      <c r="C292" t="inlineStr">
        <is>
          <t>27</t>
        </is>
      </c>
      <c r="D292" s="3" t="n">
        <v>33174</v>
      </c>
      <c r="E292" s="13">
        <f>MIN($B$4+$B$5*D292,$B$6)</f>
        <v/>
      </c>
      <c r="F292" s="13">
        <f>$B$7</f>
        <v/>
      </c>
      <c r="G292" s="13">
        <f>E292+F292</f>
        <v/>
      </c>
      <c r="H292" s="13">
        <f>3*E292+F292</f>
        <v/>
      </c>
      <c r="I292">
        <f>IF(H292&gt;$B$8,"Oui","Non")</f>
        <v/>
      </c>
      <c r="J292" s="14">
        <f>IF(D292&gt;0,E292/D292,"")</f>
        <v/>
      </c>
    </row>
    <row r="293">
      <c r="A293" s="15" t="inlineStr">
        <is>
          <t>CC Coeur de Beauce</t>
        </is>
      </c>
      <c r="B293" s="15" t="inlineStr">
        <is>
          <t>Eure-et-Loir</t>
        </is>
      </c>
      <c r="C293" s="15" t="inlineStr">
        <is>
          <t>28</t>
        </is>
      </c>
      <c r="D293" s="16" t="n">
        <v>24406</v>
      </c>
      <c r="E293" s="17">
        <f>MIN($B$4+$B$5*D293,$B$6)</f>
        <v/>
      </c>
      <c r="F293" s="17">
        <f>$B$7</f>
        <v/>
      </c>
      <c r="G293" s="17">
        <f>E293+F293</f>
        <v/>
      </c>
      <c r="H293" s="17">
        <f>3*E293+F293</f>
        <v/>
      </c>
      <c r="I293" s="15">
        <f>IF(H293&gt;$B$8,"Oui","Non")</f>
        <v/>
      </c>
      <c r="J293" s="18">
        <f>IF(D293&gt;0,E293/D293,"")</f>
        <v/>
      </c>
    </row>
    <row r="294">
      <c r="A294" t="inlineStr">
        <is>
          <t>CC Entre Beauce et Perche</t>
        </is>
      </c>
      <c r="B294" t="inlineStr">
        <is>
          <t>Eure-et-Loir</t>
        </is>
      </c>
      <c r="C294" t="inlineStr">
        <is>
          <t>28</t>
        </is>
      </c>
      <c r="D294" s="3" t="n">
        <v>21164</v>
      </c>
      <c r="E294" s="13">
        <f>MIN($B$4+$B$5*D294,$B$6)</f>
        <v/>
      </c>
      <c r="F294" s="13">
        <f>$B$7</f>
        <v/>
      </c>
      <c r="G294" s="13">
        <f>E294+F294</f>
        <v/>
      </c>
      <c r="H294" s="13">
        <f>3*E294+F294</f>
        <v/>
      </c>
      <c r="I294">
        <f>IF(H294&gt;$B$8,"Oui","Non")</f>
        <v/>
      </c>
      <c r="J294" s="14">
        <f>IF(D294&gt;0,E294/D294,"")</f>
        <v/>
      </c>
    </row>
    <row r="295">
      <c r="A295" s="15" t="inlineStr">
        <is>
          <t>CC Terres de Perche</t>
        </is>
      </c>
      <c r="B295" s="15" t="inlineStr">
        <is>
          <t>Eure-et-Loir</t>
        </is>
      </c>
      <c r="C295" s="15" t="inlineStr">
        <is>
          <t>28</t>
        </is>
      </c>
      <c r="D295" s="16" t="n">
        <v>14116</v>
      </c>
      <c r="E295" s="17">
        <f>MIN($B$4+$B$5*D295,$B$6)</f>
        <v/>
      </c>
      <c r="F295" s="17">
        <f>$B$7</f>
        <v/>
      </c>
      <c r="G295" s="17">
        <f>E295+F295</f>
        <v/>
      </c>
      <c r="H295" s="17">
        <f>3*E295+F295</f>
        <v/>
      </c>
      <c r="I295" s="15">
        <f>IF(H295&gt;$B$8,"Oui","Non")</f>
        <v/>
      </c>
      <c r="J295" s="18">
        <f>IF(D295&gt;0,E295/D295,"")</f>
        <v/>
      </c>
    </row>
    <row r="296">
      <c r="A296" t="inlineStr">
        <is>
          <t>CC des Forêts du Perche</t>
        </is>
      </c>
      <c r="B296" t="inlineStr">
        <is>
          <t>Eure-et-Loir</t>
        </is>
      </c>
      <c r="C296" t="inlineStr">
        <is>
          <t>28</t>
        </is>
      </c>
      <c r="D296" s="3" t="n">
        <v>7700</v>
      </c>
      <c r="E296" s="13">
        <f>MIN($B$4+$B$5*D296,$B$6)</f>
        <v/>
      </c>
      <c r="F296" s="13">
        <f>$B$7</f>
        <v/>
      </c>
      <c r="G296" s="13">
        <f>E296+F296</f>
        <v/>
      </c>
      <c r="H296" s="13">
        <f>3*E296+F296</f>
        <v/>
      </c>
      <c r="I296">
        <f>IF(H296&gt;$B$8,"Oui","Non")</f>
        <v/>
      </c>
      <c r="J296" s="14">
        <f>IF(D296&gt;0,E296/D296,"")</f>
        <v/>
      </c>
    </row>
    <row r="297">
      <c r="A297" s="15" t="inlineStr">
        <is>
          <t>CC des Portes Euréliennes d'Ile de France</t>
        </is>
      </c>
      <c r="B297" s="15" t="inlineStr">
        <is>
          <t>Eure-et-Loir</t>
        </is>
      </c>
      <c r="C297" s="15" t="inlineStr">
        <is>
          <t>28</t>
        </is>
      </c>
      <c r="D297" s="16" t="n">
        <v>48698</v>
      </c>
      <c r="E297" s="17">
        <f>MIN($B$4+$B$5*D297,$B$6)</f>
        <v/>
      </c>
      <c r="F297" s="17">
        <f>$B$7</f>
        <v/>
      </c>
      <c r="G297" s="17">
        <f>E297+F297</f>
        <v/>
      </c>
      <c r="H297" s="17">
        <f>3*E297+F297</f>
        <v/>
      </c>
      <c r="I297" s="15">
        <f>IF(H297&gt;$B$8,"Oui","Non")</f>
        <v/>
      </c>
      <c r="J297" s="18">
        <f>IF(D297&gt;0,E297/D297,"")</f>
        <v/>
      </c>
    </row>
    <row r="298">
      <c r="A298" t="inlineStr">
        <is>
          <t>CC du Bonnevalais</t>
        </is>
      </c>
      <c r="B298" t="inlineStr">
        <is>
          <t>Eure-et-Loir</t>
        </is>
      </c>
      <c r="C298" t="inlineStr">
        <is>
          <t>28</t>
        </is>
      </c>
      <c r="D298" s="3" t="n">
        <v>12203</v>
      </c>
      <c r="E298" s="13">
        <f>MIN($B$4+$B$5*D298,$B$6)</f>
        <v/>
      </c>
      <c r="F298" s="13">
        <f>$B$7</f>
        <v/>
      </c>
      <c r="G298" s="13">
        <f>E298+F298</f>
        <v/>
      </c>
      <c r="H298" s="13">
        <f>3*E298+F298</f>
        <v/>
      </c>
      <c r="I298">
        <f>IF(H298&gt;$B$8,"Oui","Non")</f>
        <v/>
      </c>
      <c r="J298" s="14">
        <f>IF(D298&gt;0,E298/D298,"")</f>
        <v/>
      </c>
    </row>
    <row r="299">
      <c r="A299" s="15" t="inlineStr">
        <is>
          <t>CC du Grand Châteaudun</t>
        </is>
      </c>
      <c r="B299" s="15" t="inlineStr">
        <is>
          <t>Eure-et-Loir</t>
        </is>
      </c>
      <c r="C299" s="15" t="inlineStr">
        <is>
          <t>28</t>
        </is>
      </c>
      <c r="D299" s="16" t="n">
        <v>39734</v>
      </c>
      <c r="E299" s="17">
        <f>MIN($B$4+$B$5*D299,$B$6)</f>
        <v/>
      </c>
      <c r="F299" s="17">
        <f>$B$7</f>
        <v/>
      </c>
      <c r="G299" s="17">
        <f>E299+F299</f>
        <v/>
      </c>
      <c r="H299" s="17">
        <f>3*E299+F299</f>
        <v/>
      </c>
      <c r="I299" s="15">
        <f>IF(H299&gt;$B$8,"Oui","Non")</f>
        <v/>
      </c>
      <c r="J299" s="18">
        <f>IF(D299&gt;0,E299/D299,"")</f>
        <v/>
      </c>
    </row>
    <row r="300">
      <c r="A300" t="inlineStr">
        <is>
          <t>CC du Pays Houdanais (CCPH)</t>
        </is>
      </c>
      <c r="B300" t="inlineStr">
        <is>
          <t>Eure-et-Loir, Yvelines</t>
        </is>
      </c>
      <c r="C300" t="inlineStr">
        <is>
          <t>28, 78</t>
        </is>
      </c>
      <c r="D300" s="3" t="n">
        <v>30287</v>
      </c>
      <c r="E300" s="13">
        <f>MIN($B$4+$B$5*D300,$B$6)</f>
        <v/>
      </c>
      <c r="F300" s="13">
        <f>$B$7</f>
        <v/>
      </c>
      <c r="G300" s="13">
        <f>E300+F300</f>
        <v/>
      </c>
      <c r="H300" s="13">
        <f>3*E300+F300</f>
        <v/>
      </c>
      <c r="I300">
        <f>IF(H300&gt;$B$8,"Oui","Non")</f>
        <v/>
      </c>
      <c r="J300" s="14">
        <f>IF(D300&gt;0,E300/D300,"")</f>
        <v/>
      </c>
    </row>
    <row r="301">
      <c r="A301" s="15" t="inlineStr">
        <is>
          <t>CC du Perche</t>
        </is>
      </c>
      <c r="B301" s="15" t="inlineStr">
        <is>
          <t>Eure-et-Loir</t>
        </is>
      </c>
      <c r="C301" s="15" t="inlineStr">
        <is>
          <t>28</t>
        </is>
      </c>
      <c r="D301" s="16" t="n">
        <v>17971</v>
      </c>
      <c r="E301" s="17">
        <f>MIN($B$4+$B$5*D301,$B$6)</f>
        <v/>
      </c>
      <c r="F301" s="17">
        <f>$B$7</f>
        <v/>
      </c>
      <c r="G301" s="17">
        <f>E301+F301</f>
        <v/>
      </c>
      <c r="H301" s="17">
        <f>3*E301+F301</f>
        <v/>
      </c>
      <c r="I301" s="15">
        <f>IF(H301&gt;$B$8,"Oui","Non")</f>
        <v/>
      </c>
      <c r="J301" s="18">
        <f>IF(D301&gt;0,E301/D301,"")</f>
        <v/>
      </c>
    </row>
    <row r="302">
      <c r="A302" t="inlineStr">
        <is>
          <t>CC Cap Sizun - Pointe du Raz</t>
        </is>
      </c>
      <c r="B302" t="inlineStr">
        <is>
          <t>Finistère</t>
        </is>
      </c>
      <c r="C302" t="inlineStr">
        <is>
          <t>29</t>
        </is>
      </c>
      <c r="D302" s="3" t="n">
        <v>15313</v>
      </c>
      <c r="E302" s="13">
        <f>MIN($B$4+$B$5*D302,$B$6)</f>
        <v/>
      </c>
      <c r="F302" s="13">
        <f>$B$7</f>
        <v/>
      </c>
      <c r="G302" s="13">
        <f>E302+F302</f>
        <v/>
      </c>
      <c r="H302" s="13">
        <f>3*E302+F302</f>
        <v/>
      </c>
      <c r="I302">
        <f>IF(H302&gt;$B$8,"Oui","Non")</f>
        <v/>
      </c>
      <c r="J302" s="14">
        <f>IF(D302&gt;0,E302/D302,"")</f>
        <v/>
      </c>
    </row>
    <row r="303">
      <c r="A303" s="15" t="inlineStr">
        <is>
          <t>CC Communauté Lesneven Côte des Légendes</t>
        </is>
      </c>
      <c r="B303" s="15" t="inlineStr">
        <is>
          <t>Finistère</t>
        </is>
      </c>
      <c r="C303" s="15" t="inlineStr">
        <is>
          <t>29</t>
        </is>
      </c>
      <c r="D303" s="16" t="n">
        <v>27619</v>
      </c>
      <c r="E303" s="17">
        <f>MIN($B$4+$B$5*D303,$B$6)</f>
        <v/>
      </c>
      <c r="F303" s="17">
        <f>$B$7</f>
        <v/>
      </c>
      <c r="G303" s="17">
        <f>E303+F303</f>
        <v/>
      </c>
      <c r="H303" s="17">
        <f>3*E303+F303</f>
        <v/>
      </c>
      <c r="I303" s="15">
        <f>IF(H303&gt;$B$8,"Oui","Non")</f>
        <v/>
      </c>
      <c r="J303" s="18">
        <f>IF(D303&gt;0,E303/D303,"")</f>
        <v/>
      </c>
    </row>
    <row r="304">
      <c r="A304" t="inlineStr">
        <is>
          <t>CC Douarnenez Communauté</t>
        </is>
      </c>
      <c r="B304" t="inlineStr">
        <is>
          <t>Finistère</t>
        </is>
      </c>
      <c r="C304" t="inlineStr">
        <is>
          <t>29</t>
        </is>
      </c>
      <c r="D304" s="3" t="n">
        <v>18412</v>
      </c>
      <c r="E304" s="13">
        <f>MIN($B$4+$B$5*D304,$B$6)</f>
        <v/>
      </c>
      <c r="F304" s="13">
        <f>$B$7</f>
        <v/>
      </c>
      <c r="G304" s="13">
        <f>E304+F304</f>
        <v/>
      </c>
      <c r="H304" s="13">
        <f>3*E304+F304</f>
        <v/>
      </c>
      <c r="I304">
        <f>IF(H304&gt;$B$8,"Oui","Non")</f>
        <v/>
      </c>
      <c r="J304" s="14">
        <f>IF(D304&gt;0,E304/D304,"")</f>
        <v/>
      </c>
    </row>
    <row r="305">
      <c r="A305" s="15" t="inlineStr">
        <is>
          <t>CC Haut-Léon Communauté</t>
        </is>
      </c>
      <c r="B305" s="15" t="inlineStr">
        <is>
          <t>Finistère</t>
        </is>
      </c>
      <c r="C305" s="15" t="inlineStr">
        <is>
          <t>29</t>
        </is>
      </c>
      <c r="D305" s="16" t="n">
        <v>31706</v>
      </c>
      <c r="E305" s="17">
        <f>MIN($B$4+$B$5*D305,$B$6)</f>
        <v/>
      </c>
      <c r="F305" s="17">
        <f>$B$7</f>
        <v/>
      </c>
      <c r="G305" s="17">
        <f>E305+F305</f>
        <v/>
      </c>
      <c r="H305" s="17">
        <f>3*E305+F305</f>
        <v/>
      </c>
      <c r="I305" s="15">
        <f>IF(H305&gt;$B$8,"Oui","Non")</f>
        <v/>
      </c>
      <c r="J305" s="18">
        <f>IF(D305&gt;0,E305/D305,"")</f>
        <v/>
      </c>
    </row>
    <row r="306">
      <c r="A306" t="inlineStr">
        <is>
          <t>CC Monts d'Arrée Communauté</t>
        </is>
      </c>
      <c r="B306" t="inlineStr">
        <is>
          <t>Finistère</t>
        </is>
      </c>
      <c r="C306" t="inlineStr">
        <is>
          <t>29</t>
        </is>
      </c>
      <c r="D306" s="3" t="n">
        <v>7765</v>
      </c>
      <c r="E306" s="13">
        <f>MIN($B$4+$B$5*D306,$B$6)</f>
        <v/>
      </c>
      <c r="F306" s="13">
        <f>$B$7</f>
        <v/>
      </c>
      <c r="G306" s="13">
        <f>E306+F306</f>
        <v/>
      </c>
      <c r="H306" s="13">
        <f>3*E306+F306</f>
        <v/>
      </c>
      <c r="I306">
        <f>IF(H306&gt;$B$8,"Oui","Non")</f>
        <v/>
      </c>
      <c r="J306" s="14">
        <f>IF(D306&gt;0,E306/D306,"")</f>
        <v/>
      </c>
    </row>
    <row r="307">
      <c r="A307" s="15" t="inlineStr">
        <is>
          <t>CC Pleyben-Châteaulin-Porzay</t>
        </is>
      </c>
      <c r="B307" s="15" t="inlineStr">
        <is>
          <t>Finistère</t>
        </is>
      </c>
      <c r="C307" s="15" t="inlineStr">
        <is>
          <t>29</t>
        </is>
      </c>
      <c r="D307" s="16" t="n">
        <v>22863</v>
      </c>
      <c r="E307" s="17">
        <f>MIN($B$4+$B$5*D307,$B$6)</f>
        <v/>
      </c>
      <c r="F307" s="17">
        <f>$B$7</f>
        <v/>
      </c>
      <c r="G307" s="17">
        <f>E307+F307</f>
        <v/>
      </c>
      <c r="H307" s="17">
        <f>3*E307+F307</f>
        <v/>
      </c>
      <c r="I307" s="15">
        <f>IF(H307&gt;$B$8,"Oui","Non")</f>
        <v/>
      </c>
      <c r="J307" s="18">
        <f>IF(D307&gt;0,E307/D307,"")</f>
        <v/>
      </c>
    </row>
    <row r="308">
      <c r="A308" t="inlineStr">
        <is>
          <t>CC Presqu'île de Crozon-Aulne maritime</t>
        </is>
      </c>
      <c r="B308" t="inlineStr">
        <is>
          <t>Finistère</t>
        </is>
      </c>
      <c r="C308" t="inlineStr">
        <is>
          <t>29</t>
        </is>
      </c>
      <c r="D308" s="3" t="n">
        <v>22603</v>
      </c>
      <c r="E308" s="13">
        <f>MIN($B$4+$B$5*D308,$B$6)</f>
        <v/>
      </c>
      <c r="F308" s="13">
        <f>$B$7</f>
        <v/>
      </c>
      <c r="G308" s="13">
        <f>E308+F308</f>
        <v/>
      </c>
      <c r="H308" s="13">
        <f>3*E308+F308</f>
        <v/>
      </c>
      <c r="I308">
        <f>IF(H308&gt;$B$8,"Oui","Non")</f>
        <v/>
      </c>
      <c r="J308" s="14">
        <f>IF(D308&gt;0,E308/D308,"")</f>
        <v/>
      </c>
    </row>
    <row r="309">
      <c r="A309" s="15" t="inlineStr">
        <is>
          <t>CC de Haute Cornouaille</t>
        </is>
      </c>
      <c r="B309" s="15" t="inlineStr">
        <is>
          <t>Finistère</t>
        </is>
      </c>
      <c r="C309" s="15" t="inlineStr">
        <is>
          <t>29</t>
        </is>
      </c>
      <c r="D309" s="16" t="n">
        <v>14917</v>
      </c>
      <c r="E309" s="17">
        <f>MIN($B$4+$B$5*D309,$B$6)</f>
        <v/>
      </c>
      <c r="F309" s="17">
        <f>$B$7</f>
        <v/>
      </c>
      <c r="G309" s="17">
        <f>E309+F309</f>
        <v/>
      </c>
      <c r="H309" s="17">
        <f>3*E309+F309</f>
        <v/>
      </c>
      <c r="I309" s="15">
        <f>IF(H309&gt;$B$8,"Oui","Non")</f>
        <v/>
      </c>
      <c r="J309" s="18">
        <f>IF(D309&gt;0,E309/D309,"")</f>
        <v/>
      </c>
    </row>
    <row r="310">
      <c r="A310" t="inlineStr">
        <is>
          <t>CC du Haut Pays Bigouden</t>
        </is>
      </c>
      <c r="B310" t="inlineStr">
        <is>
          <t>Finistère</t>
        </is>
      </c>
      <c r="C310" t="inlineStr">
        <is>
          <t>29</t>
        </is>
      </c>
      <c r="D310" s="3" t="n">
        <v>18622</v>
      </c>
      <c r="E310" s="13">
        <f>MIN($B$4+$B$5*D310,$B$6)</f>
        <v/>
      </c>
      <c r="F310" s="13">
        <f>$B$7</f>
        <v/>
      </c>
      <c r="G310" s="13">
        <f>E310+F310</f>
        <v/>
      </c>
      <c r="H310" s="13">
        <f>3*E310+F310</f>
        <v/>
      </c>
      <c r="I310">
        <f>IF(H310&gt;$B$8,"Oui","Non")</f>
        <v/>
      </c>
      <c r="J310" s="14">
        <f>IF(D310&gt;0,E310/D310,"")</f>
        <v/>
      </c>
    </row>
    <row r="311">
      <c r="A311" s="15" t="inlineStr">
        <is>
          <t>CC du Pays Bigouden Sud</t>
        </is>
      </c>
      <c r="B311" s="15" t="inlineStr">
        <is>
          <t>Finistère</t>
        </is>
      </c>
      <c r="C311" s="15" t="inlineStr">
        <is>
          <t>29</t>
        </is>
      </c>
      <c r="D311" s="16" t="n">
        <v>38259</v>
      </c>
      <c r="E311" s="17">
        <f>MIN($B$4+$B$5*D311,$B$6)</f>
        <v/>
      </c>
      <c r="F311" s="17">
        <f>$B$7</f>
        <v/>
      </c>
      <c r="G311" s="17">
        <f>E311+F311</f>
        <v/>
      </c>
      <c r="H311" s="17">
        <f>3*E311+F311</f>
        <v/>
      </c>
      <c r="I311" s="15">
        <f>IF(H311&gt;$B$8,"Oui","Non")</f>
        <v/>
      </c>
      <c r="J311" s="18">
        <f>IF(D311&gt;0,E311/D311,"")</f>
        <v/>
      </c>
    </row>
    <row r="312">
      <c r="A312" t="inlineStr">
        <is>
          <t>CC du Pays Fouesnantais</t>
        </is>
      </c>
      <c r="B312" t="inlineStr">
        <is>
          <t>Finistère</t>
        </is>
      </c>
      <c r="C312" t="inlineStr">
        <is>
          <t>29</t>
        </is>
      </c>
      <c r="D312" s="3" t="n">
        <v>29273</v>
      </c>
      <c r="E312" s="13">
        <f>MIN($B$4+$B$5*D312,$B$6)</f>
        <v/>
      </c>
      <c r="F312" s="13">
        <f>$B$7</f>
        <v/>
      </c>
      <c r="G312" s="13">
        <f>E312+F312</f>
        <v/>
      </c>
      <c r="H312" s="13">
        <f>3*E312+F312</f>
        <v/>
      </c>
      <c r="I312">
        <f>IF(H312&gt;$B$8,"Oui","Non")</f>
        <v/>
      </c>
      <c r="J312" s="14">
        <f>IF(D312&gt;0,E312/D312,"")</f>
        <v/>
      </c>
    </row>
    <row r="313">
      <c r="A313" s="15" t="inlineStr">
        <is>
          <t>CC du Pays d'Iroise</t>
        </is>
      </c>
      <c r="B313" s="15" t="inlineStr">
        <is>
          <t>Finistère</t>
        </is>
      </c>
      <c r="C313" s="15" t="inlineStr">
        <is>
          <t>29</t>
        </is>
      </c>
      <c r="D313" s="16" t="n">
        <v>50017</v>
      </c>
      <c r="E313" s="17">
        <f>MIN($B$4+$B$5*D313,$B$6)</f>
        <v/>
      </c>
      <c r="F313" s="17">
        <f>$B$7</f>
        <v/>
      </c>
      <c r="G313" s="17">
        <f>E313+F313</f>
        <v/>
      </c>
      <c r="H313" s="17">
        <f>3*E313+F313</f>
        <v/>
      </c>
      <c r="I313" s="15">
        <f>IF(H313&gt;$B$8,"Oui","Non")</f>
        <v/>
      </c>
      <c r="J313" s="18">
        <f>IF(D313&gt;0,E313/D313,"")</f>
        <v/>
      </c>
    </row>
    <row r="314">
      <c r="A314" t="inlineStr">
        <is>
          <t>CC du Pays de Landivisiau</t>
        </is>
      </c>
      <c r="B314" t="inlineStr">
        <is>
          <t>Finistère</t>
        </is>
      </c>
      <c r="C314" t="inlineStr">
        <is>
          <t>29</t>
        </is>
      </c>
      <c r="D314" s="3" t="n">
        <v>33667</v>
      </c>
      <c r="E314" s="13">
        <f>MIN($B$4+$B$5*D314,$B$6)</f>
        <v/>
      </c>
      <c r="F314" s="13">
        <f>$B$7</f>
        <v/>
      </c>
      <c r="G314" s="13">
        <f>E314+F314</f>
        <v/>
      </c>
      <c r="H314" s="13">
        <f>3*E314+F314</f>
        <v/>
      </c>
      <c r="I314">
        <f>IF(H314&gt;$B$8,"Oui","Non")</f>
        <v/>
      </c>
      <c r="J314" s="14">
        <f>IF(D314&gt;0,E314/D314,"")</f>
        <v/>
      </c>
    </row>
    <row r="315">
      <c r="A315" s="15" t="inlineStr">
        <is>
          <t>CC du Pays des Abers</t>
        </is>
      </c>
      <c r="B315" s="15" t="inlineStr">
        <is>
          <t>Finistère</t>
        </is>
      </c>
      <c r="C315" s="15" t="inlineStr">
        <is>
          <t>29</t>
        </is>
      </c>
      <c r="D315" s="16" t="n">
        <v>42029</v>
      </c>
      <c r="E315" s="17">
        <f>MIN($B$4+$B$5*D315,$B$6)</f>
        <v/>
      </c>
      <c r="F315" s="17">
        <f>$B$7</f>
        <v/>
      </c>
      <c r="G315" s="17">
        <f>E315+F315</f>
        <v/>
      </c>
      <c r="H315" s="17">
        <f>3*E315+F315</f>
        <v/>
      </c>
      <c r="I315" s="15">
        <f>IF(H315&gt;$B$8,"Oui","Non")</f>
        <v/>
      </c>
      <c r="J315" s="18">
        <f>IF(D315&gt;0,E315/D315,"")</f>
        <v/>
      </c>
    </row>
    <row r="316">
      <c r="A316" t="inlineStr">
        <is>
          <t>CC Celavu-Prunelli</t>
        </is>
      </c>
      <c r="B316" t="inlineStr">
        <is>
          <t>Corse-du-Sud</t>
        </is>
      </c>
      <c r="C316" t="inlineStr">
        <is>
          <t>2A</t>
        </is>
      </c>
      <c r="D316" s="3" t="n">
        <v>9246</v>
      </c>
      <c r="E316" s="13">
        <f>MIN($B$4+$B$5*D316,$B$6)</f>
        <v/>
      </c>
      <c r="F316" s="13">
        <f>$B$7</f>
        <v/>
      </c>
      <c r="G316" s="13">
        <f>E316+F316</f>
        <v/>
      </c>
      <c r="H316" s="13">
        <f>3*E316+F316</f>
        <v/>
      </c>
      <c r="I316">
        <f>IF(H316&gt;$B$8,"Oui","Non")</f>
        <v/>
      </c>
      <c r="J316" s="14">
        <f>IF(D316&gt;0,E316/D316,"")</f>
        <v/>
      </c>
    </row>
    <row r="317">
      <c r="A317" s="15" t="inlineStr">
        <is>
          <t>CC Spelunca-Liamone</t>
        </is>
      </c>
      <c r="B317" s="15" t="inlineStr">
        <is>
          <t>Corse-du-Sud</t>
        </is>
      </c>
      <c r="C317" s="15" t="inlineStr">
        <is>
          <t>2A</t>
        </is>
      </c>
      <c r="D317" s="16" t="n">
        <v>7815</v>
      </c>
      <c r="E317" s="17">
        <f>MIN($B$4+$B$5*D317,$B$6)</f>
        <v/>
      </c>
      <c r="F317" s="17">
        <f>$B$7</f>
        <v/>
      </c>
      <c r="G317" s="17">
        <f>E317+F317</f>
        <v/>
      </c>
      <c r="H317" s="17">
        <f>3*E317+F317</f>
        <v/>
      </c>
      <c r="I317" s="15">
        <f>IF(H317&gt;$B$8,"Oui","Non")</f>
        <v/>
      </c>
      <c r="J317" s="18">
        <f>IF(D317&gt;0,E317/D317,"")</f>
        <v/>
      </c>
    </row>
    <row r="318">
      <c r="A318" t="inlineStr">
        <is>
          <t>CC de l'Alta Rocca</t>
        </is>
      </c>
      <c r="B318" t="inlineStr">
        <is>
          <t>Corse-du-Sud</t>
        </is>
      </c>
      <c r="C318" t="inlineStr">
        <is>
          <t>2A</t>
        </is>
      </c>
      <c r="D318" s="3" t="n">
        <v>8795</v>
      </c>
      <c r="E318" s="13">
        <f>MIN($B$4+$B$5*D318,$B$6)</f>
        <v/>
      </c>
      <c r="F318" s="13">
        <f>$B$7</f>
        <v/>
      </c>
      <c r="G318" s="13">
        <f>E318+F318</f>
        <v/>
      </c>
      <c r="H318" s="13">
        <f>3*E318+F318</f>
        <v/>
      </c>
      <c r="I318">
        <f>IF(H318&gt;$B$8,"Oui","Non")</f>
        <v/>
      </c>
      <c r="J318" s="14">
        <f>IF(D318&gt;0,E318/D318,"")</f>
        <v/>
      </c>
    </row>
    <row r="319">
      <c r="A319" s="15" t="inlineStr">
        <is>
          <t>CC de la Pieve de l'Ornano et du Taravo</t>
        </is>
      </c>
      <c r="B319" s="15" t="inlineStr">
        <is>
          <t>Corse-du-Sud</t>
        </is>
      </c>
      <c r="C319" s="15" t="inlineStr">
        <is>
          <t>2A</t>
        </is>
      </c>
      <c r="D319" s="16" t="n">
        <v>13293</v>
      </c>
      <c r="E319" s="17">
        <f>MIN($B$4+$B$5*D319,$B$6)</f>
        <v/>
      </c>
      <c r="F319" s="17">
        <f>$B$7</f>
        <v/>
      </c>
      <c r="G319" s="17">
        <f>E319+F319</f>
        <v/>
      </c>
      <c r="H319" s="17">
        <f>3*E319+F319</f>
        <v/>
      </c>
      <c r="I319" s="15">
        <f>IF(H319&gt;$B$8,"Oui","Non")</f>
        <v/>
      </c>
      <c r="J319" s="18">
        <f>IF(D319&gt;0,E319/D319,"")</f>
        <v/>
      </c>
    </row>
    <row r="320">
      <c r="A320" t="inlineStr">
        <is>
          <t>CC du Sartenais Valinco Taravo</t>
        </is>
      </c>
      <c r="B320" t="inlineStr">
        <is>
          <t>Corse-du-Sud</t>
        </is>
      </c>
      <c r="C320" t="inlineStr">
        <is>
          <t>2A</t>
        </is>
      </c>
      <c r="D320" s="3" t="n">
        <v>12351</v>
      </c>
      <c r="E320" s="13">
        <f>MIN($B$4+$B$5*D320,$B$6)</f>
        <v/>
      </c>
      <c r="F320" s="13">
        <f>$B$7</f>
        <v/>
      </c>
      <c r="G320" s="13">
        <f>E320+F320</f>
        <v/>
      </c>
      <c r="H320" s="13">
        <f>3*E320+F320</f>
        <v/>
      </c>
      <c r="I320">
        <f>IF(H320&gt;$B$8,"Oui","Non")</f>
        <v/>
      </c>
      <c r="J320" s="14">
        <f>IF(D320&gt;0,E320/D320,"")</f>
        <v/>
      </c>
    </row>
    <row r="321">
      <c r="A321" s="15" t="inlineStr">
        <is>
          <t>CC du Sud Corse</t>
        </is>
      </c>
      <c r="B321" s="15" t="inlineStr">
        <is>
          <t>Corse-du-Sud</t>
        </is>
      </c>
      <c r="C321" s="15" t="inlineStr">
        <is>
          <t>2A</t>
        </is>
      </c>
      <c r="D321" s="16" t="n">
        <v>21779</v>
      </c>
      <c r="E321" s="17">
        <f>MIN($B$4+$B$5*D321,$B$6)</f>
        <v/>
      </c>
      <c r="F321" s="17">
        <f>$B$7</f>
        <v/>
      </c>
      <c r="G321" s="17">
        <f>E321+F321</f>
        <v/>
      </c>
      <c r="H321" s="17">
        <f>3*E321+F321</f>
        <v/>
      </c>
      <c r="I321" s="15">
        <f>IF(H321&gt;$B$8,"Oui","Non")</f>
        <v/>
      </c>
      <c r="J321" s="18">
        <f>IF(D321&gt;0,E321/D321,"")</f>
        <v/>
      </c>
    </row>
    <row r="322">
      <c r="A322" t="inlineStr">
        <is>
          <t>CC Nebbiu - Conca d'Oro</t>
        </is>
      </c>
      <c r="B322" t="inlineStr">
        <is>
          <t>Haute-Corse</t>
        </is>
      </c>
      <c r="C322" t="inlineStr">
        <is>
          <t>2B</t>
        </is>
      </c>
      <c r="D322" s="3" t="n">
        <v>7783</v>
      </c>
      <c r="E322" s="13">
        <f>MIN($B$4+$B$5*D322,$B$6)</f>
        <v/>
      </c>
      <c r="F322" s="13">
        <f>$B$7</f>
        <v/>
      </c>
      <c r="G322" s="13">
        <f>E322+F322</f>
        <v/>
      </c>
      <c r="H322" s="13">
        <f>3*E322+F322</f>
        <v/>
      </c>
      <c r="I322">
        <f>IF(H322&gt;$B$8,"Oui","Non")</f>
        <v/>
      </c>
      <c r="J322" s="14">
        <f>IF(D322&gt;0,E322/D322,"")</f>
        <v/>
      </c>
    </row>
    <row r="323">
      <c r="A323" s="15" t="inlineStr">
        <is>
          <t>CC Pasquale Paoli</t>
        </is>
      </c>
      <c r="B323" s="15" t="inlineStr">
        <is>
          <t>Haute-Corse</t>
        </is>
      </c>
      <c r="C323" s="15" t="inlineStr">
        <is>
          <t>2B</t>
        </is>
      </c>
      <c r="D323" s="16" t="n">
        <v>6117</v>
      </c>
      <c r="E323" s="17">
        <f>MIN($B$4+$B$5*D323,$B$6)</f>
        <v/>
      </c>
      <c r="F323" s="17">
        <f>$B$7</f>
        <v/>
      </c>
      <c r="G323" s="17">
        <f>E323+F323</f>
        <v/>
      </c>
      <c r="H323" s="17">
        <f>3*E323+F323</f>
        <v/>
      </c>
      <c r="I323" s="15">
        <f>IF(H323&gt;$B$8,"Oui","Non")</f>
        <v/>
      </c>
      <c r="J323" s="18">
        <f>IF(D323&gt;0,E323/D323,"")</f>
        <v/>
      </c>
    </row>
    <row r="324">
      <c r="A324" t="inlineStr">
        <is>
          <t>CC de Calvi Balagne</t>
        </is>
      </c>
      <c r="B324" t="inlineStr">
        <is>
          <t>Haute-Corse</t>
        </is>
      </c>
      <c r="C324" t="inlineStr">
        <is>
          <t>2B</t>
        </is>
      </c>
      <c r="D324" s="3" t="n">
        <v>12638</v>
      </c>
      <c r="E324" s="13">
        <f>MIN($B$4+$B$5*D324,$B$6)</f>
        <v/>
      </c>
      <c r="F324" s="13">
        <f>$B$7</f>
        <v/>
      </c>
      <c r="G324" s="13">
        <f>E324+F324</f>
        <v/>
      </c>
      <c r="H324" s="13">
        <f>3*E324+F324</f>
        <v/>
      </c>
      <c r="I324">
        <f>IF(H324&gt;$B$8,"Oui","Non")</f>
        <v/>
      </c>
      <c r="J324" s="14">
        <f>IF(D324&gt;0,E324/D324,"")</f>
        <v/>
      </c>
    </row>
    <row r="325">
      <c r="A325" s="15" t="inlineStr">
        <is>
          <t>CC de Fium'Orbu Castellu</t>
        </is>
      </c>
      <c r="B325" s="15" t="inlineStr">
        <is>
          <t>Haute-Corse</t>
        </is>
      </c>
      <c r="C325" s="15" t="inlineStr">
        <is>
          <t>2B</t>
        </is>
      </c>
      <c r="D325" s="16" t="n">
        <v>13280</v>
      </c>
      <c r="E325" s="17">
        <f>MIN($B$4+$B$5*D325,$B$6)</f>
        <v/>
      </c>
      <c r="F325" s="17">
        <f>$B$7</f>
        <v/>
      </c>
      <c r="G325" s="17">
        <f>E325+F325</f>
        <v/>
      </c>
      <c r="H325" s="17">
        <f>3*E325+F325</f>
        <v/>
      </c>
      <c r="I325" s="15">
        <f>IF(H325&gt;$B$8,"Oui","Non")</f>
        <v/>
      </c>
      <c r="J325" s="18">
        <f>IF(D325&gt;0,E325/D325,"")</f>
        <v/>
      </c>
    </row>
    <row r="326">
      <c r="A326" t="inlineStr">
        <is>
          <t>CC de Marana-Golo</t>
        </is>
      </c>
      <c r="B326" t="inlineStr">
        <is>
          <t>Haute-Corse</t>
        </is>
      </c>
      <c r="C326" t="inlineStr">
        <is>
          <t>2B</t>
        </is>
      </c>
      <c r="D326" s="3" t="n">
        <v>25474</v>
      </c>
      <c r="E326" s="13">
        <f>MIN($B$4+$B$5*D326,$B$6)</f>
        <v/>
      </c>
      <c r="F326" s="13">
        <f>$B$7</f>
        <v/>
      </c>
      <c r="G326" s="13">
        <f>E326+F326</f>
        <v/>
      </c>
      <c r="H326" s="13">
        <f>3*E326+F326</f>
        <v/>
      </c>
      <c r="I326">
        <f>IF(H326&gt;$B$8,"Oui","Non")</f>
        <v/>
      </c>
      <c r="J326" s="14">
        <f>IF(D326&gt;0,E326/D326,"")</f>
        <v/>
      </c>
    </row>
    <row r="327">
      <c r="A327" s="15" t="inlineStr">
        <is>
          <t>CC de l'Ile-Rousse - Balagne</t>
        </is>
      </c>
      <c r="B327" s="15" t="inlineStr">
        <is>
          <t>Haute-Corse</t>
        </is>
      </c>
      <c r="C327" s="15" t="inlineStr">
        <is>
          <t>2B</t>
        </is>
      </c>
      <c r="D327" s="16" t="n">
        <v>10982</v>
      </c>
      <c r="E327" s="17">
        <f>MIN($B$4+$B$5*D327,$B$6)</f>
        <v/>
      </c>
      <c r="F327" s="17">
        <f>$B$7</f>
        <v/>
      </c>
      <c r="G327" s="17">
        <f>E327+F327</f>
        <v/>
      </c>
      <c r="H327" s="17">
        <f>3*E327+F327</f>
        <v/>
      </c>
      <c r="I327" s="15">
        <f>IF(H327&gt;$B$8,"Oui","Non")</f>
        <v/>
      </c>
      <c r="J327" s="18">
        <f>IF(D327&gt;0,E327/D327,"")</f>
        <v/>
      </c>
    </row>
    <row r="328">
      <c r="A328" t="inlineStr">
        <is>
          <t>CC de l'Oriente</t>
        </is>
      </c>
      <c r="B328" t="inlineStr">
        <is>
          <t>Haute-Corse</t>
        </is>
      </c>
      <c r="C328" t="inlineStr">
        <is>
          <t>2B</t>
        </is>
      </c>
      <c r="D328" s="3" t="n">
        <v>6173</v>
      </c>
      <c r="E328" s="13">
        <f>MIN($B$4+$B$5*D328,$B$6)</f>
        <v/>
      </c>
      <c r="F328" s="13">
        <f>$B$7</f>
        <v/>
      </c>
      <c r="G328" s="13">
        <f>E328+F328</f>
        <v/>
      </c>
      <c r="H328" s="13">
        <f>3*E328+F328</f>
        <v/>
      </c>
      <c r="I328">
        <f>IF(H328&gt;$B$8,"Oui","Non")</f>
        <v/>
      </c>
      <c r="J328" s="14">
        <f>IF(D328&gt;0,E328/D328,"")</f>
        <v/>
      </c>
    </row>
    <row r="329">
      <c r="A329" s="15" t="inlineStr">
        <is>
          <t>CC de la Castagniccia-Casinca</t>
        </is>
      </c>
      <c r="B329" s="15" t="inlineStr">
        <is>
          <t>Haute-Corse</t>
        </is>
      </c>
      <c r="C329" s="15" t="inlineStr">
        <is>
          <t>2B</t>
        </is>
      </c>
      <c r="D329" s="16" t="n">
        <v>13304</v>
      </c>
      <c r="E329" s="17">
        <f>MIN($B$4+$B$5*D329,$B$6)</f>
        <v/>
      </c>
      <c r="F329" s="17">
        <f>$B$7</f>
        <v/>
      </c>
      <c r="G329" s="17">
        <f>E329+F329</f>
        <v/>
      </c>
      <c r="H329" s="17">
        <f>3*E329+F329</f>
        <v/>
      </c>
      <c r="I329" s="15">
        <f>IF(H329&gt;$B$8,"Oui","Non")</f>
        <v/>
      </c>
      <c r="J329" s="18">
        <f>IF(D329&gt;0,E329/D329,"")</f>
        <v/>
      </c>
    </row>
    <row r="330">
      <c r="A330" t="inlineStr">
        <is>
          <t>CC de la Costa Verde</t>
        </is>
      </c>
      <c r="B330" t="inlineStr">
        <is>
          <t>Haute-Corse</t>
        </is>
      </c>
      <c r="C330" t="inlineStr">
        <is>
          <t>2B</t>
        </is>
      </c>
      <c r="D330" s="3" t="n">
        <v>10939</v>
      </c>
      <c r="E330" s="13">
        <f>MIN($B$4+$B$5*D330,$B$6)</f>
        <v/>
      </c>
      <c r="F330" s="13">
        <f>$B$7</f>
        <v/>
      </c>
      <c r="G330" s="13">
        <f>E330+F330</f>
        <v/>
      </c>
      <c r="H330" s="13">
        <f>3*E330+F330</f>
        <v/>
      </c>
      <c r="I330">
        <f>IF(H330&gt;$B$8,"Oui","Non")</f>
        <v/>
      </c>
      <c r="J330" s="14">
        <f>IF(D330&gt;0,E330/D330,"")</f>
        <v/>
      </c>
    </row>
    <row r="331">
      <c r="A331" s="15" t="inlineStr">
        <is>
          <t>CC du Cap Corse</t>
        </is>
      </c>
      <c r="B331" s="15" t="inlineStr">
        <is>
          <t>Haute-Corse</t>
        </is>
      </c>
      <c r="C331" s="15" t="inlineStr">
        <is>
          <t>2B</t>
        </is>
      </c>
      <c r="D331" s="16" t="n">
        <v>6607</v>
      </c>
      <c r="E331" s="17">
        <f>MIN($B$4+$B$5*D331,$B$6)</f>
        <v/>
      </c>
      <c r="F331" s="17">
        <f>$B$7</f>
        <v/>
      </c>
      <c r="G331" s="17">
        <f>E331+F331</f>
        <v/>
      </c>
      <c r="H331" s="17">
        <f>3*E331+F331</f>
        <v/>
      </c>
      <c r="I331" s="15">
        <f>IF(H331&gt;$B$8,"Oui","Non")</f>
        <v/>
      </c>
      <c r="J331" s="18">
        <f>IF(D331&gt;0,E331/D331,"")</f>
        <v/>
      </c>
    </row>
    <row r="332">
      <c r="A332" t="inlineStr">
        <is>
          <t>CC du Centre Corse</t>
        </is>
      </c>
      <c r="B332" t="inlineStr">
        <is>
          <t>Haute-Corse</t>
        </is>
      </c>
      <c r="C332" t="inlineStr">
        <is>
          <t>2B</t>
        </is>
      </c>
      <c r="D332" s="3" t="n">
        <v>10014</v>
      </c>
      <c r="E332" s="13">
        <f>MIN($B$4+$B$5*D332,$B$6)</f>
        <v/>
      </c>
      <c r="F332" s="13">
        <f>$B$7</f>
        <v/>
      </c>
      <c r="G332" s="13">
        <f>E332+F332</f>
        <v/>
      </c>
      <c r="H332" s="13">
        <f>3*E332+F332</f>
        <v/>
      </c>
      <c r="I332">
        <f>IF(H332&gt;$B$8,"Oui","Non")</f>
        <v/>
      </c>
      <c r="J332" s="14">
        <f>IF(D332&gt;0,E332/D332,"")</f>
        <v/>
      </c>
    </row>
    <row r="333">
      <c r="A333" s="15" t="inlineStr">
        <is>
          <t>CC Beaucaire Terre d'Argence</t>
        </is>
      </c>
      <c r="B333" s="15" t="inlineStr">
        <is>
          <t>Gard</t>
        </is>
      </c>
      <c r="C333" s="15" t="inlineStr">
        <is>
          <t>30</t>
        </is>
      </c>
      <c r="D333" s="16" t="n">
        <v>31587</v>
      </c>
      <c r="E333" s="17">
        <f>MIN($B$4+$B$5*D333,$B$6)</f>
        <v/>
      </c>
      <c r="F333" s="17">
        <f>$B$7</f>
        <v/>
      </c>
      <c r="G333" s="17">
        <f>E333+F333</f>
        <v/>
      </c>
      <c r="H333" s="17">
        <f>3*E333+F333</f>
        <v/>
      </c>
      <c r="I333" s="15">
        <f>IF(H333&gt;$B$8,"Oui","Non")</f>
        <v/>
      </c>
      <c r="J333" s="18">
        <f>IF(D333&gt;0,E333/D333,"")</f>
        <v/>
      </c>
    </row>
    <row r="334">
      <c r="A334" t="inlineStr">
        <is>
          <t>CC Causses Aigoual Cévennes</t>
        </is>
      </c>
      <c r="B334" t="inlineStr">
        <is>
          <t>Gard</t>
        </is>
      </c>
      <c r="C334" t="inlineStr">
        <is>
          <t>30</t>
        </is>
      </c>
      <c r="D334" s="3" t="n">
        <v>5391</v>
      </c>
      <c r="E334" s="13">
        <f>MIN($B$4+$B$5*D334,$B$6)</f>
        <v/>
      </c>
      <c r="F334" s="13">
        <f>$B$7</f>
        <v/>
      </c>
      <c r="G334" s="13">
        <f>E334+F334</f>
        <v/>
      </c>
      <c r="H334" s="13">
        <f>3*E334+F334</f>
        <v/>
      </c>
      <c r="I334">
        <f>IF(H334&gt;$B$8,"Oui","Non")</f>
        <v/>
      </c>
      <c r="J334" s="14">
        <f>IF(D334&gt;0,E334/D334,"")</f>
        <v/>
      </c>
    </row>
    <row r="335">
      <c r="A335" s="15" t="inlineStr">
        <is>
          <t>CC Mont Lozère</t>
        </is>
      </c>
      <c r="B335" s="15" t="inlineStr">
        <is>
          <t>Gard, Lozère</t>
        </is>
      </c>
      <c r="C335" s="15" t="inlineStr">
        <is>
          <t>30, 48</t>
        </is>
      </c>
      <c r="D335" s="16" t="n">
        <v>5827</v>
      </c>
      <c r="E335" s="17">
        <f>MIN($B$4+$B$5*D335,$B$6)</f>
        <v/>
      </c>
      <c r="F335" s="17">
        <f>$B$7</f>
        <v/>
      </c>
      <c r="G335" s="17">
        <f>E335+F335</f>
        <v/>
      </c>
      <c r="H335" s="17">
        <f>3*E335+F335</f>
        <v/>
      </c>
      <c r="I335" s="15">
        <f>IF(H335&gt;$B$8,"Oui","Non")</f>
        <v/>
      </c>
      <c r="J335" s="18">
        <f>IF(D335&gt;0,E335/D335,"")</f>
        <v/>
      </c>
    </row>
    <row r="336">
      <c r="A336" t="inlineStr">
        <is>
          <t>CC Pays d'Uzès</t>
        </is>
      </c>
      <c r="B336" t="inlineStr">
        <is>
          <t>Gard</t>
        </is>
      </c>
      <c r="C336" t="inlineStr">
        <is>
          <t>30</t>
        </is>
      </c>
      <c r="D336" s="3" t="n">
        <v>30894</v>
      </c>
      <c r="E336" s="13">
        <f>MIN($B$4+$B$5*D336,$B$6)</f>
        <v/>
      </c>
      <c r="F336" s="13">
        <f>$B$7</f>
        <v/>
      </c>
      <c r="G336" s="13">
        <f>E336+F336</f>
        <v/>
      </c>
      <c r="H336" s="13">
        <f>3*E336+F336</f>
        <v/>
      </c>
      <c r="I336">
        <f>IF(H336&gt;$B$8,"Oui","Non")</f>
        <v/>
      </c>
      <c r="J336" s="14">
        <f>IF(D336&gt;0,E336/D336,"")</f>
        <v/>
      </c>
    </row>
    <row r="337">
      <c r="A337" s="15" t="inlineStr">
        <is>
          <t>CC Rhony, Vistre, Vidourle</t>
        </is>
      </c>
      <c r="B337" s="15" t="inlineStr">
        <is>
          <t>Gard</t>
        </is>
      </c>
      <c r="C337" s="15" t="inlineStr">
        <is>
          <t>30</t>
        </is>
      </c>
      <c r="D337" s="16" t="n">
        <v>28710</v>
      </c>
      <c r="E337" s="17">
        <f>MIN($B$4+$B$5*D337,$B$6)</f>
        <v/>
      </c>
      <c r="F337" s="17">
        <f>$B$7</f>
        <v/>
      </c>
      <c r="G337" s="17">
        <f>E337+F337</f>
        <v/>
      </c>
      <c r="H337" s="17">
        <f>3*E337+F337</f>
        <v/>
      </c>
      <c r="I337" s="15">
        <f>IF(H337&gt;$B$8,"Oui","Non")</f>
        <v/>
      </c>
      <c r="J337" s="18">
        <f>IF(D337&gt;0,E337/D337,"")</f>
        <v/>
      </c>
    </row>
    <row r="338">
      <c r="A338" t="inlineStr">
        <is>
          <t>CC Terre de Camargue</t>
        </is>
      </c>
      <c r="B338" t="inlineStr">
        <is>
          <t>Gard</t>
        </is>
      </c>
      <c r="C338" t="inlineStr">
        <is>
          <t>30</t>
        </is>
      </c>
      <c r="D338" s="3" t="n">
        <v>20871</v>
      </c>
      <c r="E338" s="13">
        <f>MIN($B$4+$B$5*D338,$B$6)</f>
        <v/>
      </c>
      <c r="F338" s="13">
        <f>$B$7</f>
        <v/>
      </c>
      <c r="G338" s="13">
        <f>E338+F338</f>
        <v/>
      </c>
      <c r="H338" s="13">
        <f>3*E338+F338</f>
        <v/>
      </c>
      <c r="I338">
        <f>IF(H338&gt;$B$8,"Oui","Non")</f>
        <v/>
      </c>
      <c r="J338" s="14">
        <f>IF(D338&gt;0,E338/D338,"")</f>
        <v/>
      </c>
    </row>
    <row r="339">
      <c r="A339" s="15" t="inlineStr">
        <is>
          <t>CC de Petite Camargue</t>
        </is>
      </c>
      <c r="B339" s="15" t="inlineStr">
        <is>
          <t>Gard</t>
        </is>
      </c>
      <c r="C339" s="15" t="inlineStr">
        <is>
          <t>30</t>
        </is>
      </c>
      <c r="D339" s="16" t="n">
        <v>28263</v>
      </c>
      <c r="E339" s="17">
        <f>MIN($B$4+$B$5*D339,$B$6)</f>
        <v/>
      </c>
      <c r="F339" s="17">
        <f>$B$7</f>
        <v/>
      </c>
      <c r="G339" s="17">
        <f>E339+F339</f>
        <v/>
      </c>
      <c r="H339" s="17">
        <f>3*E339+F339</f>
        <v/>
      </c>
      <c r="I339" s="15">
        <f>IF(H339&gt;$B$8,"Oui","Non")</f>
        <v/>
      </c>
      <c r="J339" s="18">
        <f>IF(D339&gt;0,E339/D339,"")</f>
        <v/>
      </c>
    </row>
    <row r="340">
      <c r="A340" t="inlineStr">
        <is>
          <t>CC des Cévennes Gangeoises et Suménoises</t>
        </is>
      </c>
      <c r="B340" t="inlineStr">
        <is>
          <t>Gard, Hérault</t>
        </is>
      </c>
      <c r="C340" t="inlineStr">
        <is>
          <t>30, 34</t>
        </is>
      </c>
      <c r="D340" s="3" t="n">
        <v>12727</v>
      </c>
      <c r="E340" s="13">
        <f>MIN($B$4+$B$5*D340,$B$6)</f>
        <v/>
      </c>
      <c r="F340" s="13">
        <f>$B$7</f>
        <v/>
      </c>
      <c r="G340" s="13">
        <f>E340+F340</f>
        <v/>
      </c>
      <c r="H340" s="13">
        <f>3*E340+F340</f>
        <v/>
      </c>
      <c r="I340">
        <f>IF(H340&gt;$B$8,"Oui","Non")</f>
        <v/>
      </c>
      <c r="J340" s="14">
        <f>IF(D340&gt;0,E340/D340,"")</f>
        <v/>
      </c>
    </row>
    <row r="341">
      <c r="A341" s="15" t="inlineStr">
        <is>
          <t>CC du Pays Viganais</t>
        </is>
      </c>
      <c r="B341" s="15" t="inlineStr">
        <is>
          <t>Gard</t>
        </is>
      </c>
      <c r="C341" s="15" t="inlineStr">
        <is>
          <t>30</t>
        </is>
      </c>
      <c r="D341" s="16" t="n">
        <v>10025</v>
      </c>
      <c r="E341" s="17">
        <f>MIN($B$4+$B$5*D341,$B$6)</f>
        <v/>
      </c>
      <c r="F341" s="17">
        <f>$B$7</f>
        <v/>
      </c>
      <c r="G341" s="17">
        <f>E341+F341</f>
        <v/>
      </c>
      <c r="H341" s="17">
        <f>3*E341+F341</f>
        <v/>
      </c>
      <c r="I341" s="15">
        <f>IF(H341&gt;$B$8,"Oui","Non")</f>
        <v/>
      </c>
      <c r="J341" s="18">
        <f>IF(D341&gt;0,E341/D341,"")</f>
        <v/>
      </c>
    </row>
    <row r="342">
      <c r="A342" t="inlineStr">
        <is>
          <t>CC du Pays de Sommières</t>
        </is>
      </c>
      <c r="B342" t="inlineStr">
        <is>
          <t>Gard</t>
        </is>
      </c>
      <c r="C342" t="inlineStr">
        <is>
          <t>30</t>
        </is>
      </c>
      <c r="D342" s="3" t="n">
        <v>24802</v>
      </c>
      <c r="E342" s="13">
        <f>MIN($B$4+$B$5*D342,$B$6)</f>
        <v/>
      </c>
      <c r="F342" s="13">
        <f>$B$7</f>
        <v/>
      </c>
      <c r="G342" s="13">
        <f>E342+F342</f>
        <v/>
      </c>
      <c r="H342" s="13">
        <f>3*E342+F342</f>
        <v/>
      </c>
      <c r="I342">
        <f>IF(H342&gt;$B$8,"Oui","Non")</f>
        <v/>
      </c>
      <c r="J342" s="14">
        <f>IF(D342&gt;0,E342/D342,"")</f>
        <v/>
      </c>
    </row>
    <row r="343">
      <c r="A343" s="15" t="inlineStr">
        <is>
          <t>CC du Piémont Cévenol</t>
        </is>
      </c>
      <c r="B343" s="15" t="inlineStr">
        <is>
          <t>Gard</t>
        </is>
      </c>
      <c r="C343" s="15" t="inlineStr">
        <is>
          <t>30</t>
        </is>
      </c>
      <c r="D343" s="16" t="n">
        <v>22529</v>
      </c>
      <c r="E343" s="17">
        <f>MIN($B$4+$B$5*D343,$B$6)</f>
        <v/>
      </c>
      <c r="F343" s="17">
        <f>$B$7</f>
        <v/>
      </c>
      <c r="G343" s="17">
        <f>E343+F343</f>
        <v/>
      </c>
      <c r="H343" s="17">
        <f>3*E343+F343</f>
        <v/>
      </c>
      <c r="I343" s="15">
        <f>IF(H343&gt;$B$8,"Oui","Non")</f>
        <v/>
      </c>
      <c r="J343" s="18">
        <f>IF(D343&gt;0,E343/D343,"")</f>
        <v/>
      </c>
    </row>
    <row r="344">
      <c r="A344" t="inlineStr">
        <is>
          <t>CC du Pont du Gard</t>
        </is>
      </c>
      <c r="B344" t="inlineStr">
        <is>
          <t>Gard</t>
        </is>
      </c>
      <c r="C344" t="inlineStr">
        <is>
          <t>30</t>
        </is>
      </c>
      <c r="D344" s="3" t="n">
        <v>23624</v>
      </c>
      <c r="E344" s="13">
        <f>MIN($B$4+$B$5*D344,$B$6)</f>
        <v/>
      </c>
      <c r="F344" s="13">
        <f>$B$7</f>
        <v/>
      </c>
      <c r="G344" s="13">
        <f>E344+F344</f>
        <v/>
      </c>
      <c r="H344" s="13">
        <f>3*E344+F344</f>
        <v/>
      </c>
      <c r="I344">
        <f>IF(H344&gt;$B$8,"Oui","Non")</f>
        <v/>
      </c>
      <c r="J344" s="14">
        <f>IF(D344&gt;0,E344/D344,"")</f>
        <v/>
      </c>
    </row>
    <row r="345">
      <c r="A345" s="15" t="inlineStr">
        <is>
          <t>CC Cagire Garonne Salat</t>
        </is>
      </c>
      <c r="B345" s="15" t="inlineStr">
        <is>
          <t>Haute-Garonne</t>
        </is>
      </c>
      <c r="C345" s="15" t="inlineStr">
        <is>
          <t>31</t>
        </is>
      </c>
      <c r="D345" s="16" t="n">
        <v>17807</v>
      </c>
      <c r="E345" s="17">
        <f>MIN($B$4+$B$5*D345,$B$6)</f>
        <v/>
      </c>
      <c r="F345" s="17">
        <f>$B$7</f>
        <v/>
      </c>
      <c r="G345" s="17">
        <f>E345+F345</f>
        <v/>
      </c>
      <c r="H345" s="17">
        <f>3*E345+F345</f>
        <v/>
      </c>
      <c r="I345" s="15">
        <f>IF(H345&gt;$B$8,"Oui","Non")</f>
        <v/>
      </c>
      <c r="J345" s="18">
        <f>IF(D345&gt;0,E345/D345,"")</f>
        <v/>
      </c>
    </row>
    <row r="346">
      <c r="A346" t="inlineStr">
        <is>
          <t>CC Coeur de Garonne</t>
        </is>
      </c>
      <c r="B346" t="inlineStr">
        <is>
          <t>Haute-Garonne</t>
        </is>
      </c>
      <c r="C346" t="inlineStr">
        <is>
          <t>31</t>
        </is>
      </c>
      <c r="D346" s="3" t="n">
        <v>35091</v>
      </c>
      <c r="E346" s="13">
        <f>MIN($B$4+$B$5*D346,$B$6)</f>
        <v/>
      </c>
      <c r="F346" s="13">
        <f>$B$7</f>
        <v/>
      </c>
      <c r="G346" s="13">
        <f>E346+F346</f>
        <v/>
      </c>
      <c r="H346" s="13">
        <f>3*E346+F346</f>
        <v/>
      </c>
      <c r="I346">
        <f>IF(H346&gt;$B$8,"Oui","Non")</f>
        <v/>
      </c>
      <c r="J346" s="14">
        <f>IF(D346&gt;0,E346/D346,"")</f>
        <v/>
      </c>
    </row>
    <row r="347">
      <c r="A347" s="15" t="inlineStr">
        <is>
          <t>CC Coeur et Coteaux du Comminges</t>
        </is>
      </c>
      <c r="B347" s="15" t="inlineStr">
        <is>
          <t>Haute-Garonne</t>
        </is>
      </c>
      <c r="C347" s="15" t="inlineStr">
        <is>
          <t>31</t>
        </is>
      </c>
      <c r="D347" s="16" t="n">
        <v>44243</v>
      </c>
      <c r="E347" s="17">
        <f>MIN($B$4+$B$5*D347,$B$6)</f>
        <v/>
      </c>
      <c r="F347" s="17">
        <f>$B$7</f>
        <v/>
      </c>
      <c r="G347" s="17">
        <f>E347+F347</f>
        <v/>
      </c>
      <c r="H347" s="17">
        <f>3*E347+F347</f>
        <v/>
      </c>
      <c r="I347" s="15">
        <f>IF(H347&gt;$B$8,"Oui","Non")</f>
        <v/>
      </c>
      <c r="J347" s="18">
        <f>IF(D347&gt;0,E347/D347,"")</f>
        <v/>
      </c>
    </row>
    <row r="348">
      <c r="A348" t="inlineStr">
        <is>
          <t>CC Le Grand Ouest Toulousain</t>
        </is>
      </c>
      <c r="B348" t="inlineStr">
        <is>
          <t>Haute-Garonne</t>
        </is>
      </c>
      <c r="C348" t="inlineStr">
        <is>
          <t>31</t>
        </is>
      </c>
      <c r="D348" s="3" t="n">
        <v>49059</v>
      </c>
      <c r="E348" s="13">
        <f>MIN($B$4+$B$5*D348,$B$6)</f>
        <v/>
      </c>
      <c r="F348" s="13">
        <f>$B$7</f>
        <v/>
      </c>
      <c r="G348" s="13">
        <f>E348+F348</f>
        <v/>
      </c>
      <c r="H348" s="13">
        <f>3*E348+F348</f>
        <v/>
      </c>
      <c r="I348">
        <f>IF(H348&gt;$B$8,"Oui","Non")</f>
        <v/>
      </c>
      <c r="J348" s="14">
        <f>IF(D348&gt;0,E348/D348,"")</f>
        <v/>
      </c>
    </row>
    <row r="349">
      <c r="A349" s="15" t="inlineStr">
        <is>
          <t>CC Pyrénées Haut Garonnaises</t>
        </is>
      </c>
      <c r="B349" s="15" t="inlineStr">
        <is>
          <t>Haute-Garonne</t>
        </is>
      </c>
      <c r="C349" s="15" t="inlineStr">
        <is>
          <t>31</t>
        </is>
      </c>
      <c r="D349" s="16" t="n">
        <v>15379</v>
      </c>
      <c r="E349" s="17">
        <f>MIN($B$4+$B$5*D349,$B$6)</f>
        <v/>
      </c>
      <c r="F349" s="17">
        <f>$B$7</f>
        <v/>
      </c>
      <c r="G349" s="17">
        <f>E349+F349</f>
        <v/>
      </c>
      <c r="H349" s="17">
        <f>3*E349+F349</f>
        <v/>
      </c>
      <c r="I349" s="15">
        <f>IF(H349&gt;$B$8,"Oui","Non")</f>
        <v/>
      </c>
      <c r="J349" s="18">
        <f>IF(D349&gt;0,E349/D349,"")</f>
        <v/>
      </c>
    </row>
    <row r="350">
      <c r="A350" t="inlineStr">
        <is>
          <t>CC Tarn-Agout</t>
        </is>
      </c>
      <c r="B350" t="inlineStr">
        <is>
          <t>Haute-Garonne, Tarn</t>
        </is>
      </c>
      <c r="C350" t="inlineStr">
        <is>
          <t>31, 81</t>
        </is>
      </c>
      <c r="D350" s="3" t="n">
        <v>29922</v>
      </c>
      <c r="E350" s="13">
        <f>MIN($B$4+$B$5*D350,$B$6)</f>
        <v/>
      </c>
      <c r="F350" s="13">
        <f>$B$7</f>
        <v/>
      </c>
      <c r="G350" s="13">
        <f>E350+F350</f>
        <v/>
      </c>
      <c r="H350" s="13">
        <f>3*E350+F350</f>
        <v/>
      </c>
      <c r="I350">
        <f>IF(H350&gt;$B$8,"Oui","Non")</f>
        <v/>
      </c>
      <c r="J350" s="14">
        <f>IF(D350&gt;0,E350/D350,"")</f>
        <v/>
      </c>
    </row>
    <row r="351">
      <c r="A351" s="15" t="inlineStr">
        <is>
          <t>CC Val'Aïgo</t>
        </is>
      </c>
      <c r="B351" s="15" t="inlineStr">
        <is>
          <t>Haute-Garonne</t>
        </is>
      </c>
      <c r="C351" s="15" t="inlineStr">
        <is>
          <t>31</t>
        </is>
      </c>
      <c r="D351" s="16" t="n">
        <v>18513</v>
      </c>
      <c r="E351" s="17">
        <f>MIN($B$4+$B$5*D351,$B$6)</f>
        <v/>
      </c>
      <c r="F351" s="17">
        <f>$B$7</f>
        <v/>
      </c>
      <c r="G351" s="17">
        <f>E351+F351</f>
        <v/>
      </c>
      <c r="H351" s="17">
        <f>3*E351+F351</f>
        <v/>
      </c>
      <c r="I351" s="15">
        <f>IF(H351&gt;$B$8,"Oui","Non")</f>
        <v/>
      </c>
      <c r="J351" s="18">
        <f>IF(D351&gt;0,E351/D351,"")</f>
        <v/>
      </c>
    </row>
    <row r="352">
      <c r="A352" t="inlineStr">
        <is>
          <t>CC des Coteaux Bellevue</t>
        </is>
      </c>
      <c r="B352" t="inlineStr">
        <is>
          <t>Haute-Garonne</t>
        </is>
      </c>
      <c r="C352" t="inlineStr">
        <is>
          <t>31</t>
        </is>
      </c>
      <c r="D352" s="3" t="n">
        <v>21371</v>
      </c>
      <c r="E352" s="13">
        <f>MIN($B$4+$B$5*D352,$B$6)</f>
        <v/>
      </c>
      <c r="F352" s="13">
        <f>$B$7</f>
        <v/>
      </c>
      <c r="G352" s="13">
        <f>E352+F352</f>
        <v/>
      </c>
      <c r="H352" s="13">
        <f>3*E352+F352</f>
        <v/>
      </c>
      <c r="I352">
        <f>IF(H352&gt;$B$8,"Oui","Non")</f>
        <v/>
      </c>
      <c r="J352" s="14">
        <f>IF(D352&gt;0,E352/D352,"")</f>
        <v/>
      </c>
    </row>
    <row r="353">
      <c r="A353" s="15" t="inlineStr">
        <is>
          <t>CC des Coteaux du Girou</t>
        </is>
      </c>
      <c r="B353" s="15" t="inlineStr">
        <is>
          <t>Haute-Garonne</t>
        </is>
      </c>
      <c r="C353" s="15" t="inlineStr">
        <is>
          <t>31</t>
        </is>
      </c>
      <c r="D353" s="16" t="n">
        <v>23257</v>
      </c>
      <c r="E353" s="17">
        <f>MIN($B$4+$B$5*D353,$B$6)</f>
        <v/>
      </c>
      <c r="F353" s="17">
        <f>$B$7</f>
        <v/>
      </c>
      <c r="G353" s="17">
        <f>E353+F353</f>
        <v/>
      </c>
      <c r="H353" s="17">
        <f>3*E353+F353</f>
        <v/>
      </c>
      <c r="I353" s="15">
        <f>IF(H353&gt;$B$8,"Oui","Non")</f>
        <v/>
      </c>
      <c r="J353" s="18">
        <f>IF(D353&gt;0,E353/D353,"")</f>
        <v/>
      </c>
    </row>
    <row r="354">
      <c r="A354" t="inlineStr">
        <is>
          <t>CC des Hauts-Tolosans</t>
        </is>
      </c>
      <c r="B354" t="inlineStr">
        <is>
          <t>Haute-Garonne</t>
        </is>
      </c>
      <c r="C354" t="inlineStr">
        <is>
          <t>31</t>
        </is>
      </c>
      <c r="D354" s="3" t="n">
        <v>35996</v>
      </c>
      <c r="E354" s="13">
        <f>MIN($B$4+$B$5*D354,$B$6)</f>
        <v/>
      </c>
      <c r="F354" s="13">
        <f>$B$7</f>
        <v/>
      </c>
      <c r="G354" s="13">
        <f>E354+F354</f>
        <v/>
      </c>
      <c r="H354" s="13">
        <f>3*E354+F354</f>
        <v/>
      </c>
      <c r="I354">
        <f>IF(H354&gt;$B$8,"Oui","Non")</f>
        <v/>
      </c>
      <c r="J354" s="14">
        <f>IF(D354&gt;0,E354/D354,"")</f>
        <v/>
      </c>
    </row>
    <row r="355">
      <c r="A355" s="15" t="inlineStr">
        <is>
          <t>CC des Terres du Lauragais</t>
        </is>
      </c>
      <c r="B355" s="15" t="inlineStr">
        <is>
          <t>Haute-Garonne</t>
        </is>
      </c>
      <c r="C355" s="15" t="inlineStr">
        <is>
          <t>31</t>
        </is>
      </c>
      <c r="D355" s="16" t="n">
        <v>42195</v>
      </c>
      <c r="E355" s="17">
        <f>MIN($B$4+$B$5*D355,$B$6)</f>
        <v/>
      </c>
      <c r="F355" s="17">
        <f>$B$7</f>
        <v/>
      </c>
      <c r="G355" s="17">
        <f>E355+F355</f>
        <v/>
      </c>
      <c r="H355" s="17">
        <f>3*E355+F355</f>
        <v/>
      </c>
      <c r="I355" s="15">
        <f>IF(H355&gt;$B$8,"Oui","Non")</f>
        <v/>
      </c>
      <c r="J355" s="18">
        <f>IF(D355&gt;0,E355/D355,"")</f>
        <v/>
      </c>
    </row>
    <row r="356">
      <c r="A356" t="inlineStr">
        <is>
          <t>CC du Bassin Auterivain Haut-Garonnais</t>
        </is>
      </c>
      <c r="B356" t="inlineStr">
        <is>
          <t>Haute-Garonne</t>
        </is>
      </c>
      <c r="C356" t="inlineStr">
        <is>
          <t>31</t>
        </is>
      </c>
      <c r="D356" s="3" t="n">
        <v>34207</v>
      </c>
      <c r="E356" s="13">
        <f>MIN($B$4+$B$5*D356,$B$6)</f>
        <v/>
      </c>
      <c r="F356" s="13">
        <f>$B$7</f>
        <v/>
      </c>
      <c r="G356" s="13">
        <f>E356+F356</f>
        <v/>
      </c>
      <c r="H356" s="13">
        <f>3*E356+F356</f>
        <v/>
      </c>
      <c r="I356">
        <f>IF(H356&gt;$B$8,"Oui","Non")</f>
        <v/>
      </c>
      <c r="J356" s="14">
        <f>IF(D356&gt;0,E356/D356,"")</f>
        <v/>
      </c>
    </row>
    <row r="357">
      <c r="A357" s="15" t="inlineStr">
        <is>
          <t>CC du Frontonnais</t>
        </is>
      </c>
      <c r="B357" s="15" t="inlineStr">
        <is>
          <t>Haute-Garonne</t>
        </is>
      </c>
      <c r="C357" s="15" t="inlineStr">
        <is>
          <t>31</t>
        </is>
      </c>
      <c r="D357" s="16" t="n">
        <v>28757</v>
      </c>
      <c r="E357" s="17">
        <f>MIN($B$4+$B$5*D357,$B$6)</f>
        <v/>
      </c>
      <c r="F357" s="17">
        <f>$B$7</f>
        <v/>
      </c>
      <c r="G357" s="17">
        <f>E357+F357</f>
        <v/>
      </c>
      <c r="H357" s="17">
        <f>3*E357+F357</f>
        <v/>
      </c>
      <c r="I357" s="15">
        <f>IF(H357&gt;$B$8,"Oui","Non")</f>
        <v/>
      </c>
      <c r="J357" s="18">
        <f>IF(D357&gt;0,E357/D357,"")</f>
        <v/>
      </c>
    </row>
    <row r="358">
      <c r="A358" t="inlineStr">
        <is>
          <t>CC du Volvestre</t>
        </is>
      </c>
      <c r="B358" t="inlineStr">
        <is>
          <t>Haute-Garonne</t>
        </is>
      </c>
      <c r="C358" t="inlineStr">
        <is>
          <t>31</t>
        </is>
      </c>
      <c r="D358" s="3" t="n">
        <v>30806</v>
      </c>
      <c r="E358" s="13">
        <f>MIN($B$4+$B$5*D358,$B$6)</f>
        <v/>
      </c>
      <c r="F358" s="13">
        <f>$B$7</f>
        <v/>
      </c>
      <c r="G358" s="13">
        <f>E358+F358</f>
        <v/>
      </c>
      <c r="H358" s="13">
        <f>3*E358+F358</f>
        <v/>
      </c>
      <c r="I358">
        <f>IF(H358&gt;$B$8,"Oui","Non")</f>
        <v/>
      </c>
      <c r="J358" s="14">
        <f>IF(D358&gt;0,E358/D358,"")</f>
        <v/>
      </c>
    </row>
    <row r="359">
      <c r="A359" s="15" t="inlineStr">
        <is>
          <t>CC Armagnac Adour</t>
        </is>
      </c>
      <c r="B359" s="15" t="inlineStr">
        <is>
          <t>Gers</t>
        </is>
      </c>
      <c r="C359" s="15" t="inlineStr">
        <is>
          <t>32</t>
        </is>
      </c>
      <c r="D359" s="16" t="n">
        <v>6568</v>
      </c>
      <c r="E359" s="17">
        <f>MIN($B$4+$B$5*D359,$B$6)</f>
        <v/>
      </c>
      <c r="F359" s="17">
        <f>$B$7</f>
        <v/>
      </c>
      <c r="G359" s="17">
        <f>E359+F359</f>
        <v/>
      </c>
      <c r="H359" s="17">
        <f>3*E359+F359</f>
        <v/>
      </c>
      <c r="I359" s="15">
        <f>IF(H359&gt;$B$8,"Oui","Non")</f>
        <v/>
      </c>
      <c r="J359" s="18">
        <f>IF(D359&gt;0,E359/D359,"")</f>
        <v/>
      </c>
    </row>
    <row r="360">
      <c r="A360" t="inlineStr">
        <is>
          <t>CC Artagnan de Fezensac</t>
        </is>
      </c>
      <c r="B360" t="inlineStr">
        <is>
          <t>Gers</t>
        </is>
      </c>
      <c r="C360" t="inlineStr">
        <is>
          <t>32</t>
        </is>
      </c>
      <c r="D360" s="3" t="n">
        <v>6953</v>
      </c>
      <c r="E360" s="13">
        <f>MIN($B$4+$B$5*D360,$B$6)</f>
        <v/>
      </c>
      <c r="F360" s="13">
        <f>$B$7</f>
        <v/>
      </c>
      <c r="G360" s="13">
        <f>E360+F360</f>
        <v/>
      </c>
      <c r="H360" s="13">
        <f>3*E360+F360</f>
        <v/>
      </c>
      <c r="I360">
        <f>IF(H360&gt;$B$8,"Oui","Non")</f>
        <v/>
      </c>
      <c r="J360" s="14">
        <f>IF(D360&gt;0,E360/D360,"")</f>
        <v/>
      </c>
    </row>
    <row r="361">
      <c r="A361" s="15" t="inlineStr">
        <is>
          <t>CC Astarac Arros en Gascogne</t>
        </is>
      </c>
      <c r="B361" s="15" t="inlineStr">
        <is>
          <t>Gers</t>
        </is>
      </c>
      <c r="C361" s="15" t="inlineStr">
        <is>
          <t>32</t>
        </is>
      </c>
      <c r="D361" s="16" t="n">
        <v>7171</v>
      </c>
      <c r="E361" s="17">
        <f>MIN($B$4+$B$5*D361,$B$6)</f>
        <v/>
      </c>
      <c r="F361" s="17">
        <f>$B$7</f>
        <v/>
      </c>
      <c r="G361" s="17">
        <f>E361+F361</f>
        <v/>
      </c>
      <c r="H361" s="17">
        <f>3*E361+F361</f>
        <v/>
      </c>
      <c r="I361" s="15">
        <f>IF(H361&gt;$B$8,"Oui","Non")</f>
        <v/>
      </c>
      <c r="J361" s="18">
        <f>IF(D361&gt;0,E361/D361,"")</f>
        <v/>
      </c>
    </row>
    <row r="362">
      <c r="A362" t="inlineStr">
        <is>
          <t>CC Bastides de Lomagne</t>
        </is>
      </c>
      <c r="B362" t="inlineStr">
        <is>
          <t>Gers</t>
        </is>
      </c>
      <c r="C362" t="inlineStr">
        <is>
          <t>32</t>
        </is>
      </c>
      <c r="D362" s="3" t="n">
        <v>11318</v>
      </c>
      <c r="E362" s="13">
        <f>MIN($B$4+$B$5*D362,$B$6)</f>
        <v/>
      </c>
      <c r="F362" s="13">
        <f>$B$7</f>
        <v/>
      </c>
      <c r="G362" s="13">
        <f>E362+F362</f>
        <v/>
      </c>
      <c r="H362" s="13">
        <f>3*E362+F362</f>
        <v/>
      </c>
      <c r="I362">
        <f>IF(H362&gt;$B$8,"Oui","Non")</f>
        <v/>
      </c>
      <c r="J362" s="14">
        <f>IF(D362&gt;0,E362/D362,"")</f>
        <v/>
      </c>
    </row>
    <row r="363">
      <c r="A363" s="15" t="inlineStr">
        <is>
          <t>CC Bastides et Vallons du Gers</t>
        </is>
      </c>
      <c r="B363" s="15" t="inlineStr">
        <is>
          <t>Gers</t>
        </is>
      </c>
      <c r="C363" s="15" t="inlineStr">
        <is>
          <t>32</t>
        </is>
      </c>
      <c r="D363" s="16" t="n">
        <v>6969</v>
      </c>
      <c r="E363" s="17">
        <f>MIN($B$4+$B$5*D363,$B$6)</f>
        <v/>
      </c>
      <c r="F363" s="17">
        <f>$B$7</f>
        <v/>
      </c>
      <c r="G363" s="17">
        <f>E363+F363</f>
        <v/>
      </c>
      <c r="H363" s="17">
        <f>3*E363+F363</f>
        <v/>
      </c>
      <c r="I363" s="15">
        <f>IF(H363&gt;$B$8,"Oui","Non")</f>
        <v/>
      </c>
      <c r="J363" s="18">
        <f>IF(D363&gt;0,E363/D363,"")</f>
        <v/>
      </c>
    </row>
    <row r="364">
      <c r="A364" t="inlineStr">
        <is>
          <t>CC Coeur d'Astarac en Gascogne</t>
        </is>
      </c>
      <c r="B364" t="inlineStr">
        <is>
          <t>Gers</t>
        </is>
      </c>
      <c r="C364" t="inlineStr">
        <is>
          <t>32</t>
        </is>
      </c>
      <c r="D364" s="3" t="n">
        <v>7720</v>
      </c>
      <c r="E364" s="13">
        <f>MIN($B$4+$B$5*D364,$B$6)</f>
        <v/>
      </c>
      <c r="F364" s="13">
        <f>$B$7</f>
        <v/>
      </c>
      <c r="G364" s="13">
        <f>E364+F364</f>
        <v/>
      </c>
      <c r="H364" s="13">
        <f>3*E364+F364</f>
        <v/>
      </c>
      <c r="I364">
        <f>IF(H364&gt;$B$8,"Oui","Non")</f>
        <v/>
      </c>
      <c r="J364" s="14">
        <f>IF(D364&gt;0,E364/D364,"")</f>
        <v/>
      </c>
    </row>
    <row r="365">
      <c r="A365" s="15" t="inlineStr">
        <is>
          <t>CC Val de Gers</t>
        </is>
      </c>
      <c r="B365" s="15" t="inlineStr">
        <is>
          <t>Gers</t>
        </is>
      </c>
      <c r="C365" s="15" t="inlineStr">
        <is>
          <t>32</t>
        </is>
      </c>
      <c r="D365" s="16" t="n">
        <v>9783</v>
      </c>
      <c r="E365" s="17">
        <f>MIN($B$4+$B$5*D365,$B$6)</f>
        <v/>
      </c>
      <c r="F365" s="17">
        <f>$B$7</f>
        <v/>
      </c>
      <c r="G365" s="17">
        <f>E365+F365</f>
        <v/>
      </c>
      <c r="H365" s="17">
        <f>3*E365+F365</f>
        <v/>
      </c>
      <c r="I365" s="15">
        <f>IF(H365&gt;$B$8,"Oui","Non")</f>
        <v/>
      </c>
      <c r="J365" s="18">
        <f>IF(D365&gt;0,E365/D365,"")</f>
        <v/>
      </c>
    </row>
    <row r="366">
      <c r="A366" t="inlineStr">
        <is>
          <t>CC d'Aire-sur-l'Adour</t>
        </is>
      </c>
      <c r="B366" t="inlineStr">
        <is>
          <t>Gers, Landes</t>
        </is>
      </c>
      <c r="C366" t="inlineStr">
        <is>
          <t>32, 40</t>
        </is>
      </c>
      <c r="D366" s="3" t="n">
        <v>12922</v>
      </c>
      <c r="E366" s="13">
        <f>MIN($B$4+$B$5*D366,$B$6)</f>
        <v/>
      </c>
      <c r="F366" s="13">
        <f>$B$7</f>
        <v/>
      </c>
      <c r="G366" s="13">
        <f>E366+F366</f>
        <v/>
      </c>
      <c r="H366" s="13">
        <f>3*E366+F366</f>
        <v/>
      </c>
      <c r="I366">
        <f>IF(H366&gt;$B$8,"Oui","Non")</f>
        <v/>
      </c>
      <c r="J366" s="14">
        <f>IF(D366&gt;0,E366/D366,"")</f>
        <v/>
      </c>
    </row>
    <row r="367">
      <c r="A367" s="15" t="inlineStr">
        <is>
          <t>CC de la Gascogne Toulousaine</t>
        </is>
      </c>
      <c r="B367" s="15" t="inlineStr">
        <is>
          <t>Gers</t>
        </is>
      </c>
      <c r="C367" s="15" t="inlineStr">
        <is>
          <t>32</t>
        </is>
      </c>
      <c r="D367" s="16" t="n">
        <v>17060</v>
      </c>
      <c r="E367" s="17">
        <f>MIN($B$4+$B$5*D367,$B$6)</f>
        <v/>
      </c>
      <c r="F367" s="17">
        <f>$B$7</f>
        <v/>
      </c>
      <c r="G367" s="17">
        <f>E367+F367</f>
        <v/>
      </c>
      <c r="H367" s="17">
        <f>3*E367+F367</f>
        <v/>
      </c>
      <c r="I367" s="15">
        <f>IF(H367&gt;$B$8,"Oui","Non")</f>
        <v/>
      </c>
      <c r="J367" s="18">
        <f>IF(D367&gt;0,E367/D367,"")</f>
        <v/>
      </c>
    </row>
    <row r="368">
      <c r="A368" t="inlineStr">
        <is>
          <t>CC de la Lomagne Gersoise</t>
        </is>
      </c>
      <c r="B368" t="inlineStr">
        <is>
          <t>Gers</t>
        </is>
      </c>
      <c r="C368" t="inlineStr">
        <is>
          <t>32</t>
        </is>
      </c>
      <c r="D368" s="3" t="n">
        <v>19309</v>
      </c>
      <c r="E368" s="13">
        <f>MIN($B$4+$B$5*D368,$B$6)</f>
        <v/>
      </c>
      <c r="F368" s="13">
        <f>$B$7</f>
        <v/>
      </c>
      <c r="G368" s="13">
        <f>E368+F368</f>
        <v/>
      </c>
      <c r="H368" s="13">
        <f>3*E368+F368</f>
        <v/>
      </c>
      <c r="I368">
        <f>IF(H368&gt;$B$8,"Oui","Non")</f>
        <v/>
      </c>
      <c r="J368" s="14">
        <f>IF(D368&gt;0,E368/D368,"")</f>
        <v/>
      </c>
    </row>
    <row r="369">
      <c r="A369" s="15" t="inlineStr">
        <is>
          <t>CC de la Tenarèze</t>
        </is>
      </c>
      <c r="B369" s="15" t="inlineStr">
        <is>
          <t>Gers</t>
        </is>
      </c>
      <c r="C369" s="15" t="inlineStr">
        <is>
          <t>32</t>
        </is>
      </c>
      <c r="D369" s="16" t="n">
        <v>14327</v>
      </c>
      <c r="E369" s="17">
        <f>MIN($B$4+$B$5*D369,$B$6)</f>
        <v/>
      </c>
      <c r="F369" s="17">
        <f>$B$7</f>
        <v/>
      </c>
      <c r="G369" s="17">
        <f>E369+F369</f>
        <v/>
      </c>
      <c r="H369" s="17">
        <f>3*E369+F369</f>
        <v/>
      </c>
      <c r="I369" s="15">
        <f>IF(H369&gt;$B$8,"Oui","Non")</f>
        <v/>
      </c>
      <c r="J369" s="18">
        <f>IF(D369&gt;0,E369/D369,"")</f>
        <v/>
      </c>
    </row>
    <row r="370">
      <c r="A370" t="inlineStr">
        <is>
          <t>CC des Coteaux Arrats Gimone</t>
        </is>
      </c>
      <c r="B370" t="inlineStr">
        <is>
          <t>Gers</t>
        </is>
      </c>
      <c r="C370" t="inlineStr">
        <is>
          <t>32</t>
        </is>
      </c>
      <c r="D370" s="3" t="n">
        <v>10784</v>
      </c>
      <c r="E370" s="13">
        <f>MIN($B$4+$B$5*D370,$B$6)</f>
        <v/>
      </c>
      <c r="F370" s="13">
        <f>$B$7</f>
        <v/>
      </c>
      <c r="G370" s="13">
        <f>E370+F370</f>
        <v/>
      </c>
      <c r="H370" s="13">
        <f>3*E370+F370</f>
        <v/>
      </c>
      <c r="I370">
        <f>IF(H370&gt;$B$8,"Oui","Non")</f>
        <v/>
      </c>
      <c r="J370" s="14">
        <f>IF(D370&gt;0,E370/D370,"")</f>
        <v/>
      </c>
    </row>
    <row r="371">
      <c r="A371" s="15" t="inlineStr">
        <is>
          <t>CC des Deux Rives</t>
        </is>
      </c>
      <c r="B371" s="15" t="inlineStr">
        <is>
          <t>Gers, Lot-et-Garonne, Tarn-et-Garonne</t>
        </is>
      </c>
      <c r="C371" s="15" t="inlineStr">
        <is>
          <t>32, 47, 82</t>
        </is>
      </c>
      <c r="D371" s="16" t="n">
        <v>19013</v>
      </c>
      <c r="E371" s="17">
        <f>MIN($B$4+$B$5*D371,$B$6)</f>
        <v/>
      </c>
      <c r="F371" s="17">
        <f>$B$7</f>
        <v/>
      </c>
      <c r="G371" s="17">
        <f>E371+F371</f>
        <v/>
      </c>
      <c r="H371" s="17">
        <f>3*E371+F371</f>
        <v/>
      </c>
      <c r="I371" s="15">
        <f>IF(H371&gt;$B$8,"Oui","Non")</f>
        <v/>
      </c>
      <c r="J371" s="18">
        <f>IF(D371&gt;0,E371/D371,"")</f>
        <v/>
      </c>
    </row>
    <row r="372">
      <c r="A372" t="inlineStr">
        <is>
          <t>CC du Bas Armagnac</t>
        </is>
      </c>
      <c r="B372" t="inlineStr">
        <is>
          <t>Gers</t>
        </is>
      </c>
      <c r="C372" t="inlineStr">
        <is>
          <t>32</t>
        </is>
      </c>
      <c r="D372" s="3" t="n">
        <v>8714</v>
      </c>
      <c r="E372" s="13">
        <f>MIN($B$4+$B$5*D372,$B$6)</f>
        <v/>
      </c>
      <c r="F372" s="13">
        <f>$B$7</f>
        <v/>
      </c>
      <c r="G372" s="13">
        <f>E372+F372</f>
        <v/>
      </c>
      <c r="H372" s="13">
        <f>3*E372+F372</f>
        <v/>
      </c>
      <c r="I372">
        <f>IF(H372&gt;$B$8,"Oui","Non")</f>
        <v/>
      </c>
      <c r="J372" s="14">
        <f>IF(D372&gt;0,E372/D372,"")</f>
        <v/>
      </c>
    </row>
    <row r="373">
      <c r="A373" s="15" t="inlineStr">
        <is>
          <t>CC du Grand Armagnac</t>
        </is>
      </c>
      <c r="B373" s="15" t="inlineStr">
        <is>
          <t>Gers</t>
        </is>
      </c>
      <c r="C373" s="15" t="inlineStr">
        <is>
          <t>32</t>
        </is>
      </c>
      <c r="D373" s="16" t="n">
        <v>13441</v>
      </c>
      <c r="E373" s="17">
        <f>MIN($B$4+$B$5*D373,$B$6)</f>
        <v/>
      </c>
      <c r="F373" s="17">
        <f>$B$7</f>
        <v/>
      </c>
      <c r="G373" s="17">
        <f>E373+F373</f>
        <v/>
      </c>
      <c r="H373" s="17">
        <f>3*E373+F373</f>
        <v/>
      </c>
      <c r="I373" s="15">
        <f>IF(H373&gt;$B$8,"Oui","Non")</f>
        <v/>
      </c>
      <c r="J373" s="18">
        <f>IF(D373&gt;0,E373/D373,"")</f>
        <v/>
      </c>
    </row>
    <row r="374">
      <c r="A374" t="inlineStr">
        <is>
          <t>CC du Saves</t>
        </is>
      </c>
      <c r="B374" t="inlineStr">
        <is>
          <t>Gers</t>
        </is>
      </c>
      <c r="C374" t="inlineStr">
        <is>
          <t>32</t>
        </is>
      </c>
      <c r="D374" s="3" t="n">
        <v>9849</v>
      </c>
      <c r="E374" s="13">
        <f>MIN($B$4+$B$5*D374,$B$6)</f>
        <v/>
      </c>
      <c r="F374" s="13">
        <f>$B$7</f>
        <v/>
      </c>
      <c r="G374" s="13">
        <f>E374+F374</f>
        <v/>
      </c>
      <c r="H374" s="13">
        <f>3*E374+F374</f>
        <v/>
      </c>
      <c r="I374">
        <f>IF(H374&gt;$B$8,"Oui","Non")</f>
        <v/>
      </c>
      <c r="J374" s="14">
        <f>IF(D374&gt;0,E374/D374,"")</f>
        <v/>
      </c>
    </row>
    <row r="375">
      <c r="A375" s="15" t="inlineStr">
        <is>
          <t>CC Convergence Garonne</t>
        </is>
      </c>
      <c r="B375" s="15" t="inlineStr">
        <is>
          <t>Gironde</t>
        </is>
      </c>
      <c r="C375" s="15" t="inlineStr">
        <is>
          <t>33</t>
        </is>
      </c>
      <c r="D375" s="16" t="n">
        <v>32781</v>
      </c>
      <c r="E375" s="17">
        <f>MIN($B$4+$B$5*D375,$B$6)</f>
        <v/>
      </c>
      <c r="F375" s="17">
        <f>$B$7</f>
        <v/>
      </c>
      <c r="G375" s="17">
        <f>E375+F375</f>
        <v/>
      </c>
      <c r="H375" s="17">
        <f>3*E375+F375</f>
        <v/>
      </c>
      <c r="I375" s="15">
        <f>IF(H375&gt;$B$8,"Oui","Non")</f>
        <v/>
      </c>
      <c r="J375" s="18">
        <f>IF(D375&gt;0,E375/D375,"")</f>
        <v/>
      </c>
    </row>
    <row r="376">
      <c r="A376" t="inlineStr">
        <is>
          <t>CC Jalle-Eau-Bourde</t>
        </is>
      </c>
      <c r="B376" t="inlineStr">
        <is>
          <t>Gironde</t>
        </is>
      </c>
      <c r="C376" t="inlineStr">
        <is>
          <t>33</t>
        </is>
      </c>
      <c r="D376" s="3" t="n">
        <v>32295</v>
      </c>
      <c r="E376" s="13">
        <f>MIN($B$4+$B$5*D376,$B$6)</f>
        <v/>
      </c>
      <c r="F376" s="13">
        <f>$B$7</f>
        <v/>
      </c>
      <c r="G376" s="13">
        <f>E376+F376</f>
        <v/>
      </c>
      <c r="H376" s="13">
        <f>3*E376+F376</f>
        <v/>
      </c>
      <c r="I376">
        <f>IF(H376&gt;$B$8,"Oui","Non")</f>
        <v/>
      </c>
      <c r="J376" s="14">
        <f>IF(D376&gt;0,E376/D376,"")</f>
        <v/>
      </c>
    </row>
    <row r="377">
      <c r="A377" s="15" t="inlineStr">
        <is>
          <t>CC Latitude Nord Gironde</t>
        </is>
      </c>
      <c r="B377" s="15" t="inlineStr">
        <is>
          <t>Gironde</t>
        </is>
      </c>
      <c r="C377" s="15" t="inlineStr">
        <is>
          <t>33</t>
        </is>
      </c>
      <c r="D377" s="16" t="n">
        <v>21630</v>
      </c>
      <c r="E377" s="17">
        <f>MIN($B$4+$B$5*D377,$B$6)</f>
        <v/>
      </c>
      <c r="F377" s="17">
        <f>$B$7</f>
        <v/>
      </c>
      <c r="G377" s="17">
        <f>E377+F377</f>
        <v/>
      </c>
      <c r="H377" s="17">
        <f>3*E377+F377</f>
        <v/>
      </c>
      <c r="I377" s="15">
        <f>IF(H377&gt;$B$8,"Oui","Non")</f>
        <v/>
      </c>
      <c r="J377" s="18">
        <f>IF(D377&gt;0,E377/D377,"")</f>
        <v/>
      </c>
    </row>
    <row r="378">
      <c r="A378" t="inlineStr">
        <is>
          <t>CC Les Rives de la Laurence</t>
        </is>
      </c>
      <c r="B378" t="inlineStr">
        <is>
          <t>Gironde</t>
        </is>
      </c>
      <c r="C378" t="inlineStr">
        <is>
          <t>33</t>
        </is>
      </c>
      <c r="D378" s="3" t="n">
        <v>28873</v>
      </c>
      <c r="E378" s="13">
        <f>MIN($B$4+$B$5*D378,$B$6)</f>
        <v/>
      </c>
      <c r="F378" s="13">
        <f>$B$7</f>
        <v/>
      </c>
      <c r="G378" s="13">
        <f>E378+F378</f>
        <v/>
      </c>
      <c r="H378" s="13">
        <f>3*E378+F378</f>
        <v/>
      </c>
      <c r="I378">
        <f>IF(H378&gt;$B$8,"Oui","Non")</f>
        <v/>
      </c>
      <c r="J378" s="14">
        <f>IF(D378&gt;0,E378/D378,"")</f>
        <v/>
      </c>
    </row>
    <row r="379">
      <c r="A379" s="15" t="inlineStr">
        <is>
          <t>CC Médoc Atlantique</t>
        </is>
      </c>
      <c r="B379" s="15" t="inlineStr">
        <is>
          <t>Gironde</t>
        </is>
      </c>
      <c r="C379" s="15" t="inlineStr">
        <is>
          <t>33</t>
        </is>
      </c>
      <c r="D379" s="16" t="n">
        <v>28306</v>
      </c>
      <c r="E379" s="17">
        <f>MIN($B$4+$B$5*D379,$B$6)</f>
        <v/>
      </c>
      <c r="F379" s="17">
        <f>$B$7</f>
        <v/>
      </c>
      <c r="G379" s="17">
        <f>E379+F379</f>
        <v/>
      </c>
      <c r="H379" s="17">
        <f>3*E379+F379</f>
        <v/>
      </c>
      <c r="I379" s="15">
        <f>IF(H379&gt;$B$8,"Oui","Non")</f>
        <v/>
      </c>
      <c r="J379" s="18">
        <f>IF(D379&gt;0,E379/D379,"")</f>
        <v/>
      </c>
    </row>
    <row r="380">
      <c r="A380" t="inlineStr">
        <is>
          <t>CC Médoc Coeur de Presqu'île</t>
        </is>
      </c>
      <c r="B380" t="inlineStr">
        <is>
          <t>Gironde</t>
        </is>
      </c>
      <c r="C380" t="inlineStr">
        <is>
          <t>33</t>
        </is>
      </c>
      <c r="D380" s="3" t="n">
        <v>30896</v>
      </c>
      <c r="E380" s="13">
        <f>MIN($B$4+$B$5*D380,$B$6)</f>
        <v/>
      </c>
      <c r="F380" s="13">
        <f>$B$7</f>
        <v/>
      </c>
      <c r="G380" s="13">
        <f>E380+F380</f>
        <v/>
      </c>
      <c r="H380" s="13">
        <f>3*E380+F380</f>
        <v/>
      </c>
      <c r="I380">
        <f>IF(H380&gt;$B$8,"Oui","Non")</f>
        <v/>
      </c>
      <c r="J380" s="14">
        <f>IF(D380&gt;0,E380/D380,"")</f>
        <v/>
      </c>
    </row>
    <row r="381">
      <c r="A381" s="15" t="inlineStr">
        <is>
          <t>CC Médoc Estuaire</t>
        </is>
      </c>
      <c r="B381" s="15" t="inlineStr">
        <is>
          <t>Gironde</t>
        </is>
      </c>
      <c r="C381" s="15" t="inlineStr">
        <is>
          <t>33</t>
        </is>
      </c>
      <c r="D381" s="16" t="n">
        <v>30654</v>
      </c>
      <c r="E381" s="17">
        <f>MIN($B$4+$B$5*D381,$B$6)</f>
        <v/>
      </c>
      <c r="F381" s="17">
        <f>$B$7</f>
        <v/>
      </c>
      <c r="G381" s="17">
        <f>E381+F381</f>
        <v/>
      </c>
      <c r="H381" s="17">
        <f>3*E381+F381</f>
        <v/>
      </c>
      <c r="I381" s="15">
        <f>IF(H381&gt;$B$8,"Oui","Non")</f>
        <v/>
      </c>
      <c r="J381" s="18">
        <f>IF(D381&gt;0,E381/D381,"")</f>
        <v/>
      </c>
    </row>
    <row r="382">
      <c r="A382" t="inlineStr">
        <is>
          <t>CC Médullienne</t>
        </is>
      </c>
      <c r="B382" t="inlineStr">
        <is>
          <t>Gironde</t>
        </is>
      </c>
      <c r="C382" t="inlineStr">
        <is>
          <t>33</t>
        </is>
      </c>
      <c r="D382" s="3" t="n">
        <v>22484</v>
      </c>
      <c r="E382" s="13">
        <f>MIN($B$4+$B$5*D382,$B$6)</f>
        <v/>
      </c>
      <c r="F382" s="13">
        <f>$B$7</f>
        <v/>
      </c>
      <c r="G382" s="13">
        <f>E382+F382</f>
        <v/>
      </c>
      <c r="H382" s="13">
        <f>3*E382+F382</f>
        <v/>
      </c>
      <c r="I382">
        <f>IF(H382&gt;$B$8,"Oui","Non")</f>
        <v/>
      </c>
      <c r="J382" s="14">
        <f>IF(D382&gt;0,E382/D382,"")</f>
        <v/>
      </c>
    </row>
    <row r="383">
      <c r="A383" s="15" t="inlineStr">
        <is>
          <t>CC Rurales de l'Entre-Deux-Mers</t>
        </is>
      </c>
      <c r="B383" s="15" t="inlineStr">
        <is>
          <t>Gironde</t>
        </is>
      </c>
      <c r="C383" s="15" t="inlineStr">
        <is>
          <t>33</t>
        </is>
      </c>
      <c r="D383" s="16" t="n">
        <v>16615</v>
      </c>
      <c r="E383" s="17">
        <f>MIN($B$4+$B$5*D383,$B$6)</f>
        <v/>
      </c>
      <c r="F383" s="17">
        <f>$B$7</f>
        <v/>
      </c>
      <c r="G383" s="17">
        <f>E383+F383</f>
        <v/>
      </c>
      <c r="H383" s="17">
        <f>3*E383+F383</f>
        <v/>
      </c>
      <c r="I383" s="15">
        <f>IF(H383&gt;$B$8,"Oui","Non")</f>
        <v/>
      </c>
      <c r="J383" s="18">
        <f>IF(D383&gt;0,E383/D383,"")</f>
        <v/>
      </c>
    </row>
    <row r="384">
      <c r="A384" t="inlineStr">
        <is>
          <t>CC de Blaye</t>
        </is>
      </c>
      <c r="B384" t="inlineStr">
        <is>
          <t>Gironde</t>
        </is>
      </c>
      <c r="C384" t="inlineStr">
        <is>
          <t>33</t>
        </is>
      </c>
      <c r="D384" s="3" t="n">
        <v>20458</v>
      </c>
      <c r="E384" s="13">
        <f>MIN($B$4+$B$5*D384,$B$6)</f>
        <v/>
      </c>
      <c r="F384" s="13">
        <f>$B$7</f>
        <v/>
      </c>
      <c r="G384" s="13">
        <f>E384+F384</f>
        <v/>
      </c>
      <c r="H384" s="13">
        <f>3*E384+F384</f>
        <v/>
      </c>
      <c r="I384">
        <f>IF(H384&gt;$B$8,"Oui","Non")</f>
        <v/>
      </c>
      <c r="J384" s="14">
        <f>IF(D384&gt;0,E384/D384,"")</f>
        <v/>
      </c>
    </row>
    <row r="385">
      <c r="A385" s="15" t="inlineStr">
        <is>
          <t>CC de Montesquieu</t>
        </is>
      </c>
      <c r="B385" s="15" t="inlineStr">
        <is>
          <t>Gironde</t>
        </is>
      </c>
      <c r="C385" s="15" t="inlineStr">
        <is>
          <t>33</t>
        </is>
      </c>
      <c r="D385" s="16" t="n">
        <v>47276</v>
      </c>
      <c r="E385" s="17">
        <f>MIN($B$4+$B$5*D385,$B$6)</f>
        <v/>
      </c>
      <c r="F385" s="17">
        <f>$B$7</f>
        <v/>
      </c>
      <c r="G385" s="17">
        <f>E385+F385</f>
        <v/>
      </c>
      <c r="H385" s="17">
        <f>3*E385+F385</f>
        <v/>
      </c>
      <c r="I385" s="15">
        <f>IF(H385&gt;$B$8,"Oui","Non")</f>
        <v/>
      </c>
      <c r="J385" s="18">
        <f>IF(D385&gt;0,E385/D385,"")</f>
        <v/>
      </c>
    </row>
    <row r="386">
      <c r="A386" t="inlineStr">
        <is>
          <t>CC de l'Estuaire</t>
        </is>
      </c>
      <c r="B386" t="inlineStr">
        <is>
          <t>Gironde</t>
        </is>
      </c>
      <c r="C386" t="inlineStr">
        <is>
          <t>33</t>
        </is>
      </c>
      <c r="D386" s="3" t="n">
        <v>16099</v>
      </c>
      <c r="E386" s="13">
        <f>MIN($B$4+$B$5*D386,$B$6)</f>
        <v/>
      </c>
      <c r="F386" s="13">
        <f>$B$7</f>
        <v/>
      </c>
      <c r="G386" s="13">
        <f>E386+F386</f>
        <v/>
      </c>
      <c r="H386" s="13">
        <f>3*E386+F386</f>
        <v/>
      </c>
      <c r="I386">
        <f>IF(H386&gt;$B$8,"Oui","Non")</f>
        <v/>
      </c>
      <c r="J386" s="14">
        <f>IF(D386&gt;0,E386/D386,"")</f>
        <v/>
      </c>
    </row>
    <row r="387">
      <c r="A387" s="15" t="inlineStr">
        <is>
          <t>CC des Portes de l'Entre-Deux-Mers</t>
        </is>
      </c>
      <c r="B387" s="15" t="inlineStr">
        <is>
          <t>Gironde</t>
        </is>
      </c>
      <c r="C387" s="15" t="inlineStr">
        <is>
          <t>33</t>
        </is>
      </c>
      <c r="D387" s="16" t="n">
        <v>22414</v>
      </c>
      <c r="E387" s="17">
        <f>MIN($B$4+$B$5*D387,$B$6)</f>
        <v/>
      </c>
      <c r="F387" s="17">
        <f>$B$7</f>
        <v/>
      </c>
      <c r="G387" s="17">
        <f>E387+F387</f>
        <v/>
      </c>
      <c r="H387" s="17">
        <f>3*E387+F387</f>
        <v/>
      </c>
      <c r="I387" s="15">
        <f>IF(H387&gt;$B$8,"Oui","Non")</f>
        <v/>
      </c>
      <c r="J387" s="18">
        <f>IF(D387&gt;0,E387/D387,"")</f>
        <v/>
      </c>
    </row>
    <row r="388">
      <c r="A388" t="inlineStr">
        <is>
          <t>CC du Bazadais</t>
        </is>
      </c>
      <c r="B388" t="inlineStr">
        <is>
          <t>Gironde</t>
        </is>
      </c>
      <c r="C388" t="inlineStr">
        <is>
          <t>33</t>
        </is>
      </c>
      <c r="D388" s="3" t="n">
        <v>15905</v>
      </c>
      <c r="E388" s="13">
        <f>MIN($B$4+$B$5*D388,$B$6)</f>
        <v/>
      </c>
      <c r="F388" s="13">
        <f>$B$7</f>
        <v/>
      </c>
      <c r="G388" s="13">
        <f>E388+F388</f>
        <v/>
      </c>
      <c r="H388" s="13">
        <f>3*E388+F388</f>
        <v/>
      </c>
      <c r="I388">
        <f>IF(H388&gt;$B$8,"Oui","Non")</f>
        <v/>
      </c>
      <c r="J388" s="14">
        <f>IF(D388&gt;0,E388/D388,"")</f>
        <v/>
      </c>
    </row>
    <row r="389">
      <c r="A389" s="15" t="inlineStr">
        <is>
          <t>CC du Créonnais</t>
        </is>
      </c>
      <c r="B389" s="15" t="inlineStr">
        <is>
          <t>Gironde</t>
        </is>
      </c>
      <c r="C389" s="15" t="inlineStr">
        <is>
          <t>33</t>
        </is>
      </c>
      <c r="D389" s="16" t="n">
        <v>18263</v>
      </c>
      <c r="E389" s="17">
        <f>MIN($B$4+$B$5*D389,$B$6)</f>
        <v/>
      </c>
      <c r="F389" s="17">
        <f>$B$7</f>
        <v/>
      </c>
      <c r="G389" s="17">
        <f>E389+F389</f>
        <v/>
      </c>
      <c r="H389" s="17">
        <f>3*E389+F389</f>
        <v/>
      </c>
      <c r="I389" s="15">
        <f>IF(H389&gt;$B$8,"Oui","Non")</f>
        <v/>
      </c>
      <c r="J389" s="18">
        <f>IF(D389&gt;0,E389/D389,"")</f>
        <v/>
      </c>
    </row>
    <row r="390">
      <c r="A390" t="inlineStr">
        <is>
          <t>CC du Fronsadais</t>
        </is>
      </c>
      <c r="B390" t="inlineStr">
        <is>
          <t>Gironde</t>
        </is>
      </c>
      <c r="C390" t="inlineStr">
        <is>
          <t>33</t>
        </is>
      </c>
      <c r="D390" s="3" t="n">
        <v>17712</v>
      </c>
      <c r="E390" s="13">
        <f>MIN($B$4+$B$5*D390,$B$6)</f>
        <v/>
      </c>
      <c r="F390" s="13">
        <f>$B$7</f>
        <v/>
      </c>
      <c r="G390" s="13">
        <f>E390+F390</f>
        <v/>
      </c>
      <c r="H390" s="13">
        <f>3*E390+F390</f>
        <v/>
      </c>
      <c r="I390">
        <f>IF(H390&gt;$B$8,"Oui","Non")</f>
        <v/>
      </c>
      <c r="J390" s="14">
        <f>IF(D390&gt;0,E390/D390,"")</f>
        <v/>
      </c>
    </row>
    <row r="391">
      <c r="A391" s="15" t="inlineStr">
        <is>
          <t>CC du Grand Cubzaguais</t>
        </is>
      </c>
      <c r="B391" s="15" t="inlineStr">
        <is>
          <t>Gironde</t>
        </is>
      </c>
      <c r="C391" s="15" t="inlineStr">
        <is>
          <t>33</t>
        </is>
      </c>
      <c r="D391" s="16" t="n">
        <v>37566</v>
      </c>
      <c r="E391" s="17">
        <f>MIN($B$4+$B$5*D391,$B$6)</f>
        <v/>
      </c>
      <c r="F391" s="17">
        <f>$B$7</f>
        <v/>
      </c>
      <c r="G391" s="17">
        <f>E391+F391</f>
        <v/>
      </c>
      <c r="H391" s="17">
        <f>3*E391+F391</f>
        <v/>
      </c>
      <c r="I391" s="15">
        <f>IF(H391&gt;$B$8,"Oui","Non")</f>
        <v/>
      </c>
      <c r="J391" s="18">
        <f>IF(D391&gt;0,E391/D391,"")</f>
        <v/>
      </c>
    </row>
    <row r="392">
      <c r="A392" t="inlineStr">
        <is>
          <t>CC du Grand Saint Emilionnais</t>
        </is>
      </c>
      <c r="B392" t="inlineStr">
        <is>
          <t>Gironde</t>
        </is>
      </c>
      <c r="C392" t="inlineStr">
        <is>
          <t>33</t>
        </is>
      </c>
      <c r="D392" s="3" t="n">
        <v>14033</v>
      </c>
      <c r="E392" s="13">
        <f>MIN($B$4+$B$5*D392,$B$6)</f>
        <v/>
      </c>
      <c r="F392" s="13">
        <f>$B$7</f>
        <v/>
      </c>
      <c r="G392" s="13">
        <f>E392+F392</f>
        <v/>
      </c>
      <c r="H392" s="13">
        <f>3*E392+F392</f>
        <v/>
      </c>
      <c r="I392">
        <f>IF(H392&gt;$B$8,"Oui","Non")</f>
        <v/>
      </c>
      <c r="J392" s="14">
        <f>IF(D392&gt;0,E392/D392,"")</f>
        <v/>
      </c>
    </row>
    <row r="393">
      <c r="A393" s="15" t="inlineStr">
        <is>
          <t>CC du Réolais en Sud Gironde</t>
        </is>
      </c>
      <c r="B393" s="15" t="inlineStr">
        <is>
          <t>Gironde</t>
        </is>
      </c>
      <c r="C393" s="15" t="inlineStr">
        <is>
          <t>33</t>
        </is>
      </c>
      <c r="D393" s="16" t="n">
        <v>24011</v>
      </c>
      <c r="E393" s="17">
        <f>MIN($B$4+$B$5*D393,$B$6)</f>
        <v/>
      </c>
      <c r="F393" s="17">
        <f>$B$7</f>
        <v/>
      </c>
      <c r="G393" s="17">
        <f>E393+F393</f>
        <v/>
      </c>
      <c r="H393" s="17">
        <f>3*E393+F393</f>
        <v/>
      </c>
      <c r="I393" s="15">
        <f>IF(H393&gt;$B$8,"Oui","Non")</f>
        <v/>
      </c>
      <c r="J393" s="18">
        <f>IF(D393&gt;0,E393/D393,"")</f>
        <v/>
      </c>
    </row>
    <row r="394">
      <c r="A394" t="inlineStr">
        <is>
          <t>CC du Sud Gironde</t>
        </is>
      </c>
      <c r="B394" t="inlineStr">
        <is>
          <t>Gironde</t>
        </is>
      </c>
      <c r="C394" t="inlineStr">
        <is>
          <t>33</t>
        </is>
      </c>
      <c r="D394" s="3" t="n">
        <v>39775</v>
      </c>
      <c r="E394" s="13">
        <f>MIN($B$4+$B$5*D394,$B$6)</f>
        <v/>
      </c>
      <c r="F394" s="13">
        <f>$B$7</f>
        <v/>
      </c>
      <c r="G394" s="13">
        <f>E394+F394</f>
        <v/>
      </c>
      <c r="H394" s="13">
        <f>3*E394+F394</f>
        <v/>
      </c>
      <c r="I394">
        <f>IF(H394&gt;$B$8,"Oui","Non")</f>
        <v/>
      </c>
      <c r="J394" s="14">
        <f>IF(D394&gt;0,E394/D394,"")</f>
        <v/>
      </c>
    </row>
    <row r="395">
      <c r="A395" s="15" t="inlineStr">
        <is>
          <t>CC du Val de l'Eyre</t>
        </is>
      </c>
      <c r="B395" s="15" t="inlineStr">
        <is>
          <t>Gironde</t>
        </is>
      </c>
      <c r="C395" s="15" t="inlineStr">
        <is>
          <t>33</t>
        </is>
      </c>
      <c r="D395" s="16" t="n">
        <v>22418</v>
      </c>
      <c r="E395" s="17">
        <f>MIN($B$4+$B$5*D395,$B$6)</f>
        <v/>
      </c>
      <c r="F395" s="17">
        <f>$B$7</f>
        <v/>
      </c>
      <c r="G395" s="17">
        <f>E395+F395</f>
        <v/>
      </c>
      <c r="H395" s="17">
        <f>3*E395+F395</f>
        <v/>
      </c>
      <c r="I395" s="15">
        <f>IF(H395&gt;$B$8,"Oui","Non")</f>
        <v/>
      </c>
      <c r="J395" s="18">
        <f>IF(D395&gt;0,E395/D395,"")</f>
        <v/>
      </c>
    </row>
    <row r="396">
      <c r="A396" t="inlineStr">
        <is>
          <t>CC les Coteaux Bordelais</t>
        </is>
      </c>
      <c r="B396" t="inlineStr">
        <is>
          <t>Gironde</t>
        </is>
      </c>
      <c r="C396" t="inlineStr">
        <is>
          <t>33</t>
        </is>
      </c>
      <c r="D396" s="3" t="n">
        <v>22075</v>
      </c>
      <c r="E396" s="13">
        <f>MIN($B$4+$B$5*D396,$B$6)</f>
        <v/>
      </c>
      <c r="F396" s="13">
        <f>$B$7</f>
        <v/>
      </c>
      <c r="G396" s="13">
        <f>E396+F396</f>
        <v/>
      </c>
      <c r="H396" s="13">
        <f>3*E396+F396</f>
        <v/>
      </c>
      <c r="I396">
        <f>IF(H396&gt;$B$8,"Oui","Non")</f>
        <v/>
      </c>
      <c r="J396" s="14">
        <f>IF(D396&gt;0,E396/D396,"")</f>
        <v/>
      </c>
    </row>
    <row r="397">
      <c r="A397" s="15" t="inlineStr">
        <is>
          <t>CC Grand Orb Communauté de Communes en Languedoc</t>
        </is>
      </c>
      <c r="B397" s="15" t="inlineStr">
        <is>
          <t>Hérault</t>
        </is>
      </c>
      <c r="C397" s="15" t="inlineStr">
        <is>
          <t>34</t>
        </is>
      </c>
      <c r="D397" s="16" t="n">
        <v>19955</v>
      </c>
      <c r="E397" s="17">
        <f>MIN($B$4+$B$5*D397,$B$6)</f>
        <v/>
      </c>
      <c r="F397" s="17">
        <f>$B$7</f>
        <v/>
      </c>
      <c r="G397" s="17">
        <f>E397+F397</f>
        <v/>
      </c>
      <c r="H397" s="17">
        <f>3*E397+F397</f>
        <v/>
      </c>
      <c r="I397" s="15">
        <f>IF(H397&gt;$B$8,"Oui","Non")</f>
        <v/>
      </c>
      <c r="J397" s="18">
        <f>IF(D397&gt;0,E397/D397,"")</f>
        <v/>
      </c>
    </row>
    <row r="398">
      <c r="A398" t="inlineStr">
        <is>
          <t>CC Les Avant-Monts</t>
        </is>
      </c>
      <c r="B398" t="inlineStr">
        <is>
          <t>Hérault</t>
        </is>
      </c>
      <c r="C398" t="inlineStr">
        <is>
          <t>34</t>
        </is>
      </c>
      <c r="D398" s="3" t="n">
        <v>27969</v>
      </c>
      <c r="E398" s="13">
        <f>MIN($B$4+$B$5*D398,$B$6)</f>
        <v/>
      </c>
      <c r="F398" s="13">
        <f>$B$7</f>
        <v/>
      </c>
      <c r="G398" s="13">
        <f>E398+F398</f>
        <v/>
      </c>
      <c r="H398" s="13">
        <f>3*E398+F398</f>
        <v/>
      </c>
      <c r="I398">
        <f>IF(H398&gt;$B$8,"Oui","Non")</f>
        <v/>
      </c>
      <c r="J398" s="14">
        <f>IF(D398&gt;0,E398/D398,"")</f>
        <v/>
      </c>
    </row>
    <row r="399">
      <c r="A399" s="15" t="inlineStr">
        <is>
          <t>CC Lodévois et Larzac</t>
        </is>
      </c>
      <c r="B399" s="15" t="inlineStr">
        <is>
          <t>Hérault</t>
        </is>
      </c>
      <c r="C399" s="15" t="inlineStr">
        <is>
          <t>34</t>
        </is>
      </c>
      <c r="D399" s="16" t="n">
        <v>14824</v>
      </c>
      <c r="E399" s="17">
        <f>MIN($B$4+$B$5*D399,$B$6)</f>
        <v/>
      </c>
      <c r="F399" s="17">
        <f>$B$7</f>
        <v/>
      </c>
      <c r="G399" s="17">
        <f>E399+F399</f>
        <v/>
      </c>
      <c r="H399" s="17">
        <f>3*E399+F399</f>
        <v/>
      </c>
      <c r="I399" s="15">
        <f>IF(H399&gt;$B$8,"Oui","Non")</f>
        <v/>
      </c>
      <c r="J399" s="18">
        <f>IF(D399&gt;0,E399/D399,"")</f>
        <v/>
      </c>
    </row>
    <row r="400">
      <c r="A400" t="inlineStr">
        <is>
          <t>CC Sud-Hérault</t>
        </is>
      </c>
      <c r="B400" t="inlineStr">
        <is>
          <t>Hérault</t>
        </is>
      </c>
      <c r="C400" t="inlineStr">
        <is>
          <t>34</t>
        </is>
      </c>
      <c r="D400" s="3" t="n">
        <v>18369</v>
      </c>
      <c r="E400" s="13">
        <f>MIN($B$4+$B$5*D400,$B$6)</f>
        <v/>
      </c>
      <c r="F400" s="13">
        <f>$B$7</f>
        <v/>
      </c>
      <c r="G400" s="13">
        <f>E400+F400</f>
        <v/>
      </c>
      <c r="H400" s="13">
        <f>3*E400+F400</f>
        <v/>
      </c>
      <c r="I400">
        <f>IF(H400&gt;$B$8,"Oui","Non")</f>
        <v/>
      </c>
      <c r="J400" s="14">
        <f>IF(D400&gt;0,E400/D400,"")</f>
        <v/>
      </c>
    </row>
    <row r="401">
      <c r="A401" s="15" t="inlineStr">
        <is>
          <t>CC Vallée de l'Hérault</t>
        </is>
      </c>
      <c r="B401" s="15" t="inlineStr">
        <is>
          <t>Hérault</t>
        </is>
      </c>
      <c r="C401" s="15" t="inlineStr">
        <is>
          <t>34</t>
        </is>
      </c>
      <c r="D401" s="16" t="n">
        <v>41749</v>
      </c>
      <c r="E401" s="17">
        <f>MIN($B$4+$B$5*D401,$B$6)</f>
        <v/>
      </c>
      <c r="F401" s="17">
        <f>$B$7</f>
        <v/>
      </c>
      <c r="G401" s="17">
        <f>E401+F401</f>
        <v/>
      </c>
      <c r="H401" s="17">
        <f>3*E401+F401</f>
        <v/>
      </c>
      <c r="I401" s="15">
        <f>IF(H401&gt;$B$8,"Oui","Non")</f>
        <v/>
      </c>
      <c r="J401" s="18">
        <f>IF(D401&gt;0,E401/D401,"")</f>
        <v/>
      </c>
    </row>
    <row r="402">
      <c r="A402" t="inlineStr">
        <is>
          <t>CC du Clermontais</t>
        </is>
      </c>
      <c r="B402" t="inlineStr">
        <is>
          <t>Hérault</t>
        </is>
      </c>
      <c r="C402" t="inlineStr">
        <is>
          <t>34</t>
        </is>
      </c>
      <c r="D402" s="3" t="n">
        <v>28964</v>
      </c>
      <c r="E402" s="13">
        <f>MIN($B$4+$B$5*D402,$B$6)</f>
        <v/>
      </c>
      <c r="F402" s="13">
        <f>$B$7</f>
        <v/>
      </c>
      <c r="G402" s="13">
        <f>E402+F402</f>
        <v/>
      </c>
      <c r="H402" s="13">
        <f>3*E402+F402</f>
        <v/>
      </c>
      <c r="I402">
        <f>IF(H402&gt;$B$8,"Oui","Non")</f>
        <v/>
      </c>
      <c r="J402" s="14">
        <f>IF(D402&gt;0,E402/D402,"")</f>
        <v/>
      </c>
    </row>
    <row r="403">
      <c r="A403" s="15" t="inlineStr">
        <is>
          <t>CC du Grand Pic Saint-Loup</t>
        </is>
      </c>
      <c r="B403" s="15" t="inlineStr">
        <is>
          <t>Hérault</t>
        </is>
      </c>
      <c r="C403" s="15" t="inlineStr">
        <is>
          <t>34</t>
        </is>
      </c>
      <c r="D403" s="16" t="n">
        <v>51217</v>
      </c>
      <c r="E403" s="17">
        <f>MIN($B$4+$B$5*D403,$B$6)</f>
        <v/>
      </c>
      <c r="F403" s="17">
        <f>$B$7</f>
        <v/>
      </c>
      <c r="G403" s="17">
        <f>E403+F403</f>
        <v/>
      </c>
      <c r="H403" s="17">
        <f>3*E403+F403</f>
        <v/>
      </c>
      <c r="I403" s="15">
        <f>IF(H403&gt;$B$8,"Oui","Non")</f>
        <v/>
      </c>
      <c r="J403" s="18">
        <f>IF(D403&gt;0,E403/D403,"")</f>
        <v/>
      </c>
    </row>
    <row r="404">
      <c r="A404" t="inlineStr">
        <is>
          <t>CC du Haut-Languedoc</t>
        </is>
      </c>
      <c r="B404" t="inlineStr">
        <is>
          <t>Hérault, Tarn</t>
        </is>
      </c>
      <c r="C404" t="inlineStr">
        <is>
          <t>34, 81</t>
        </is>
      </c>
      <c r="D404" s="3" t="n">
        <v>7954</v>
      </c>
      <c r="E404" s="13">
        <f>MIN($B$4+$B$5*D404,$B$6)</f>
        <v/>
      </c>
      <c r="F404" s="13">
        <f>$B$7</f>
        <v/>
      </c>
      <c r="G404" s="13">
        <f>E404+F404</f>
        <v/>
      </c>
      <c r="H404" s="13">
        <f>3*E404+F404</f>
        <v/>
      </c>
      <c r="I404">
        <f>IF(H404&gt;$B$8,"Oui","Non")</f>
        <v/>
      </c>
      <c r="J404" s="14">
        <f>IF(D404&gt;0,E404/D404,"")</f>
        <v/>
      </c>
    </row>
    <row r="405">
      <c r="A405" s="15" t="inlineStr">
        <is>
          <t>CC du Minervois au Caroux</t>
        </is>
      </c>
      <c r="B405" s="15" t="inlineStr">
        <is>
          <t>Hérault</t>
        </is>
      </c>
      <c r="C405" s="15" t="inlineStr">
        <is>
          <t>34</t>
        </is>
      </c>
      <c r="D405" s="16" t="n">
        <v>14372</v>
      </c>
      <c r="E405" s="17">
        <f>MIN($B$4+$B$5*D405,$B$6)</f>
        <v/>
      </c>
      <c r="F405" s="17">
        <f>$B$7</f>
        <v/>
      </c>
      <c r="G405" s="17">
        <f>E405+F405</f>
        <v/>
      </c>
      <c r="H405" s="17">
        <f>3*E405+F405</f>
        <v/>
      </c>
      <c r="I405" s="15">
        <f>IF(H405&gt;$B$8,"Oui","Non")</f>
        <v/>
      </c>
      <c r="J405" s="18">
        <f>IF(D405&gt;0,E405/D405,"")</f>
        <v/>
      </c>
    </row>
    <row r="406">
      <c r="A406" t="inlineStr">
        <is>
          <t>CC la Domitienne</t>
        </is>
      </c>
      <c r="B406" t="inlineStr">
        <is>
          <t>Hérault</t>
        </is>
      </c>
      <c r="C406" t="inlineStr">
        <is>
          <t>34</t>
        </is>
      </c>
      <c r="D406" s="3" t="n">
        <v>29221</v>
      </c>
      <c r="E406" s="13">
        <f>MIN($B$4+$B$5*D406,$B$6)</f>
        <v/>
      </c>
      <c r="F406" s="13">
        <f>$B$7</f>
        <v/>
      </c>
      <c r="G406" s="13">
        <f>E406+F406</f>
        <v/>
      </c>
      <c r="H406" s="13">
        <f>3*E406+F406</f>
        <v/>
      </c>
      <c r="I406">
        <f>IF(H406&gt;$B$8,"Oui","Non")</f>
        <v/>
      </c>
      <c r="J406" s="14">
        <f>IF(D406&gt;0,E406/D406,"")</f>
        <v/>
      </c>
    </row>
    <row r="407">
      <c r="A407" s="15" t="inlineStr">
        <is>
          <t>CC Bretagne Porte de Loire Communauté</t>
        </is>
      </c>
      <c r="B407" s="15" t="inlineStr">
        <is>
          <t>Ille-et-Vilaine</t>
        </is>
      </c>
      <c r="C407" s="15" t="inlineStr">
        <is>
          <t>35</t>
        </is>
      </c>
      <c r="D407" s="16" t="n">
        <v>32801</v>
      </c>
      <c r="E407" s="17">
        <f>MIN($B$4+$B$5*D407,$B$6)</f>
        <v/>
      </c>
      <c r="F407" s="17">
        <f>$B$7</f>
        <v/>
      </c>
      <c r="G407" s="17">
        <f>E407+F407</f>
        <v/>
      </c>
      <c r="H407" s="17">
        <f>3*E407+F407</f>
        <v/>
      </c>
      <c r="I407" s="15">
        <f>IF(H407&gt;$B$8,"Oui","Non")</f>
        <v/>
      </c>
      <c r="J407" s="18">
        <f>IF(D407&gt;0,E407/D407,"")</f>
        <v/>
      </c>
    </row>
    <row r="408">
      <c r="A408" t="inlineStr">
        <is>
          <t>CC Bretagne Romantique</t>
        </is>
      </c>
      <c r="B408" t="inlineStr">
        <is>
          <t>Ille-et-Vilaine</t>
        </is>
      </c>
      <c r="C408" t="inlineStr">
        <is>
          <t>35</t>
        </is>
      </c>
      <c r="D408" s="3" t="n">
        <v>36515</v>
      </c>
      <c r="E408" s="13">
        <f>MIN($B$4+$B$5*D408,$B$6)</f>
        <v/>
      </c>
      <c r="F408" s="13">
        <f>$B$7</f>
        <v/>
      </c>
      <c r="G408" s="13">
        <f>E408+F408</f>
        <v/>
      </c>
      <c r="H408" s="13">
        <f>3*E408+F408</f>
        <v/>
      </c>
      <c r="I408">
        <f>IF(H408&gt;$B$8,"Oui","Non")</f>
        <v/>
      </c>
      <c r="J408" s="14">
        <f>IF(D408&gt;0,E408/D408,"")</f>
        <v/>
      </c>
    </row>
    <row r="409">
      <c r="A409" s="15" t="inlineStr">
        <is>
          <t>CC Brocéliande Communauté</t>
        </is>
      </c>
      <c r="B409" s="15" t="inlineStr">
        <is>
          <t>Ille-et-Vilaine</t>
        </is>
      </c>
      <c r="C409" s="15" t="inlineStr">
        <is>
          <t>35</t>
        </is>
      </c>
      <c r="D409" s="16" t="n">
        <v>18987</v>
      </c>
      <c r="E409" s="17">
        <f>MIN($B$4+$B$5*D409,$B$6)</f>
        <v/>
      </c>
      <c r="F409" s="17">
        <f>$B$7</f>
        <v/>
      </c>
      <c r="G409" s="17">
        <f>E409+F409</f>
        <v/>
      </c>
      <c r="H409" s="17">
        <f>3*E409+F409</f>
        <v/>
      </c>
      <c r="I409" s="15">
        <f>IF(H409&gt;$B$8,"Oui","Non")</f>
        <v/>
      </c>
      <c r="J409" s="18">
        <f>IF(D409&gt;0,E409/D409,"")</f>
        <v/>
      </c>
    </row>
    <row r="410">
      <c r="A410" t="inlineStr">
        <is>
          <t>CC Couesnon Marches de Bretagne</t>
        </is>
      </c>
      <c r="B410" t="inlineStr">
        <is>
          <t>Ille-et-Vilaine</t>
        </is>
      </c>
      <c r="C410" t="inlineStr">
        <is>
          <t>35</t>
        </is>
      </c>
      <c r="D410" s="3" t="n">
        <v>21947</v>
      </c>
      <c r="E410" s="13">
        <f>MIN($B$4+$B$5*D410,$B$6)</f>
        <v/>
      </c>
      <c r="F410" s="13">
        <f>$B$7</f>
        <v/>
      </c>
      <c r="G410" s="13">
        <f>E410+F410</f>
        <v/>
      </c>
      <c r="H410" s="13">
        <f>3*E410+F410</f>
        <v/>
      </c>
      <c r="I410">
        <f>IF(H410&gt;$B$8,"Oui","Non")</f>
        <v/>
      </c>
      <c r="J410" s="14">
        <f>IF(D410&gt;0,E410/D410,"")</f>
        <v/>
      </c>
    </row>
    <row r="411">
      <c r="A411" s="15" t="inlineStr">
        <is>
          <t>CC Liffré-Cormier Communauté</t>
        </is>
      </c>
      <c r="B411" s="15" t="inlineStr">
        <is>
          <t>Ille-et-Vilaine</t>
        </is>
      </c>
      <c r="C411" s="15" t="inlineStr">
        <is>
          <t>35</t>
        </is>
      </c>
      <c r="D411" s="16" t="n">
        <v>28241</v>
      </c>
      <c r="E411" s="17">
        <f>MIN($B$4+$B$5*D411,$B$6)</f>
        <v/>
      </c>
      <c r="F411" s="17">
        <f>$B$7</f>
        <v/>
      </c>
      <c r="G411" s="17">
        <f>E411+F411</f>
        <v/>
      </c>
      <c r="H411" s="17">
        <f>3*E411+F411</f>
        <v/>
      </c>
      <c r="I411" s="15">
        <f>IF(H411&gt;$B$8,"Oui","Non")</f>
        <v/>
      </c>
      <c r="J411" s="18">
        <f>IF(D411&gt;0,E411/D411,"")</f>
        <v/>
      </c>
    </row>
    <row r="412">
      <c r="A412" t="inlineStr">
        <is>
          <t>CC Montfort Communauté</t>
        </is>
      </c>
      <c r="B412" t="inlineStr">
        <is>
          <t>Ille-et-Vilaine</t>
        </is>
      </c>
      <c r="C412" t="inlineStr">
        <is>
          <t>35</t>
        </is>
      </c>
      <c r="D412" s="3" t="n">
        <v>26422</v>
      </c>
      <c r="E412" s="13">
        <f>MIN($B$4+$B$5*D412,$B$6)</f>
        <v/>
      </c>
      <c r="F412" s="13">
        <f>$B$7</f>
        <v/>
      </c>
      <c r="G412" s="13">
        <f>E412+F412</f>
        <v/>
      </c>
      <c r="H412" s="13">
        <f>3*E412+F412</f>
        <v/>
      </c>
      <c r="I412">
        <f>IF(H412&gt;$B$8,"Oui","Non")</f>
        <v/>
      </c>
      <c r="J412" s="14">
        <f>IF(D412&gt;0,E412/D412,"")</f>
        <v/>
      </c>
    </row>
    <row r="413">
      <c r="A413" s="15" t="inlineStr">
        <is>
          <t>CC Pays de Châteaugiron Communauté</t>
        </is>
      </c>
      <c r="B413" s="15" t="inlineStr">
        <is>
          <t>Ille-et-Vilaine</t>
        </is>
      </c>
      <c r="C413" s="15" t="inlineStr">
        <is>
          <t>35</t>
        </is>
      </c>
      <c r="D413" s="16" t="n">
        <v>27986</v>
      </c>
      <c r="E413" s="17">
        <f>MIN($B$4+$B$5*D413,$B$6)</f>
        <v/>
      </c>
      <c r="F413" s="17">
        <f>$B$7</f>
        <v/>
      </c>
      <c r="G413" s="17">
        <f>E413+F413</f>
        <v/>
      </c>
      <c r="H413" s="17">
        <f>3*E413+F413</f>
        <v/>
      </c>
      <c r="I413" s="15">
        <f>IF(H413&gt;$B$8,"Oui","Non")</f>
        <v/>
      </c>
      <c r="J413" s="18">
        <f>IF(D413&gt;0,E413/D413,"")</f>
        <v/>
      </c>
    </row>
    <row r="414">
      <c r="A414" t="inlineStr">
        <is>
          <t>CC Roche aux Fées Communauté</t>
        </is>
      </c>
      <c r="B414" t="inlineStr">
        <is>
          <t>Ille-et-Vilaine</t>
        </is>
      </c>
      <c r="C414" t="inlineStr">
        <is>
          <t>35</t>
        </is>
      </c>
      <c r="D414" s="3" t="n">
        <v>27025</v>
      </c>
      <c r="E414" s="13">
        <f>MIN($B$4+$B$5*D414,$B$6)</f>
        <v/>
      </c>
      <c r="F414" s="13">
        <f>$B$7</f>
        <v/>
      </c>
      <c r="G414" s="13">
        <f>E414+F414</f>
        <v/>
      </c>
      <c r="H414" s="13">
        <f>3*E414+F414</f>
        <v/>
      </c>
      <c r="I414">
        <f>IF(H414&gt;$B$8,"Oui","Non")</f>
        <v/>
      </c>
      <c r="J414" s="14">
        <f>IF(D414&gt;0,E414/D414,"")</f>
        <v/>
      </c>
    </row>
    <row r="415">
      <c r="A415" s="15" t="inlineStr">
        <is>
          <t>CC Val d'Ille-Aubigné</t>
        </is>
      </c>
      <c r="B415" s="15" t="inlineStr">
        <is>
          <t>Ille-et-Vilaine</t>
        </is>
      </c>
      <c r="C415" s="15" t="inlineStr">
        <is>
          <t>35</t>
        </is>
      </c>
      <c r="D415" s="16" t="n">
        <v>38971</v>
      </c>
      <c r="E415" s="17">
        <f>MIN($B$4+$B$5*D415,$B$6)</f>
        <v/>
      </c>
      <c r="F415" s="17">
        <f>$B$7</f>
        <v/>
      </c>
      <c r="G415" s="17">
        <f>E415+F415</f>
        <v/>
      </c>
      <c r="H415" s="17">
        <f>3*E415+F415</f>
        <v/>
      </c>
      <c r="I415" s="15">
        <f>IF(H415&gt;$B$8,"Oui","Non")</f>
        <v/>
      </c>
      <c r="J415" s="18">
        <f>IF(D415&gt;0,E415/D415,"")</f>
        <v/>
      </c>
    </row>
    <row r="416">
      <c r="A416" t="inlineStr">
        <is>
          <t>CC Vallons de Haute-Bretagne Communauté</t>
        </is>
      </c>
      <c r="B416" t="inlineStr">
        <is>
          <t>Ille-et-Vilaine</t>
        </is>
      </c>
      <c r="C416" t="inlineStr">
        <is>
          <t>35</t>
        </is>
      </c>
      <c r="D416" s="3" t="n">
        <v>45066</v>
      </c>
      <c r="E416" s="13">
        <f>MIN($B$4+$B$5*D416,$B$6)</f>
        <v/>
      </c>
      <c r="F416" s="13">
        <f>$B$7</f>
        <v/>
      </c>
      <c r="G416" s="13">
        <f>E416+F416</f>
        <v/>
      </c>
      <c r="H416" s="13">
        <f>3*E416+F416</f>
        <v/>
      </c>
      <c r="I416">
        <f>IF(H416&gt;$B$8,"Oui","Non")</f>
        <v/>
      </c>
      <c r="J416" s="14">
        <f>IF(D416&gt;0,E416/D416,"")</f>
        <v/>
      </c>
    </row>
    <row r="417">
      <c r="A417" s="15" t="inlineStr">
        <is>
          <t>CC de Saint-Méen Montauban</t>
        </is>
      </c>
      <c r="B417" s="15" t="inlineStr">
        <is>
          <t>Ille-et-Vilaine</t>
        </is>
      </c>
      <c r="C417" s="15" t="inlineStr">
        <is>
          <t>35</t>
        </is>
      </c>
      <c r="D417" s="16" t="n">
        <v>27350</v>
      </c>
      <c r="E417" s="17">
        <f>MIN($B$4+$B$5*D417,$B$6)</f>
        <v/>
      </c>
      <c r="F417" s="17">
        <f>$B$7</f>
        <v/>
      </c>
      <c r="G417" s="17">
        <f>E417+F417</f>
        <v/>
      </c>
      <c r="H417" s="17">
        <f>3*E417+F417</f>
        <v/>
      </c>
      <c r="I417" s="15">
        <f>IF(H417&gt;$B$8,"Oui","Non")</f>
        <v/>
      </c>
      <c r="J417" s="18">
        <f>IF(D417&gt;0,E417/D417,"")</f>
        <v/>
      </c>
    </row>
    <row r="418">
      <c r="A418" t="inlineStr">
        <is>
          <t>CC du Pays de Dol et de la Baie du Mont Saint-Michel</t>
        </is>
      </c>
      <c r="B418" t="inlineStr">
        <is>
          <t>Ille-et-Vilaine</t>
        </is>
      </c>
      <c r="C418" t="inlineStr">
        <is>
          <t>35</t>
        </is>
      </c>
      <c r="D418" s="3" t="n">
        <v>23907</v>
      </c>
      <c r="E418" s="13">
        <f>MIN($B$4+$B$5*D418,$B$6)</f>
        <v/>
      </c>
      <c r="F418" s="13">
        <f>$B$7</f>
        <v/>
      </c>
      <c r="G418" s="13">
        <f>E418+F418</f>
        <v/>
      </c>
      <c r="H418" s="13">
        <f>3*E418+F418</f>
        <v/>
      </c>
      <c r="I418">
        <f>IF(H418&gt;$B$8,"Oui","Non")</f>
        <v/>
      </c>
      <c r="J418" s="14">
        <f>IF(D418&gt;0,E418/D418,"")</f>
        <v/>
      </c>
    </row>
    <row r="419">
      <c r="A419" s="15" t="inlineStr">
        <is>
          <t>CC Brenne - Val de Creuse</t>
        </is>
      </c>
      <c r="B419" s="15" t="inlineStr">
        <is>
          <t>Indre</t>
        </is>
      </c>
      <c r="C419" s="15" t="inlineStr">
        <is>
          <t>36</t>
        </is>
      </c>
      <c r="D419" s="16" t="n">
        <v>17565</v>
      </c>
      <c r="E419" s="17">
        <f>MIN($B$4+$B$5*D419,$B$6)</f>
        <v/>
      </c>
      <c r="F419" s="17">
        <f>$B$7</f>
        <v/>
      </c>
      <c r="G419" s="17">
        <f>E419+F419</f>
        <v/>
      </c>
      <c r="H419" s="17">
        <f>3*E419+F419</f>
        <v/>
      </c>
      <c r="I419" s="15">
        <f>IF(H419&gt;$B$8,"Oui","Non")</f>
        <v/>
      </c>
      <c r="J419" s="18">
        <f>IF(D419&gt;0,E419/D419,"")</f>
        <v/>
      </c>
    </row>
    <row r="420">
      <c r="A420" t="inlineStr">
        <is>
          <t>CC Chabris - Pays de Bazelle</t>
        </is>
      </c>
      <c r="B420" t="inlineStr">
        <is>
          <t>Indre</t>
        </is>
      </c>
      <c r="C420" t="inlineStr">
        <is>
          <t>36</t>
        </is>
      </c>
      <c r="D420" s="3" t="n">
        <v>6185</v>
      </c>
      <c r="E420" s="13">
        <f>MIN($B$4+$B$5*D420,$B$6)</f>
        <v/>
      </c>
      <c r="F420" s="13">
        <f>$B$7</f>
        <v/>
      </c>
      <c r="G420" s="13">
        <f>E420+F420</f>
        <v/>
      </c>
      <c r="H420" s="13">
        <f>3*E420+F420</f>
        <v/>
      </c>
      <c r="I420">
        <f>IF(H420&gt;$B$8,"Oui","Non")</f>
        <v/>
      </c>
      <c r="J420" s="14">
        <f>IF(D420&gt;0,E420/D420,"")</f>
        <v/>
      </c>
    </row>
    <row r="421">
      <c r="A421" s="15" t="inlineStr">
        <is>
          <t>CC Champagne Boischauts</t>
        </is>
      </c>
      <c r="B421" s="15" t="inlineStr">
        <is>
          <t>Indre</t>
        </is>
      </c>
      <c r="C421" s="15" t="inlineStr">
        <is>
          <t>36</t>
        </is>
      </c>
      <c r="D421" s="16" t="n">
        <v>9691</v>
      </c>
      <c r="E421" s="17">
        <f>MIN($B$4+$B$5*D421,$B$6)</f>
        <v/>
      </c>
      <c r="F421" s="17">
        <f>$B$7</f>
        <v/>
      </c>
      <c r="G421" s="17">
        <f>E421+F421</f>
        <v/>
      </c>
      <c r="H421" s="17">
        <f>3*E421+F421</f>
        <v/>
      </c>
      <c r="I421" s="15">
        <f>IF(H421&gt;$B$8,"Oui","Non")</f>
        <v/>
      </c>
      <c r="J421" s="18">
        <f>IF(D421&gt;0,E421/D421,"")</f>
        <v/>
      </c>
    </row>
    <row r="422">
      <c r="A422" t="inlineStr">
        <is>
          <t>CC Coeur de Brenne</t>
        </is>
      </c>
      <c r="B422" t="inlineStr">
        <is>
          <t>Indre</t>
        </is>
      </c>
      <c r="C422" t="inlineStr">
        <is>
          <t>36</t>
        </is>
      </c>
      <c r="D422" s="3" t="n">
        <v>4659</v>
      </c>
      <c r="E422" s="13">
        <f>MIN($B$4+$B$5*D422,$B$6)</f>
        <v/>
      </c>
      <c r="F422" s="13">
        <f>$B$7</f>
        <v/>
      </c>
      <c r="G422" s="13">
        <f>E422+F422</f>
        <v/>
      </c>
      <c r="H422" s="13">
        <f>3*E422+F422</f>
        <v/>
      </c>
      <c r="I422">
        <f>IF(H422&gt;$B$8,"Oui","Non")</f>
        <v/>
      </c>
      <c r="J422" s="14">
        <f>IF(D422&gt;0,E422/D422,"")</f>
        <v/>
      </c>
    </row>
    <row r="423">
      <c r="A423" s="15" t="inlineStr">
        <is>
          <t>CC Levroux Boischaut Champagne</t>
        </is>
      </c>
      <c r="B423" s="15" t="inlineStr">
        <is>
          <t>Indre</t>
        </is>
      </c>
      <c r="C423" s="15" t="inlineStr">
        <is>
          <t>36</t>
        </is>
      </c>
      <c r="D423" s="16" t="n">
        <v>6162</v>
      </c>
      <c r="E423" s="17">
        <f>MIN($B$4+$B$5*D423,$B$6)</f>
        <v/>
      </c>
      <c r="F423" s="17">
        <f>$B$7</f>
        <v/>
      </c>
      <c r="G423" s="17">
        <f>E423+F423</f>
        <v/>
      </c>
      <c r="H423" s="17">
        <f>3*E423+F423</f>
        <v/>
      </c>
      <c r="I423" s="15">
        <f>IF(H423&gt;$B$8,"Oui","Non")</f>
        <v/>
      </c>
      <c r="J423" s="18">
        <f>IF(D423&gt;0,E423/D423,"")</f>
        <v/>
      </c>
    </row>
    <row r="424">
      <c r="A424" t="inlineStr">
        <is>
          <t>CC Marche Occitane - Val d'Anglin</t>
        </is>
      </c>
      <c r="B424" t="inlineStr">
        <is>
          <t>Indre</t>
        </is>
      </c>
      <c r="C424" t="inlineStr">
        <is>
          <t>36</t>
        </is>
      </c>
      <c r="D424" s="3" t="n">
        <v>6517</v>
      </c>
      <c r="E424" s="13">
        <f>MIN($B$4+$B$5*D424,$B$6)</f>
        <v/>
      </c>
      <c r="F424" s="13">
        <f>$B$7</f>
        <v/>
      </c>
      <c r="G424" s="13">
        <f>E424+F424</f>
        <v/>
      </c>
      <c r="H424" s="13">
        <f>3*E424+F424</f>
        <v/>
      </c>
      <c r="I424">
        <f>IF(H424&gt;$B$8,"Oui","Non")</f>
        <v/>
      </c>
      <c r="J424" s="14">
        <f>IF(D424&gt;0,E424/D424,"")</f>
        <v/>
      </c>
    </row>
    <row r="425">
      <c r="A425" s="15" t="inlineStr">
        <is>
          <t>CC Val de l'Indre - Brenne</t>
        </is>
      </c>
      <c r="B425" s="15" t="inlineStr">
        <is>
          <t>Indre</t>
        </is>
      </c>
      <c r="C425" s="15" t="inlineStr">
        <is>
          <t>36</t>
        </is>
      </c>
      <c r="D425" s="16" t="n">
        <v>13242</v>
      </c>
      <c r="E425" s="17">
        <f>MIN($B$4+$B$5*D425,$B$6)</f>
        <v/>
      </c>
      <c r="F425" s="17">
        <f>$B$7</f>
        <v/>
      </c>
      <c r="G425" s="17">
        <f>E425+F425</f>
        <v/>
      </c>
      <c r="H425" s="17">
        <f>3*E425+F425</f>
        <v/>
      </c>
      <c r="I425" s="15">
        <f>IF(H425&gt;$B$8,"Oui","Non")</f>
        <v/>
      </c>
      <c r="J425" s="18">
        <f>IF(D425&gt;0,E425/D425,"")</f>
        <v/>
      </c>
    </row>
    <row r="426">
      <c r="A426" t="inlineStr">
        <is>
          <t>CC de la Châtre et Sainte-Sévère</t>
        </is>
      </c>
      <c r="B426" t="inlineStr">
        <is>
          <t>Indre</t>
        </is>
      </c>
      <c r="C426" t="inlineStr">
        <is>
          <t>36</t>
        </is>
      </c>
      <c r="D426" s="3" t="n">
        <v>16134</v>
      </c>
      <c r="E426" s="13">
        <f>MIN($B$4+$B$5*D426,$B$6)</f>
        <v/>
      </c>
      <c r="F426" s="13">
        <f>$B$7</f>
        <v/>
      </c>
      <c r="G426" s="13">
        <f>E426+F426</f>
        <v/>
      </c>
      <c r="H426" s="13">
        <f>3*E426+F426</f>
        <v/>
      </c>
      <c r="I426">
        <f>IF(H426&gt;$B$8,"Oui","Non")</f>
        <v/>
      </c>
      <c r="J426" s="14">
        <f>IF(D426&gt;0,E426/D426,"")</f>
        <v/>
      </c>
    </row>
    <row r="427">
      <c r="A427" s="15" t="inlineStr">
        <is>
          <t>CC de la Marche Berrichonne</t>
        </is>
      </c>
      <c r="B427" s="15" t="inlineStr">
        <is>
          <t>Indre</t>
        </is>
      </c>
      <c r="C427" s="15" t="inlineStr">
        <is>
          <t>36</t>
        </is>
      </c>
      <c r="D427" s="16" t="n">
        <v>5504</v>
      </c>
      <c r="E427" s="17">
        <f>MIN($B$4+$B$5*D427,$B$6)</f>
        <v/>
      </c>
      <c r="F427" s="17">
        <f>$B$7</f>
        <v/>
      </c>
      <c r="G427" s="17">
        <f>E427+F427</f>
        <v/>
      </c>
      <c r="H427" s="17">
        <f>3*E427+F427</f>
        <v/>
      </c>
      <c r="I427" s="15">
        <f>IF(H427&gt;$B$8,"Oui","Non")</f>
        <v/>
      </c>
      <c r="J427" s="18">
        <f>IF(D427&gt;0,E427/D427,"")</f>
        <v/>
      </c>
    </row>
    <row r="428">
      <c r="A428" t="inlineStr">
        <is>
          <t>CC du Châtillonnais en Berry</t>
        </is>
      </c>
      <c r="B428" t="inlineStr">
        <is>
          <t>Indre</t>
        </is>
      </c>
      <c r="C428" t="inlineStr">
        <is>
          <t>36</t>
        </is>
      </c>
      <c r="D428" s="3" t="n">
        <v>5638</v>
      </c>
      <c r="E428" s="13">
        <f>MIN($B$4+$B$5*D428,$B$6)</f>
        <v/>
      </c>
      <c r="F428" s="13">
        <f>$B$7</f>
        <v/>
      </c>
      <c r="G428" s="13">
        <f>E428+F428</f>
        <v/>
      </c>
      <c r="H428" s="13">
        <f>3*E428+F428</f>
        <v/>
      </c>
      <c r="I428">
        <f>IF(H428&gt;$B$8,"Oui","Non")</f>
        <v/>
      </c>
      <c r="J428" s="14">
        <f>IF(D428&gt;0,E428/D428,"")</f>
        <v/>
      </c>
    </row>
    <row r="429">
      <c r="A429" s="15" t="inlineStr">
        <is>
          <t>CC du Val de Bouzanne</t>
        </is>
      </c>
      <c r="B429" s="15" t="inlineStr">
        <is>
          <t>Indre</t>
        </is>
      </c>
      <c r="C429" s="15" t="inlineStr">
        <is>
          <t>36</t>
        </is>
      </c>
      <c r="D429" s="16" t="n">
        <v>5969</v>
      </c>
      <c r="E429" s="17">
        <f>MIN($B$4+$B$5*D429,$B$6)</f>
        <v/>
      </c>
      <c r="F429" s="17">
        <f>$B$7</f>
        <v/>
      </c>
      <c r="G429" s="17">
        <f>E429+F429</f>
        <v/>
      </c>
      <c r="H429" s="17">
        <f>3*E429+F429</f>
        <v/>
      </c>
      <c r="I429" s="15">
        <f>IF(H429&gt;$B$8,"Oui","Non")</f>
        <v/>
      </c>
      <c r="J429" s="18">
        <f>IF(D429&gt;0,E429/D429,"")</f>
        <v/>
      </c>
    </row>
    <row r="430">
      <c r="A430" t="inlineStr">
        <is>
          <t>CC Écueillé-Valençay</t>
        </is>
      </c>
      <c r="B430" t="inlineStr">
        <is>
          <t>Indre</t>
        </is>
      </c>
      <c r="C430" t="inlineStr">
        <is>
          <t>36</t>
        </is>
      </c>
      <c r="D430" s="3" t="n">
        <v>10933</v>
      </c>
      <c r="E430" s="13">
        <f>MIN($B$4+$B$5*D430,$B$6)</f>
        <v/>
      </c>
      <c r="F430" s="13">
        <f>$B$7</f>
        <v/>
      </c>
      <c r="G430" s="13">
        <f>E430+F430</f>
        <v/>
      </c>
      <c r="H430" s="13">
        <f>3*E430+F430</f>
        <v/>
      </c>
      <c r="I430">
        <f>IF(H430&gt;$B$8,"Oui","Non")</f>
        <v/>
      </c>
      <c r="J430" s="14">
        <f>IF(D430&gt;0,E430/D430,"")</f>
        <v/>
      </c>
    </row>
    <row r="431">
      <c r="A431" s="15" t="inlineStr">
        <is>
          <t>CC Éguzon - Argenton - Vallée de la Creuse</t>
        </is>
      </c>
      <c r="B431" s="15" t="inlineStr">
        <is>
          <t>Indre</t>
        </is>
      </c>
      <c r="C431" s="15" t="inlineStr">
        <is>
          <t>36</t>
        </is>
      </c>
      <c r="D431" s="16" t="n">
        <v>19302</v>
      </c>
      <c r="E431" s="17">
        <f>MIN($B$4+$B$5*D431,$B$6)</f>
        <v/>
      </c>
      <c r="F431" s="17">
        <f>$B$7</f>
        <v/>
      </c>
      <c r="G431" s="17">
        <f>E431+F431</f>
        <v/>
      </c>
      <c r="H431" s="17">
        <f>3*E431+F431</f>
        <v/>
      </c>
      <c r="I431" s="15">
        <f>IF(H431&gt;$B$8,"Oui","Non")</f>
        <v/>
      </c>
      <c r="J431" s="18">
        <f>IF(D431&gt;0,E431/D431,"")</f>
        <v/>
      </c>
    </row>
    <row r="432">
      <c r="A432" t="inlineStr">
        <is>
          <t>CC Autour de Chenonceaux Bléré-Val de Cher</t>
        </is>
      </c>
      <c r="B432" t="inlineStr">
        <is>
          <t>Indre-et-Loire</t>
        </is>
      </c>
      <c r="C432" t="inlineStr">
        <is>
          <t>37</t>
        </is>
      </c>
      <c r="D432" s="3" t="n">
        <v>21948</v>
      </c>
      <c r="E432" s="13">
        <f>MIN($B$4+$B$5*D432,$B$6)</f>
        <v/>
      </c>
      <c r="F432" s="13">
        <f>$B$7</f>
        <v/>
      </c>
      <c r="G432" s="13">
        <f>E432+F432</f>
        <v/>
      </c>
      <c r="H432" s="13">
        <f>3*E432+F432</f>
        <v/>
      </c>
      <c r="I432">
        <f>IF(H432&gt;$B$8,"Oui","Non")</f>
        <v/>
      </c>
      <c r="J432" s="14">
        <f>IF(D432&gt;0,E432/D432,"")</f>
        <v/>
      </c>
    </row>
    <row r="433">
      <c r="A433" s="15" t="inlineStr">
        <is>
          <t>CC Chinon, Vienne et Loire</t>
        </is>
      </c>
      <c r="B433" s="15" t="inlineStr">
        <is>
          <t>Indre-et-Loire</t>
        </is>
      </c>
      <c r="C433" s="15" t="inlineStr">
        <is>
          <t>37</t>
        </is>
      </c>
      <c r="D433" s="16" t="n">
        <v>23735</v>
      </c>
      <c r="E433" s="17">
        <f>MIN($B$4+$B$5*D433,$B$6)</f>
        <v/>
      </c>
      <c r="F433" s="17">
        <f>$B$7</f>
        <v/>
      </c>
      <c r="G433" s="17">
        <f>E433+F433</f>
        <v/>
      </c>
      <c r="H433" s="17">
        <f>3*E433+F433</f>
        <v/>
      </c>
      <c r="I433" s="15">
        <f>IF(H433&gt;$B$8,"Oui","Non")</f>
        <v/>
      </c>
      <c r="J433" s="18">
        <f>IF(D433&gt;0,E433/D433,"")</f>
        <v/>
      </c>
    </row>
    <row r="434">
      <c r="A434" t="inlineStr">
        <is>
          <t>CC Loches Sud Touraine</t>
        </is>
      </c>
      <c r="B434" t="inlineStr">
        <is>
          <t>Indre-et-Loire</t>
        </is>
      </c>
      <c r="C434" t="inlineStr">
        <is>
          <t>37</t>
        </is>
      </c>
      <c r="D434" s="3" t="n">
        <v>50822</v>
      </c>
      <c r="E434" s="13">
        <f>MIN($B$4+$B$5*D434,$B$6)</f>
        <v/>
      </c>
      <c r="F434" s="13">
        <f>$B$7</f>
        <v/>
      </c>
      <c r="G434" s="13">
        <f>E434+F434</f>
        <v/>
      </c>
      <c r="H434" s="13">
        <f>3*E434+F434</f>
        <v/>
      </c>
      <c r="I434">
        <f>IF(H434&gt;$B$8,"Oui","Non")</f>
        <v/>
      </c>
      <c r="J434" s="14">
        <f>IF(D434&gt;0,E434/D434,"")</f>
        <v/>
      </c>
    </row>
    <row r="435">
      <c r="A435" s="15" t="inlineStr">
        <is>
          <t>CC Touraine Ouest Val de Loire</t>
        </is>
      </c>
      <c r="B435" s="15" t="inlineStr">
        <is>
          <t>Indre-et-Loire</t>
        </is>
      </c>
      <c r="C435" s="15" t="inlineStr">
        <is>
          <t>37</t>
        </is>
      </c>
      <c r="D435" s="16" t="n">
        <v>33284</v>
      </c>
      <c r="E435" s="17">
        <f>MIN($B$4+$B$5*D435,$B$6)</f>
        <v/>
      </c>
      <c r="F435" s="17">
        <f>$B$7</f>
        <v/>
      </c>
      <c r="G435" s="17">
        <f>E435+F435</f>
        <v/>
      </c>
      <c r="H435" s="17">
        <f>3*E435+F435</f>
        <v/>
      </c>
      <c r="I435" s="15">
        <f>IF(H435&gt;$B$8,"Oui","Non")</f>
        <v/>
      </c>
      <c r="J435" s="18">
        <f>IF(D435&gt;0,E435/D435,"")</f>
        <v/>
      </c>
    </row>
    <row r="436">
      <c r="A436" t="inlineStr">
        <is>
          <t>CC Touraine Val de Vienne</t>
        </is>
      </c>
      <c r="B436" t="inlineStr">
        <is>
          <t>Indre-et-Loire</t>
        </is>
      </c>
      <c r="C436" t="inlineStr">
        <is>
          <t>37</t>
        </is>
      </c>
      <c r="D436" s="3" t="n">
        <v>24681</v>
      </c>
      <c r="E436" s="13">
        <f>MIN($B$4+$B$5*D436,$B$6)</f>
        <v/>
      </c>
      <c r="F436" s="13">
        <f>$B$7</f>
        <v/>
      </c>
      <c r="G436" s="13">
        <f>E436+F436</f>
        <v/>
      </c>
      <c r="H436" s="13">
        <f>3*E436+F436</f>
        <v/>
      </c>
      <c r="I436">
        <f>IF(H436&gt;$B$8,"Oui","Non")</f>
        <v/>
      </c>
      <c r="J436" s="14">
        <f>IF(D436&gt;0,E436/D436,"")</f>
        <v/>
      </c>
    </row>
    <row r="437">
      <c r="A437" s="15" t="inlineStr">
        <is>
          <t>CC Touraine Vallée de l'Indre</t>
        </is>
      </c>
      <c r="B437" s="15" t="inlineStr">
        <is>
          <t>Indre-et-Loire</t>
        </is>
      </c>
      <c r="C437" s="15" t="inlineStr">
        <is>
          <t>37</t>
        </is>
      </c>
      <c r="D437" s="16" t="n">
        <v>54651</v>
      </c>
      <c r="E437" s="17">
        <f>MIN($B$4+$B$5*D437,$B$6)</f>
        <v/>
      </c>
      <c r="F437" s="17">
        <f>$B$7</f>
        <v/>
      </c>
      <c r="G437" s="17">
        <f>E437+F437</f>
        <v/>
      </c>
      <c r="H437" s="17">
        <f>3*E437+F437</f>
        <v/>
      </c>
      <c r="I437" s="15">
        <f>IF(H437&gt;$B$8,"Oui","Non")</f>
        <v/>
      </c>
      <c r="J437" s="18">
        <f>IF(D437&gt;0,E437/D437,"")</f>
        <v/>
      </c>
    </row>
    <row r="438">
      <c r="A438" t="inlineStr">
        <is>
          <t>CC Touraine-Est Vallées</t>
        </is>
      </c>
      <c r="B438" t="inlineStr">
        <is>
          <t>Indre-et-Loire</t>
        </is>
      </c>
      <c r="C438" t="inlineStr">
        <is>
          <t>37</t>
        </is>
      </c>
      <c r="D438" s="3" t="n">
        <v>41162</v>
      </c>
      <c r="E438" s="13">
        <f>MIN($B$4+$B$5*D438,$B$6)</f>
        <v/>
      </c>
      <c r="F438" s="13">
        <f>$B$7</f>
        <v/>
      </c>
      <c r="G438" s="13">
        <f>E438+F438</f>
        <v/>
      </c>
      <c r="H438" s="13">
        <f>3*E438+F438</f>
        <v/>
      </c>
      <c r="I438">
        <f>IF(H438&gt;$B$8,"Oui","Non")</f>
        <v/>
      </c>
      <c r="J438" s="14">
        <f>IF(D438&gt;0,E438/D438,"")</f>
        <v/>
      </c>
    </row>
    <row r="439">
      <c r="A439" s="15" t="inlineStr">
        <is>
          <t>CC de Gâtine-Racan</t>
        </is>
      </c>
      <c r="B439" s="15" t="inlineStr">
        <is>
          <t>Indre-et-Loire</t>
        </is>
      </c>
      <c r="C439" s="15" t="inlineStr">
        <is>
          <t>37</t>
        </is>
      </c>
      <c r="D439" s="16" t="n">
        <v>22444</v>
      </c>
      <c r="E439" s="17">
        <f>MIN($B$4+$B$5*D439,$B$6)</f>
        <v/>
      </c>
      <c r="F439" s="17">
        <f>$B$7</f>
        <v/>
      </c>
      <c r="G439" s="17">
        <f>E439+F439</f>
        <v/>
      </c>
      <c r="H439" s="17">
        <f>3*E439+F439</f>
        <v/>
      </c>
      <c r="I439" s="15">
        <f>IF(H439&gt;$B$8,"Oui","Non")</f>
        <v/>
      </c>
      <c r="J439" s="18">
        <f>IF(D439&gt;0,E439/D439,"")</f>
        <v/>
      </c>
    </row>
    <row r="440">
      <c r="A440" t="inlineStr">
        <is>
          <t>CC du Castelrenaudais</t>
        </is>
      </c>
      <c r="B440" t="inlineStr">
        <is>
          <t>Indre-et-Loire</t>
        </is>
      </c>
      <c r="C440" t="inlineStr">
        <is>
          <t>37</t>
        </is>
      </c>
      <c r="D440" s="3" t="n">
        <v>16011</v>
      </c>
      <c r="E440" s="13">
        <f>MIN($B$4+$B$5*D440,$B$6)</f>
        <v/>
      </c>
      <c r="F440" s="13">
        <f>$B$7</f>
        <v/>
      </c>
      <c r="G440" s="13">
        <f>E440+F440</f>
        <v/>
      </c>
      <c r="H440" s="13">
        <f>3*E440+F440</f>
        <v/>
      </c>
      <c r="I440">
        <f>IF(H440&gt;$B$8,"Oui","Non")</f>
        <v/>
      </c>
      <c r="J440" s="14">
        <f>IF(D440&gt;0,E440/D440,"")</f>
        <v/>
      </c>
    </row>
    <row r="441">
      <c r="A441" s="15" t="inlineStr">
        <is>
          <t>CC du Val d'Amboise</t>
        </is>
      </c>
      <c r="B441" s="15" t="inlineStr">
        <is>
          <t>Indre-et-Loire</t>
        </is>
      </c>
      <c r="C441" s="15" t="inlineStr">
        <is>
          <t>37</t>
        </is>
      </c>
      <c r="D441" s="16" t="n">
        <v>28569</v>
      </c>
      <c r="E441" s="17">
        <f>MIN($B$4+$B$5*D441,$B$6)</f>
        <v/>
      </c>
      <c r="F441" s="17">
        <f>$B$7</f>
        <v/>
      </c>
      <c r="G441" s="17">
        <f>E441+F441</f>
        <v/>
      </c>
      <c r="H441" s="17">
        <f>3*E441+F441</f>
        <v/>
      </c>
      <c r="I441" s="15">
        <f>IF(H441&gt;$B$8,"Oui","Non")</f>
        <v/>
      </c>
      <c r="J441" s="18">
        <f>IF(D441&gt;0,E441/D441,"")</f>
        <v/>
      </c>
    </row>
    <row r="442">
      <c r="A442" t="inlineStr">
        <is>
          <t>CC Bièvre Isère</t>
        </is>
      </c>
      <c r="B442" t="inlineStr">
        <is>
          <t>Isère</t>
        </is>
      </c>
      <c r="C442" t="inlineStr">
        <is>
          <t>38</t>
        </is>
      </c>
      <c r="D442" s="3" t="n">
        <v>56117</v>
      </c>
      <c r="E442" s="13">
        <f>MIN($B$4+$B$5*D442,$B$6)</f>
        <v/>
      </c>
      <c r="F442" s="13">
        <f>$B$7</f>
        <v/>
      </c>
      <c r="G442" s="13">
        <f>E442+F442</f>
        <v/>
      </c>
      <c r="H442" s="13">
        <f>3*E442+F442</f>
        <v/>
      </c>
      <c r="I442">
        <f>IF(H442&gt;$B$8,"Oui","Non")</f>
        <v/>
      </c>
      <c r="J442" s="14">
        <f>IF(D442&gt;0,E442/D442,"")</f>
        <v/>
      </c>
    </row>
    <row r="443">
      <c r="A443" s="15" t="inlineStr">
        <is>
          <t>CC Coeur de Chartreuse</t>
        </is>
      </c>
      <c r="B443" s="15" t="inlineStr">
        <is>
          <t>Isère, Savoie</t>
        </is>
      </c>
      <c r="C443" s="15" t="inlineStr">
        <is>
          <t>38, 73</t>
        </is>
      </c>
      <c r="D443" s="16" t="n">
        <v>17165</v>
      </c>
      <c r="E443" s="17">
        <f>MIN($B$4+$B$5*D443,$B$6)</f>
        <v/>
      </c>
      <c r="F443" s="17">
        <f>$B$7</f>
        <v/>
      </c>
      <c r="G443" s="17">
        <f>E443+F443</f>
        <v/>
      </c>
      <c r="H443" s="17">
        <f>3*E443+F443</f>
        <v/>
      </c>
      <c r="I443" s="15">
        <f>IF(H443&gt;$B$8,"Oui","Non")</f>
        <v/>
      </c>
      <c r="J443" s="18">
        <f>IF(D443&gt;0,E443/D443,"")</f>
        <v/>
      </c>
    </row>
    <row r="444">
      <c r="A444" t="inlineStr">
        <is>
          <t>CC Collines Isère Nord Communauté</t>
        </is>
      </c>
      <c r="B444" t="inlineStr">
        <is>
          <t>Isère</t>
        </is>
      </c>
      <c r="C444" t="inlineStr">
        <is>
          <t>38</t>
        </is>
      </c>
      <c r="D444" s="3" t="n">
        <v>25455</v>
      </c>
      <c r="E444" s="13">
        <f>MIN($B$4+$B$5*D444,$B$6)</f>
        <v/>
      </c>
      <c r="F444" s="13">
        <f>$B$7</f>
        <v/>
      </c>
      <c r="G444" s="13">
        <f>E444+F444</f>
        <v/>
      </c>
      <c r="H444" s="13">
        <f>3*E444+F444</f>
        <v/>
      </c>
      <c r="I444">
        <f>IF(H444&gt;$B$8,"Oui","Non")</f>
        <v/>
      </c>
      <c r="J444" s="14">
        <f>IF(D444&gt;0,E444/D444,"")</f>
        <v/>
      </c>
    </row>
    <row r="445">
      <c r="A445" s="15" t="inlineStr">
        <is>
          <t>CC Entre Bièvre et Rhône</t>
        </is>
      </c>
      <c r="B445" s="15" t="inlineStr">
        <is>
          <t>Isère</t>
        </is>
      </c>
      <c r="C445" s="15" t="inlineStr">
        <is>
          <t>38</t>
        </is>
      </c>
      <c r="D445" s="16" t="n">
        <v>69968</v>
      </c>
      <c r="E445" s="17">
        <f>MIN($B$4+$B$5*D445,$B$6)</f>
        <v/>
      </c>
      <c r="F445" s="17">
        <f>$B$7</f>
        <v/>
      </c>
      <c r="G445" s="17">
        <f>E445+F445</f>
        <v/>
      </c>
      <c r="H445" s="17">
        <f>3*E445+F445</f>
        <v/>
      </c>
      <c r="I445" s="15">
        <f>IF(H445&gt;$B$8,"Oui","Non")</f>
        <v/>
      </c>
      <c r="J445" s="18">
        <f>IF(D445&gt;0,E445/D445,"")</f>
        <v/>
      </c>
    </row>
    <row r="446">
      <c r="A446" t="inlineStr">
        <is>
          <t>CC Le Grésivaudan</t>
        </is>
      </c>
      <c r="B446" t="inlineStr">
        <is>
          <t>Isère</t>
        </is>
      </c>
      <c r="C446" t="inlineStr">
        <is>
          <t>38</t>
        </is>
      </c>
      <c r="D446" s="3" t="n">
        <v>103196</v>
      </c>
      <c r="E446" s="13">
        <f>MIN($B$4+$B$5*D446,$B$6)</f>
        <v/>
      </c>
      <c r="F446" s="13">
        <f>$B$7</f>
        <v/>
      </c>
      <c r="G446" s="13">
        <f>E446+F446</f>
        <v/>
      </c>
      <c r="H446" s="13">
        <f>3*E446+F446</f>
        <v/>
      </c>
      <c r="I446">
        <f>IF(H446&gt;$B$8,"Oui","Non")</f>
        <v/>
      </c>
      <c r="J446" s="14">
        <f>IF(D446&gt;0,E446/D446,"")</f>
        <v/>
      </c>
    </row>
    <row r="447">
      <c r="A447" s="15" t="inlineStr">
        <is>
          <t>CC Les Balcons du Dauphiné</t>
        </is>
      </c>
      <c r="B447" s="15" t="inlineStr">
        <is>
          <t>Isère</t>
        </is>
      </c>
      <c r="C447" s="15" t="inlineStr">
        <is>
          <t>38</t>
        </is>
      </c>
      <c r="D447" s="16" t="n">
        <v>78705</v>
      </c>
      <c r="E447" s="17">
        <f>MIN($B$4+$B$5*D447,$B$6)</f>
        <v/>
      </c>
      <c r="F447" s="17">
        <f>$B$7</f>
        <v/>
      </c>
      <c r="G447" s="17">
        <f>E447+F447</f>
        <v/>
      </c>
      <c r="H447" s="17">
        <f>3*E447+F447</f>
        <v/>
      </c>
      <c r="I447" s="15">
        <f>IF(H447&gt;$B$8,"Oui","Non")</f>
        <v/>
      </c>
      <c r="J447" s="18">
        <f>IF(D447&gt;0,E447/D447,"")</f>
        <v/>
      </c>
    </row>
    <row r="448">
      <c r="A448" t="inlineStr">
        <is>
          <t>CC Les Vals du Dauphiné</t>
        </is>
      </c>
      <c r="B448" t="inlineStr">
        <is>
          <t>Isère</t>
        </is>
      </c>
      <c r="C448" t="inlineStr">
        <is>
          <t>38</t>
        </is>
      </c>
      <c r="D448" s="3" t="n">
        <v>64457</v>
      </c>
      <c r="E448" s="13">
        <f>MIN($B$4+$B$5*D448,$B$6)</f>
        <v/>
      </c>
      <c r="F448" s="13">
        <f>$B$7</f>
        <v/>
      </c>
      <c r="G448" s="13">
        <f>E448+F448</f>
        <v/>
      </c>
      <c r="H448" s="13">
        <f>3*E448+F448</f>
        <v/>
      </c>
      <c r="I448">
        <f>IF(H448&gt;$B$8,"Oui","Non")</f>
        <v/>
      </c>
      <c r="J448" s="14">
        <f>IF(D448&gt;0,E448/D448,"")</f>
        <v/>
      </c>
    </row>
    <row r="449">
      <c r="A449" s="15" t="inlineStr">
        <is>
          <t>CC Lyon-Saint-Exupéry en Dauphiné</t>
        </is>
      </c>
      <c r="B449" s="15" t="inlineStr">
        <is>
          <t>Isère</t>
        </is>
      </c>
      <c r="C449" s="15" t="inlineStr">
        <is>
          <t>38</t>
        </is>
      </c>
      <c r="D449" s="16" t="n">
        <v>29944</v>
      </c>
      <c r="E449" s="17">
        <f>MIN($B$4+$B$5*D449,$B$6)</f>
        <v/>
      </c>
      <c r="F449" s="17">
        <f>$B$7</f>
        <v/>
      </c>
      <c r="G449" s="17">
        <f>E449+F449</f>
        <v/>
      </c>
      <c r="H449" s="17">
        <f>3*E449+F449</f>
        <v/>
      </c>
      <c r="I449" s="15">
        <f>IF(H449&gt;$B$8,"Oui","Non")</f>
        <v/>
      </c>
      <c r="J449" s="18">
        <f>IF(D449&gt;0,E449/D449,"")</f>
        <v/>
      </c>
    </row>
    <row r="450">
      <c r="A450" t="inlineStr">
        <is>
          <t>CC Saint-Marcellin Vercors Isère Communauté</t>
        </is>
      </c>
      <c r="B450" t="inlineStr">
        <is>
          <t>Isère</t>
        </is>
      </c>
      <c r="C450" t="inlineStr">
        <is>
          <t>38</t>
        </is>
      </c>
      <c r="D450" s="3" t="n">
        <v>45048</v>
      </c>
      <c r="E450" s="13">
        <f>MIN($B$4+$B$5*D450,$B$6)</f>
        <v/>
      </c>
      <c r="F450" s="13">
        <f>$B$7</f>
        <v/>
      </c>
      <c r="G450" s="13">
        <f>E450+F450</f>
        <v/>
      </c>
      <c r="H450" s="13">
        <f>3*E450+F450</f>
        <v/>
      </c>
      <c r="I450">
        <f>IF(H450&gt;$B$8,"Oui","Non")</f>
        <v/>
      </c>
      <c r="J450" s="14">
        <f>IF(D450&gt;0,E450/D450,"")</f>
        <v/>
      </c>
    </row>
    <row r="451">
      <c r="A451" s="15" t="inlineStr">
        <is>
          <t>CC de Bièvre Est</t>
        </is>
      </c>
      <c r="B451" s="15" t="inlineStr">
        <is>
          <t>Isère</t>
        </is>
      </c>
      <c r="C451" s="15" t="inlineStr">
        <is>
          <t>38</t>
        </is>
      </c>
      <c r="D451" s="16" t="n">
        <v>23032</v>
      </c>
      <c r="E451" s="17">
        <f>MIN($B$4+$B$5*D451,$B$6)</f>
        <v/>
      </c>
      <c r="F451" s="17">
        <f>$B$7</f>
        <v/>
      </c>
      <c r="G451" s="17">
        <f>E451+F451</f>
        <v/>
      </c>
      <c r="H451" s="17">
        <f>3*E451+F451</f>
        <v/>
      </c>
      <c r="I451" s="15">
        <f>IF(H451&gt;$B$8,"Oui","Non")</f>
        <v/>
      </c>
      <c r="J451" s="18">
        <f>IF(D451&gt;0,E451/D451,"")</f>
        <v/>
      </c>
    </row>
    <row r="452">
      <c r="A452" t="inlineStr">
        <is>
          <t>CC de l'Oisans</t>
        </is>
      </c>
      <c r="B452" t="inlineStr">
        <is>
          <t>Isère</t>
        </is>
      </c>
      <c r="C452" t="inlineStr">
        <is>
          <t>38</t>
        </is>
      </c>
      <c r="D452" s="3" t="n">
        <v>10172</v>
      </c>
      <c r="E452" s="13">
        <f>MIN($B$4+$B$5*D452,$B$6)</f>
        <v/>
      </c>
      <c r="F452" s="13">
        <f>$B$7</f>
        <v/>
      </c>
      <c r="G452" s="13">
        <f>E452+F452</f>
        <v/>
      </c>
      <c r="H452" s="13">
        <f>3*E452+F452</f>
        <v/>
      </c>
      <c r="I452">
        <f>IF(H452&gt;$B$8,"Oui","Non")</f>
        <v/>
      </c>
      <c r="J452" s="14">
        <f>IF(D452&gt;0,E452/D452,"")</f>
        <v/>
      </c>
    </row>
    <row r="453">
      <c r="A453" s="15" t="inlineStr">
        <is>
          <t>CC de la Matheysine</t>
        </is>
      </c>
      <c r="B453" s="15" t="inlineStr">
        <is>
          <t>Isère</t>
        </is>
      </c>
      <c r="C453" s="15" t="inlineStr">
        <is>
          <t>38</t>
        </is>
      </c>
      <c r="D453" s="16" t="n">
        <v>19010</v>
      </c>
      <c r="E453" s="17">
        <f>MIN($B$4+$B$5*D453,$B$6)</f>
        <v/>
      </c>
      <c r="F453" s="17">
        <f>$B$7</f>
        <v/>
      </c>
      <c r="G453" s="17">
        <f>E453+F453</f>
        <v/>
      </c>
      <c r="H453" s="17">
        <f>3*E453+F453</f>
        <v/>
      </c>
      <c r="I453" s="15">
        <f>IF(H453&gt;$B$8,"Oui","Non")</f>
        <v/>
      </c>
      <c r="J453" s="18">
        <f>IF(D453&gt;0,E453/D453,"")</f>
        <v/>
      </c>
    </row>
    <row r="454">
      <c r="A454" t="inlineStr">
        <is>
          <t>CC du Massif du Vercors</t>
        </is>
      </c>
      <c r="B454" t="inlineStr">
        <is>
          <t>Isère</t>
        </is>
      </c>
      <c r="C454" t="inlineStr">
        <is>
          <t>38</t>
        </is>
      </c>
      <c r="D454" s="3" t="n">
        <v>11997</v>
      </c>
      <c r="E454" s="13">
        <f>MIN($B$4+$B$5*D454,$B$6)</f>
        <v/>
      </c>
      <c r="F454" s="13">
        <f>$B$7</f>
        <v/>
      </c>
      <c r="G454" s="13">
        <f>E454+F454</f>
        <v/>
      </c>
      <c r="H454" s="13">
        <f>3*E454+F454</f>
        <v/>
      </c>
      <c r="I454">
        <f>IF(H454&gt;$B$8,"Oui","Non")</f>
        <v/>
      </c>
      <c r="J454" s="14">
        <f>IF(D454&gt;0,E454/D454,"")</f>
        <v/>
      </c>
    </row>
    <row r="455">
      <c r="A455" s="15" t="inlineStr">
        <is>
          <t>CC du Trièves</t>
        </is>
      </c>
      <c r="B455" s="15" t="inlineStr">
        <is>
          <t>Isère</t>
        </is>
      </c>
      <c r="C455" s="15" t="inlineStr">
        <is>
          <t>38</t>
        </is>
      </c>
      <c r="D455" s="16" t="n">
        <v>10338</v>
      </c>
      <c r="E455" s="17">
        <f>MIN($B$4+$B$5*D455,$B$6)</f>
        <v/>
      </c>
      <c r="F455" s="17">
        <f>$B$7</f>
        <v/>
      </c>
      <c r="G455" s="17">
        <f>E455+F455</f>
        <v/>
      </c>
      <c r="H455" s="17">
        <f>3*E455+F455</f>
        <v/>
      </c>
      <c r="I455" s="15">
        <f>IF(H455&gt;$B$8,"Oui","Non")</f>
        <v/>
      </c>
      <c r="J455" s="18">
        <f>IF(D455&gt;0,E455/D455,"")</f>
        <v/>
      </c>
    </row>
    <row r="456">
      <c r="A456" t="inlineStr">
        <is>
          <t>CC Arbois, Poligny, Salins, Coeur du Jura</t>
        </is>
      </c>
      <c r="B456" t="inlineStr">
        <is>
          <t>Jura</t>
        </is>
      </c>
      <c r="C456" t="inlineStr">
        <is>
          <t>39</t>
        </is>
      </c>
      <c r="D456" s="3" t="n">
        <v>21429</v>
      </c>
      <c r="E456" s="13">
        <f>MIN($B$4+$B$5*D456,$B$6)</f>
        <v/>
      </c>
      <c r="F456" s="13">
        <f>$B$7</f>
        <v/>
      </c>
      <c r="G456" s="13">
        <f>E456+F456</f>
        <v/>
      </c>
      <c r="H456" s="13">
        <f>3*E456+F456</f>
        <v/>
      </c>
      <c r="I456">
        <f>IF(H456&gt;$B$8,"Oui","Non")</f>
        <v/>
      </c>
      <c r="J456" s="14">
        <f>IF(D456&gt;0,E456/D456,"")</f>
        <v/>
      </c>
    </row>
    <row r="457">
      <c r="A457" s="15" t="inlineStr">
        <is>
          <t>CC Bresse Haute Seille</t>
        </is>
      </c>
      <c r="B457" s="15" t="inlineStr">
        <is>
          <t>Jura</t>
        </is>
      </c>
      <c r="C457" s="15" t="inlineStr">
        <is>
          <t>39</t>
        </is>
      </c>
      <c r="D457" s="16" t="n">
        <v>19149</v>
      </c>
      <c r="E457" s="17">
        <f>MIN($B$4+$B$5*D457,$B$6)</f>
        <v/>
      </c>
      <c r="F457" s="17">
        <f>$B$7</f>
        <v/>
      </c>
      <c r="G457" s="17">
        <f>E457+F457</f>
        <v/>
      </c>
      <c r="H457" s="17">
        <f>3*E457+F457</f>
        <v/>
      </c>
      <c r="I457" s="15">
        <f>IF(H457&gt;$B$8,"Oui","Non")</f>
        <v/>
      </c>
      <c r="J457" s="18">
        <f>IF(D457&gt;0,E457/D457,"")</f>
        <v/>
      </c>
    </row>
    <row r="458">
      <c r="A458" t="inlineStr">
        <is>
          <t>CC Champagnole Nozeroy Jura</t>
        </is>
      </c>
      <c r="B458" t="inlineStr">
        <is>
          <t>Jura</t>
        </is>
      </c>
      <c r="C458" t="inlineStr">
        <is>
          <t>39</t>
        </is>
      </c>
      <c r="D458" s="3" t="n">
        <v>22936</v>
      </c>
      <c r="E458" s="13">
        <f>MIN($B$4+$B$5*D458,$B$6)</f>
        <v/>
      </c>
      <c r="F458" s="13">
        <f>$B$7</f>
        <v/>
      </c>
      <c r="G458" s="13">
        <f>E458+F458</f>
        <v/>
      </c>
      <c r="H458" s="13">
        <f>3*E458+F458</f>
        <v/>
      </c>
      <c r="I458">
        <f>IF(H458&gt;$B$8,"Oui","Non")</f>
        <v/>
      </c>
      <c r="J458" s="14">
        <f>IF(D458&gt;0,E458/D458,"")</f>
        <v/>
      </c>
    </row>
    <row r="459">
      <c r="A459" s="15" t="inlineStr">
        <is>
          <t>CC Haut-Jura Arcade Communauté</t>
        </is>
      </c>
      <c r="B459" s="15" t="inlineStr">
        <is>
          <t>Jura</t>
        </is>
      </c>
      <c r="C459" s="15" t="inlineStr">
        <is>
          <t>39</t>
        </is>
      </c>
      <c r="D459" s="16" t="n">
        <v>9097</v>
      </c>
      <c r="E459" s="17">
        <f>MIN($B$4+$B$5*D459,$B$6)</f>
        <v/>
      </c>
      <c r="F459" s="17">
        <f>$B$7</f>
        <v/>
      </c>
      <c r="G459" s="17">
        <f>E459+F459</f>
        <v/>
      </c>
      <c r="H459" s="17">
        <f>3*E459+F459</f>
        <v/>
      </c>
      <c r="I459" s="15">
        <f>IF(H459&gt;$B$8,"Oui","Non")</f>
        <v/>
      </c>
      <c r="J459" s="18">
        <f>IF(D459&gt;0,E459/D459,"")</f>
        <v/>
      </c>
    </row>
    <row r="460">
      <c r="A460" t="inlineStr">
        <is>
          <t>CC Haut-Jura Saint-Claude</t>
        </is>
      </c>
      <c r="B460" t="inlineStr">
        <is>
          <t>Jura</t>
        </is>
      </c>
      <c r="C460" t="inlineStr">
        <is>
          <t>39</t>
        </is>
      </c>
      <c r="D460" s="3" t="n">
        <v>19431</v>
      </c>
      <c r="E460" s="13">
        <f>MIN($B$4+$B$5*D460,$B$6)</f>
        <v/>
      </c>
      <c r="F460" s="13">
        <f>$B$7</f>
        <v/>
      </c>
      <c r="G460" s="13">
        <f>E460+F460</f>
        <v/>
      </c>
      <c r="H460" s="13">
        <f>3*E460+F460</f>
        <v/>
      </c>
      <c r="I460">
        <f>IF(H460&gt;$B$8,"Oui","Non")</f>
        <v/>
      </c>
      <c r="J460" s="14">
        <f>IF(D460&gt;0,E460/D460,"")</f>
        <v/>
      </c>
    </row>
    <row r="461">
      <c r="A461" s="15" t="inlineStr">
        <is>
          <t>CC Jura Nord</t>
        </is>
      </c>
      <c r="B461" s="15" t="inlineStr">
        <is>
          <t>Jura</t>
        </is>
      </c>
      <c r="C461" s="15" t="inlineStr">
        <is>
          <t>39</t>
        </is>
      </c>
      <c r="D461" s="16" t="n">
        <v>11804</v>
      </c>
      <c r="E461" s="17">
        <f>MIN($B$4+$B$5*D461,$B$6)</f>
        <v/>
      </c>
      <c r="F461" s="17">
        <f>$B$7</f>
        <v/>
      </c>
      <c r="G461" s="17">
        <f>E461+F461</f>
        <v/>
      </c>
      <c r="H461" s="17">
        <f>3*E461+F461</f>
        <v/>
      </c>
      <c r="I461" s="15">
        <f>IF(H461&gt;$B$8,"Oui","Non")</f>
        <v/>
      </c>
      <c r="J461" s="18">
        <f>IF(D461&gt;0,E461/D461,"")</f>
        <v/>
      </c>
    </row>
    <row r="462">
      <c r="A462" t="inlineStr">
        <is>
          <t>CC Porte du Jura</t>
        </is>
      </c>
      <c r="B462" t="inlineStr">
        <is>
          <t>Jura</t>
        </is>
      </c>
      <c r="C462" t="inlineStr">
        <is>
          <t>39</t>
        </is>
      </c>
      <c r="D462" s="3" t="n">
        <v>10520</v>
      </c>
      <c r="E462" s="13">
        <f>MIN($B$4+$B$5*D462,$B$6)</f>
        <v/>
      </c>
      <c r="F462" s="13">
        <f>$B$7</f>
        <v/>
      </c>
      <c r="G462" s="13">
        <f>E462+F462</f>
        <v/>
      </c>
      <c r="H462" s="13">
        <f>3*E462+F462</f>
        <v/>
      </c>
      <c r="I462">
        <f>IF(H462&gt;$B$8,"Oui","Non")</f>
        <v/>
      </c>
      <c r="J462" s="14">
        <f>IF(D462&gt;0,E462/D462,"")</f>
        <v/>
      </c>
    </row>
    <row r="463">
      <c r="A463" s="15" t="inlineStr">
        <is>
          <t>CC Terre d'Émeraude Communauté</t>
        </is>
      </c>
      <c r="B463" s="15" t="inlineStr">
        <is>
          <t>Jura</t>
        </is>
      </c>
      <c r="C463" s="15" t="inlineStr">
        <is>
          <t>39</t>
        </is>
      </c>
      <c r="D463" s="16" t="n">
        <v>24295</v>
      </c>
      <c r="E463" s="17">
        <f>MIN($B$4+$B$5*D463,$B$6)</f>
        <v/>
      </c>
      <c r="F463" s="17">
        <f>$B$7</f>
        <v/>
      </c>
      <c r="G463" s="17">
        <f>E463+F463</f>
        <v/>
      </c>
      <c r="H463" s="17">
        <f>3*E463+F463</f>
        <v/>
      </c>
      <c r="I463" s="15">
        <f>IF(H463&gt;$B$8,"Oui","Non")</f>
        <v/>
      </c>
      <c r="J463" s="18">
        <f>IF(D463&gt;0,E463/D463,"")</f>
        <v/>
      </c>
    </row>
    <row r="464">
      <c r="A464" t="inlineStr">
        <is>
          <t>CC de la Plaine Jurassienne</t>
        </is>
      </c>
      <c r="B464" t="inlineStr">
        <is>
          <t>Jura</t>
        </is>
      </c>
      <c r="C464" t="inlineStr">
        <is>
          <t>39</t>
        </is>
      </c>
      <c r="D464" s="3" t="n">
        <v>9077</v>
      </c>
      <c r="E464" s="13">
        <f>MIN($B$4+$B$5*D464,$B$6)</f>
        <v/>
      </c>
      <c r="F464" s="13">
        <f>$B$7</f>
        <v/>
      </c>
      <c r="G464" s="13">
        <f>E464+F464</f>
        <v/>
      </c>
      <c r="H464" s="13">
        <f>3*E464+F464</f>
        <v/>
      </c>
      <c r="I464">
        <f>IF(H464&gt;$B$8,"Oui","Non")</f>
        <v/>
      </c>
      <c r="J464" s="14">
        <f>IF(D464&gt;0,E464/D464,"")</f>
        <v/>
      </c>
    </row>
    <row r="465">
      <c r="A465" s="15" t="inlineStr">
        <is>
          <t>CC de la Station des Rousses-Haut Jura</t>
        </is>
      </c>
      <c r="B465" s="15" t="inlineStr">
        <is>
          <t>Jura</t>
        </is>
      </c>
      <c r="C465" s="15" t="inlineStr">
        <is>
          <t>39</t>
        </is>
      </c>
      <c r="D465" s="16" t="n">
        <v>7300</v>
      </c>
      <c r="E465" s="17">
        <f>MIN($B$4+$B$5*D465,$B$6)</f>
        <v/>
      </c>
      <c r="F465" s="17">
        <f>$B$7</f>
        <v/>
      </c>
      <c r="G465" s="17">
        <f>E465+F465</f>
        <v/>
      </c>
      <c r="H465" s="17">
        <f>3*E465+F465</f>
        <v/>
      </c>
      <c r="I465" s="15">
        <f>IF(H465&gt;$B$8,"Oui","Non")</f>
        <v/>
      </c>
      <c r="J465" s="18">
        <f>IF(D465&gt;0,E465/D465,"")</f>
        <v/>
      </c>
    </row>
    <row r="466">
      <c r="A466" t="inlineStr">
        <is>
          <t>CC du Val d'Amour</t>
        </is>
      </c>
      <c r="B466" t="inlineStr">
        <is>
          <t>Jura</t>
        </is>
      </c>
      <c r="C466" t="inlineStr">
        <is>
          <t>39</t>
        </is>
      </c>
      <c r="D466" s="3" t="n">
        <v>9054</v>
      </c>
      <c r="E466" s="13">
        <f>MIN($B$4+$B$5*D466,$B$6)</f>
        <v/>
      </c>
      <c r="F466" s="13">
        <f>$B$7</f>
        <v/>
      </c>
      <c r="G466" s="13">
        <f>E466+F466</f>
        <v/>
      </c>
      <c r="H466" s="13">
        <f>3*E466+F466</f>
        <v/>
      </c>
      <c r="I466">
        <f>IF(H466&gt;$B$8,"Oui","Non")</f>
        <v/>
      </c>
      <c r="J466" s="14">
        <f>IF(D466&gt;0,E466/D466,"")</f>
        <v/>
      </c>
    </row>
    <row r="467">
      <c r="A467" s="15" t="inlineStr">
        <is>
          <t>CC la Grandvallière</t>
        </is>
      </c>
      <c r="B467" s="15" t="inlineStr">
        <is>
          <t>Jura</t>
        </is>
      </c>
      <c r="C467" s="15" t="inlineStr">
        <is>
          <t>39</t>
        </is>
      </c>
      <c r="D467" s="16" t="n">
        <v>5406</v>
      </c>
      <c r="E467" s="17">
        <f>MIN($B$4+$B$5*D467,$B$6)</f>
        <v/>
      </c>
      <c r="F467" s="17">
        <f>$B$7</f>
        <v/>
      </c>
      <c r="G467" s="17">
        <f>E467+F467</f>
        <v/>
      </c>
      <c r="H467" s="17">
        <f>3*E467+F467</f>
        <v/>
      </c>
      <c r="I467" s="15">
        <f>IF(H467&gt;$B$8,"Oui","Non")</f>
        <v/>
      </c>
      <c r="J467" s="18">
        <f>IF(D467&gt;0,E467/D467,"")</f>
        <v/>
      </c>
    </row>
    <row r="468">
      <c r="A468" t="inlineStr">
        <is>
          <t>CC Chalosse Tursan</t>
        </is>
      </c>
      <c r="B468" t="inlineStr">
        <is>
          <t>Landes</t>
        </is>
      </c>
      <c r="C468" t="inlineStr">
        <is>
          <t>40</t>
        </is>
      </c>
      <c r="D468" s="3" t="n">
        <v>26170</v>
      </c>
      <c r="E468" s="13">
        <f>MIN($B$4+$B$5*D468,$B$6)</f>
        <v/>
      </c>
      <c r="F468" s="13">
        <f>$B$7</f>
        <v/>
      </c>
      <c r="G468" s="13">
        <f>E468+F468</f>
        <v/>
      </c>
      <c r="H468" s="13">
        <f>3*E468+F468</f>
        <v/>
      </c>
      <c r="I468">
        <f>IF(H468&gt;$B$8,"Oui","Non")</f>
        <v/>
      </c>
      <c r="J468" s="14">
        <f>IF(D468&gt;0,E468/D468,"")</f>
        <v/>
      </c>
    </row>
    <row r="469">
      <c r="A469" s="15" t="inlineStr">
        <is>
          <t>CC Coeur Haute Lande</t>
        </is>
      </c>
      <c r="B469" s="15" t="inlineStr">
        <is>
          <t>Landes</t>
        </is>
      </c>
      <c r="C469" s="15" t="inlineStr">
        <is>
          <t>40</t>
        </is>
      </c>
      <c r="D469" s="16" t="n">
        <v>16305</v>
      </c>
      <c r="E469" s="17">
        <f>MIN($B$4+$B$5*D469,$B$6)</f>
        <v/>
      </c>
      <c r="F469" s="17">
        <f>$B$7</f>
        <v/>
      </c>
      <c r="G469" s="17">
        <f>E469+F469</f>
        <v/>
      </c>
      <c r="H469" s="17">
        <f>3*E469+F469</f>
        <v/>
      </c>
      <c r="I469" s="15">
        <f>IF(H469&gt;$B$8,"Oui","Non")</f>
        <v/>
      </c>
      <c r="J469" s="18">
        <f>IF(D469&gt;0,E469/D469,"")</f>
        <v/>
      </c>
    </row>
    <row r="470">
      <c r="A470" t="inlineStr">
        <is>
          <t>CC Coteaux et Vallées des Luys</t>
        </is>
      </c>
      <c r="B470" t="inlineStr">
        <is>
          <t>Landes</t>
        </is>
      </c>
      <c r="C470" t="inlineStr">
        <is>
          <t>40</t>
        </is>
      </c>
      <c r="D470" s="3" t="n">
        <v>7647</v>
      </c>
      <c r="E470" s="13">
        <f>MIN($B$4+$B$5*D470,$B$6)</f>
        <v/>
      </c>
      <c r="F470" s="13">
        <f>$B$7</f>
        <v/>
      </c>
      <c r="G470" s="13">
        <f>E470+F470</f>
        <v/>
      </c>
      <c r="H470" s="13">
        <f>3*E470+F470</f>
        <v/>
      </c>
      <c r="I470">
        <f>IF(H470&gt;$B$8,"Oui","Non")</f>
        <v/>
      </c>
      <c r="J470" s="14">
        <f>IF(D470&gt;0,E470/D470,"")</f>
        <v/>
      </c>
    </row>
    <row r="471">
      <c r="A471" s="15" t="inlineStr">
        <is>
          <t>CC Côte Landes Nature</t>
        </is>
      </c>
      <c r="B471" s="15" t="inlineStr">
        <is>
          <t>Landes</t>
        </is>
      </c>
      <c r="C471" s="15" t="inlineStr">
        <is>
          <t>40</t>
        </is>
      </c>
      <c r="D471" s="16" t="n">
        <v>12672</v>
      </c>
      <c r="E471" s="17">
        <f>MIN($B$4+$B$5*D471,$B$6)</f>
        <v/>
      </c>
      <c r="F471" s="17">
        <f>$B$7</f>
        <v/>
      </c>
      <c r="G471" s="17">
        <f>E471+F471</f>
        <v/>
      </c>
      <c r="H471" s="17">
        <f>3*E471+F471</f>
        <v/>
      </c>
      <c r="I471" s="15">
        <f>IF(H471&gt;$B$8,"Oui","Non")</f>
        <v/>
      </c>
      <c r="J471" s="18">
        <f>IF(D471&gt;0,E471/D471,"")</f>
        <v/>
      </c>
    </row>
    <row r="472">
      <c r="A472" t="inlineStr">
        <is>
          <t>CC Maremne Adour Côte Sud</t>
        </is>
      </c>
      <c r="B472" t="inlineStr">
        <is>
          <t>Landes</t>
        </is>
      </c>
      <c r="C472" t="inlineStr">
        <is>
          <t>40</t>
        </is>
      </c>
      <c r="D472" s="3" t="n">
        <v>71315</v>
      </c>
      <c r="E472" s="13">
        <f>MIN($B$4+$B$5*D472,$B$6)</f>
        <v/>
      </c>
      <c r="F472" s="13">
        <f>$B$7</f>
        <v/>
      </c>
      <c r="G472" s="13">
        <f>E472+F472</f>
        <v/>
      </c>
      <c r="H472" s="13">
        <f>3*E472+F472</f>
        <v/>
      </c>
      <c r="I472">
        <f>IF(H472&gt;$B$8,"Oui","Non")</f>
        <v/>
      </c>
      <c r="J472" s="14">
        <f>IF(D472&gt;0,E472/D472,"")</f>
        <v/>
      </c>
    </row>
    <row r="473">
      <c r="A473" s="15" t="inlineStr">
        <is>
          <t>CC Pays d'Orthe et Arrigans</t>
        </is>
      </c>
      <c r="B473" s="15" t="inlineStr">
        <is>
          <t>Landes</t>
        </is>
      </c>
      <c r="C473" s="15" t="inlineStr">
        <is>
          <t>40</t>
        </is>
      </c>
      <c r="D473" s="16" t="n">
        <v>24363</v>
      </c>
      <c r="E473" s="17">
        <f>MIN($B$4+$B$5*D473,$B$6)</f>
        <v/>
      </c>
      <c r="F473" s="17">
        <f>$B$7</f>
        <v/>
      </c>
      <c r="G473" s="17">
        <f>E473+F473</f>
        <v/>
      </c>
      <c r="H473" s="17">
        <f>3*E473+F473</f>
        <v/>
      </c>
      <c r="I473" s="15">
        <f>IF(H473&gt;$B$8,"Oui","Non")</f>
        <v/>
      </c>
      <c r="J473" s="18">
        <f>IF(D473&gt;0,E473/D473,"")</f>
        <v/>
      </c>
    </row>
    <row r="474">
      <c r="A474" t="inlineStr">
        <is>
          <t>CC Terres de Chalosse</t>
        </is>
      </c>
      <c r="B474" t="inlineStr">
        <is>
          <t>Landes</t>
        </is>
      </c>
      <c r="C474" t="inlineStr">
        <is>
          <t>40</t>
        </is>
      </c>
      <c r="D474" s="3" t="n">
        <v>18276</v>
      </c>
      <c r="E474" s="13">
        <f>MIN($B$4+$B$5*D474,$B$6)</f>
        <v/>
      </c>
      <c r="F474" s="13">
        <f>$B$7</f>
        <v/>
      </c>
      <c r="G474" s="13">
        <f>E474+F474</f>
        <v/>
      </c>
      <c r="H474" s="13">
        <f>3*E474+F474</f>
        <v/>
      </c>
      <c r="I474">
        <f>IF(H474&gt;$B$8,"Oui","Non")</f>
        <v/>
      </c>
      <c r="J474" s="14">
        <f>IF(D474&gt;0,E474/D474,"")</f>
        <v/>
      </c>
    </row>
    <row r="475">
      <c r="A475" s="15" t="inlineStr">
        <is>
          <t>CC de Mimizan</t>
        </is>
      </c>
      <c r="B475" s="15" t="inlineStr">
        <is>
          <t>Landes</t>
        </is>
      </c>
      <c r="C475" s="15" t="inlineStr">
        <is>
          <t>40</t>
        </is>
      </c>
      <c r="D475" s="16" t="n">
        <v>12927</v>
      </c>
      <c r="E475" s="17">
        <f>MIN($B$4+$B$5*D475,$B$6)</f>
        <v/>
      </c>
      <c r="F475" s="17">
        <f>$B$7</f>
        <v/>
      </c>
      <c r="G475" s="17">
        <f>E475+F475</f>
        <v/>
      </c>
      <c r="H475" s="17">
        <f>3*E475+F475</f>
        <v/>
      </c>
      <c r="I475" s="15">
        <f>IF(H475&gt;$B$8,"Oui","Non")</f>
        <v/>
      </c>
      <c r="J475" s="18">
        <f>IF(D475&gt;0,E475/D475,"")</f>
        <v/>
      </c>
    </row>
    <row r="476">
      <c r="A476" t="inlineStr">
        <is>
          <t>CC des Grands Lacs</t>
        </is>
      </c>
      <c r="B476" t="inlineStr">
        <is>
          <t>Landes</t>
        </is>
      </c>
      <c r="C476" t="inlineStr">
        <is>
          <t>40</t>
        </is>
      </c>
      <c r="D476" s="3" t="n">
        <v>32874</v>
      </c>
      <c r="E476" s="13">
        <f>MIN($B$4+$B$5*D476,$B$6)</f>
        <v/>
      </c>
      <c r="F476" s="13">
        <f>$B$7</f>
        <v/>
      </c>
      <c r="G476" s="13">
        <f>E476+F476</f>
        <v/>
      </c>
      <c r="H476" s="13">
        <f>3*E476+F476</f>
        <v/>
      </c>
      <c r="I476">
        <f>IF(H476&gt;$B$8,"Oui","Non")</f>
        <v/>
      </c>
      <c r="J476" s="14">
        <f>IF(D476&gt;0,E476/D476,"")</f>
        <v/>
      </c>
    </row>
    <row r="477">
      <c r="A477" s="15" t="inlineStr">
        <is>
          <t>CC des Landes d'Armagnac</t>
        </is>
      </c>
      <c r="B477" s="15" t="inlineStr">
        <is>
          <t>Landes</t>
        </is>
      </c>
      <c r="C477" s="15" t="inlineStr">
        <is>
          <t>40</t>
        </is>
      </c>
      <c r="D477" s="16" t="n">
        <v>10743</v>
      </c>
      <c r="E477" s="17">
        <f>MIN($B$4+$B$5*D477,$B$6)</f>
        <v/>
      </c>
      <c r="F477" s="17">
        <f>$B$7</f>
        <v/>
      </c>
      <c r="G477" s="17">
        <f>E477+F477</f>
        <v/>
      </c>
      <c r="H477" s="17">
        <f>3*E477+F477</f>
        <v/>
      </c>
      <c r="I477" s="15">
        <f>IF(H477&gt;$B$8,"Oui","Non")</f>
        <v/>
      </c>
      <c r="J477" s="18">
        <f>IF(D477&gt;0,E477/D477,"")</f>
        <v/>
      </c>
    </row>
    <row r="478">
      <c r="A478" t="inlineStr">
        <is>
          <t>CC du Pays Grenadois</t>
        </is>
      </c>
      <c r="B478" t="inlineStr">
        <is>
          <t>Landes</t>
        </is>
      </c>
      <c r="C478" t="inlineStr">
        <is>
          <t>40</t>
        </is>
      </c>
      <c r="D478" s="3" t="n">
        <v>7713</v>
      </c>
      <c r="E478" s="13">
        <f>MIN($B$4+$B$5*D478,$B$6)</f>
        <v/>
      </c>
      <c r="F478" s="13">
        <f>$B$7</f>
        <v/>
      </c>
      <c r="G478" s="13">
        <f>E478+F478</f>
        <v/>
      </c>
      <c r="H478" s="13">
        <f>3*E478+F478</f>
        <v/>
      </c>
      <c r="I478">
        <f>IF(H478&gt;$B$8,"Oui","Non")</f>
        <v/>
      </c>
      <c r="J478" s="14">
        <f>IF(D478&gt;0,E478/D478,"")</f>
        <v/>
      </c>
    </row>
    <row r="479">
      <c r="A479" s="15" t="inlineStr">
        <is>
          <t>CC du Pays Morcenais</t>
        </is>
      </c>
      <c r="B479" s="15" t="inlineStr">
        <is>
          <t>Landes</t>
        </is>
      </c>
      <c r="C479" s="15" t="inlineStr">
        <is>
          <t>40</t>
        </is>
      </c>
      <c r="D479" s="16" t="n">
        <v>9434</v>
      </c>
      <c r="E479" s="17">
        <f>MIN($B$4+$B$5*D479,$B$6)</f>
        <v/>
      </c>
      <c r="F479" s="17">
        <f>$B$7</f>
        <v/>
      </c>
      <c r="G479" s="17">
        <f>E479+F479</f>
        <v/>
      </c>
      <c r="H479" s="17">
        <f>3*E479+F479</f>
        <v/>
      </c>
      <c r="I479" s="15">
        <f>IF(H479&gt;$B$8,"Oui","Non")</f>
        <v/>
      </c>
      <c r="J479" s="18">
        <f>IF(D479&gt;0,E479/D479,"")</f>
        <v/>
      </c>
    </row>
    <row r="480">
      <c r="A480" t="inlineStr">
        <is>
          <t>CC du Pays Tarusate</t>
        </is>
      </c>
      <c r="B480" t="inlineStr">
        <is>
          <t>Landes</t>
        </is>
      </c>
      <c r="C480" t="inlineStr">
        <is>
          <t>40</t>
        </is>
      </c>
      <c r="D480" s="3" t="n">
        <v>18074</v>
      </c>
      <c r="E480" s="13">
        <f>MIN($B$4+$B$5*D480,$B$6)</f>
        <v/>
      </c>
      <c r="F480" s="13">
        <f>$B$7</f>
        <v/>
      </c>
      <c r="G480" s="13">
        <f>E480+F480</f>
        <v/>
      </c>
      <c r="H480" s="13">
        <f>3*E480+F480</f>
        <v/>
      </c>
      <c r="I480">
        <f>IF(H480&gt;$B$8,"Oui","Non")</f>
        <v/>
      </c>
      <c r="J480" s="14">
        <f>IF(D480&gt;0,E480/D480,"")</f>
        <v/>
      </c>
    </row>
    <row r="481">
      <c r="A481" s="15" t="inlineStr">
        <is>
          <t>CC du Pays de Villeneuve en Armagnac Landais</t>
        </is>
      </c>
      <c r="B481" s="15" t="inlineStr">
        <is>
          <t>Landes</t>
        </is>
      </c>
      <c r="C481" s="15" t="inlineStr">
        <is>
          <t>40</t>
        </is>
      </c>
      <c r="D481" s="16" t="n">
        <v>6249</v>
      </c>
      <c r="E481" s="17">
        <f>MIN($B$4+$B$5*D481,$B$6)</f>
        <v/>
      </c>
      <c r="F481" s="17">
        <f>$B$7</f>
        <v/>
      </c>
      <c r="G481" s="17">
        <f>E481+F481</f>
        <v/>
      </c>
      <c r="H481" s="17">
        <f>3*E481+F481</f>
        <v/>
      </c>
      <c r="I481" s="15">
        <f>IF(H481&gt;$B$8,"Oui","Non")</f>
        <v/>
      </c>
      <c r="J481" s="18">
        <f>IF(D481&gt;0,E481/D481,"")</f>
        <v/>
      </c>
    </row>
    <row r="482">
      <c r="A482" t="inlineStr">
        <is>
          <t>CC du Seignanx</t>
        </is>
      </c>
      <c r="B482" t="inlineStr">
        <is>
          <t>Landes</t>
        </is>
      </c>
      <c r="C482" t="inlineStr">
        <is>
          <t>40</t>
        </is>
      </c>
      <c r="D482" s="3" t="n">
        <v>29658</v>
      </c>
      <c r="E482" s="13">
        <f>MIN($B$4+$B$5*D482,$B$6)</f>
        <v/>
      </c>
      <c r="F482" s="13">
        <f>$B$7</f>
        <v/>
      </c>
      <c r="G482" s="13">
        <f>E482+F482</f>
        <v/>
      </c>
      <c r="H482" s="13">
        <f>3*E482+F482</f>
        <v/>
      </c>
      <c r="I482">
        <f>IF(H482&gt;$B$8,"Oui","Non")</f>
        <v/>
      </c>
      <c r="J482" s="14">
        <f>IF(D482&gt;0,E482/D482,"")</f>
        <v/>
      </c>
    </row>
    <row r="483">
      <c r="A483" s="15" t="inlineStr">
        <is>
          <t>CC Beauce Val de Loire</t>
        </is>
      </c>
      <c r="B483" s="15" t="inlineStr">
        <is>
          <t>Loir-et-Cher</t>
        </is>
      </c>
      <c r="C483" s="15" t="inlineStr">
        <is>
          <t>41</t>
        </is>
      </c>
      <c r="D483" s="16" t="n">
        <v>19658</v>
      </c>
      <c r="E483" s="17">
        <f>MIN($B$4+$B$5*D483,$B$6)</f>
        <v/>
      </c>
      <c r="F483" s="17">
        <f>$B$7</f>
        <v/>
      </c>
      <c r="G483" s="17">
        <f>E483+F483</f>
        <v/>
      </c>
      <c r="H483" s="17">
        <f>3*E483+F483</f>
        <v/>
      </c>
      <c r="I483" s="15">
        <f>IF(H483&gt;$B$8,"Oui","Non")</f>
        <v/>
      </c>
      <c r="J483" s="18">
        <f>IF(D483&gt;0,E483/D483,"")</f>
        <v/>
      </c>
    </row>
    <row r="484">
      <c r="A484" t="inlineStr">
        <is>
          <t>CC Coeur de Sologne</t>
        </is>
      </c>
      <c r="B484" t="inlineStr">
        <is>
          <t>Loir-et-Cher</t>
        </is>
      </c>
      <c r="C484" t="inlineStr">
        <is>
          <t>41</t>
        </is>
      </c>
      <c r="D484" s="3" t="n">
        <v>10230</v>
      </c>
      <c r="E484" s="13">
        <f>MIN($B$4+$B$5*D484,$B$6)</f>
        <v/>
      </c>
      <c r="F484" s="13">
        <f>$B$7</f>
        <v/>
      </c>
      <c r="G484" s="13">
        <f>E484+F484</f>
        <v/>
      </c>
      <c r="H484" s="13">
        <f>3*E484+F484</f>
        <v/>
      </c>
      <c r="I484">
        <f>IF(H484&gt;$B$8,"Oui","Non")</f>
        <v/>
      </c>
      <c r="J484" s="14">
        <f>IF(D484&gt;0,E484/D484,"")</f>
        <v/>
      </c>
    </row>
    <row r="485">
      <c r="A485" s="15" t="inlineStr">
        <is>
          <t>CC Val-de-Cher-Controis</t>
        </is>
      </c>
      <c r="B485" s="15" t="inlineStr">
        <is>
          <t>Loir-et-Cher</t>
        </is>
      </c>
      <c r="C485" s="15" t="inlineStr">
        <is>
          <t>41</t>
        </is>
      </c>
      <c r="D485" s="16" t="n">
        <v>46974</v>
      </c>
      <c r="E485" s="17">
        <f>MIN($B$4+$B$5*D485,$B$6)</f>
        <v/>
      </c>
      <c r="F485" s="17">
        <f>$B$7</f>
        <v/>
      </c>
      <c r="G485" s="17">
        <f>E485+F485</f>
        <v/>
      </c>
      <c r="H485" s="17">
        <f>3*E485+F485</f>
        <v/>
      </c>
      <c r="I485" s="15">
        <f>IF(H485&gt;$B$8,"Oui","Non")</f>
        <v/>
      </c>
      <c r="J485" s="18">
        <f>IF(D485&gt;0,E485/D485,"")</f>
        <v/>
      </c>
    </row>
    <row r="486">
      <c r="A486" t="inlineStr">
        <is>
          <t>CC de la Sologne des Etangs</t>
        </is>
      </c>
      <c r="B486" t="inlineStr">
        <is>
          <t>Loir-et-Cher</t>
        </is>
      </c>
      <c r="C486" t="inlineStr">
        <is>
          <t>41</t>
        </is>
      </c>
      <c r="D486" s="3" t="n">
        <v>8651</v>
      </c>
      <c r="E486" s="13">
        <f>MIN($B$4+$B$5*D486,$B$6)</f>
        <v/>
      </c>
      <c r="F486" s="13">
        <f>$B$7</f>
        <v/>
      </c>
      <c r="G486" s="13">
        <f>E486+F486</f>
        <v/>
      </c>
      <c r="H486" s="13">
        <f>3*E486+F486</f>
        <v/>
      </c>
      <c r="I486">
        <f>IF(H486&gt;$B$8,"Oui","Non")</f>
        <v/>
      </c>
      <c r="J486" s="14">
        <f>IF(D486&gt;0,E486/D486,"")</f>
        <v/>
      </c>
    </row>
    <row r="487">
      <c r="A487" s="15" t="inlineStr">
        <is>
          <t>CC de la Sologne des Rivières</t>
        </is>
      </c>
      <c r="B487" s="15" t="inlineStr">
        <is>
          <t>Loir-et-Cher</t>
        </is>
      </c>
      <c r="C487" s="15" t="inlineStr">
        <is>
          <t>41</t>
        </is>
      </c>
      <c r="D487" s="16" t="n">
        <v>10404</v>
      </c>
      <c r="E487" s="17">
        <f>MIN($B$4+$B$5*D487,$B$6)</f>
        <v/>
      </c>
      <c r="F487" s="17">
        <f>$B$7</f>
        <v/>
      </c>
      <c r="G487" s="17">
        <f>E487+F487</f>
        <v/>
      </c>
      <c r="H487" s="17">
        <f>3*E487+F487</f>
        <v/>
      </c>
      <c r="I487" s="15">
        <f>IF(H487&gt;$B$8,"Oui","Non")</f>
        <v/>
      </c>
      <c r="J487" s="18">
        <f>IF(D487&gt;0,E487/D487,"")</f>
        <v/>
      </c>
    </row>
    <row r="488">
      <c r="A488" t="inlineStr">
        <is>
          <t>CC des Collines du Perche</t>
        </is>
      </c>
      <c r="B488" t="inlineStr">
        <is>
          <t>Loir-et-Cher</t>
        </is>
      </c>
      <c r="C488" t="inlineStr">
        <is>
          <t>41</t>
        </is>
      </c>
      <c r="D488" s="3" t="n">
        <v>5885</v>
      </c>
      <c r="E488" s="13">
        <f>MIN($B$4+$B$5*D488,$B$6)</f>
        <v/>
      </c>
      <c r="F488" s="13">
        <f>$B$7</f>
        <v/>
      </c>
      <c r="G488" s="13">
        <f>E488+F488</f>
        <v/>
      </c>
      <c r="H488" s="13">
        <f>3*E488+F488</f>
        <v/>
      </c>
      <c r="I488">
        <f>IF(H488&gt;$B$8,"Oui","Non")</f>
        <v/>
      </c>
      <c r="J488" s="14">
        <f>IF(D488&gt;0,E488/D488,"")</f>
        <v/>
      </c>
    </row>
    <row r="489">
      <c r="A489" s="15" t="inlineStr">
        <is>
          <t>CC des Terres du Val de Loire</t>
        </is>
      </c>
      <c r="B489" s="15" t="inlineStr">
        <is>
          <t>Loir-et-Cher, Loiret</t>
        </is>
      </c>
      <c r="C489" s="15" t="inlineStr">
        <is>
          <t>41, 45</t>
        </is>
      </c>
      <c r="D489" s="16" t="n">
        <v>50078</v>
      </c>
      <c r="E489" s="17">
        <f>MIN($B$4+$B$5*D489,$B$6)</f>
        <v/>
      </c>
      <c r="F489" s="17">
        <f>$B$7</f>
        <v/>
      </c>
      <c r="G489" s="17">
        <f>E489+F489</f>
        <v/>
      </c>
      <c r="H489" s="17">
        <f>3*E489+F489</f>
        <v/>
      </c>
      <c r="I489" s="15">
        <f>IF(H489&gt;$B$8,"Oui","Non")</f>
        <v/>
      </c>
      <c r="J489" s="18">
        <f>IF(D489&gt;0,E489/D489,"")</f>
        <v/>
      </c>
    </row>
    <row r="490">
      <c r="A490" t="inlineStr">
        <is>
          <t>CC du Grand Chambord</t>
        </is>
      </c>
      <c r="B490" t="inlineStr">
        <is>
          <t>Loir-et-Cher</t>
        </is>
      </c>
      <c r="C490" t="inlineStr">
        <is>
          <t>41</t>
        </is>
      </c>
      <c r="D490" s="3" t="n">
        <v>20640</v>
      </c>
      <c r="E490" s="13">
        <f>MIN($B$4+$B$5*D490,$B$6)</f>
        <v/>
      </c>
      <c r="F490" s="13">
        <f>$B$7</f>
        <v/>
      </c>
      <c r="G490" s="13">
        <f>E490+F490</f>
        <v/>
      </c>
      <c r="H490" s="13">
        <f>3*E490+F490</f>
        <v/>
      </c>
      <c r="I490">
        <f>IF(H490&gt;$B$8,"Oui","Non")</f>
        <v/>
      </c>
      <c r="J490" s="14">
        <f>IF(D490&gt;0,E490/D490,"")</f>
        <v/>
      </c>
    </row>
    <row r="491">
      <c r="A491" s="15" t="inlineStr">
        <is>
          <t>CC du Perche et Haut Vendômois</t>
        </is>
      </c>
      <c r="B491" s="15" t="inlineStr">
        <is>
          <t>Loir-et-Cher</t>
        </is>
      </c>
      <c r="C491" s="15" t="inlineStr">
        <is>
          <t>41</t>
        </is>
      </c>
      <c r="D491" s="16" t="n">
        <v>9155</v>
      </c>
      <c r="E491" s="17">
        <f>MIN($B$4+$B$5*D491,$B$6)</f>
        <v/>
      </c>
      <c r="F491" s="17">
        <f>$B$7</f>
        <v/>
      </c>
      <c r="G491" s="17">
        <f>E491+F491</f>
        <v/>
      </c>
      <c r="H491" s="17">
        <f>3*E491+F491</f>
        <v/>
      </c>
      <c r="I491" s="15">
        <f>IF(H491&gt;$B$8,"Oui","Non")</f>
        <v/>
      </c>
      <c r="J491" s="18">
        <f>IF(D491&gt;0,E491/D491,"")</f>
        <v/>
      </c>
    </row>
    <row r="492">
      <c r="A492" t="inlineStr">
        <is>
          <t>CC du Romorantinais et du Monestois</t>
        </is>
      </c>
      <c r="B492" t="inlineStr">
        <is>
          <t>Loir-et-Cher</t>
        </is>
      </c>
      <c r="C492" t="inlineStr">
        <is>
          <t>41</t>
        </is>
      </c>
      <c r="D492" s="3" t="n">
        <v>33921</v>
      </c>
      <c r="E492" s="13">
        <f>MIN($B$4+$B$5*D492,$B$6)</f>
        <v/>
      </c>
      <c r="F492" s="13">
        <f>$B$7</f>
        <v/>
      </c>
      <c r="G492" s="13">
        <f>E492+F492</f>
        <v/>
      </c>
      <c r="H492" s="13">
        <f>3*E492+F492</f>
        <v/>
      </c>
      <c r="I492">
        <f>IF(H492&gt;$B$8,"Oui","Non")</f>
        <v/>
      </c>
      <c r="J492" s="14">
        <f>IF(D492&gt;0,E492/D492,"")</f>
        <v/>
      </c>
    </row>
    <row r="493">
      <c r="A493" s="15" t="inlineStr">
        <is>
          <t>CC Charlieu-Belmont</t>
        </is>
      </c>
      <c r="B493" s="15" t="inlineStr">
        <is>
          <t>Loire</t>
        </is>
      </c>
      <c r="C493" s="15" t="inlineStr">
        <is>
          <t>42</t>
        </is>
      </c>
      <c r="D493" s="16" t="n">
        <v>23400</v>
      </c>
      <c r="E493" s="17">
        <f>MIN($B$4+$B$5*D493,$B$6)</f>
        <v/>
      </c>
      <c r="F493" s="17">
        <f>$B$7</f>
        <v/>
      </c>
      <c r="G493" s="17">
        <f>E493+F493</f>
        <v/>
      </c>
      <c r="H493" s="17">
        <f>3*E493+F493</f>
        <v/>
      </c>
      <c r="I493" s="15">
        <f>IF(H493&gt;$B$8,"Oui","Non")</f>
        <v/>
      </c>
      <c r="J493" s="18">
        <f>IF(D493&gt;0,E493/D493,"")</f>
        <v/>
      </c>
    </row>
    <row r="494">
      <c r="A494" t="inlineStr">
        <is>
          <t>CC de Forez-Est</t>
        </is>
      </c>
      <c r="B494" t="inlineStr">
        <is>
          <t>Loire</t>
        </is>
      </c>
      <c r="C494" t="inlineStr">
        <is>
          <t>42</t>
        </is>
      </c>
      <c r="D494" s="3" t="n">
        <v>64654</v>
      </c>
      <c r="E494" s="13">
        <f>MIN($B$4+$B$5*D494,$B$6)</f>
        <v/>
      </c>
      <c r="F494" s="13">
        <f>$B$7</f>
        <v/>
      </c>
      <c r="G494" s="13">
        <f>E494+F494</f>
        <v/>
      </c>
      <c r="H494" s="13">
        <f>3*E494+F494</f>
        <v/>
      </c>
      <c r="I494">
        <f>IF(H494&gt;$B$8,"Oui","Non")</f>
        <v/>
      </c>
      <c r="J494" s="14">
        <f>IF(D494&gt;0,E494/D494,"")</f>
        <v/>
      </c>
    </row>
    <row r="495">
      <c r="A495" s="15" t="inlineStr">
        <is>
          <t>CC des Monts du Lyonnais</t>
        </is>
      </c>
      <c r="B495" s="15" t="inlineStr">
        <is>
          <t>Loire, Rhône</t>
        </is>
      </c>
      <c r="C495" s="15" t="inlineStr">
        <is>
          <t>42, 69</t>
        </is>
      </c>
      <c r="D495" s="16" t="n">
        <v>35237</v>
      </c>
      <c r="E495" s="17">
        <f>MIN($B$4+$B$5*D495,$B$6)</f>
        <v/>
      </c>
      <c r="F495" s="17">
        <f>$B$7</f>
        <v/>
      </c>
      <c r="G495" s="17">
        <f>E495+F495</f>
        <v/>
      </c>
      <c r="H495" s="17">
        <f>3*E495+F495</f>
        <v/>
      </c>
      <c r="I495" s="15">
        <f>IF(H495&gt;$B$8,"Oui","Non")</f>
        <v/>
      </c>
      <c r="J495" s="18">
        <f>IF(D495&gt;0,E495/D495,"")</f>
        <v/>
      </c>
    </row>
    <row r="496">
      <c r="A496" t="inlineStr">
        <is>
          <t>CC des Monts du Pilat</t>
        </is>
      </c>
      <c r="B496" t="inlineStr">
        <is>
          <t>Loire</t>
        </is>
      </c>
      <c r="C496" t="inlineStr">
        <is>
          <t>42</t>
        </is>
      </c>
      <c r="D496" s="3" t="n">
        <v>15463</v>
      </c>
      <c r="E496" s="13">
        <f>MIN($B$4+$B$5*D496,$B$6)</f>
        <v/>
      </c>
      <c r="F496" s="13">
        <f>$B$7</f>
        <v/>
      </c>
      <c r="G496" s="13">
        <f>E496+F496</f>
        <v/>
      </c>
      <c r="H496" s="13">
        <f>3*E496+F496</f>
        <v/>
      </c>
      <c r="I496">
        <f>IF(H496&gt;$B$8,"Oui","Non")</f>
        <v/>
      </c>
      <c r="J496" s="14">
        <f>IF(D496&gt;0,E496/D496,"")</f>
        <v/>
      </c>
    </row>
    <row r="497">
      <c r="A497" s="15" t="inlineStr">
        <is>
          <t>CC des Vals d'Aix et Isable</t>
        </is>
      </c>
      <c r="B497" s="15" t="inlineStr">
        <is>
          <t>Loire</t>
        </is>
      </c>
      <c r="C497" s="15" t="inlineStr">
        <is>
          <t>42</t>
        </is>
      </c>
      <c r="D497" s="16" t="n">
        <v>5943</v>
      </c>
      <c r="E497" s="17">
        <f>MIN($B$4+$B$5*D497,$B$6)</f>
        <v/>
      </c>
      <c r="F497" s="17">
        <f>$B$7</f>
        <v/>
      </c>
      <c r="G497" s="17">
        <f>E497+F497</f>
        <v/>
      </c>
      <c r="H497" s="17">
        <f>3*E497+F497</f>
        <v/>
      </c>
      <c r="I497" s="15">
        <f>IF(H497&gt;$B$8,"Oui","Non")</f>
        <v/>
      </c>
      <c r="J497" s="18">
        <f>IF(D497&gt;0,E497/D497,"")</f>
        <v/>
      </c>
    </row>
    <row r="498">
      <c r="A498" t="inlineStr">
        <is>
          <t>CC du Pays Entre Loire et Rhône</t>
        </is>
      </c>
      <c r="B498" t="inlineStr">
        <is>
          <t>Loire</t>
        </is>
      </c>
      <c r="C498" t="inlineStr">
        <is>
          <t>42</t>
        </is>
      </c>
      <c r="D498" s="3" t="n">
        <v>14105</v>
      </c>
      <c r="E498" s="13">
        <f>MIN($B$4+$B$5*D498,$B$6)</f>
        <v/>
      </c>
      <c r="F498" s="13">
        <f>$B$7</f>
        <v/>
      </c>
      <c r="G498" s="13">
        <f>E498+F498</f>
        <v/>
      </c>
      <c r="H498" s="13">
        <f>3*E498+F498</f>
        <v/>
      </c>
      <c r="I498">
        <f>IF(H498&gt;$B$8,"Oui","Non")</f>
        <v/>
      </c>
      <c r="J498" s="14">
        <f>IF(D498&gt;0,E498/D498,"")</f>
        <v/>
      </c>
    </row>
    <row r="499">
      <c r="A499" s="15" t="inlineStr">
        <is>
          <t>CC du Pays d'Urfé</t>
        </is>
      </c>
      <c r="B499" s="15" t="inlineStr">
        <is>
          <t>Loire</t>
        </is>
      </c>
      <c r="C499" s="15" t="inlineStr">
        <is>
          <t>42</t>
        </is>
      </c>
      <c r="D499" s="16" t="n">
        <v>5104</v>
      </c>
      <c r="E499" s="17">
        <f>MIN($B$4+$B$5*D499,$B$6)</f>
        <v/>
      </c>
      <c r="F499" s="17">
        <f>$B$7</f>
        <v/>
      </c>
      <c r="G499" s="17">
        <f>E499+F499</f>
        <v/>
      </c>
      <c r="H499" s="17">
        <f>3*E499+F499</f>
        <v/>
      </c>
      <c r="I499" s="15">
        <f>IF(H499&gt;$B$8,"Oui","Non")</f>
        <v/>
      </c>
      <c r="J499" s="18">
        <f>IF(D499&gt;0,E499/D499,"")</f>
        <v/>
      </c>
    </row>
    <row r="500">
      <c r="A500" t="inlineStr">
        <is>
          <t>CC du Pilat Rhodanien</t>
        </is>
      </c>
      <c r="B500" t="inlineStr">
        <is>
          <t>Loire</t>
        </is>
      </c>
      <c r="C500" t="inlineStr">
        <is>
          <t>42</t>
        </is>
      </c>
      <c r="D500" s="3" t="n">
        <v>16953</v>
      </c>
      <c r="E500" s="13">
        <f>MIN($B$4+$B$5*D500,$B$6)</f>
        <v/>
      </c>
      <c r="F500" s="13">
        <f>$B$7</f>
        <v/>
      </c>
      <c r="G500" s="13">
        <f>E500+F500</f>
        <v/>
      </c>
      <c r="H500" s="13">
        <f>3*E500+F500</f>
        <v/>
      </c>
      <c r="I500">
        <f>IF(H500&gt;$B$8,"Oui","Non")</f>
        <v/>
      </c>
      <c r="J500" s="14">
        <f>IF(D500&gt;0,E500/D500,"")</f>
        <v/>
      </c>
    </row>
    <row r="501">
      <c r="A501" s="15" t="inlineStr">
        <is>
          <t>CC Auzon Communauté</t>
        </is>
      </c>
      <c r="B501" s="15" t="inlineStr">
        <is>
          <t>Haute-Loire</t>
        </is>
      </c>
      <c r="C501" s="15" t="inlineStr">
        <is>
          <t>43</t>
        </is>
      </c>
      <c r="D501" s="16" t="n">
        <v>9348</v>
      </c>
      <c r="E501" s="17">
        <f>MIN($B$4+$B$5*D501,$B$6)</f>
        <v/>
      </c>
      <c r="F501" s="17">
        <f>$B$7</f>
        <v/>
      </c>
      <c r="G501" s="17">
        <f>E501+F501</f>
        <v/>
      </c>
      <c r="H501" s="17">
        <f>3*E501+F501</f>
        <v/>
      </c>
      <c r="I501" s="15">
        <f>IF(H501&gt;$B$8,"Oui","Non")</f>
        <v/>
      </c>
      <c r="J501" s="18">
        <f>IF(D501&gt;0,E501/D501,"")</f>
        <v/>
      </c>
    </row>
    <row r="502">
      <c r="A502" t="inlineStr">
        <is>
          <t>CC Brioude Sud Auvergne</t>
        </is>
      </c>
      <c r="B502" t="inlineStr">
        <is>
          <t>Haute-Loire</t>
        </is>
      </c>
      <c r="C502" t="inlineStr">
        <is>
          <t>43</t>
        </is>
      </c>
      <c r="D502" s="3" t="n">
        <v>16706</v>
      </c>
      <c r="E502" s="13">
        <f>MIN($B$4+$B$5*D502,$B$6)</f>
        <v/>
      </c>
      <c r="F502" s="13">
        <f>$B$7</f>
        <v/>
      </c>
      <c r="G502" s="13">
        <f>E502+F502</f>
        <v/>
      </c>
      <c r="H502" s="13">
        <f>3*E502+F502</f>
        <v/>
      </c>
      <c r="I502">
        <f>IF(H502&gt;$B$8,"Oui","Non")</f>
        <v/>
      </c>
      <c r="J502" s="14">
        <f>IF(D502&gt;0,E502/D502,"")</f>
        <v/>
      </c>
    </row>
    <row r="503">
      <c r="A503" s="15" t="inlineStr">
        <is>
          <t>CC Haut Pays du Velay</t>
        </is>
      </c>
      <c r="B503" s="15" t="inlineStr">
        <is>
          <t>Haute-Loire</t>
        </is>
      </c>
      <c r="C503" s="15" t="inlineStr">
        <is>
          <t>43</t>
        </is>
      </c>
      <c r="D503" s="16" t="n">
        <v>8025</v>
      </c>
      <c r="E503" s="17">
        <f>MIN($B$4+$B$5*D503,$B$6)</f>
        <v/>
      </c>
      <c r="F503" s="17">
        <f>$B$7</f>
        <v/>
      </c>
      <c r="G503" s="17">
        <f>E503+F503</f>
        <v/>
      </c>
      <c r="H503" s="17">
        <f>3*E503+F503</f>
        <v/>
      </c>
      <c r="I503" s="15">
        <f>IF(H503&gt;$B$8,"Oui","Non")</f>
        <v/>
      </c>
      <c r="J503" s="18">
        <f>IF(D503&gt;0,E503/D503,"")</f>
        <v/>
      </c>
    </row>
    <row r="504">
      <c r="A504" t="inlineStr">
        <is>
          <t>CC Loire et Semène</t>
        </is>
      </c>
      <c r="B504" t="inlineStr">
        <is>
          <t>Haute-Loire</t>
        </is>
      </c>
      <c r="C504" t="inlineStr">
        <is>
          <t>43</t>
        </is>
      </c>
      <c r="D504" s="3" t="n">
        <v>20448</v>
      </c>
      <c r="E504" s="13">
        <f>MIN($B$4+$B$5*D504,$B$6)</f>
        <v/>
      </c>
      <c r="F504" s="13">
        <f>$B$7</f>
        <v/>
      </c>
      <c r="G504" s="13">
        <f>E504+F504</f>
        <v/>
      </c>
      <c r="H504" s="13">
        <f>3*E504+F504</f>
        <v/>
      </c>
      <c r="I504">
        <f>IF(H504&gt;$B$8,"Oui","Non")</f>
        <v/>
      </c>
      <c r="J504" s="14">
        <f>IF(D504&gt;0,E504/D504,"")</f>
        <v/>
      </c>
    </row>
    <row r="505">
      <c r="A505" s="15" t="inlineStr">
        <is>
          <t>CC Marches du Velay-Rochebaron</t>
        </is>
      </c>
      <c r="B505" s="15" t="inlineStr">
        <is>
          <t>Haute-Loire</t>
        </is>
      </c>
      <c r="C505" s="15" t="inlineStr">
        <is>
          <t>43</t>
        </is>
      </c>
      <c r="D505" s="16" t="n">
        <v>31339</v>
      </c>
      <c r="E505" s="17">
        <f>MIN($B$4+$B$5*D505,$B$6)</f>
        <v/>
      </c>
      <c r="F505" s="17">
        <f>$B$7</f>
        <v/>
      </c>
      <c r="G505" s="17">
        <f>E505+F505</f>
        <v/>
      </c>
      <c r="H505" s="17">
        <f>3*E505+F505</f>
        <v/>
      </c>
      <c r="I505" s="15">
        <f>IF(H505&gt;$B$8,"Oui","Non")</f>
        <v/>
      </c>
      <c r="J505" s="18">
        <f>IF(D505&gt;0,E505/D505,"")</f>
        <v/>
      </c>
    </row>
    <row r="506">
      <c r="A506" t="inlineStr">
        <is>
          <t>CC Mézenc-Loire-Meygal</t>
        </is>
      </c>
      <c r="B506" t="inlineStr">
        <is>
          <t>Haute-Loire</t>
        </is>
      </c>
      <c r="C506" t="inlineStr">
        <is>
          <t>43</t>
        </is>
      </c>
      <c r="D506" s="3" t="n">
        <v>11429</v>
      </c>
      <c r="E506" s="13">
        <f>MIN($B$4+$B$5*D506,$B$6)</f>
        <v/>
      </c>
      <c r="F506" s="13">
        <f>$B$7</f>
        <v/>
      </c>
      <c r="G506" s="13">
        <f>E506+F506</f>
        <v/>
      </c>
      <c r="H506" s="13">
        <f>3*E506+F506</f>
        <v/>
      </c>
      <c r="I506">
        <f>IF(H506&gt;$B$8,"Oui","Non")</f>
        <v/>
      </c>
      <c r="J506" s="14">
        <f>IF(D506&gt;0,E506/D506,"")</f>
        <v/>
      </c>
    </row>
    <row r="507">
      <c r="A507" s="15" t="inlineStr">
        <is>
          <t>CC des Pays de Cayres et de Pradelles</t>
        </is>
      </c>
      <c r="B507" s="15" t="inlineStr">
        <is>
          <t>Haute-Loire</t>
        </is>
      </c>
      <c r="C507" s="15" t="inlineStr">
        <is>
          <t>43</t>
        </is>
      </c>
      <c r="D507" s="16" t="n">
        <v>5148</v>
      </c>
      <c r="E507" s="17">
        <f>MIN($B$4+$B$5*D507,$B$6)</f>
        <v/>
      </c>
      <c r="F507" s="17">
        <f>$B$7</f>
        <v/>
      </c>
      <c r="G507" s="17">
        <f>E507+F507</f>
        <v/>
      </c>
      <c r="H507" s="17">
        <f>3*E507+F507</f>
        <v/>
      </c>
      <c r="I507" s="15">
        <f>IF(H507&gt;$B$8,"Oui","Non")</f>
        <v/>
      </c>
      <c r="J507" s="18">
        <f>IF(D507&gt;0,E507/D507,"")</f>
        <v/>
      </c>
    </row>
    <row r="508">
      <c r="A508" t="inlineStr">
        <is>
          <t>CC des Rives du Haut Allier</t>
        </is>
      </c>
      <c r="B508" t="inlineStr">
        <is>
          <t>Haute-Loire</t>
        </is>
      </c>
      <c r="C508" t="inlineStr">
        <is>
          <t>43</t>
        </is>
      </c>
      <c r="D508" s="3" t="n">
        <v>16416</v>
      </c>
      <c r="E508" s="13">
        <f>MIN($B$4+$B$5*D508,$B$6)</f>
        <v/>
      </c>
      <c r="F508" s="13">
        <f>$B$7</f>
        <v/>
      </c>
      <c r="G508" s="13">
        <f>E508+F508</f>
        <v/>
      </c>
      <c r="H508" s="13">
        <f>3*E508+F508</f>
        <v/>
      </c>
      <c r="I508">
        <f>IF(H508&gt;$B$8,"Oui","Non")</f>
        <v/>
      </c>
      <c r="J508" s="14">
        <f>IF(D508&gt;0,E508/D508,"")</f>
        <v/>
      </c>
    </row>
    <row r="509">
      <c r="A509" s="15" t="inlineStr">
        <is>
          <t>CC des Sucs</t>
        </is>
      </c>
      <c r="B509" s="15" t="inlineStr">
        <is>
          <t>Haute-Loire</t>
        </is>
      </c>
      <c r="C509" s="15" t="inlineStr">
        <is>
          <t>43</t>
        </is>
      </c>
      <c r="D509" s="16" t="n">
        <v>18332</v>
      </c>
      <c r="E509" s="17">
        <f>MIN($B$4+$B$5*D509,$B$6)</f>
        <v/>
      </c>
      <c r="F509" s="17">
        <f>$B$7</f>
        <v/>
      </c>
      <c r="G509" s="17">
        <f>E509+F509</f>
        <v/>
      </c>
      <c r="H509" s="17">
        <f>3*E509+F509</f>
        <v/>
      </c>
      <c r="I509" s="15">
        <f>IF(H509&gt;$B$8,"Oui","Non")</f>
        <v/>
      </c>
      <c r="J509" s="18">
        <f>IF(D509&gt;0,E509/D509,"")</f>
        <v/>
      </c>
    </row>
    <row r="510">
      <c r="A510" t="inlineStr">
        <is>
          <t>CC du Haut Lignon</t>
        </is>
      </c>
      <c r="B510" t="inlineStr">
        <is>
          <t>Haute-Loire</t>
        </is>
      </c>
      <c r="C510" t="inlineStr">
        <is>
          <t>43</t>
        </is>
      </c>
      <c r="D510" s="3" t="n">
        <v>8151</v>
      </c>
      <c r="E510" s="13">
        <f>MIN($B$4+$B$5*D510,$B$6)</f>
        <v/>
      </c>
      <c r="F510" s="13">
        <f>$B$7</f>
        <v/>
      </c>
      <c r="G510" s="13">
        <f>E510+F510</f>
        <v/>
      </c>
      <c r="H510" s="13">
        <f>3*E510+F510</f>
        <v/>
      </c>
      <c r="I510">
        <f>IF(H510&gt;$B$8,"Oui","Non")</f>
        <v/>
      </c>
      <c r="J510" s="14">
        <f>IF(D510&gt;0,E510/D510,"")</f>
        <v/>
      </c>
    </row>
    <row r="511">
      <c r="A511" s="15" t="inlineStr">
        <is>
          <t>CC Châteaubriant-Derval</t>
        </is>
      </c>
      <c r="B511" s="15" t="inlineStr">
        <is>
          <t>Loire-Atlantique</t>
        </is>
      </c>
      <c r="C511" s="15" t="inlineStr">
        <is>
          <t>44</t>
        </is>
      </c>
      <c r="D511" s="16" t="n">
        <v>44697</v>
      </c>
      <c r="E511" s="17">
        <f>MIN($B$4+$B$5*D511,$B$6)</f>
        <v/>
      </c>
      <c r="F511" s="17">
        <f>$B$7</f>
        <v/>
      </c>
      <c r="G511" s="17">
        <f>E511+F511</f>
        <v/>
      </c>
      <c r="H511" s="17">
        <f>3*E511+F511</f>
        <v/>
      </c>
      <c r="I511" s="15">
        <f>IF(H511&gt;$B$8,"Oui","Non")</f>
        <v/>
      </c>
      <c r="J511" s="18">
        <f>IF(D511&gt;0,E511/D511,"")</f>
        <v/>
      </c>
    </row>
    <row r="512">
      <c r="A512" t="inlineStr">
        <is>
          <t>CC Estuaire et Sillon</t>
        </is>
      </c>
      <c r="B512" t="inlineStr">
        <is>
          <t>Loire-Atlantique</t>
        </is>
      </c>
      <c r="C512" t="inlineStr">
        <is>
          <t>44</t>
        </is>
      </c>
      <c r="D512" s="3" t="n">
        <v>41096</v>
      </c>
      <c r="E512" s="13">
        <f>MIN($B$4+$B$5*D512,$B$6)</f>
        <v/>
      </c>
      <c r="F512" s="13">
        <f>$B$7</f>
        <v/>
      </c>
      <c r="G512" s="13">
        <f>E512+F512</f>
        <v/>
      </c>
      <c r="H512" s="13">
        <f>3*E512+F512</f>
        <v/>
      </c>
      <c r="I512">
        <f>IF(H512&gt;$B$8,"Oui","Non")</f>
        <v/>
      </c>
      <c r="J512" s="14">
        <f>IF(D512&gt;0,E512/D512,"")</f>
        <v/>
      </c>
    </row>
    <row r="513">
      <c r="A513" s="15" t="inlineStr">
        <is>
          <t>CC Grand Lieu Communauté</t>
        </is>
      </c>
      <c r="B513" s="15" t="inlineStr">
        <is>
          <t>Loire-Atlantique</t>
        </is>
      </c>
      <c r="C513" s="15" t="inlineStr">
        <is>
          <t>44</t>
        </is>
      </c>
      <c r="D513" s="16" t="n">
        <v>42037</v>
      </c>
      <c r="E513" s="17">
        <f>MIN($B$4+$B$5*D513,$B$6)</f>
        <v/>
      </c>
      <c r="F513" s="17">
        <f>$B$7</f>
        <v/>
      </c>
      <c r="G513" s="17">
        <f>E513+F513</f>
        <v/>
      </c>
      <c r="H513" s="17">
        <f>3*E513+F513</f>
        <v/>
      </c>
      <c r="I513" s="15">
        <f>IF(H513&gt;$B$8,"Oui","Non")</f>
        <v/>
      </c>
      <c r="J513" s="18">
        <f>IF(D513&gt;0,E513/D513,"")</f>
        <v/>
      </c>
    </row>
    <row r="514">
      <c r="A514" t="inlineStr">
        <is>
          <t>CC Sud Retz Atlantique</t>
        </is>
      </c>
      <c r="B514" t="inlineStr">
        <is>
          <t>Loire-Atlantique</t>
        </is>
      </c>
      <c r="C514" t="inlineStr">
        <is>
          <t>44</t>
        </is>
      </c>
      <c r="D514" s="3" t="n">
        <v>25607</v>
      </c>
      <c r="E514" s="13">
        <f>MIN($B$4+$B$5*D514,$B$6)</f>
        <v/>
      </c>
      <c r="F514" s="13">
        <f>$B$7</f>
        <v/>
      </c>
      <c r="G514" s="13">
        <f>E514+F514</f>
        <v/>
      </c>
      <c r="H514" s="13">
        <f>3*E514+F514</f>
        <v/>
      </c>
      <c r="I514">
        <f>IF(H514&gt;$B$8,"Oui","Non")</f>
        <v/>
      </c>
      <c r="J514" s="14">
        <f>IF(D514&gt;0,E514/D514,"")</f>
        <v/>
      </c>
    </row>
    <row r="515">
      <c r="A515" s="15" t="inlineStr">
        <is>
          <t>CC Sèvre et Loire</t>
        </is>
      </c>
      <c r="B515" s="15" t="inlineStr">
        <is>
          <t>Loire-Atlantique</t>
        </is>
      </c>
      <c r="C515" s="15" t="inlineStr">
        <is>
          <t>44</t>
        </is>
      </c>
      <c r="D515" s="16" t="n">
        <v>49940</v>
      </c>
      <c r="E515" s="17">
        <f>MIN($B$4+$B$5*D515,$B$6)</f>
        <v/>
      </c>
      <c r="F515" s="17">
        <f>$B$7</f>
        <v/>
      </c>
      <c r="G515" s="17">
        <f>E515+F515</f>
        <v/>
      </c>
      <c r="H515" s="17">
        <f>3*E515+F515</f>
        <v/>
      </c>
      <c r="I515" s="15">
        <f>IF(H515&gt;$B$8,"Oui","Non")</f>
        <v/>
      </c>
      <c r="J515" s="18">
        <f>IF(D515&gt;0,E515/D515,"")</f>
        <v/>
      </c>
    </row>
    <row r="516">
      <c r="A516" t="inlineStr">
        <is>
          <t>CC d'Erdre et Gesvres</t>
        </is>
      </c>
      <c r="B516" t="inlineStr">
        <is>
          <t>Loire-Atlantique</t>
        </is>
      </c>
      <c r="C516" t="inlineStr">
        <is>
          <t>44</t>
        </is>
      </c>
      <c r="D516" s="3" t="n">
        <v>68096</v>
      </c>
      <c r="E516" s="13">
        <f>MIN($B$4+$B$5*D516,$B$6)</f>
        <v/>
      </c>
      <c r="F516" s="13">
        <f>$B$7</f>
        <v/>
      </c>
      <c r="G516" s="13">
        <f>E516+F516</f>
        <v/>
      </c>
      <c r="H516" s="13">
        <f>3*E516+F516</f>
        <v/>
      </c>
      <c r="I516">
        <f>IF(H516&gt;$B$8,"Oui","Non")</f>
        <v/>
      </c>
      <c r="J516" s="14">
        <f>IF(D516&gt;0,E516/D516,"")</f>
        <v/>
      </c>
    </row>
    <row r="517">
      <c r="A517" s="15" t="inlineStr">
        <is>
          <t>CC de Nozay</t>
        </is>
      </c>
      <c r="B517" s="15" t="inlineStr">
        <is>
          <t>Loire-Atlantique</t>
        </is>
      </c>
      <c r="C517" s="15" t="inlineStr">
        <is>
          <t>44</t>
        </is>
      </c>
      <c r="D517" s="16" t="n">
        <v>16406</v>
      </c>
      <c r="E517" s="17">
        <f>MIN($B$4+$B$5*D517,$B$6)</f>
        <v/>
      </c>
      <c r="F517" s="17">
        <f>$B$7</f>
        <v/>
      </c>
      <c r="G517" s="17">
        <f>E517+F517</f>
        <v/>
      </c>
      <c r="H517" s="17">
        <f>3*E517+F517</f>
        <v/>
      </c>
      <c r="I517" s="15">
        <f>IF(H517&gt;$B$8,"Oui","Non")</f>
        <v/>
      </c>
      <c r="J517" s="18">
        <f>IF(D517&gt;0,E517/D517,"")</f>
        <v/>
      </c>
    </row>
    <row r="518">
      <c r="A518" t="inlineStr">
        <is>
          <t>CC du Pays d'Ancenis</t>
        </is>
      </c>
      <c r="B518" t="inlineStr">
        <is>
          <t>Loire-Atlantique, Maine-et-Loire</t>
        </is>
      </c>
      <c r="C518" t="inlineStr">
        <is>
          <t>44, 49</t>
        </is>
      </c>
      <c r="D518" s="3" t="n">
        <v>69666</v>
      </c>
      <c r="E518" s="13">
        <f>MIN($B$4+$B$5*D518,$B$6)</f>
        <v/>
      </c>
      <c r="F518" s="13">
        <f>$B$7</f>
        <v/>
      </c>
      <c r="G518" s="13">
        <f>E518+F518</f>
        <v/>
      </c>
      <c r="H518" s="13">
        <f>3*E518+F518</f>
        <v/>
      </c>
      <c r="I518">
        <f>IF(H518&gt;$B$8,"Oui","Non")</f>
        <v/>
      </c>
      <c r="J518" s="14">
        <f>IF(D518&gt;0,E518/D518,"")</f>
        <v/>
      </c>
    </row>
    <row r="519">
      <c r="A519" s="15" t="inlineStr">
        <is>
          <t>CC du Pays de Blain</t>
        </is>
      </c>
      <c r="B519" s="15" t="inlineStr">
        <is>
          <t>Loire-Atlantique</t>
        </is>
      </c>
      <c r="C519" s="15" t="inlineStr">
        <is>
          <t>44</t>
        </is>
      </c>
      <c r="D519" s="16" t="n">
        <v>16858</v>
      </c>
      <c r="E519" s="17">
        <f>MIN($B$4+$B$5*D519,$B$6)</f>
        <v/>
      </c>
      <c r="F519" s="17">
        <f>$B$7</f>
        <v/>
      </c>
      <c r="G519" s="17">
        <f>E519+F519</f>
        <v/>
      </c>
      <c r="H519" s="17">
        <f>3*E519+F519</f>
        <v/>
      </c>
      <c r="I519" s="15">
        <f>IF(H519&gt;$B$8,"Oui","Non")</f>
        <v/>
      </c>
      <c r="J519" s="18">
        <f>IF(D519&gt;0,E519/D519,"")</f>
        <v/>
      </c>
    </row>
    <row r="520">
      <c r="A520" t="inlineStr">
        <is>
          <t>CC du Pays de Pontchâteau St-Gildas-des-Bois</t>
        </is>
      </c>
      <c r="B520" t="inlineStr">
        <is>
          <t>Loire-Atlantique</t>
        </is>
      </c>
      <c r="C520" t="inlineStr">
        <is>
          <t>44</t>
        </is>
      </c>
      <c r="D520" s="3" t="n">
        <v>36662</v>
      </c>
      <c r="E520" s="13">
        <f>MIN($B$4+$B$5*D520,$B$6)</f>
        <v/>
      </c>
      <c r="F520" s="13">
        <f>$B$7</f>
        <v/>
      </c>
      <c r="G520" s="13">
        <f>E520+F520</f>
        <v/>
      </c>
      <c r="H520" s="13">
        <f>3*E520+F520</f>
        <v/>
      </c>
      <c r="I520">
        <f>IF(H520&gt;$B$8,"Oui","Non")</f>
        <v/>
      </c>
      <c r="J520" s="14">
        <f>IF(D520&gt;0,E520/D520,"")</f>
        <v/>
      </c>
    </row>
    <row r="521">
      <c r="A521" s="15" t="inlineStr">
        <is>
          <t>CC du Sud Estuaire</t>
        </is>
      </c>
      <c r="B521" s="15" t="inlineStr">
        <is>
          <t>Loire-Atlantique</t>
        </is>
      </c>
      <c r="C521" s="15" t="inlineStr">
        <is>
          <t>44</t>
        </is>
      </c>
      <c r="D521" s="16" t="n">
        <v>31126</v>
      </c>
      <c r="E521" s="17">
        <f>MIN($B$4+$B$5*D521,$B$6)</f>
        <v/>
      </c>
      <c r="F521" s="17">
        <f>$B$7</f>
        <v/>
      </c>
      <c r="G521" s="17">
        <f>E521+F521</f>
        <v/>
      </c>
      <c r="H521" s="17">
        <f>3*E521+F521</f>
        <v/>
      </c>
      <c r="I521" s="15">
        <f>IF(H521&gt;$B$8,"Oui","Non")</f>
        <v/>
      </c>
      <c r="J521" s="18">
        <f>IF(D521&gt;0,E521/D521,"")</f>
        <v/>
      </c>
    </row>
    <row r="522">
      <c r="A522" t="inlineStr">
        <is>
          <t>CC Berry Loire Puisaye</t>
        </is>
      </c>
      <c r="B522" t="inlineStr">
        <is>
          <t>Loiret</t>
        </is>
      </c>
      <c r="C522" t="inlineStr">
        <is>
          <t>45</t>
        </is>
      </c>
      <c r="D522" s="3" t="n">
        <v>17525</v>
      </c>
      <c r="E522" s="13">
        <f>MIN($B$4+$B$5*D522,$B$6)</f>
        <v/>
      </c>
      <c r="F522" s="13">
        <f>$B$7</f>
        <v/>
      </c>
      <c r="G522" s="13">
        <f>E522+F522</f>
        <v/>
      </c>
      <c r="H522" s="13">
        <f>3*E522+F522</f>
        <v/>
      </c>
      <c r="I522">
        <f>IF(H522&gt;$B$8,"Oui","Non")</f>
        <v/>
      </c>
      <c r="J522" s="14">
        <f>IF(D522&gt;0,E522/D522,"")</f>
        <v/>
      </c>
    </row>
    <row r="523">
      <c r="A523" s="15" t="inlineStr">
        <is>
          <t>CC Canaux et Forêts en Gâtinais</t>
        </is>
      </c>
      <c r="B523" s="15" t="inlineStr">
        <is>
          <t>Loiret</t>
        </is>
      </c>
      <c r="C523" s="15" t="inlineStr">
        <is>
          <t>45</t>
        </is>
      </c>
      <c r="D523" s="16" t="n">
        <v>27348</v>
      </c>
      <c r="E523" s="17">
        <f>MIN($B$4+$B$5*D523,$B$6)</f>
        <v/>
      </c>
      <c r="F523" s="17">
        <f>$B$7</f>
        <v/>
      </c>
      <c r="G523" s="17">
        <f>E523+F523</f>
        <v/>
      </c>
      <c r="H523" s="17">
        <f>3*E523+F523</f>
        <v/>
      </c>
      <c r="I523" s="15">
        <f>IF(H523&gt;$B$8,"Oui","Non")</f>
        <v/>
      </c>
      <c r="J523" s="18">
        <f>IF(D523&gt;0,E523/D523,"")</f>
        <v/>
      </c>
    </row>
    <row r="524">
      <c r="A524" t="inlineStr">
        <is>
          <t>CC Giennoises</t>
        </is>
      </c>
      <c r="B524" t="inlineStr">
        <is>
          <t>Loiret</t>
        </is>
      </c>
      <c r="C524" t="inlineStr">
        <is>
          <t>45</t>
        </is>
      </c>
      <c r="D524" s="3" t="n">
        <v>24145</v>
      </c>
      <c r="E524" s="13">
        <f>MIN($B$4+$B$5*D524,$B$6)</f>
        <v/>
      </c>
      <c r="F524" s="13">
        <f>$B$7</f>
        <v/>
      </c>
      <c r="G524" s="13">
        <f>E524+F524</f>
        <v/>
      </c>
      <c r="H524" s="13">
        <f>3*E524+F524</f>
        <v/>
      </c>
      <c r="I524">
        <f>IF(H524&gt;$B$8,"Oui","Non")</f>
        <v/>
      </c>
      <c r="J524" s="14">
        <f>IF(D524&gt;0,E524/D524,"")</f>
        <v/>
      </c>
    </row>
    <row r="525">
      <c r="A525" s="15" t="inlineStr">
        <is>
          <t>CC de la Beauce Loirétaine</t>
        </is>
      </c>
      <c r="B525" s="15" t="inlineStr">
        <is>
          <t>Loiret</t>
        </is>
      </c>
      <c r="C525" s="15" t="inlineStr">
        <is>
          <t>45</t>
        </is>
      </c>
      <c r="D525" s="16" t="n">
        <v>16991</v>
      </c>
      <c r="E525" s="17">
        <f>MIN($B$4+$B$5*D525,$B$6)</f>
        <v/>
      </c>
      <c r="F525" s="17">
        <f>$B$7</f>
        <v/>
      </c>
      <c r="G525" s="17">
        <f>E525+F525</f>
        <v/>
      </c>
      <c r="H525" s="17">
        <f>3*E525+F525</f>
        <v/>
      </c>
      <c r="I525" s="15">
        <f>IF(H525&gt;$B$8,"Oui","Non")</f>
        <v/>
      </c>
      <c r="J525" s="18">
        <f>IF(D525&gt;0,E525/D525,"")</f>
        <v/>
      </c>
    </row>
    <row r="526">
      <c r="A526" t="inlineStr">
        <is>
          <t>CC de la Cléry, du Betz et de l'Ouanne</t>
        </is>
      </c>
      <c r="B526" t="inlineStr">
        <is>
          <t>Loiret, Yonne</t>
        </is>
      </c>
      <c r="C526" t="inlineStr">
        <is>
          <t>45, 89</t>
        </is>
      </c>
      <c r="D526" s="3" t="n">
        <v>20042</v>
      </c>
      <c r="E526" s="13">
        <f>MIN($B$4+$B$5*D526,$B$6)</f>
        <v/>
      </c>
      <c r="F526" s="13">
        <f>$B$7</f>
        <v/>
      </c>
      <c r="G526" s="13">
        <f>E526+F526</f>
        <v/>
      </c>
      <c r="H526" s="13">
        <f>3*E526+F526</f>
        <v/>
      </c>
      <c r="I526">
        <f>IF(H526&gt;$B$8,"Oui","Non")</f>
        <v/>
      </c>
      <c r="J526" s="14">
        <f>IF(D526&gt;0,E526/D526,"")</f>
        <v/>
      </c>
    </row>
    <row r="527">
      <c r="A527" s="15" t="inlineStr">
        <is>
          <t>CC de la Forêt</t>
        </is>
      </c>
      <c r="B527" s="15" t="inlineStr">
        <is>
          <t>Loiret</t>
        </is>
      </c>
      <c r="C527" s="15" t="inlineStr">
        <is>
          <t>45</t>
        </is>
      </c>
      <c r="D527" s="16" t="n">
        <v>17601</v>
      </c>
      <c r="E527" s="17">
        <f>MIN($B$4+$B$5*D527,$B$6)</f>
        <v/>
      </c>
      <c r="F527" s="17">
        <f>$B$7</f>
        <v/>
      </c>
      <c r="G527" s="17">
        <f>E527+F527</f>
        <v/>
      </c>
      <c r="H527" s="17">
        <f>3*E527+F527</f>
        <v/>
      </c>
      <c r="I527" s="15">
        <f>IF(H527&gt;$B$8,"Oui","Non")</f>
        <v/>
      </c>
      <c r="J527" s="18">
        <f>IF(D527&gt;0,E527/D527,"")</f>
        <v/>
      </c>
    </row>
    <row r="528">
      <c r="A528" t="inlineStr">
        <is>
          <t>CC de la Plaine du Nord Loiret</t>
        </is>
      </c>
      <c r="B528" t="inlineStr">
        <is>
          <t>Loiret</t>
        </is>
      </c>
      <c r="C528" t="inlineStr">
        <is>
          <t>45</t>
        </is>
      </c>
      <c r="D528" s="3" t="n">
        <v>6719</v>
      </c>
      <c r="E528" s="13">
        <f>MIN($B$4+$B$5*D528,$B$6)</f>
        <v/>
      </c>
      <c r="F528" s="13">
        <f>$B$7</f>
        <v/>
      </c>
      <c r="G528" s="13">
        <f>E528+F528</f>
        <v/>
      </c>
      <c r="H528" s="13">
        <f>3*E528+F528</f>
        <v/>
      </c>
      <c r="I528">
        <f>IF(H528&gt;$B$8,"Oui","Non")</f>
        <v/>
      </c>
      <c r="J528" s="14">
        <f>IF(D528&gt;0,E528/D528,"")</f>
        <v/>
      </c>
    </row>
    <row r="529">
      <c r="A529" s="15" t="inlineStr">
        <is>
          <t>CC des Loges</t>
        </is>
      </c>
      <c r="B529" s="15" t="inlineStr">
        <is>
          <t>Loiret</t>
        </is>
      </c>
      <c r="C529" s="15" t="inlineStr">
        <is>
          <t>45</t>
        </is>
      </c>
      <c r="D529" s="16" t="n">
        <v>43246</v>
      </c>
      <c r="E529" s="17">
        <f>MIN($B$4+$B$5*D529,$B$6)</f>
        <v/>
      </c>
      <c r="F529" s="17">
        <f>$B$7</f>
        <v/>
      </c>
      <c r="G529" s="17">
        <f>E529+F529</f>
        <v/>
      </c>
      <c r="H529" s="17">
        <f>3*E529+F529</f>
        <v/>
      </c>
      <c r="I529" s="15">
        <f>IF(H529&gt;$B$8,"Oui","Non")</f>
        <v/>
      </c>
      <c r="J529" s="18">
        <f>IF(D529&gt;0,E529/D529,"")</f>
        <v/>
      </c>
    </row>
    <row r="530">
      <c r="A530" t="inlineStr">
        <is>
          <t>CC des Portes de Sologne</t>
        </is>
      </c>
      <c r="B530" t="inlineStr">
        <is>
          <t>Loiret</t>
        </is>
      </c>
      <c r="C530" t="inlineStr">
        <is>
          <t>45</t>
        </is>
      </c>
      <c r="D530" s="3" t="n">
        <v>15654</v>
      </c>
      <c r="E530" s="13">
        <f>MIN($B$4+$B$5*D530,$B$6)</f>
        <v/>
      </c>
      <c r="F530" s="13">
        <f>$B$7</f>
        <v/>
      </c>
      <c r="G530" s="13">
        <f>E530+F530</f>
        <v/>
      </c>
      <c r="H530" s="13">
        <f>3*E530+F530</f>
        <v/>
      </c>
      <c r="I530">
        <f>IF(H530&gt;$B$8,"Oui","Non")</f>
        <v/>
      </c>
      <c r="J530" s="14">
        <f>IF(D530&gt;0,E530/D530,"")</f>
        <v/>
      </c>
    </row>
    <row r="531">
      <c r="A531" s="15" t="inlineStr">
        <is>
          <t>CC des Quatre Vallées</t>
        </is>
      </c>
      <c r="B531" s="15" t="inlineStr">
        <is>
          <t>Loiret</t>
        </is>
      </c>
      <c r="C531" s="15" t="inlineStr">
        <is>
          <t>45</t>
        </is>
      </c>
      <c r="D531" s="16" t="n">
        <v>17270</v>
      </c>
      <c r="E531" s="17">
        <f>MIN($B$4+$B$5*D531,$B$6)</f>
        <v/>
      </c>
      <c r="F531" s="17">
        <f>$B$7</f>
        <v/>
      </c>
      <c r="G531" s="17">
        <f>E531+F531</f>
        <v/>
      </c>
      <c r="H531" s="17">
        <f>3*E531+F531</f>
        <v/>
      </c>
      <c r="I531" s="15">
        <f>IF(H531&gt;$B$8,"Oui","Non")</f>
        <v/>
      </c>
      <c r="J531" s="18">
        <f>IF(D531&gt;0,E531/D531,"")</f>
        <v/>
      </c>
    </row>
    <row r="532">
      <c r="A532" t="inlineStr">
        <is>
          <t>CC du Pithiverais</t>
        </is>
      </c>
      <c r="B532" t="inlineStr">
        <is>
          <t>Loiret</t>
        </is>
      </c>
      <c r="C532" t="inlineStr">
        <is>
          <t>45</t>
        </is>
      </c>
      <c r="D532" s="3" t="n">
        <v>29093</v>
      </c>
      <c r="E532" s="13">
        <f>MIN($B$4+$B$5*D532,$B$6)</f>
        <v/>
      </c>
      <c r="F532" s="13">
        <f>$B$7</f>
        <v/>
      </c>
      <c r="G532" s="13">
        <f>E532+F532</f>
        <v/>
      </c>
      <c r="H532" s="13">
        <f>3*E532+F532</f>
        <v/>
      </c>
      <c r="I532">
        <f>IF(H532&gt;$B$8,"Oui","Non")</f>
        <v/>
      </c>
      <c r="J532" s="14">
        <f>IF(D532&gt;0,E532/D532,"")</f>
        <v/>
      </c>
    </row>
    <row r="533">
      <c r="A533" s="15" t="inlineStr">
        <is>
          <t>CC du Pithiverais-Gâtinais</t>
        </is>
      </c>
      <c r="B533" s="15" t="inlineStr">
        <is>
          <t>Loiret</t>
        </is>
      </c>
      <c r="C533" s="15" t="inlineStr">
        <is>
          <t>45</t>
        </is>
      </c>
      <c r="D533" s="16" t="n">
        <v>25581</v>
      </c>
      <c r="E533" s="17">
        <f>MIN($B$4+$B$5*D533,$B$6)</f>
        <v/>
      </c>
      <c r="F533" s="17">
        <f>$B$7</f>
        <v/>
      </c>
      <c r="G533" s="17">
        <f>E533+F533</f>
        <v/>
      </c>
      <c r="H533" s="17">
        <f>3*E533+F533</f>
        <v/>
      </c>
      <c r="I533" s="15">
        <f>IF(H533&gt;$B$8,"Oui","Non")</f>
        <v/>
      </c>
      <c r="J533" s="18">
        <f>IF(D533&gt;0,E533/D533,"")</f>
        <v/>
      </c>
    </row>
    <row r="534">
      <c r="A534" t="inlineStr">
        <is>
          <t>CC du Val de Sully</t>
        </is>
      </c>
      <c r="B534" t="inlineStr">
        <is>
          <t>Loiret</t>
        </is>
      </c>
      <c r="C534" t="inlineStr">
        <is>
          <t>45</t>
        </is>
      </c>
      <c r="D534" s="3" t="n">
        <v>24081</v>
      </c>
      <c r="E534" s="13">
        <f>MIN($B$4+$B$5*D534,$B$6)</f>
        <v/>
      </c>
      <c r="F534" s="13">
        <f>$B$7</f>
        <v/>
      </c>
      <c r="G534" s="13">
        <f>E534+F534</f>
        <v/>
      </c>
      <c r="H534" s="13">
        <f>3*E534+F534</f>
        <v/>
      </c>
      <c r="I534">
        <f>IF(H534&gt;$B$8,"Oui","Non")</f>
        <v/>
      </c>
      <c r="J534" s="14">
        <f>IF(D534&gt;0,E534/D534,"")</f>
        <v/>
      </c>
    </row>
    <row r="535">
      <c r="A535" s="15" t="inlineStr">
        <is>
          <t>CC Causses et Vallée de la Dordogne</t>
        </is>
      </c>
      <c r="B535" s="15" t="inlineStr">
        <is>
          <t>Lot</t>
        </is>
      </c>
      <c r="C535" s="15" t="inlineStr">
        <is>
          <t>46</t>
        </is>
      </c>
      <c r="D535" s="16" t="n">
        <v>45320</v>
      </c>
      <c r="E535" s="17">
        <f>MIN($B$4+$B$5*D535,$B$6)</f>
        <v/>
      </c>
      <c r="F535" s="17">
        <f>$B$7</f>
        <v/>
      </c>
      <c r="G535" s="17">
        <f>E535+F535</f>
        <v/>
      </c>
      <c r="H535" s="17">
        <f>3*E535+F535</f>
        <v/>
      </c>
      <c r="I535" s="15">
        <f>IF(H535&gt;$B$8,"Oui","Non")</f>
        <v/>
      </c>
      <c r="J535" s="18">
        <f>IF(D535&gt;0,E535/D535,"")</f>
        <v/>
      </c>
    </row>
    <row r="536">
      <c r="A536" t="inlineStr">
        <is>
          <t>CC Cazals-Salviac</t>
        </is>
      </c>
      <c r="B536" t="inlineStr">
        <is>
          <t>Lot</t>
        </is>
      </c>
      <c r="C536" t="inlineStr">
        <is>
          <t>46</t>
        </is>
      </c>
      <c r="D536" s="3" t="n">
        <v>5432</v>
      </c>
      <c r="E536" s="13">
        <f>MIN($B$4+$B$5*D536,$B$6)</f>
        <v/>
      </c>
      <c r="F536" s="13">
        <f>$B$7</f>
        <v/>
      </c>
      <c r="G536" s="13">
        <f>E536+F536</f>
        <v/>
      </c>
      <c r="H536" s="13">
        <f>3*E536+F536</f>
        <v/>
      </c>
      <c r="I536">
        <f>IF(H536&gt;$B$8,"Oui","Non")</f>
        <v/>
      </c>
      <c r="J536" s="14">
        <f>IF(D536&gt;0,E536/D536,"")</f>
        <v/>
      </c>
    </row>
    <row r="537">
      <c r="A537" s="15" t="inlineStr">
        <is>
          <t>CC Quercy - Bouriane</t>
        </is>
      </c>
      <c r="B537" s="15" t="inlineStr">
        <is>
          <t>Lot</t>
        </is>
      </c>
      <c r="C537" s="15" t="inlineStr">
        <is>
          <t>46</t>
        </is>
      </c>
      <c r="D537" s="16" t="n">
        <v>10247</v>
      </c>
      <c r="E537" s="17">
        <f>MIN($B$4+$B$5*D537,$B$6)</f>
        <v/>
      </c>
      <c r="F537" s="17">
        <f>$B$7</f>
        <v/>
      </c>
      <c r="G537" s="17">
        <f>E537+F537</f>
        <v/>
      </c>
      <c r="H537" s="17">
        <f>3*E537+F537</f>
        <v/>
      </c>
      <c r="I537" s="15">
        <f>IF(H537&gt;$B$8,"Oui","Non")</f>
        <v/>
      </c>
      <c r="J537" s="18">
        <f>IF(D537&gt;0,E537/D537,"")</f>
        <v/>
      </c>
    </row>
    <row r="538">
      <c r="A538" t="inlineStr">
        <is>
          <t>CC de la Vallée du Lot et du Vignoble</t>
        </is>
      </c>
      <c r="B538" t="inlineStr">
        <is>
          <t>Lot</t>
        </is>
      </c>
      <c r="C538" t="inlineStr">
        <is>
          <t>46</t>
        </is>
      </c>
      <c r="D538" s="3" t="n">
        <v>14516</v>
      </c>
      <c r="E538" s="13">
        <f>MIN($B$4+$B$5*D538,$B$6)</f>
        <v/>
      </c>
      <c r="F538" s="13">
        <f>$B$7</f>
        <v/>
      </c>
      <c r="G538" s="13">
        <f>E538+F538</f>
        <v/>
      </c>
      <c r="H538" s="13">
        <f>3*E538+F538</f>
        <v/>
      </c>
      <c r="I538">
        <f>IF(H538&gt;$B$8,"Oui","Non")</f>
        <v/>
      </c>
      <c r="J538" s="14">
        <f>IF(D538&gt;0,E538/D538,"")</f>
        <v/>
      </c>
    </row>
    <row r="539">
      <c r="A539" s="15" t="inlineStr">
        <is>
          <t>CC du Causse de Labastide Murat</t>
        </is>
      </c>
      <c r="B539" s="15" t="inlineStr">
        <is>
          <t>Lot</t>
        </is>
      </c>
      <c r="C539" s="15" t="inlineStr">
        <is>
          <t>46</t>
        </is>
      </c>
      <c r="D539" s="16" t="n">
        <v>3915</v>
      </c>
      <c r="E539" s="17">
        <f>MIN($B$4+$B$5*D539,$B$6)</f>
        <v/>
      </c>
      <c r="F539" s="17">
        <f>$B$7</f>
        <v/>
      </c>
      <c r="G539" s="17">
        <f>E539+F539</f>
        <v/>
      </c>
      <c r="H539" s="17">
        <f>3*E539+F539</f>
        <v/>
      </c>
      <c r="I539" s="15">
        <f>IF(H539&gt;$B$8,"Oui","Non")</f>
        <v/>
      </c>
      <c r="J539" s="18">
        <f>IF(D539&gt;0,E539/D539,"")</f>
        <v/>
      </c>
    </row>
    <row r="540">
      <c r="A540" t="inlineStr">
        <is>
          <t>CC du Pays de Lalbenque-Limogne</t>
        </is>
      </c>
      <c r="B540" t="inlineStr">
        <is>
          <t>Lot</t>
        </is>
      </c>
      <c r="C540" t="inlineStr">
        <is>
          <t>46</t>
        </is>
      </c>
      <c r="D540" s="3" t="n">
        <v>8886</v>
      </c>
      <c r="E540" s="13">
        <f>MIN($B$4+$B$5*D540,$B$6)</f>
        <v/>
      </c>
      <c r="F540" s="13">
        <f>$B$7</f>
        <v/>
      </c>
      <c r="G540" s="13">
        <f>E540+F540</f>
        <v/>
      </c>
      <c r="H540" s="13">
        <f>3*E540+F540</f>
        <v/>
      </c>
      <c r="I540">
        <f>IF(H540&gt;$B$8,"Oui","Non")</f>
        <v/>
      </c>
      <c r="J540" s="14">
        <f>IF(D540&gt;0,E540/D540,"")</f>
        <v/>
      </c>
    </row>
    <row r="541">
      <c r="A541" s="15" t="inlineStr">
        <is>
          <t>CC du Quercy Blanc</t>
        </is>
      </c>
      <c r="B541" s="15" t="inlineStr">
        <is>
          <t>Lot</t>
        </is>
      </c>
      <c r="C541" s="15" t="inlineStr">
        <is>
          <t>46</t>
        </is>
      </c>
      <c r="D541" s="16" t="n">
        <v>7704</v>
      </c>
      <c r="E541" s="17">
        <f>MIN($B$4+$B$5*D541,$B$6)</f>
        <v/>
      </c>
      <c r="F541" s="17">
        <f>$B$7</f>
        <v/>
      </c>
      <c r="G541" s="17">
        <f>E541+F541</f>
        <v/>
      </c>
      <c r="H541" s="17">
        <f>3*E541+F541</f>
        <v/>
      </c>
      <c r="I541" s="15">
        <f>IF(H541&gt;$B$8,"Oui","Non")</f>
        <v/>
      </c>
      <c r="J541" s="18">
        <f>IF(D541&gt;0,E541/D541,"")</f>
        <v/>
      </c>
    </row>
    <row r="542">
      <c r="A542" t="inlineStr">
        <is>
          <t>CC Albret Communauté</t>
        </is>
      </c>
      <c r="B542" t="inlineStr">
        <is>
          <t>Lot-et-Garonne</t>
        </is>
      </c>
      <c r="C542" t="inlineStr">
        <is>
          <t>47</t>
        </is>
      </c>
      <c r="D542" s="3" t="n">
        <v>25866</v>
      </c>
      <c r="E542" s="13">
        <f>MIN($B$4+$B$5*D542,$B$6)</f>
        <v/>
      </c>
      <c r="F542" s="13">
        <f>$B$7</f>
        <v/>
      </c>
      <c r="G542" s="13">
        <f>E542+F542</f>
        <v/>
      </c>
      <c r="H542" s="13">
        <f>3*E542+F542</f>
        <v/>
      </c>
      <c r="I542">
        <f>IF(H542&gt;$B$8,"Oui","Non")</f>
        <v/>
      </c>
      <c r="J542" s="14">
        <f>IF(D542&gt;0,E542/D542,"")</f>
        <v/>
      </c>
    </row>
    <row r="543">
      <c r="A543" s="15" t="inlineStr">
        <is>
          <t>CC Fumel Vallée du Lot</t>
        </is>
      </c>
      <c r="B543" s="15" t="inlineStr">
        <is>
          <t>Lot-et-Garonne</t>
        </is>
      </c>
      <c r="C543" s="15" t="inlineStr">
        <is>
          <t>47</t>
        </is>
      </c>
      <c r="D543" s="16" t="n">
        <v>24601</v>
      </c>
      <c r="E543" s="17">
        <f>MIN($B$4+$B$5*D543,$B$6)</f>
        <v/>
      </c>
      <c r="F543" s="17">
        <f>$B$7</f>
        <v/>
      </c>
      <c r="G543" s="17">
        <f>E543+F543</f>
        <v/>
      </c>
      <c r="H543" s="17">
        <f>3*E543+F543</f>
        <v/>
      </c>
      <c r="I543" s="15">
        <f>IF(H543&gt;$B$8,"Oui","Non")</f>
        <v/>
      </c>
      <c r="J543" s="18">
        <f>IF(D543&gt;0,E543/D543,"")</f>
        <v/>
      </c>
    </row>
    <row r="544">
      <c r="A544" t="inlineStr">
        <is>
          <t>CC Lot et Tolzac</t>
        </is>
      </c>
      <c r="B544" t="inlineStr">
        <is>
          <t>Lot-et-Garonne</t>
        </is>
      </c>
      <c r="C544" t="inlineStr">
        <is>
          <t>47</t>
        </is>
      </c>
      <c r="D544" s="3" t="n">
        <v>7426</v>
      </c>
      <c r="E544" s="13">
        <f>MIN($B$4+$B$5*D544,$B$6)</f>
        <v/>
      </c>
      <c r="F544" s="13">
        <f>$B$7</f>
        <v/>
      </c>
      <c r="G544" s="13">
        <f>E544+F544</f>
        <v/>
      </c>
      <c r="H544" s="13">
        <f>3*E544+F544</f>
        <v/>
      </c>
      <c r="I544">
        <f>IF(H544&gt;$B$8,"Oui","Non")</f>
        <v/>
      </c>
      <c r="J544" s="14">
        <f>IF(D544&gt;0,E544/D544,"")</f>
        <v/>
      </c>
    </row>
    <row r="545">
      <c r="A545" s="15" t="inlineStr">
        <is>
          <t>CC des Bastides en Haut Agenais Périgord</t>
        </is>
      </c>
      <c r="B545" s="15" t="inlineStr">
        <is>
          <t>Lot-et-Garonne</t>
        </is>
      </c>
      <c r="C545" s="15" t="inlineStr">
        <is>
          <t>47</t>
        </is>
      </c>
      <c r="D545" s="16" t="n">
        <v>17015</v>
      </c>
      <c r="E545" s="17">
        <f>MIN($B$4+$B$5*D545,$B$6)</f>
        <v/>
      </c>
      <c r="F545" s="17">
        <f>$B$7</f>
        <v/>
      </c>
      <c r="G545" s="17">
        <f>E545+F545</f>
        <v/>
      </c>
      <c r="H545" s="17">
        <f>3*E545+F545</f>
        <v/>
      </c>
      <c r="I545" s="15">
        <f>IF(H545&gt;$B$8,"Oui","Non")</f>
        <v/>
      </c>
      <c r="J545" s="18">
        <f>IF(D545&gt;0,E545/D545,"")</f>
        <v/>
      </c>
    </row>
    <row r="546">
      <c r="A546" t="inlineStr">
        <is>
          <t>CC des Coteaux et Landes de Gascogne</t>
        </is>
      </c>
      <c r="B546" t="inlineStr">
        <is>
          <t>Lot-et-Garonne</t>
        </is>
      </c>
      <c r="C546" t="inlineStr">
        <is>
          <t>47</t>
        </is>
      </c>
      <c r="D546" s="3" t="n">
        <v>12590</v>
      </c>
      <c r="E546" s="13">
        <f>MIN($B$4+$B$5*D546,$B$6)</f>
        <v/>
      </c>
      <c r="F546" s="13">
        <f>$B$7</f>
        <v/>
      </c>
      <c r="G546" s="13">
        <f>E546+F546</f>
        <v/>
      </c>
      <c r="H546" s="13">
        <f>3*E546+F546</f>
        <v/>
      </c>
      <c r="I546">
        <f>IF(H546&gt;$B$8,"Oui","Non")</f>
        <v/>
      </c>
      <c r="J546" s="14">
        <f>IF(D546&gt;0,E546/D546,"")</f>
        <v/>
      </c>
    </row>
    <row r="547">
      <c r="A547" s="15" t="inlineStr">
        <is>
          <t>CC du Confluent et des Coteaux de Prayssas</t>
        </is>
      </c>
      <c r="B547" s="15" t="inlineStr">
        <is>
          <t>Lot-et-Garonne</t>
        </is>
      </c>
      <c r="C547" s="15" t="inlineStr">
        <is>
          <t>47</t>
        </is>
      </c>
      <c r="D547" s="16" t="n">
        <v>17768</v>
      </c>
      <c r="E547" s="17">
        <f>MIN($B$4+$B$5*D547,$B$6)</f>
        <v/>
      </c>
      <c r="F547" s="17">
        <f>$B$7</f>
        <v/>
      </c>
      <c r="G547" s="17">
        <f>E547+F547</f>
        <v/>
      </c>
      <c r="H547" s="17">
        <f>3*E547+F547</f>
        <v/>
      </c>
      <c r="I547" s="15">
        <f>IF(H547&gt;$B$8,"Oui","Non")</f>
        <v/>
      </c>
      <c r="J547" s="18">
        <f>IF(D547&gt;0,E547/D547,"")</f>
        <v/>
      </c>
    </row>
    <row r="548">
      <c r="A548" t="inlineStr">
        <is>
          <t>CC du Pays de Duras</t>
        </is>
      </c>
      <c r="B548" t="inlineStr">
        <is>
          <t>Lot-et-Garonne</t>
        </is>
      </c>
      <c r="C548" t="inlineStr">
        <is>
          <t>47</t>
        </is>
      </c>
      <c r="D548" s="3" t="n">
        <v>5730</v>
      </c>
      <c r="E548" s="13">
        <f>MIN($B$4+$B$5*D548,$B$6)</f>
        <v/>
      </c>
      <c r="F548" s="13">
        <f>$B$7</f>
        <v/>
      </c>
      <c r="G548" s="13">
        <f>E548+F548</f>
        <v/>
      </c>
      <c r="H548" s="13">
        <f>3*E548+F548</f>
        <v/>
      </c>
      <c r="I548">
        <f>IF(H548&gt;$B$8,"Oui","Non")</f>
        <v/>
      </c>
      <c r="J548" s="14">
        <f>IF(D548&gt;0,E548/D548,"")</f>
        <v/>
      </c>
    </row>
    <row r="549">
      <c r="A549" s="15" t="inlineStr">
        <is>
          <t>CC du Pays de Lauzun</t>
        </is>
      </c>
      <c r="B549" s="15" t="inlineStr">
        <is>
          <t>Lot-et-Garonne</t>
        </is>
      </c>
      <c r="C549" s="15" t="inlineStr">
        <is>
          <t>47</t>
        </is>
      </c>
      <c r="D549" s="16" t="n">
        <v>10362</v>
      </c>
      <c r="E549" s="17">
        <f>MIN($B$4+$B$5*D549,$B$6)</f>
        <v/>
      </c>
      <c r="F549" s="17">
        <f>$B$7</f>
        <v/>
      </c>
      <c r="G549" s="17">
        <f>E549+F549</f>
        <v/>
      </c>
      <c r="H549" s="17">
        <f>3*E549+F549</f>
        <v/>
      </c>
      <c r="I549" s="15">
        <f>IF(H549&gt;$B$8,"Oui","Non")</f>
        <v/>
      </c>
      <c r="J549" s="18">
        <f>IF(D549&gt;0,E549/D549,"")</f>
        <v/>
      </c>
    </row>
    <row r="550">
      <c r="A550" t="inlineStr">
        <is>
          <t>CC Aubrac Lot Causses Tarn</t>
        </is>
      </c>
      <c r="B550" t="inlineStr">
        <is>
          <t>Lozère</t>
        </is>
      </c>
      <c r="C550" t="inlineStr">
        <is>
          <t>48</t>
        </is>
      </c>
      <c r="D550" s="3" t="n">
        <v>7884</v>
      </c>
      <c r="E550" s="13">
        <f>MIN($B$4+$B$5*D550,$B$6)</f>
        <v/>
      </c>
      <c r="F550" s="13">
        <f>$B$7</f>
        <v/>
      </c>
      <c r="G550" s="13">
        <f>E550+F550</f>
        <v/>
      </c>
      <c r="H550" s="13">
        <f>3*E550+F550</f>
        <v/>
      </c>
      <c r="I550">
        <f>IF(H550&gt;$B$8,"Oui","Non")</f>
        <v/>
      </c>
      <c r="J550" s="14">
        <f>IF(D550&gt;0,E550/D550,"")</f>
        <v/>
      </c>
    </row>
    <row r="551">
      <c r="A551" s="15" t="inlineStr">
        <is>
          <t>CC Coeur de Lozère</t>
        </is>
      </c>
      <c r="B551" s="15" t="inlineStr">
        <is>
          <t>Lozère</t>
        </is>
      </c>
      <c r="C551" s="15" t="inlineStr">
        <is>
          <t>48</t>
        </is>
      </c>
      <c r="D551" s="16" t="n">
        <v>15635</v>
      </c>
      <c r="E551" s="17">
        <f>MIN($B$4+$B$5*D551,$B$6)</f>
        <v/>
      </c>
      <c r="F551" s="17">
        <f>$B$7</f>
        <v/>
      </c>
      <c r="G551" s="17">
        <f>E551+F551</f>
        <v/>
      </c>
      <c r="H551" s="17">
        <f>3*E551+F551</f>
        <v/>
      </c>
      <c r="I551" s="15">
        <f>IF(H551&gt;$B$8,"Oui","Non")</f>
        <v/>
      </c>
      <c r="J551" s="18">
        <f>IF(D551&gt;0,E551/D551,"")</f>
        <v/>
      </c>
    </row>
    <row r="552">
      <c r="A552" t="inlineStr">
        <is>
          <t>CC Gorges Causses Cévennes</t>
        </is>
      </c>
      <c r="B552" t="inlineStr">
        <is>
          <t>Lozère</t>
        </is>
      </c>
      <c r="C552" t="inlineStr">
        <is>
          <t>48</t>
        </is>
      </c>
      <c r="D552" s="3" t="n">
        <v>6928</v>
      </c>
      <c r="E552" s="13">
        <f>MIN($B$4+$B$5*D552,$B$6)</f>
        <v/>
      </c>
      <c r="F552" s="13">
        <f>$B$7</f>
        <v/>
      </c>
      <c r="G552" s="13">
        <f>E552+F552</f>
        <v/>
      </c>
      <c r="H552" s="13">
        <f>3*E552+F552</f>
        <v/>
      </c>
      <c r="I552">
        <f>IF(H552&gt;$B$8,"Oui","Non")</f>
        <v/>
      </c>
      <c r="J552" s="14">
        <f>IF(D552&gt;0,E552/D552,"")</f>
        <v/>
      </c>
    </row>
    <row r="553">
      <c r="A553" s="15" t="inlineStr">
        <is>
          <t>CC Randon - Margeride</t>
        </is>
      </c>
      <c r="B553" s="15" t="inlineStr">
        <is>
          <t>Lozère</t>
        </is>
      </c>
      <c r="C553" s="15" t="inlineStr">
        <is>
          <t>48</t>
        </is>
      </c>
      <c r="D553" s="16" t="n">
        <v>5201</v>
      </c>
      <c r="E553" s="17">
        <f>MIN($B$4+$B$5*D553,$B$6)</f>
        <v/>
      </c>
      <c r="F553" s="17">
        <f>$B$7</f>
        <v/>
      </c>
      <c r="G553" s="17">
        <f>E553+F553</f>
        <v/>
      </c>
      <c r="H553" s="17">
        <f>3*E553+F553</f>
        <v/>
      </c>
      <c r="I553" s="15">
        <f>IF(H553&gt;$B$8,"Oui","Non")</f>
        <v/>
      </c>
      <c r="J553" s="18">
        <f>IF(D553&gt;0,E553/D553,"")</f>
        <v/>
      </c>
    </row>
    <row r="554">
      <c r="A554" t="inlineStr">
        <is>
          <t>CC des Cévennes au Mont Lozère</t>
        </is>
      </c>
      <c r="B554" t="inlineStr">
        <is>
          <t>Lozère</t>
        </is>
      </c>
      <c r="C554" t="inlineStr">
        <is>
          <t>48</t>
        </is>
      </c>
      <c r="D554" s="3" t="n">
        <v>5101</v>
      </c>
      <c r="E554" s="13">
        <f>MIN($B$4+$B$5*D554,$B$6)</f>
        <v/>
      </c>
      <c r="F554" s="13">
        <f>$B$7</f>
        <v/>
      </c>
      <c r="G554" s="13">
        <f>E554+F554</f>
        <v/>
      </c>
      <c r="H554" s="13">
        <f>3*E554+F554</f>
        <v/>
      </c>
      <c r="I554">
        <f>IF(H554&gt;$B$8,"Oui","Non")</f>
        <v/>
      </c>
      <c r="J554" s="14">
        <f>IF(D554&gt;0,E554/D554,"")</f>
        <v/>
      </c>
    </row>
    <row r="555">
      <c r="A555" s="15" t="inlineStr">
        <is>
          <t>CC des Hautes Terres de l'Aubrac</t>
        </is>
      </c>
      <c r="B555" s="15" t="inlineStr">
        <is>
          <t>Lozère</t>
        </is>
      </c>
      <c r="C555" s="15" t="inlineStr">
        <is>
          <t>48</t>
        </is>
      </c>
      <c r="D555" s="16" t="n">
        <v>4973</v>
      </c>
      <c r="E555" s="17">
        <f>MIN($B$4+$B$5*D555,$B$6)</f>
        <v/>
      </c>
      <c r="F555" s="17">
        <f>$B$7</f>
        <v/>
      </c>
      <c r="G555" s="17">
        <f>E555+F555</f>
        <v/>
      </c>
      <c r="H555" s="17">
        <f>3*E555+F555</f>
        <v/>
      </c>
      <c r="I555" s="15">
        <f>IF(H555&gt;$B$8,"Oui","Non")</f>
        <v/>
      </c>
      <c r="J555" s="18">
        <f>IF(D555&gt;0,E555/D555,"")</f>
        <v/>
      </c>
    </row>
    <row r="556">
      <c r="A556" t="inlineStr">
        <is>
          <t>CC des Terres d'Apcher-Margeride-Aubrac</t>
        </is>
      </c>
      <c r="B556" t="inlineStr">
        <is>
          <t>Lozère</t>
        </is>
      </c>
      <c r="C556" t="inlineStr">
        <is>
          <t>48</t>
        </is>
      </c>
      <c r="D556" s="3" t="n">
        <v>10484</v>
      </c>
      <c r="E556" s="13">
        <f>MIN($B$4+$B$5*D556,$B$6)</f>
        <v/>
      </c>
      <c r="F556" s="13">
        <f>$B$7</f>
        <v/>
      </c>
      <c r="G556" s="13">
        <f>E556+F556</f>
        <v/>
      </c>
      <c r="H556" s="13">
        <f>3*E556+F556</f>
        <v/>
      </c>
      <c r="I556">
        <f>IF(H556&gt;$B$8,"Oui","Non")</f>
        <v/>
      </c>
      <c r="J556" s="14">
        <f>IF(D556&gt;0,E556/D556,"")</f>
        <v/>
      </c>
    </row>
    <row r="557">
      <c r="A557" s="15" t="inlineStr">
        <is>
          <t>CC du Gévaudan</t>
        </is>
      </c>
      <c r="B557" s="15" t="inlineStr">
        <is>
          <t>Lozère</t>
        </is>
      </c>
      <c r="C557" s="15" t="inlineStr">
        <is>
          <t>48</t>
        </is>
      </c>
      <c r="D557" s="16" t="n">
        <v>9658</v>
      </c>
      <c r="E557" s="17">
        <f>MIN($B$4+$B$5*D557,$B$6)</f>
        <v/>
      </c>
      <c r="F557" s="17">
        <f>$B$7</f>
        <v/>
      </c>
      <c r="G557" s="17">
        <f>E557+F557</f>
        <v/>
      </c>
      <c r="H557" s="17">
        <f>3*E557+F557</f>
        <v/>
      </c>
      <c r="I557" s="15">
        <f>IF(H557&gt;$B$8,"Oui","Non")</f>
        <v/>
      </c>
      <c r="J557" s="18">
        <f>IF(D557&gt;0,E557/D557,"")</f>
        <v/>
      </c>
    </row>
    <row r="558">
      <c r="A558" t="inlineStr">
        <is>
          <t>CC du Haut Allier Margeride</t>
        </is>
      </c>
      <c r="B558" t="inlineStr">
        <is>
          <t>Lozère</t>
        </is>
      </c>
      <c r="C558" t="inlineStr">
        <is>
          <t>48</t>
        </is>
      </c>
      <c r="D558" s="3" t="n">
        <v>5167</v>
      </c>
      <c r="E558" s="13">
        <f>MIN($B$4+$B$5*D558,$B$6)</f>
        <v/>
      </c>
      <c r="F558" s="13">
        <f>$B$7</f>
        <v/>
      </c>
      <c r="G558" s="13">
        <f>E558+F558</f>
        <v/>
      </c>
      <c r="H558" s="13">
        <f>3*E558+F558</f>
        <v/>
      </c>
      <c r="I558">
        <f>IF(H558&gt;$B$8,"Oui","Non")</f>
        <v/>
      </c>
      <c r="J558" s="14">
        <f>IF(D558&gt;0,E558/D558,"")</f>
        <v/>
      </c>
    </row>
    <row r="559">
      <c r="A559" s="15" t="inlineStr">
        <is>
          <t>CC Anjou Bleu Communauté</t>
        </is>
      </c>
      <c r="B559" s="15" t="inlineStr">
        <is>
          <t>Maine-et-Loire</t>
        </is>
      </c>
      <c r="C559" s="15" t="inlineStr">
        <is>
          <t>49</t>
        </is>
      </c>
      <c r="D559" s="16" t="n">
        <v>34526</v>
      </c>
      <c r="E559" s="17">
        <f>MIN($B$4+$B$5*D559,$B$6)</f>
        <v/>
      </c>
      <c r="F559" s="17">
        <f>$B$7</f>
        <v/>
      </c>
      <c r="G559" s="17">
        <f>E559+F559</f>
        <v/>
      </c>
      <c r="H559" s="17">
        <f>3*E559+F559</f>
        <v/>
      </c>
      <c r="I559" s="15">
        <f>IF(H559&gt;$B$8,"Oui","Non")</f>
        <v/>
      </c>
      <c r="J559" s="18">
        <f>IF(D559&gt;0,E559/D559,"")</f>
        <v/>
      </c>
    </row>
    <row r="560">
      <c r="A560" t="inlineStr">
        <is>
          <t>CC Anjou Loir et Sarthe</t>
        </is>
      </c>
      <c r="B560" t="inlineStr">
        <is>
          <t>Maine-et-Loire</t>
        </is>
      </c>
      <c r="C560" t="inlineStr">
        <is>
          <t>49</t>
        </is>
      </c>
      <c r="D560" s="3" t="n">
        <v>28260</v>
      </c>
      <c r="E560" s="13">
        <f>MIN($B$4+$B$5*D560,$B$6)</f>
        <v/>
      </c>
      <c r="F560" s="13">
        <f>$B$7</f>
        <v/>
      </c>
      <c r="G560" s="13">
        <f>E560+F560</f>
        <v/>
      </c>
      <c r="H560" s="13">
        <f>3*E560+F560</f>
        <v/>
      </c>
      <c r="I560">
        <f>IF(H560&gt;$B$8,"Oui","Non")</f>
        <v/>
      </c>
      <c r="J560" s="14">
        <f>IF(D560&gt;0,E560/D560,"")</f>
        <v/>
      </c>
    </row>
    <row r="561">
      <c r="A561" s="15" t="inlineStr">
        <is>
          <t>CC Baugeois Vallée</t>
        </is>
      </c>
      <c r="B561" s="15" t="inlineStr">
        <is>
          <t>Maine-et-Loire</t>
        </is>
      </c>
      <c r="C561" s="15" t="inlineStr">
        <is>
          <t>49</t>
        </is>
      </c>
      <c r="D561" s="16" t="n">
        <v>34608</v>
      </c>
      <c r="E561" s="17">
        <f>MIN($B$4+$B$5*D561,$B$6)</f>
        <v/>
      </c>
      <c r="F561" s="17">
        <f>$B$7</f>
        <v/>
      </c>
      <c r="G561" s="17">
        <f>E561+F561</f>
        <v/>
      </c>
      <c r="H561" s="17">
        <f>3*E561+F561</f>
        <v/>
      </c>
      <c r="I561" s="15">
        <f>IF(H561&gt;$B$8,"Oui","Non")</f>
        <v/>
      </c>
      <c r="J561" s="18">
        <f>IF(D561&gt;0,E561/D561,"")</f>
        <v/>
      </c>
    </row>
    <row r="562">
      <c r="A562" t="inlineStr">
        <is>
          <t>CC Loire Layon Aubance</t>
        </is>
      </c>
      <c r="B562" t="inlineStr">
        <is>
          <t>Maine-et-Loire</t>
        </is>
      </c>
      <c r="C562" t="inlineStr">
        <is>
          <t>49</t>
        </is>
      </c>
      <c r="D562" s="3" t="n">
        <v>57176</v>
      </c>
      <c r="E562" s="13">
        <f>MIN($B$4+$B$5*D562,$B$6)</f>
        <v/>
      </c>
      <c r="F562" s="13">
        <f>$B$7</f>
        <v/>
      </c>
      <c r="G562" s="13">
        <f>E562+F562</f>
        <v/>
      </c>
      <c r="H562" s="13">
        <f>3*E562+F562</f>
        <v/>
      </c>
      <c r="I562">
        <f>IF(H562&gt;$B$8,"Oui","Non")</f>
        <v/>
      </c>
      <c r="J562" s="14">
        <f>IF(D562&gt;0,E562/D562,"")</f>
        <v/>
      </c>
    </row>
    <row r="563">
      <c r="A563" s="15" t="inlineStr">
        <is>
          <t>CC des Vallées du Haut-Anjou</t>
        </is>
      </c>
      <c r="B563" s="15" t="inlineStr">
        <is>
          <t>Maine-et-Loire</t>
        </is>
      </c>
      <c r="C563" s="15" t="inlineStr">
        <is>
          <t>49</t>
        </is>
      </c>
      <c r="D563" s="16" t="n">
        <v>36469</v>
      </c>
      <c r="E563" s="17">
        <f>MIN($B$4+$B$5*D563,$B$6)</f>
        <v/>
      </c>
      <c r="F563" s="17">
        <f>$B$7</f>
        <v/>
      </c>
      <c r="G563" s="17">
        <f>E563+F563</f>
        <v/>
      </c>
      <c r="H563" s="17">
        <f>3*E563+F563</f>
        <v/>
      </c>
      <c r="I563" s="15">
        <f>IF(H563&gt;$B$8,"Oui","Non")</f>
        <v/>
      </c>
      <c r="J563" s="18">
        <f>IF(D563&gt;0,E563/D563,"")</f>
        <v/>
      </c>
    </row>
    <row r="564">
      <c r="A564" t="inlineStr">
        <is>
          <t>CC Coutances Mer et Bocage</t>
        </is>
      </c>
      <c r="B564" t="inlineStr">
        <is>
          <t>Manche</t>
        </is>
      </c>
      <c r="C564" t="inlineStr">
        <is>
          <t>50</t>
        </is>
      </c>
      <c r="D564" s="3" t="n">
        <v>47755</v>
      </c>
      <c r="E564" s="13">
        <f>MIN($B$4+$B$5*D564,$B$6)</f>
        <v/>
      </c>
      <c r="F564" s="13">
        <f>$B$7</f>
        <v/>
      </c>
      <c r="G564" s="13">
        <f>E564+F564</f>
        <v/>
      </c>
      <c r="H564" s="13">
        <f>3*E564+F564</f>
        <v/>
      </c>
      <c r="I564">
        <f>IF(H564&gt;$B$8,"Oui","Non")</f>
        <v/>
      </c>
      <c r="J564" s="14">
        <f>IF(D564&gt;0,E564/D564,"")</f>
        <v/>
      </c>
    </row>
    <row r="565">
      <c r="A565" s="15" t="inlineStr">
        <is>
          <t>CC Côte Ouest Centre Manche</t>
        </is>
      </c>
      <c r="B565" s="15" t="inlineStr">
        <is>
          <t>Manche</t>
        </is>
      </c>
      <c r="C565" s="15" t="inlineStr">
        <is>
          <t>50</t>
        </is>
      </c>
      <c r="D565" s="16" t="n">
        <v>22194</v>
      </c>
      <c r="E565" s="17">
        <f>MIN($B$4+$B$5*D565,$B$6)</f>
        <v/>
      </c>
      <c r="F565" s="17">
        <f>$B$7</f>
        <v/>
      </c>
      <c r="G565" s="17">
        <f>E565+F565</f>
        <v/>
      </c>
      <c r="H565" s="17">
        <f>3*E565+F565</f>
        <v/>
      </c>
      <c r="I565" s="15">
        <f>IF(H565&gt;$B$8,"Oui","Non")</f>
        <v/>
      </c>
      <c r="J565" s="18">
        <f>IF(D565&gt;0,E565/D565,"")</f>
        <v/>
      </c>
    </row>
    <row r="566">
      <c r="A566" t="inlineStr">
        <is>
          <t>CC de Granville, Terre et Mer</t>
        </is>
      </c>
      <c r="B566" t="inlineStr">
        <is>
          <t>Manche</t>
        </is>
      </c>
      <c r="C566" t="inlineStr">
        <is>
          <t>50</t>
        </is>
      </c>
      <c r="D566" s="3" t="n">
        <v>45480</v>
      </c>
      <c r="E566" s="13">
        <f>MIN($B$4+$B$5*D566,$B$6)</f>
        <v/>
      </c>
      <c r="F566" s="13">
        <f>$B$7</f>
        <v/>
      </c>
      <c r="G566" s="13">
        <f>E566+F566</f>
        <v/>
      </c>
      <c r="H566" s="13">
        <f>3*E566+F566</f>
        <v/>
      </c>
      <c r="I566">
        <f>IF(H566&gt;$B$8,"Oui","Non")</f>
        <v/>
      </c>
      <c r="J566" s="14">
        <f>IF(D566&gt;0,E566/D566,"")</f>
        <v/>
      </c>
    </row>
    <row r="567">
      <c r="A567" s="15" t="inlineStr">
        <is>
          <t>CC de Villedieu Intercom</t>
        </is>
      </c>
      <c r="B567" s="15" t="inlineStr">
        <is>
          <t>Manche</t>
        </is>
      </c>
      <c r="C567" s="15" t="inlineStr">
        <is>
          <t>50</t>
        </is>
      </c>
      <c r="D567" s="16" t="n">
        <v>15676</v>
      </c>
      <c r="E567" s="17">
        <f>MIN($B$4+$B$5*D567,$B$6)</f>
        <v/>
      </c>
      <c r="F567" s="17">
        <f>$B$7</f>
        <v/>
      </c>
      <c r="G567" s="17">
        <f>E567+F567</f>
        <v/>
      </c>
      <c r="H567" s="17">
        <f>3*E567+F567</f>
        <v/>
      </c>
      <c r="I567" s="15">
        <f>IF(H567&gt;$B$8,"Oui","Non")</f>
        <v/>
      </c>
      <c r="J567" s="18">
        <f>IF(D567&gt;0,E567/D567,"")</f>
        <v/>
      </c>
    </row>
    <row r="568">
      <c r="A568" t="inlineStr">
        <is>
          <t>CC de la Baie du Cotentin</t>
        </is>
      </c>
      <c r="B568" t="inlineStr">
        <is>
          <t>Manche</t>
        </is>
      </c>
      <c r="C568" t="inlineStr">
        <is>
          <t>50</t>
        </is>
      </c>
      <c r="D568" s="3" t="n">
        <v>22962</v>
      </c>
      <c r="E568" s="13">
        <f>MIN($B$4+$B$5*D568,$B$6)</f>
        <v/>
      </c>
      <c r="F568" s="13">
        <f>$B$7</f>
        <v/>
      </c>
      <c r="G568" s="13">
        <f>E568+F568</f>
        <v/>
      </c>
      <c r="H568" s="13">
        <f>3*E568+F568</f>
        <v/>
      </c>
      <c r="I568">
        <f>IF(H568&gt;$B$8,"Oui","Non")</f>
        <v/>
      </c>
      <c r="J568" s="14">
        <f>IF(D568&gt;0,E568/D568,"")</f>
        <v/>
      </c>
    </row>
    <row r="569">
      <c r="A569" s="15" t="inlineStr">
        <is>
          <t>CC Côtes de Champagne et Val de Saulx</t>
        </is>
      </c>
      <c r="B569" s="15" t="inlineStr">
        <is>
          <t>Marne</t>
        </is>
      </c>
      <c r="C569" s="15" t="inlineStr">
        <is>
          <t>51</t>
        </is>
      </c>
      <c r="D569" s="16" t="n">
        <v>11385</v>
      </c>
      <c r="E569" s="17">
        <f>MIN($B$4+$B$5*D569,$B$6)</f>
        <v/>
      </c>
      <c r="F569" s="17">
        <f>$B$7</f>
        <v/>
      </c>
      <c r="G569" s="17">
        <f>E569+F569</f>
        <v/>
      </c>
      <c r="H569" s="17">
        <f>3*E569+F569</f>
        <v/>
      </c>
      <c r="I569" s="15">
        <f>IF(H569&gt;$B$8,"Oui","Non")</f>
        <v/>
      </c>
      <c r="J569" s="18">
        <f>IF(D569&gt;0,E569/D569,"")</f>
        <v/>
      </c>
    </row>
    <row r="570">
      <c r="A570" t="inlineStr">
        <is>
          <t>CC Perthois-Bocage et Der</t>
        </is>
      </c>
      <c r="B570" t="inlineStr">
        <is>
          <t>Marne</t>
        </is>
      </c>
      <c r="C570" t="inlineStr">
        <is>
          <t>51</t>
        </is>
      </c>
      <c r="D570" s="3" t="n">
        <v>5542</v>
      </c>
      <c r="E570" s="13">
        <f>MIN($B$4+$B$5*D570,$B$6)</f>
        <v/>
      </c>
      <c r="F570" s="13">
        <f>$B$7</f>
        <v/>
      </c>
      <c r="G570" s="13">
        <f>E570+F570</f>
        <v/>
      </c>
      <c r="H570" s="13">
        <f>3*E570+F570</f>
        <v/>
      </c>
      <c r="I570">
        <f>IF(H570&gt;$B$8,"Oui","Non")</f>
        <v/>
      </c>
      <c r="J570" s="14">
        <f>IF(D570&gt;0,E570/D570,"")</f>
        <v/>
      </c>
    </row>
    <row r="571">
      <c r="A571" s="15" t="inlineStr">
        <is>
          <t>CC de Sézanne-Sud Ouest Marnais</t>
        </is>
      </c>
      <c r="B571" s="15" t="inlineStr">
        <is>
          <t>Marne</t>
        </is>
      </c>
      <c r="C571" s="15" t="inlineStr">
        <is>
          <t>51</t>
        </is>
      </c>
      <c r="D571" s="16" t="n">
        <v>20917</v>
      </c>
      <c r="E571" s="17">
        <f>MIN($B$4+$B$5*D571,$B$6)</f>
        <v/>
      </c>
      <c r="F571" s="17">
        <f>$B$7</f>
        <v/>
      </c>
      <c r="G571" s="17">
        <f>E571+F571</f>
        <v/>
      </c>
      <c r="H571" s="17">
        <f>3*E571+F571</f>
        <v/>
      </c>
      <c r="I571" s="15">
        <f>IF(H571&gt;$B$8,"Oui","Non")</f>
        <v/>
      </c>
      <c r="J571" s="18">
        <f>IF(D571&gt;0,E571/D571,"")</f>
        <v/>
      </c>
    </row>
    <row r="572">
      <c r="A572" t="inlineStr">
        <is>
          <t>CC de Vitry, Champagne et Der</t>
        </is>
      </c>
      <c r="B572" t="inlineStr">
        <is>
          <t>Marne</t>
        </is>
      </c>
      <c r="C572" t="inlineStr">
        <is>
          <t>51</t>
        </is>
      </c>
      <c r="D572" s="3" t="n">
        <v>23412</v>
      </c>
      <c r="E572" s="13">
        <f>MIN($B$4+$B$5*D572,$B$6)</f>
        <v/>
      </c>
      <c r="F572" s="13">
        <f>$B$7</f>
        <v/>
      </c>
      <c r="G572" s="13">
        <f>E572+F572</f>
        <v/>
      </c>
      <c r="H572" s="13">
        <f>3*E572+F572</f>
        <v/>
      </c>
      <c r="I572">
        <f>IF(H572&gt;$B$8,"Oui","Non")</f>
        <v/>
      </c>
      <c r="J572" s="14">
        <f>IF(D572&gt;0,E572/D572,"")</f>
        <v/>
      </c>
    </row>
    <row r="573">
      <c r="A573" s="15" t="inlineStr">
        <is>
          <t>CC de l'Argonne Champenoise</t>
        </is>
      </c>
      <c r="B573" s="15" t="inlineStr">
        <is>
          <t>Marne</t>
        </is>
      </c>
      <c r="C573" s="15" t="inlineStr">
        <is>
          <t>51</t>
        </is>
      </c>
      <c r="D573" s="16" t="n">
        <v>11667</v>
      </c>
      <c r="E573" s="17">
        <f>MIN($B$4+$B$5*D573,$B$6)</f>
        <v/>
      </c>
      <c r="F573" s="17">
        <f>$B$7</f>
        <v/>
      </c>
      <c r="G573" s="17">
        <f>E573+F573</f>
        <v/>
      </c>
      <c r="H573" s="17">
        <f>3*E573+F573</f>
        <v/>
      </c>
      <c r="I573" s="15">
        <f>IF(H573&gt;$B$8,"Oui","Non")</f>
        <v/>
      </c>
      <c r="J573" s="18">
        <f>IF(D573&gt;0,E573/D573,"")</f>
        <v/>
      </c>
    </row>
    <row r="574">
      <c r="A574" t="inlineStr">
        <is>
          <t>CC de la Brie Champenoise</t>
        </is>
      </c>
      <c r="B574" t="inlineStr">
        <is>
          <t>Marne</t>
        </is>
      </c>
      <c r="C574" t="inlineStr">
        <is>
          <t>51</t>
        </is>
      </c>
      <c r="D574" s="3" t="n">
        <v>7533</v>
      </c>
      <c r="E574" s="13">
        <f>MIN($B$4+$B$5*D574,$B$6)</f>
        <v/>
      </c>
      <c r="F574" s="13">
        <f>$B$7</f>
        <v/>
      </c>
      <c r="G574" s="13">
        <f>E574+F574</f>
        <v/>
      </c>
      <c r="H574" s="13">
        <f>3*E574+F574</f>
        <v/>
      </c>
      <c r="I574">
        <f>IF(H574&gt;$B$8,"Oui","Non")</f>
        <v/>
      </c>
      <c r="J574" s="14">
        <f>IF(D574&gt;0,E574/D574,"")</f>
        <v/>
      </c>
    </row>
    <row r="575">
      <c r="A575" s="15" t="inlineStr">
        <is>
          <t>CC de la Grande Vallée de la Marne</t>
        </is>
      </c>
      <c r="B575" s="15" t="inlineStr">
        <is>
          <t>Marne</t>
        </is>
      </c>
      <c r="C575" s="15" t="inlineStr">
        <is>
          <t>51</t>
        </is>
      </c>
      <c r="D575" s="16" t="n">
        <v>14171</v>
      </c>
      <c r="E575" s="17">
        <f>MIN($B$4+$B$5*D575,$B$6)</f>
        <v/>
      </c>
      <c r="F575" s="17">
        <f>$B$7</f>
        <v/>
      </c>
      <c r="G575" s="17">
        <f>E575+F575</f>
        <v/>
      </c>
      <c r="H575" s="17">
        <f>3*E575+F575</f>
        <v/>
      </c>
      <c r="I575" s="15">
        <f>IF(H575&gt;$B$8,"Oui","Non")</f>
        <v/>
      </c>
      <c r="J575" s="18">
        <f>IF(D575&gt;0,E575/D575,"")</f>
        <v/>
      </c>
    </row>
    <row r="576">
      <c r="A576" t="inlineStr">
        <is>
          <t>CC de la Moivre à la Coole</t>
        </is>
      </c>
      <c r="B576" t="inlineStr">
        <is>
          <t>Marne</t>
        </is>
      </c>
      <c r="C576" t="inlineStr">
        <is>
          <t>51</t>
        </is>
      </c>
      <c r="D576" s="3" t="n">
        <v>9374</v>
      </c>
      <c r="E576" s="13">
        <f>MIN($B$4+$B$5*D576,$B$6)</f>
        <v/>
      </c>
      <c r="F576" s="13">
        <f>$B$7</f>
        <v/>
      </c>
      <c r="G576" s="13">
        <f>E576+F576</f>
        <v/>
      </c>
      <c r="H576" s="13">
        <f>3*E576+F576</f>
        <v/>
      </c>
      <c r="I576">
        <f>IF(H576&gt;$B$8,"Oui","Non")</f>
        <v/>
      </c>
      <c r="J576" s="14">
        <f>IF(D576&gt;0,E576/D576,"")</f>
        <v/>
      </c>
    </row>
    <row r="577">
      <c r="A577" s="15" t="inlineStr">
        <is>
          <t>CC de la Région de Suippes</t>
        </is>
      </c>
      <c r="B577" s="15" t="inlineStr">
        <is>
          <t>Marne</t>
        </is>
      </c>
      <c r="C577" s="15" t="inlineStr">
        <is>
          <t>51</t>
        </is>
      </c>
      <c r="D577" s="16" t="n">
        <v>7765</v>
      </c>
      <c r="E577" s="17">
        <f>MIN($B$4+$B$5*D577,$B$6)</f>
        <v/>
      </c>
      <c r="F577" s="17">
        <f>$B$7</f>
        <v/>
      </c>
      <c r="G577" s="17">
        <f>E577+F577</f>
        <v/>
      </c>
      <c r="H577" s="17">
        <f>3*E577+F577</f>
        <v/>
      </c>
      <c r="I577" s="15">
        <f>IF(H577&gt;$B$8,"Oui","Non")</f>
        <v/>
      </c>
      <c r="J577" s="18">
        <f>IF(D577&gt;0,E577/D577,"")</f>
        <v/>
      </c>
    </row>
    <row r="578">
      <c r="A578" t="inlineStr">
        <is>
          <t>CC des Paysages de la Champagne</t>
        </is>
      </c>
      <c r="B578" t="inlineStr">
        <is>
          <t>Marne</t>
        </is>
      </c>
      <c r="C578" t="inlineStr">
        <is>
          <t>51</t>
        </is>
      </c>
      <c r="D578" s="3" t="n">
        <v>20721</v>
      </c>
      <c r="E578" s="13">
        <f>MIN($B$4+$B$5*D578,$B$6)</f>
        <v/>
      </c>
      <c r="F578" s="13">
        <f>$B$7</f>
        <v/>
      </c>
      <c r="G578" s="13">
        <f>E578+F578</f>
        <v/>
      </c>
      <c r="H578" s="13">
        <f>3*E578+F578</f>
        <v/>
      </c>
      <c r="I578">
        <f>IF(H578&gt;$B$8,"Oui","Non")</f>
        <v/>
      </c>
      <c r="J578" s="14">
        <f>IF(D578&gt;0,E578/D578,"")</f>
        <v/>
      </c>
    </row>
    <row r="579">
      <c r="A579" s="15" t="inlineStr">
        <is>
          <t>CC du Sud Marnais</t>
        </is>
      </c>
      <c r="B579" s="15" t="inlineStr">
        <is>
          <t>Marne</t>
        </is>
      </c>
      <c r="C579" s="15" t="inlineStr">
        <is>
          <t>51</t>
        </is>
      </c>
      <c r="D579" s="16" t="n">
        <v>5834</v>
      </c>
      <c r="E579" s="17">
        <f>MIN($B$4+$B$5*D579,$B$6)</f>
        <v/>
      </c>
      <c r="F579" s="17">
        <f>$B$7</f>
        <v/>
      </c>
      <c r="G579" s="17">
        <f>E579+F579</f>
        <v/>
      </c>
      <c r="H579" s="17">
        <f>3*E579+F579</f>
        <v/>
      </c>
      <c r="I579" s="15">
        <f>IF(H579&gt;$B$8,"Oui","Non")</f>
        <v/>
      </c>
      <c r="J579" s="18">
        <f>IF(D579&gt;0,E579/D579,"")</f>
        <v/>
      </c>
    </row>
    <row r="580">
      <c r="A580" t="inlineStr">
        <is>
          <t>CC Meuse Rognon</t>
        </is>
      </c>
      <c r="B580" t="inlineStr">
        <is>
          <t>Haute-Marne</t>
        </is>
      </c>
      <c r="C580" t="inlineStr">
        <is>
          <t>52</t>
        </is>
      </c>
      <c r="D580" s="3" t="n">
        <v>10352</v>
      </c>
      <c r="E580" s="13">
        <f>MIN($B$4+$B$5*D580,$B$6)</f>
        <v/>
      </c>
      <c r="F580" s="13">
        <f>$B$7</f>
        <v/>
      </c>
      <c r="G580" s="13">
        <f>E580+F580</f>
        <v/>
      </c>
      <c r="H580" s="13">
        <f>3*E580+F580</f>
        <v/>
      </c>
      <c r="I580">
        <f>IF(H580&gt;$B$8,"Oui","Non")</f>
        <v/>
      </c>
      <c r="J580" s="14">
        <f>IF(D580&gt;0,E580/D580,"")</f>
        <v/>
      </c>
    </row>
    <row r="581">
      <c r="A581" s="15" t="inlineStr">
        <is>
          <t>CC d'Auberive Vingeanne et Montsaugeonnais</t>
        </is>
      </c>
      <c r="B581" s="15" t="inlineStr">
        <is>
          <t>Haute-Marne</t>
        </is>
      </c>
      <c r="C581" s="15" t="inlineStr">
        <is>
          <t>52</t>
        </is>
      </c>
      <c r="D581" s="16" t="n">
        <v>8097</v>
      </c>
      <c r="E581" s="17">
        <f>MIN($B$4+$B$5*D581,$B$6)</f>
        <v/>
      </c>
      <c r="F581" s="17">
        <f>$B$7</f>
        <v/>
      </c>
      <c r="G581" s="17">
        <f>E581+F581</f>
        <v/>
      </c>
      <c r="H581" s="17">
        <f>3*E581+F581</f>
        <v/>
      </c>
      <c r="I581" s="15">
        <f>IF(H581&gt;$B$8,"Oui","Non")</f>
        <v/>
      </c>
      <c r="J581" s="18">
        <f>IF(D581&gt;0,E581/D581,"")</f>
        <v/>
      </c>
    </row>
    <row r="582">
      <c r="A582" t="inlineStr">
        <is>
          <t>CC de l'Ouest Vosgien</t>
        </is>
      </c>
      <c r="B582" t="inlineStr">
        <is>
          <t>Haute-Marne, Vosges</t>
        </is>
      </c>
      <c r="C582" t="inlineStr">
        <is>
          <t>52, 88</t>
        </is>
      </c>
      <c r="D582" s="3" t="n">
        <v>22986</v>
      </c>
      <c r="E582" s="13">
        <f>MIN($B$4+$B$5*D582,$B$6)</f>
        <v/>
      </c>
      <c r="F582" s="13">
        <f>$B$7</f>
        <v/>
      </c>
      <c r="G582" s="13">
        <f>E582+F582</f>
        <v/>
      </c>
      <c r="H582" s="13">
        <f>3*E582+F582</f>
        <v/>
      </c>
      <c r="I582">
        <f>IF(H582&gt;$B$8,"Oui","Non")</f>
        <v/>
      </c>
      <c r="J582" s="14">
        <f>IF(D582&gt;0,E582/D582,"")</f>
        <v/>
      </c>
    </row>
    <row r="583">
      <c r="A583" s="15" t="inlineStr">
        <is>
          <t>CC des Savoir-Faire</t>
        </is>
      </c>
      <c r="B583" s="15" t="inlineStr">
        <is>
          <t>Haute-Marne, Haute-Saône</t>
        </is>
      </c>
      <c r="C583" s="15" t="inlineStr">
        <is>
          <t>52, 70</t>
        </is>
      </c>
      <c r="D583" s="16" t="n">
        <v>15054</v>
      </c>
      <c r="E583" s="17">
        <f>MIN($B$4+$B$5*D583,$B$6)</f>
        <v/>
      </c>
      <c r="F583" s="17">
        <f>$B$7</f>
        <v/>
      </c>
      <c r="G583" s="17">
        <f>E583+F583</f>
        <v/>
      </c>
      <c r="H583" s="17">
        <f>3*E583+F583</f>
        <v/>
      </c>
      <c r="I583" s="15">
        <f>IF(H583&gt;$B$8,"Oui","Non")</f>
        <v/>
      </c>
      <c r="J583" s="18">
        <f>IF(D583&gt;0,E583/D583,"")</f>
        <v/>
      </c>
    </row>
    <row r="584">
      <c r="A584" t="inlineStr">
        <is>
          <t>CC des Trois Forêts</t>
        </is>
      </c>
      <c r="B584" t="inlineStr">
        <is>
          <t>Haute-Marne</t>
        </is>
      </c>
      <c r="C584" t="inlineStr">
        <is>
          <t>52</t>
        </is>
      </c>
      <c r="D584" s="3" t="n">
        <v>7295</v>
      </c>
      <c r="E584" s="13">
        <f>MIN($B$4+$B$5*D584,$B$6)</f>
        <v/>
      </c>
      <c r="F584" s="13">
        <f>$B$7</f>
        <v/>
      </c>
      <c r="G584" s="13">
        <f>E584+F584</f>
        <v/>
      </c>
      <c r="H584" s="13">
        <f>3*E584+F584</f>
        <v/>
      </c>
      <c r="I584">
        <f>IF(H584&gt;$B$8,"Oui","Non")</f>
        <v/>
      </c>
      <c r="J584" s="14">
        <f>IF(D584&gt;0,E584/D584,"")</f>
        <v/>
      </c>
    </row>
    <row r="585">
      <c r="A585" s="15" t="inlineStr">
        <is>
          <t>CC du Bassin de Joinville en Champagne</t>
        </is>
      </c>
      <c r="B585" s="15" t="inlineStr">
        <is>
          <t>Haute-Marne</t>
        </is>
      </c>
      <c r="C585" s="15" t="inlineStr">
        <is>
          <t>52</t>
        </is>
      </c>
      <c r="D585" s="16" t="n">
        <v>12196</v>
      </c>
      <c r="E585" s="17">
        <f>MIN($B$4+$B$5*D585,$B$6)</f>
        <v/>
      </c>
      <c r="F585" s="17">
        <f>$B$7</f>
        <v/>
      </c>
      <c r="G585" s="17">
        <f>E585+F585</f>
        <v/>
      </c>
      <c r="H585" s="17">
        <f>3*E585+F585</f>
        <v/>
      </c>
      <c r="I585" s="15">
        <f>IF(H585&gt;$B$8,"Oui","Non")</f>
        <v/>
      </c>
      <c r="J585" s="18">
        <f>IF(D585&gt;0,E585/D585,"")</f>
        <v/>
      </c>
    </row>
    <row r="586">
      <c r="A586" t="inlineStr">
        <is>
          <t>CC du Grand Langres</t>
        </is>
      </c>
      <c r="B586" t="inlineStr">
        <is>
          <t>Haute-Marne</t>
        </is>
      </c>
      <c r="C586" t="inlineStr">
        <is>
          <t>52</t>
        </is>
      </c>
      <c r="D586" s="3" t="n">
        <v>20701</v>
      </c>
      <c r="E586" s="13">
        <f>MIN($B$4+$B$5*D586,$B$6)</f>
        <v/>
      </c>
      <c r="F586" s="13">
        <f>$B$7</f>
        <v/>
      </c>
      <c r="G586" s="13">
        <f>E586+F586</f>
        <v/>
      </c>
      <c r="H586" s="13">
        <f>3*E586+F586</f>
        <v/>
      </c>
      <c r="I586">
        <f>IF(H586&gt;$B$8,"Oui","Non")</f>
        <v/>
      </c>
      <c r="J586" s="14">
        <f>IF(D586&gt;0,E586/D586,"")</f>
        <v/>
      </c>
    </row>
    <row r="587">
      <c r="A587" s="15" t="inlineStr">
        <is>
          <t>CC Mayenne Communauté</t>
        </is>
      </c>
      <c r="B587" s="15" t="inlineStr">
        <is>
          <t>Mayenne</t>
        </is>
      </c>
      <c r="C587" s="15" t="inlineStr">
        <is>
          <t>53</t>
        </is>
      </c>
      <c r="D587" s="16" t="n">
        <v>36612</v>
      </c>
      <c r="E587" s="17">
        <f>MIN($B$4+$B$5*D587,$B$6)</f>
        <v/>
      </c>
      <c r="F587" s="17">
        <f>$B$7</f>
        <v/>
      </c>
      <c r="G587" s="17">
        <f>E587+F587</f>
        <v/>
      </c>
      <c r="H587" s="17">
        <f>3*E587+F587</f>
        <v/>
      </c>
      <c r="I587" s="15">
        <f>IF(H587&gt;$B$8,"Oui","Non")</f>
        <v/>
      </c>
      <c r="J587" s="18">
        <f>IF(D587&gt;0,E587/D587,"")</f>
        <v/>
      </c>
    </row>
    <row r="588">
      <c r="A588" t="inlineStr">
        <is>
          <t>CC de l'Ernée</t>
        </is>
      </c>
      <c r="B588" t="inlineStr">
        <is>
          <t>Mayenne</t>
        </is>
      </c>
      <c r="C588" t="inlineStr">
        <is>
          <t>53</t>
        </is>
      </c>
      <c r="D588" s="3" t="n">
        <v>20342</v>
      </c>
      <c r="E588" s="13">
        <f>MIN($B$4+$B$5*D588,$B$6)</f>
        <v/>
      </c>
      <c r="F588" s="13">
        <f>$B$7</f>
        <v/>
      </c>
      <c r="G588" s="13">
        <f>E588+F588</f>
        <v/>
      </c>
      <c r="H588" s="13">
        <f>3*E588+F588</f>
        <v/>
      </c>
      <c r="I588">
        <f>IF(H588&gt;$B$8,"Oui","Non")</f>
        <v/>
      </c>
      <c r="J588" s="14">
        <f>IF(D588&gt;0,E588/D588,"")</f>
        <v/>
      </c>
    </row>
    <row r="589">
      <c r="A589" s="15" t="inlineStr">
        <is>
          <t>CC des Coëvrons</t>
        </is>
      </c>
      <c r="B589" s="15" t="inlineStr">
        <is>
          <t>Mayenne</t>
        </is>
      </c>
      <c r="C589" s="15" t="inlineStr">
        <is>
          <t>53</t>
        </is>
      </c>
      <c r="D589" s="16" t="n">
        <v>26746</v>
      </c>
      <c r="E589" s="17">
        <f>MIN($B$4+$B$5*D589,$B$6)</f>
        <v/>
      </c>
      <c r="F589" s="17">
        <f>$B$7</f>
        <v/>
      </c>
      <c r="G589" s="17">
        <f>E589+F589</f>
        <v/>
      </c>
      <c r="H589" s="17">
        <f>3*E589+F589</f>
        <v/>
      </c>
      <c r="I589" s="15">
        <f>IF(H589&gt;$B$8,"Oui","Non")</f>
        <v/>
      </c>
      <c r="J589" s="18">
        <f>IF(D589&gt;0,E589/D589,"")</f>
        <v/>
      </c>
    </row>
    <row r="590">
      <c r="A590" t="inlineStr">
        <is>
          <t>CC du Bocage Mayennais</t>
        </is>
      </c>
      <c r="B590" t="inlineStr">
        <is>
          <t>Mayenne</t>
        </is>
      </c>
      <c r="C590" t="inlineStr">
        <is>
          <t>53</t>
        </is>
      </c>
      <c r="D590" s="3" t="n">
        <v>18256</v>
      </c>
      <c r="E590" s="13">
        <f>MIN($B$4+$B$5*D590,$B$6)</f>
        <v/>
      </c>
      <c r="F590" s="13">
        <f>$B$7</f>
        <v/>
      </c>
      <c r="G590" s="13">
        <f>E590+F590</f>
        <v/>
      </c>
      <c r="H590" s="13">
        <f>3*E590+F590</f>
        <v/>
      </c>
      <c r="I590">
        <f>IF(H590&gt;$B$8,"Oui","Non")</f>
        <v/>
      </c>
      <c r="J590" s="14">
        <f>IF(D590&gt;0,E590/D590,"")</f>
        <v/>
      </c>
    </row>
    <row r="591">
      <c r="A591" s="15" t="inlineStr">
        <is>
          <t>CC du Mont des Avaloirs</t>
        </is>
      </c>
      <c r="B591" s="15" t="inlineStr">
        <is>
          <t>Mayenne</t>
        </is>
      </c>
      <c r="C591" s="15" t="inlineStr">
        <is>
          <t>53</t>
        </is>
      </c>
      <c r="D591" s="16" t="n">
        <v>15531</v>
      </c>
      <c r="E591" s="17">
        <f>MIN($B$4+$B$5*D591,$B$6)</f>
        <v/>
      </c>
      <c r="F591" s="17">
        <f>$B$7</f>
        <v/>
      </c>
      <c r="G591" s="17">
        <f>E591+F591</f>
        <v/>
      </c>
      <c r="H591" s="17">
        <f>3*E591+F591</f>
        <v/>
      </c>
      <c r="I591" s="15">
        <f>IF(H591&gt;$B$8,"Oui","Non")</f>
        <v/>
      </c>
      <c r="J591" s="18">
        <f>IF(D591&gt;0,E591/D591,"")</f>
        <v/>
      </c>
    </row>
    <row r="592">
      <c r="A592" t="inlineStr">
        <is>
          <t>CC du Pays Sabolien</t>
        </is>
      </c>
      <c r="B592" t="inlineStr">
        <is>
          <t>Mayenne, Sarthe</t>
        </is>
      </c>
      <c r="C592" t="inlineStr">
        <is>
          <t>53, 72</t>
        </is>
      </c>
      <c r="D592" s="3" t="n">
        <v>28326</v>
      </c>
      <c r="E592" s="13">
        <f>MIN($B$4+$B$5*D592,$B$6)</f>
        <v/>
      </c>
      <c r="F592" s="13">
        <f>$B$7</f>
        <v/>
      </c>
      <c r="G592" s="13">
        <f>E592+F592</f>
        <v/>
      </c>
      <c r="H592" s="13">
        <f>3*E592+F592</f>
        <v/>
      </c>
      <c r="I592">
        <f>IF(H592&gt;$B$8,"Oui","Non")</f>
        <v/>
      </c>
      <c r="J592" s="14">
        <f>IF(D592&gt;0,E592/D592,"")</f>
        <v/>
      </c>
    </row>
    <row r="593">
      <c r="A593" s="15" t="inlineStr">
        <is>
          <t>CC du Pays de Château-Gontier</t>
        </is>
      </c>
      <c r="B593" s="15" t="inlineStr">
        <is>
          <t>Mayenne</t>
        </is>
      </c>
      <c r="C593" s="15" t="inlineStr">
        <is>
          <t>53</t>
        </is>
      </c>
      <c r="D593" s="16" t="n">
        <v>29934</v>
      </c>
      <c r="E593" s="17">
        <f>MIN($B$4+$B$5*D593,$B$6)</f>
        <v/>
      </c>
      <c r="F593" s="17">
        <f>$B$7</f>
        <v/>
      </c>
      <c r="G593" s="17">
        <f>E593+F593</f>
        <v/>
      </c>
      <c r="H593" s="17">
        <f>3*E593+F593</f>
        <v/>
      </c>
      <c r="I593" s="15">
        <f>IF(H593&gt;$B$8,"Oui","Non")</f>
        <v/>
      </c>
      <c r="J593" s="18">
        <f>IF(D593&gt;0,E593/D593,"")</f>
        <v/>
      </c>
    </row>
    <row r="594">
      <c r="A594" t="inlineStr">
        <is>
          <t>CC du Pays de Craon</t>
        </is>
      </c>
      <c r="B594" t="inlineStr">
        <is>
          <t>Mayenne</t>
        </is>
      </c>
      <c r="C594" t="inlineStr">
        <is>
          <t>53</t>
        </is>
      </c>
      <c r="D594" s="3" t="n">
        <v>28594</v>
      </c>
      <c r="E594" s="13">
        <f>MIN($B$4+$B$5*D594,$B$6)</f>
        <v/>
      </c>
      <c r="F594" s="13">
        <f>$B$7</f>
        <v/>
      </c>
      <c r="G594" s="13">
        <f>E594+F594</f>
        <v/>
      </c>
      <c r="H594" s="13">
        <f>3*E594+F594</f>
        <v/>
      </c>
      <c r="I594">
        <f>IF(H594&gt;$B$8,"Oui","Non")</f>
        <v/>
      </c>
      <c r="J594" s="14">
        <f>IF(D594&gt;0,E594/D594,"")</f>
        <v/>
      </c>
    </row>
    <row r="595">
      <c r="A595" s="15" t="inlineStr">
        <is>
          <t>CC du Pays de Meslay-Grez</t>
        </is>
      </c>
      <c r="B595" s="15" t="inlineStr">
        <is>
          <t>Mayenne</t>
        </is>
      </c>
      <c r="C595" s="15" t="inlineStr">
        <is>
          <t>53</t>
        </is>
      </c>
      <c r="D595" s="16" t="n">
        <v>13832</v>
      </c>
      <c r="E595" s="17">
        <f>MIN($B$4+$B$5*D595,$B$6)</f>
        <v/>
      </c>
      <c r="F595" s="17">
        <f>$B$7</f>
        <v/>
      </c>
      <c r="G595" s="17">
        <f>E595+F595</f>
        <v/>
      </c>
      <c r="H595" s="17">
        <f>3*E595+F595</f>
        <v/>
      </c>
      <c r="I595" s="15">
        <f>IF(H595&gt;$B$8,"Oui","Non")</f>
        <v/>
      </c>
      <c r="J595" s="18">
        <f>IF(D595&gt;0,E595/D595,"")</f>
        <v/>
      </c>
    </row>
    <row r="596">
      <c r="A596" t="inlineStr">
        <is>
          <t>CC Coeur du Pays Haut</t>
        </is>
      </c>
      <c r="B596" t="inlineStr">
        <is>
          <t>Meurthe-et-Moselle, Meuse</t>
        </is>
      </c>
      <c r="C596" t="inlineStr">
        <is>
          <t>54, 55</t>
        </is>
      </c>
      <c r="D596" s="3" t="n">
        <v>23280</v>
      </c>
      <c r="E596" s="13">
        <f>MIN($B$4+$B$5*D596,$B$6)</f>
        <v/>
      </c>
      <c r="F596" s="13">
        <f>$B$7</f>
        <v/>
      </c>
      <c r="G596" s="13">
        <f>E596+F596</f>
        <v/>
      </c>
      <c r="H596" s="13">
        <f>3*E596+F596</f>
        <v/>
      </c>
      <c r="I596">
        <f>IF(H596&gt;$B$8,"Oui","Non")</f>
        <v/>
      </c>
      <c r="J596" s="14">
        <f>IF(D596&gt;0,E596/D596,"")</f>
        <v/>
      </c>
    </row>
    <row r="597">
      <c r="A597" s="15" t="inlineStr">
        <is>
          <t>CC Mad et Moselle</t>
        </is>
      </c>
      <c r="B597" s="15" t="inlineStr">
        <is>
          <t>Meurthe-et-Moselle, Moselle</t>
        </is>
      </c>
      <c r="C597" s="15" t="inlineStr">
        <is>
          <t>54, 57</t>
        </is>
      </c>
      <c r="D597" s="16" t="n">
        <v>19144</v>
      </c>
      <c r="E597" s="17">
        <f>MIN($B$4+$B$5*D597,$B$6)</f>
        <v/>
      </c>
      <c r="F597" s="17">
        <f>$B$7</f>
        <v/>
      </c>
      <c r="G597" s="17">
        <f>E597+F597</f>
        <v/>
      </c>
      <c r="H597" s="17">
        <f>3*E597+F597</f>
        <v/>
      </c>
      <c r="I597" s="15">
        <f>IF(H597&gt;$B$8,"Oui","Non")</f>
        <v/>
      </c>
      <c r="J597" s="18">
        <f>IF(D597&gt;0,E597/D597,"")</f>
        <v/>
      </c>
    </row>
    <row r="598">
      <c r="A598" t="inlineStr">
        <is>
          <t>CC Meurthe Mortagne Moselle</t>
        </is>
      </c>
      <c r="B598" t="inlineStr">
        <is>
          <t>Meurthe-et-Moselle</t>
        </is>
      </c>
      <c r="C598" t="inlineStr">
        <is>
          <t>54</t>
        </is>
      </c>
      <c r="D598" s="3" t="n">
        <v>16456</v>
      </c>
      <c r="E598" s="13">
        <f>MIN($B$4+$B$5*D598,$B$6)</f>
        <v/>
      </c>
      <c r="F598" s="13">
        <f>$B$7</f>
        <v/>
      </c>
      <c r="G598" s="13">
        <f>E598+F598</f>
        <v/>
      </c>
      <c r="H598" s="13">
        <f>3*E598+F598</f>
        <v/>
      </c>
      <c r="I598">
        <f>IF(H598&gt;$B$8,"Oui","Non")</f>
        <v/>
      </c>
      <c r="J598" s="14">
        <f>IF(D598&gt;0,E598/D598,"")</f>
        <v/>
      </c>
    </row>
    <row r="599">
      <c r="A599" s="15" t="inlineStr">
        <is>
          <t>CC Moselle et Madon</t>
        </is>
      </c>
      <c r="B599" s="15" t="inlineStr">
        <is>
          <t>Meurthe-et-Moselle</t>
        </is>
      </c>
      <c r="C599" s="15" t="inlineStr">
        <is>
          <t>54</t>
        </is>
      </c>
      <c r="D599" s="16" t="n">
        <v>28192</v>
      </c>
      <c r="E599" s="17">
        <f>MIN($B$4+$B$5*D599,$B$6)</f>
        <v/>
      </c>
      <c r="F599" s="17">
        <f>$B$7</f>
        <v/>
      </c>
      <c r="G599" s="17">
        <f>E599+F599</f>
        <v/>
      </c>
      <c r="H599" s="17">
        <f>3*E599+F599</f>
        <v/>
      </c>
      <c r="I599" s="15">
        <f>IF(H599&gt;$B$8,"Oui","Non")</f>
        <v/>
      </c>
      <c r="J599" s="18">
        <f>IF(D599&gt;0,E599/D599,"")</f>
        <v/>
      </c>
    </row>
    <row r="600">
      <c r="A600" t="inlineStr">
        <is>
          <t>CC Orne Lorraine Confluences</t>
        </is>
      </c>
      <c r="B600" t="inlineStr">
        <is>
          <t>Meurthe-et-Moselle</t>
        </is>
      </c>
      <c r="C600" t="inlineStr">
        <is>
          <t>54</t>
        </is>
      </c>
      <c r="D600" s="3" t="n">
        <v>52850</v>
      </c>
      <c r="E600" s="13">
        <f>MIN($B$4+$B$5*D600,$B$6)</f>
        <v/>
      </c>
      <c r="F600" s="13">
        <f>$B$7</f>
        <v/>
      </c>
      <c r="G600" s="13">
        <f>E600+F600</f>
        <v/>
      </c>
      <c r="H600" s="13">
        <f>3*E600+F600</f>
        <v/>
      </c>
      <c r="I600">
        <f>IF(H600&gt;$B$8,"Oui","Non")</f>
        <v/>
      </c>
      <c r="J600" s="14">
        <f>IF(D600&gt;0,E600/D600,"")</f>
        <v/>
      </c>
    </row>
    <row r="601">
      <c r="A601" s="15" t="inlineStr">
        <is>
          <t>CC Terre Lorraine du Longuyonnais</t>
        </is>
      </c>
      <c r="B601" s="15" t="inlineStr">
        <is>
          <t>Meurthe-et-Moselle</t>
        </is>
      </c>
      <c r="C601" s="15" t="inlineStr">
        <is>
          <t>54</t>
        </is>
      </c>
      <c r="D601" s="16" t="n">
        <v>15334</v>
      </c>
      <c r="E601" s="17">
        <f>MIN($B$4+$B$5*D601,$B$6)</f>
        <v/>
      </c>
      <c r="F601" s="17">
        <f>$B$7</f>
        <v/>
      </c>
      <c r="G601" s="17">
        <f>E601+F601</f>
        <v/>
      </c>
      <c r="H601" s="17">
        <f>3*E601+F601</f>
        <v/>
      </c>
      <c r="I601" s="15">
        <f>IF(H601&gt;$B$8,"Oui","Non")</f>
        <v/>
      </c>
      <c r="J601" s="18">
        <f>IF(D601&gt;0,E601/D601,"")</f>
        <v/>
      </c>
    </row>
    <row r="602">
      <c r="A602" t="inlineStr">
        <is>
          <t>CC Terres Touloises</t>
        </is>
      </c>
      <c r="B602" t="inlineStr">
        <is>
          <t>Meurthe-et-Moselle</t>
        </is>
      </c>
      <c r="C602" t="inlineStr">
        <is>
          <t>54</t>
        </is>
      </c>
      <c r="D602" s="3" t="n">
        <v>44293</v>
      </c>
      <c r="E602" s="13">
        <f>MIN($B$4+$B$5*D602,$B$6)</f>
        <v/>
      </c>
      <c r="F602" s="13">
        <f>$B$7</f>
        <v/>
      </c>
      <c r="G602" s="13">
        <f>E602+F602</f>
        <v/>
      </c>
      <c r="H602" s="13">
        <f>3*E602+F602</f>
        <v/>
      </c>
      <c r="I602">
        <f>IF(H602&gt;$B$8,"Oui","Non")</f>
        <v/>
      </c>
      <c r="J602" s="14">
        <f>IF(D602&gt;0,E602/D602,"")</f>
        <v/>
      </c>
    </row>
    <row r="603">
      <c r="A603" s="15" t="inlineStr">
        <is>
          <t>CC de Seille et Grand Couronné</t>
        </is>
      </c>
      <c r="B603" s="15" t="inlineStr">
        <is>
          <t>Meurthe-et-Moselle</t>
        </is>
      </c>
      <c r="C603" s="15" t="inlineStr">
        <is>
          <t>54</t>
        </is>
      </c>
      <c r="D603" s="16" t="n">
        <v>18955</v>
      </c>
      <c r="E603" s="17">
        <f>MIN($B$4+$B$5*D603,$B$6)</f>
        <v/>
      </c>
      <c r="F603" s="17">
        <f>$B$7</f>
        <v/>
      </c>
      <c r="G603" s="17">
        <f>E603+F603</f>
        <v/>
      </c>
      <c r="H603" s="17">
        <f>3*E603+F603</f>
        <v/>
      </c>
      <c r="I603" s="15">
        <f>IF(H603&gt;$B$8,"Oui","Non")</f>
        <v/>
      </c>
      <c r="J603" s="18">
        <f>IF(D603&gt;0,E603/D603,"")</f>
        <v/>
      </c>
    </row>
    <row r="604">
      <c r="A604" t="inlineStr">
        <is>
          <t>CC de Vezouze en Piémont</t>
        </is>
      </c>
      <c r="B604" t="inlineStr">
        <is>
          <t>Meurthe-et-Moselle</t>
        </is>
      </c>
      <c r="C604" t="inlineStr">
        <is>
          <t>54</t>
        </is>
      </c>
      <c r="D604" s="3" t="n">
        <v>11483</v>
      </c>
      <c r="E604" s="13">
        <f>MIN($B$4+$B$5*D604,$B$6)</f>
        <v/>
      </c>
      <c r="F604" s="13">
        <f>$B$7</f>
        <v/>
      </c>
      <c r="G604" s="13">
        <f>E604+F604</f>
        <v/>
      </c>
      <c r="H604" s="13">
        <f>3*E604+F604</f>
        <v/>
      </c>
      <c r="I604">
        <f>IF(H604&gt;$B$8,"Oui","Non")</f>
        <v/>
      </c>
      <c r="J604" s="14">
        <f>IF(D604&gt;0,E604/D604,"")</f>
        <v/>
      </c>
    </row>
    <row r="605">
      <c r="A605" s="15" t="inlineStr">
        <is>
          <t>CC des Pays du Sel et du Vermois</t>
        </is>
      </c>
      <c r="B605" s="15" t="inlineStr">
        <is>
          <t>Meurthe-et-Moselle</t>
        </is>
      </c>
      <c r="C605" s="15" t="inlineStr">
        <is>
          <t>54</t>
        </is>
      </c>
      <c r="D605" s="16" t="n">
        <v>28698</v>
      </c>
      <c r="E605" s="17">
        <f>MIN($B$4+$B$5*D605,$B$6)</f>
        <v/>
      </c>
      <c r="F605" s="17">
        <f>$B$7</f>
        <v/>
      </c>
      <c r="G605" s="17">
        <f>E605+F605</f>
        <v/>
      </c>
      <c r="H605" s="17">
        <f>3*E605+F605</f>
        <v/>
      </c>
      <c r="I605" s="15">
        <f>IF(H605&gt;$B$8,"Oui","Non")</f>
        <v/>
      </c>
      <c r="J605" s="18">
        <f>IF(D605&gt;0,E605/D605,"")</f>
        <v/>
      </c>
    </row>
    <row r="606">
      <c r="A606" t="inlineStr">
        <is>
          <t>CC du Bassin de Pompey</t>
        </is>
      </c>
      <c r="B606" t="inlineStr">
        <is>
          <t>Meurthe-et-Moselle</t>
        </is>
      </c>
      <c r="C606" t="inlineStr">
        <is>
          <t>54</t>
        </is>
      </c>
      <c r="D606" s="3" t="n">
        <v>39626</v>
      </c>
      <c r="E606" s="13">
        <f>MIN($B$4+$B$5*D606,$B$6)</f>
        <v/>
      </c>
      <c r="F606" s="13">
        <f>$B$7</f>
        <v/>
      </c>
      <c r="G606" s="13">
        <f>E606+F606</f>
        <v/>
      </c>
      <c r="H606" s="13">
        <f>3*E606+F606</f>
        <v/>
      </c>
      <c r="I606">
        <f>IF(H606&gt;$B$8,"Oui","Non")</f>
        <v/>
      </c>
      <c r="J606" s="14">
        <f>IF(D606&gt;0,E606/D606,"")</f>
        <v/>
      </c>
    </row>
    <row r="607">
      <c r="A607" s="15" t="inlineStr">
        <is>
          <t>CC du Bassin de Pont-à-Mousson</t>
        </is>
      </c>
      <c r="B607" s="15" t="inlineStr">
        <is>
          <t>Meurthe-et-Moselle</t>
        </is>
      </c>
      <c r="C607" s="15" t="inlineStr">
        <is>
          <t>54</t>
        </is>
      </c>
      <c r="D607" s="16" t="n">
        <v>40203</v>
      </c>
      <c r="E607" s="17">
        <f>MIN($B$4+$B$5*D607,$B$6)</f>
        <v/>
      </c>
      <c r="F607" s="17">
        <f>$B$7</f>
        <v/>
      </c>
      <c r="G607" s="17">
        <f>E607+F607</f>
        <v/>
      </c>
      <c r="H607" s="17">
        <f>3*E607+F607</f>
        <v/>
      </c>
      <c r="I607" s="15">
        <f>IF(H607&gt;$B$8,"Oui","Non")</f>
        <v/>
      </c>
      <c r="J607" s="18">
        <f>IF(D607&gt;0,E607/D607,"")</f>
        <v/>
      </c>
    </row>
    <row r="608">
      <c r="A608" t="inlineStr">
        <is>
          <t>CC du Pays Haut Val d'Alzette</t>
        </is>
      </c>
      <c r="B608" t="inlineStr">
        <is>
          <t>Meurthe-et-Moselle, Moselle</t>
        </is>
      </c>
      <c r="C608" t="inlineStr">
        <is>
          <t>54, 57</t>
        </is>
      </c>
      <c r="D608" s="3" t="n">
        <v>29465</v>
      </c>
      <c r="E608" s="13">
        <f>MIN($B$4+$B$5*D608,$B$6)</f>
        <v/>
      </c>
      <c r="F608" s="13">
        <f>$B$7</f>
        <v/>
      </c>
      <c r="G608" s="13">
        <f>E608+F608</f>
        <v/>
      </c>
      <c r="H608" s="13">
        <f>3*E608+F608</f>
        <v/>
      </c>
      <c r="I608">
        <f>IF(H608&gt;$B$8,"Oui","Non")</f>
        <v/>
      </c>
      <c r="J608" s="14">
        <f>IF(D608&gt;0,E608/D608,"")</f>
        <v/>
      </c>
    </row>
    <row r="609">
      <c r="A609" s="15" t="inlineStr">
        <is>
          <t>CC du Pays de Colombey et du Sud Toulois</t>
        </is>
      </c>
      <c r="B609" s="15" t="inlineStr">
        <is>
          <t>Meurthe-et-Moselle, Vosges</t>
        </is>
      </c>
      <c r="C609" s="15" t="inlineStr">
        <is>
          <t>54, 88</t>
        </is>
      </c>
      <c r="D609" s="16" t="n">
        <v>11235</v>
      </c>
      <c r="E609" s="17">
        <f>MIN($B$4+$B$5*D609,$B$6)</f>
        <v/>
      </c>
      <c r="F609" s="17">
        <f>$B$7</f>
        <v/>
      </c>
      <c r="G609" s="17">
        <f>E609+F609</f>
        <v/>
      </c>
      <c r="H609" s="17">
        <f>3*E609+F609</f>
        <v/>
      </c>
      <c r="I609" s="15">
        <f>IF(H609&gt;$B$8,"Oui","Non")</f>
        <v/>
      </c>
      <c r="J609" s="18">
        <f>IF(D609&gt;0,E609/D609,"")</f>
        <v/>
      </c>
    </row>
    <row r="610">
      <c r="A610" t="inlineStr">
        <is>
          <t>CC du Pays du Saintois</t>
        </is>
      </c>
      <c r="B610" t="inlineStr">
        <is>
          <t>Meurthe-et-Moselle</t>
        </is>
      </c>
      <c r="C610" t="inlineStr">
        <is>
          <t>54</t>
        </is>
      </c>
      <c r="D610" s="3" t="n">
        <v>14229</v>
      </c>
      <c r="E610" s="13">
        <f>MIN($B$4+$B$5*D610,$B$6)</f>
        <v/>
      </c>
      <c r="F610" s="13">
        <f>$B$7</f>
        <v/>
      </c>
      <c r="G610" s="13">
        <f>E610+F610</f>
        <v/>
      </c>
      <c r="H610" s="13">
        <f>3*E610+F610</f>
        <v/>
      </c>
      <c r="I610">
        <f>IF(H610&gt;$B$8,"Oui","Non")</f>
        <v/>
      </c>
      <c r="J610" s="14">
        <f>IF(D610&gt;0,E610/D610,"")</f>
        <v/>
      </c>
    </row>
    <row r="611">
      <c r="A611" s="15" t="inlineStr">
        <is>
          <t>CC du Pays du Sanon</t>
        </is>
      </c>
      <c r="B611" s="15" t="inlineStr">
        <is>
          <t>Meurthe-et-Moselle</t>
        </is>
      </c>
      <c r="C611" s="15" t="inlineStr">
        <is>
          <t>54</t>
        </is>
      </c>
      <c r="D611" s="16" t="n">
        <v>5795</v>
      </c>
      <c r="E611" s="17">
        <f>MIN($B$4+$B$5*D611,$B$6)</f>
        <v/>
      </c>
      <c r="F611" s="17">
        <f>$B$7</f>
        <v/>
      </c>
      <c r="G611" s="17">
        <f>E611+F611</f>
        <v/>
      </c>
      <c r="H611" s="17">
        <f>3*E611+F611</f>
        <v/>
      </c>
      <c r="I611" s="15">
        <f>IF(H611&gt;$B$8,"Oui","Non")</f>
        <v/>
      </c>
      <c r="J611" s="18">
        <f>IF(D611&gt;0,E611/D611,"")</f>
        <v/>
      </c>
    </row>
    <row r="612">
      <c r="A612" t="inlineStr">
        <is>
          <t>CC du Territoire de Lunéville à Baccarat</t>
        </is>
      </c>
      <c r="B612" t="inlineStr">
        <is>
          <t>Meurthe-et-Moselle</t>
        </is>
      </c>
      <c r="C612" t="inlineStr">
        <is>
          <t>54</t>
        </is>
      </c>
      <c r="D612" s="3" t="n">
        <v>40609</v>
      </c>
      <c r="E612" s="13">
        <f>MIN($B$4+$B$5*D612,$B$6)</f>
        <v/>
      </c>
      <c r="F612" s="13">
        <f>$B$7</f>
        <v/>
      </c>
      <c r="G612" s="13">
        <f>E612+F612</f>
        <v/>
      </c>
      <c r="H612" s="13">
        <f>3*E612+F612</f>
        <v/>
      </c>
      <c r="I612">
        <f>IF(H612&gt;$B$8,"Oui","Non")</f>
        <v/>
      </c>
      <c r="J612" s="14">
        <f>IF(D612&gt;0,E612/D612,"")</f>
        <v/>
      </c>
    </row>
    <row r="613">
      <c r="A613" s="15" t="inlineStr">
        <is>
          <t>CC Argonne-Meuse</t>
        </is>
      </c>
      <c r="B613" s="15" t="inlineStr">
        <is>
          <t>Meuse</t>
        </is>
      </c>
      <c r="C613" s="15" t="inlineStr">
        <is>
          <t>55</t>
        </is>
      </c>
      <c r="D613" s="16" t="n">
        <v>6879</v>
      </c>
      <c r="E613" s="17">
        <f>MIN($B$4+$B$5*D613,$B$6)</f>
        <v/>
      </c>
      <c r="F613" s="17">
        <f>$B$7</f>
        <v/>
      </c>
      <c r="G613" s="17">
        <f>E613+F613</f>
        <v/>
      </c>
      <c r="H613" s="17">
        <f>3*E613+F613</f>
        <v/>
      </c>
      <c r="I613" s="15">
        <f>IF(H613&gt;$B$8,"Oui","Non")</f>
        <v/>
      </c>
      <c r="J613" s="18">
        <f>IF(D613&gt;0,E613/D613,"")</f>
        <v/>
      </c>
    </row>
    <row r="614">
      <c r="A614" t="inlineStr">
        <is>
          <t>CC Côtes de Meuse Woëvre</t>
        </is>
      </c>
      <c r="B614" t="inlineStr">
        <is>
          <t>Meuse</t>
        </is>
      </c>
      <c r="C614" t="inlineStr">
        <is>
          <t>55</t>
        </is>
      </c>
      <c r="D614" s="3" t="n">
        <v>6011</v>
      </c>
      <c r="E614" s="13">
        <f>MIN($B$4+$B$5*D614,$B$6)</f>
        <v/>
      </c>
      <c r="F614" s="13">
        <f>$B$7</f>
        <v/>
      </c>
      <c r="G614" s="13">
        <f>E614+F614</f>
        <v/>
      </c>
      <c r="H614" s="13">
        <f>3*E614+F614</f>
        <v/>
      </c>
      <c r="I614">
        <f>IF(H614&gt;$B$8,"Oui","Non")</f>
        <v/>
      </c>
      <c r="J614" s="14">
        <f>IF(D614&gt;0,E614/D614,"")</f>
        <v/>
      </c>
    </row>
    <row r="615">
      <c r="A615" s="15" t="inlineStr">
        <is>
          <t>CC Val de Meuse - Voie Sacrée</t>
        </is>
      </c>
      <c r="B615" s="15" t="inlineStr">
        <is>
          <t>Meuse</t>
        </is>
      </c>
      <c r="C615" s="15" t="inlineStr">
        <is>
          <t>55</t>
        </is>
      </c>
      <c r="D615" s="16" t="n">
        <v>8882</v>
      </c>
      <c r="E615" s="17">
        <f>MIN($B$4+$B$5*D615,$B$6)</f>
        <v/>
      </c>
      <c r="F615" s="17">
        <f>$B$7</f>
        <v/>
      </c>
      <c r="G615" s="17">
        <f>E615+F615</f>
        <v/>
      </c>
      <c r="H615" s="17">
        <f>3*E615+F615</f>
        <v/>
      </c>
      <c r="I615" s="15">
        <f>IF(H615&gt;$B$8,"Oui","Non")</f>
        <v/>
      </c>
      <c r="J615" s="18">
        <f>IF(D615&gt;0,E615/D615,"")</f>
        <v/>
      </c>
    </row>
    <row r="616">
      <c r="A616" t="inlineStr">
        <is>
          <t>CC de Commercy - Void - Vaucouleurs</t>
        </is>
      </c>
      <c r="B616" t="inlineStr">
        <is>
          <t>Meuse</t>
        </is>
      </c>
      <c r="C616" t="inlineStr">
        <is>
          <t>55</t>
        </is>
      </c>
      <c r="D616" s="3" t="n">
        <v>21952</v>
      </c>
      <c r="E616" s="13">
        <f>MIN($B$4+$B$5*D616,$B$6)</f>
        <v/>
      </c>
      <c r="F616" s="13">
        <f>$B$7</f>
        <v/>
      </c>
      <c r="G616" s="13">
        <f>E616+F616</f>
        <v/>
      </c>
      <c r="H616" s="13">
        <f>3*E616+F616</f>
        <v/>
      </c>
      <c r="I616">
        <f>IF(H616&gt;$B$8,"Oui","Non")</f>
        <v/>
      </c>
      <c r="J616" s="14">
        <f>IF(D616&gt;0,E616/D616,"")</f>
        <v/>
      </c>
    </row>
    <row r="617">
      <c r="A617" s="15" t="inlineStr">
        <is>
          <t>CC de Damvillers Spincourt</t>
        </is>
      </c>
      <c r="B617" s="15" t="inlineStr">
        <is>
          <t>Meuse</t>
        </is>
      </c>
      <c r="C617" s="15" t="inlineStr">
        <is>
          <t>55</t>
        </is>
      </c>
      <c r="D617" s="16" t="n">
        <v>8036</v>
      </c>
      <c r="E617" s="17">
        <f>MIN($B$4+$B$5*D617,$B$6)</f>
        <v/>
      </c>
      <c r="F617" s="17">
        <f>$B$7</f>
        <v/>
      </c>
      <c r="G617" s="17">
        <f>E617+F617</f>
        <v/>
      </c>
      <c r="H617" s="17">
        <f>3*E617+F617</f>
        <v/>
      </c>
      <c r="I617" s="15">
        <f>IF(H617&gt;$B$8,"Oui","Non")</f>
        <v/>
      </c>
      <c r="J617" s="18">
        <f>IF(D617&gt;0,E617/D617,"")</f>
        <v/>
      </c>
    </row>
    <row r="618">
      <c r="A618" t="inlineStr">
        <is>
          <t>CC de l'Aire à l'Argonne</t>
        </is>
      </c>
      <c r="B618" t="inlineStr">
        <is>
          <t>Meuse</t>
        </is>
      </c>
      <c r="C618" t="inlineStr">
        <is>
          <t>55</t>
        </is>
      </c>
      <c r="D618" s="3" t="n">
        <v>6382</v>
      </c>
      <c r="E618" s="13">
        <f>MIN($B$4+$B$5*D618,$B$6)</f>
        <v/>
      </c>
      <c r="F618" s="13">
        <f>$B$7</f>
        <v/>
      </c>
      <c r="G618" s="13">
        <f>E618+F618</f>
        <v/>
      </c>
      <c r="H618" s="13">
        <f>3*E618+F618</f>
        <v/>
      </c>
      <c r="I618">
        <f>IF(H618&gt;$B$8,"Oui","Non")</f>
        <v/>
      </c>
      <c r="J618" s="14">
        <f>IF(D618&gt;0,E618/D618,"")</f>
        <v/>
      </c>
    </row>
    <row r="619">
      <c r="A619" s="15" t="inlineStr">
        <is>
          <t>CC des Portes de Meuse</t>
        </is>
      </c>
      <c r="B619" s="15" t="inlineStr">
        <is>
          <t>Meuse</t>
        </is>
      </c>
      <c r="C619" s="15" t="inlineStr">
        <is>
          <t>55</t>
        </is>
      </c>
      <c r="D619" s="16" t="n">
        <v>16003</v>
      </c>
      <c r="E619" s="17">
        <f>MIN($B$4+$B$5*D619,$B$6)</f>
        <v/>
      </c>
      <c r="F619" s="17">
        <f>$B$7</f>
        <v/>
      </c>
      <c r="G619" s="17">
        <f>E619+F619</f>
        <v/>
      </c>
      <c r="H619" s="17">
        <f>3*E619+F619</f>
        <v/>
      </c>
      <c r="I619" s="15">
        <f>IF(H619&gt;$B$8,"Oui","Non")</f>
        <v/>
      </c>
      <c r="J619" s="18">
        <f>IF(D619&gt;0,E619/D619,"")</f>
        <v/>
      </c>
    </row>
    <row r="620">
      <c r="A620" t="inlineStr">
        <is>
          <t>CC du Pays d'Étain</t>
        </is>
      </c>
      <c r="B620" t="inlineStr">
        <is>
          <t>Meuse</t>
        </is>
      </c>
      <c r="C620" t="inlineStr">
        <is>
          <t>55</t>
        </is>
      </c>
      <c r="D620" s="3" t="n">
        <v>7443</v>
      </c>
      <c r="E620" s="13">
        <f>MIN($B$4+$B$5*D620,$B$6)</f>
        <v/>
      </c>
      <c r="F620" s="13">
        <f>$B$7</f>
        <v/>
      </c>
      <c r="G620" s="13">
        <f>E620+F620</f>
        <v/>
      </c>
      <c r="H620" s="13">
        <f>3*E620+F620</f>
        <v/>
      </c>
      <c r="I620">
        <f>IF(H620&gt;$B$8,"Oui","Non")</f>
        <v/>
      </c>
      <c r="J620" s="14">
        <f>IF(D620&gt;0,E620/D620,"")</f>
        <v/>
      </c>
    </row>
    <row r="621">
      <c r="A621" s="15" t="inlineStr">
        <is>
          <t>CC du Pays de Montmédy</t>
        </is>
      </c>
      <c r="B621" s="15" t="inlineStr">
        <is>
          <t>Meuse</t>
        </is>
      </c>
      <c r="C621" s="15" t="inlineStr">
        <is>
          <t>55</t>
        </is>
      </c>
      <c r="D621" s="16" t="n">
        <v>6860</v>
      </c>
      <c r="E621" s="17">
        <f>MIN($B$4+$B$5*D621,$B$6)</f>
        <v/>
      </c>
      <c r="F621" s="17">
        <f>$B$7</f>
        <v/>
      </c>
      <c r="G621" s="17">
        <f>E621+F621</f>
        <v/>
      </c>
      <c r="H621" s="17">
        <f>3*E621+F621</f>
        <v/>
      </c>
      <c r="I621" s="15">
        <f>IF(H621&gt;$B$8,"Oui","Non")</f>
        <v/>
      </c>
      <c r="J621" s="18">
        <f>IF(D621&gt;0,E621/D621,"")</f>
        <v/>
      </c>
    </row>
    <row r="622">
      <c r="A622" t="inlineStr">
        <is>
          <t>CC du Pays de Revigny-sur-Ornain</t>
        </is>
      </c>
      <c r="B622" t="inlineStr">
        <is>
          <t>Meuse</t>
        </is>
      </c>
      <c r="C622" t="inlineStr">
        <is>
          <t>55</t>
        </is>
      </c>
      <c r="D622" s="3" t="n">
        <v>6821</v>
      </c>
      <c r="E622" s="13">
        <f>MIN($B$4+$B$5*D622,$B$6)</f>
        <v/>
      </c>
      <c r="F622" s="13">
        <f>$B$7</f>
        <v/>
      </c>
      <c r="G622" s="13">
        <f>E622+F622</f>
        <v/>
      </c>
      <c r="H622" s="13">
        <f>3*E622+F622</f>
        <v/>
      </c>
      <c r="I622">
        <f>IF(H622&gt;$B$8,"Oui","Non")</f>
        <v/>
      </c>
      <c r="J622" s="14">
        <f>IF(D622&gt;0,E622/D622,"")</f>
        <v/>
      </c>
    </row>
    <row r="623">
      <c r="A623" s="15" t="inlineStr">
        <is>
          <t>CC du Pays de Stenay et du Val Dunois</t>
        </is>
      </c>
      <c r="B623" s="15" t="inlineStr">
        <is>
          <t>Meuse</t>
        </is>
      </c>
      <c r="C623" s="15" t="inlineStr">
        <is>
          <t>55</t>
        </is>
      </c>
      <c r="D623" s="16" t="n">
        <v>9430</v>
      </c>
      <c r="E623" s="17">
        <f>MIN($B$4+$B$5*D623,$B$6)</f>
        <v/>
      </c>
      <c r="F623" s="17">
        <f>$B$7</f>
        <v/>
      </c>
      <c r="G623" s="17">
        <f>E623+F623</f>
        <v/>
      </c>
      <c r="H623" s="17">
        <f>3*E623+F623</f>
        <v/>
      </c>
      <c r="I623" s="15">
        <f>IF(H623&gt;$B$8,"Oui","Non")</f>
        <v/>
      </c>
      <c r="J623" s="18">
        <f>IF(D623&gt;0,E623/D623,"")</f>
        <v/>
      </c>
    </row>
    <row r="624">
      <c r="A624" t="inlineStr">
        <is>
          <t>CC du Sammiellois</t>
        </is>
      </c>
      <c r="B624" t="inlineStr">
        <is>
          <t>Meuse</t>
        </is>
      </c>
      <c r="C624" t="inlineStr">
        <is>
          <t>55</t>
        </is>
      </c>
      <c r="D624" s="3" t="n">
        <v>8219</v>
      </c>
      <c r="E624" s="13">
        <f>MIN($B$4+$B$5*D624,$B$6)</f>
        <v/>
      </c>
      <c r="F624" s="13">
        <f>$B$7</f>
        <v/>
      </c>
      <c r="G624" s="13">
        <f>E624+F624</f>
        <v/>
      </c>
      <c r="H624" s="13">
        <f>3*E624+F624</f>
        <v/>
      </c>
      <c r="I624">
        <f>IF(H624&gt;$B$8,"Oui","Non")</f>
        <v/>
      </c>
      <c r="J624" s="14">
        <f>IF(D624&gt;0,E624/D624,"")</f>
        <v/>
      </c>
    </row>
    <row r="625">
      <c r="A625" s="15" t="inlineStr">
        <is>
          <t>CC du Territoire de Fresnes-en-Woëvre</t>
        </is>
      </c>
      <c r="B625" s="15" t="inlineStr">
        <is>
          <t>Meuse</t>
        </is>
      </c>
      <c r="C625" s="15" t="inlineStr">
        <is>
          <t>55</t>
        </is>
      </c>
      <c r="D625" s="16" t="n">
        <v>4801</v>
      </c>
      <c r="E625" s="17">
        <f>MIN($B$4+$B$5*D625,$B$6)</f>
        <v/>
      </c>
      <c r="F625" s="17">
        <f>$B$7</f>
        <v/>
      </c>
      <c r="G625" s="17">
        <f>E625+F625</f>
        <v/>
      </c>
      <c r="H625" s="17">
        <f>3*E625+F625</f>
        <v/>
      </c>
      <c r="I625" s="15">
        <f>IF(H625&gt;$B$8,"Oui","Non")</f>
        <v/>
      </c>
      <c r="J625" s="18">
        <f>IF(D625&gt;0,E625/D625,"")</f>
        <v/>
      </c>
    </row>
    <row r="626">
      <c r="A626" t="inlineStr">
        <is>
          <t>CC Arc Sud Bretagne</t>
        </is>
      </c>
      <c r="B626" t="inlineStr">
        <is>
          <t>Morbihan</t>
        </is>
      </c>
      <c r="C626" t="inlineStr">
        <is>
          <t>56</t>
        </is>
      </c>
      <c r="D626" s="3" t="n">
        <v>29113</v>
      </c>
      <c r="E626" s="13">
        <f>MIN($B$4+$B$5*D626,$B$6)</f>
        <v/>
      </c>
      <c r="F626" s="13">
        <f>$B$7</f>
        <v/>
      </c>
      <c r="G626" s="13">
        <f>E626+F626</f>
        <v/>
      </c>
      <c r="H626" s="13">
        <f>3*E626+F626</f>
        <v/>
      </c>
      <c r="I626">
        <f>IF(H626&gt;$B$8,"Oui","Non")</f>
        <v/>
      </c>
      <c r="J626" s="14">
        <f>IF(D626&gt;0,E626/D626,"")</f>
        <v/>
      </c>
    </row>
    <row r="627">
      <c r="A627" s="15" t="inlineStr">
        <is>
          <t>CC Auray Quiberon Terre Atlantique</t>
        </is>
      </c>
      <c r="B627" s="15" t="inlineStr">
        <is>
          <t>Morbihan</t>
        </is>
      </c>
      <c r="C627" s="15" t="inlineStr">
        <is>
          <t>56</t>
        </is>
      </c>
      <c r="D627" s="16" t="n">
        <v>91034</v>
      </c>
      <c r="E627" s="17">
        <f>MIN($B$4+$B$5*D627,$B$6)</f>
        <v/>
      </c>
      <c r="F627" s="17">
        <f>$B$7</f>
        <v/>
      </c>
      <c r="G627" s="17">
        <f>E627+F627</f>
        <v/>
      </c>
      <c r="H627" s="17">
        <f>3*E627+F627</f>
        <v/>
      </c>
      <c r="I627" s="15">
        <f>IF(H627&gt;$B$8,"Oui","Non")</f>
        <v/>
      </c>
      <c r="J627" s="18">
        <f>IF(D627&gt;0,E627/D627,"")</f>
        <v/>
      </c>
    </row>
    <row r="628">
      <c r="A628" t="inlineStr">
        <is>
          <t>CC Baud Communauté</t>
        </is>
      </c>
      <c r="B628" t="inlineStr">
        <is>
          <t>Morbihan</t>
        </is>
      </c>
      <c r="C628" t="inlineStr">
        <is>
          <t>56</t>
        </is>
      </c>
      <c r="D628" s="3" t="n">
        <v>16419</v>
      </c>
      <c r="E628" s="13">
        <f>MIN($B$4+$B$5*D628,$B$6)</f>
        <v/>
      </c>
      <c r="F628" s="13">
        <f>$B$7</f>
        <v/>
      </c>
      <c r="G628" s="13">
        <f>E628+F628</f>
        <v/>
      </c>
      <c r="H628" s="13">
        <f>3*E628+F628</f>
        <v/>
      </c>
      <c r="I628">
        <f>IF(H628&gt;$B$8,"Oui","Non")</f>
        <v/>
      </c>
      <c r="J628" s="14">
        <f>IF(D628&gt;0,E628/D628,"")</f>
        <v/>
      </c>
    </row>
    <row r="629">
      <c r="A629" s="15" t="inlineStr">
        <is>
          <t>CC Blavet Bellevue Océan</t>
        </is>
      </c>
      <c r="B629" s="15" t="inlineStr">
        <is>
          <t>Morbihan</t>
        </is>
      </c>
      <c r="C629" s="15" t="inlineStr">
        <is>
          <t>56</t>
        </is>
      </c>
      <c r="D629" s="16" t="n">
        <v>18567</v>
      </c>
      <c r="E629" s="17">
        <f>MIN($B$4+$B$5*D629,$B$6)</f>
        <v/>
      </c>
      <c r="F629" s="17">
        <f>$B$7</f>
        <v/>
      </c>
      <c r="G629" s="17">
        <f>E629+F629</f>
        <v/>
      </c>
      <c r="H629" s="17">
        <f>3*E629+F629</f>
        <v/>
      </c>
      <c r="I629" s="15">
        <f>IF(H629&gt;$B$8,"Oui","Non")</f>
        <v/>
      </c>
      <c r="J629" s="18">
        <f>IF(D629&gt;0,E629/D629,"")</f>
        <v/>
      </c>
    </row>
    <row r="630">
      <c r="A630" t="inlineStr">
        <is>
          <t>CC Centre Morbihan Communauté</t>
        </is>
      </c>
      <c r="B630" t="inlineStr">
        <is>
          <t>Morbihan</t>
        </is>
      </c>
      <c r="C630" t="inlineStr">
        <is>
          <t>56</t>
        </is>
      </c>
      <c r="D630" s="3" t="n">
        <v>27003</v>
      </c>
      <c r="E630" s="13">
        <f>MIN($B$4+$B$5*D630,$B$6)</f>
        <v/>
      </c>
      <c r="F630" s="13">
        <f>$B$7</f>
        <v/>
      </c>
      <c r="G630" s="13">
        <f>E630+F630</f>
        <v/>
      </c>
      <c r="H630" s="13">
        <f>3*E630+F630</f>
        <v/>
      </c>
      <c r="I630">
        <f>IF(H630&gt;$B$8,"Oui","Non")</f>
        <v/>
      </c>
      <c r="J630" s="14">
        <f>IF(D630&gt;0,E630/D630,"")</f>
        <v/>
      </c>
    </row>
    <row r="631">
      <c r="A631" s="15" t="inlineStr">
        <is>
          <t>CC Ploërmel Communauté</t>
        </is>
      </c>
      <c r="B631" s="15" t="inlineStr">
        <is>
          <t>Morbihan</t>
        </is>
      </c>
      <c r="C631" s="15" t="inlineStr">
        <is>
          <t>56</t>
        </is>
      </c>
      <c r="D631" s="16" t="n">
        <v>42842</v>
      </c>
      <c r="E631" s="17">
        <f>MIN($B$4+$B$5*D631,$B$6)</f>
        <v/>
      </c>
      <c r="F631" s="17">
        <f>$B$7</f>
        <v/>
      </c>
      <c r="G631" s="17">
        <f>E631+F631</f>
        <v/>
      </c>
      <c r="H631" s="17">
        <f>3*E631+F631</f>
        <v/>
      </c>
      <c r="I631" s="15">
        <f>IF(H631&gt;$B$8,"Oui","Non")</f>
        <v/>
      </c>
      <c r="J631" s="18">
        <f>IF(D631&gt;0,E631/D631,"")</f>
        <v/>
      </c>
    </row>
    <row r="632">
      <c r="A632" t="inlineStr">
        <is>
          <t>CC Questembert Communauté</t>
        </is>
      </c>
      <c r="B632" t="inlineStr">
        <is>
          <t>Morbihan</t>
        </is>
      </c>
      <c r="C632" t="inlineStr">
        <is>
          <t>56</t>
        </is>
      </c>
      <c r="D632" s="3" t="n">
        <v>24396</v>
      </c>
      <c r="E632" s="13">
        <f>MIN($B$4+$B$5*D632,$B$6)</f>
        <v/>
      </c>
      <c r="F632" s="13">
        <f>$B$7</f>
        <v/>
      </c>
      <c r="G632" s="13">
        <f>E632+F632</f>
        <v/>
      </c>
      <c r="H632" s="13">
        <f>3*E632+F632</f>
        <v/>
      </c>
      <c r="I632">
        <f>IF(H632&gt;$B$8,"Oui","Non")</f>
        <v/>
      </c>
      <c r="J632" s="14">
        <f>IF(D632&gt;0,E632/D632,"")</f>
        <v/>
      </c>
    </row>
    <row r="633">
      <c r="A633" s="15" t="inlineStr">
        <is>
          <t>CC Roi Morvan Communauté</t>
        </is>
      </c>
      <c r="B633" s="15" t="inlineStr">
        <is>
          <t>Morbihan</t>
        </is>
      </c>
      <c r="C633" s="15" t="inlineStr">
        <is>
          <t>56</t>
        </is>
      </c>
      <c r="D633" s="16" t="n">
        <v>25059</v>
      </c>
      <c r="E633" s="17">
        <f>MIN($B$4+$B$5*D633,$B$6)</f>
        <v/>
      </c>
      <c r="F633" s="17">
        <f>$B$7</f>
        <v/>
      </c>
      <c r="G633" s="17">
        <f>E633+F633</f>
        <v/>
      </c>
      <c r="H633" s="17">
        <f>3*E633+F633</f>
        <v/>
      </c>
      <c r="I633" s="15">
        <f>IF(H633&gt;$B$8,"Oui","Non")</f>
        <v/>
      </c>
      <c r="J633" s="18">
        <f>IF(D633&gt;0,E633/D633,"")</f>
        <v/>
      </c>
    </row>
    <row r="634">
      <c r="A634" t="inlineStr">
        <is>
          <t>CC de Belle Ile en Mer</t>
        </is>
      </c>
      <c r="B634" t="inlineStr">
        <is>
          <t>Morbihan</t>
        </is>
      </c>
      <c r="C634" t="inlineStr">
        <is>
          <t>56</t>
        </is>
      </c>
      <c r="D634" s="3" t="n">
        <v>5594</v>
      </c>
      <c r="E634" s="13">
        <f>MIN($B$4+$B$5*D634,$B$6)</f>
        <v/>
      </c>
      <c r="F634" s="13">
        <f>$B$7</f>
        <v/>
      </c>
      <c r="G634" s="13">
        <f>E634+F634</f>
        <v/>
      </c>
      <c r="H634" s="13">
        <f>3*E634+F634</f>
        <v/>
      </c>
      <c r="I634">
        <f>IF(H634&gt;$B$8,"Oui","Non")</f>
        <v/>
      </c>
      <c r="J634" s="14">
        <f>IF(D634&gt;0,E634/D634,"")</f>
        <v/>
      </c>
    </row>
    <row r="635">
      <c r="A635" s="15" t="inlineStr">
        <is>
          <t>CC de l'Oust à Brocéliande</t>
        </is>
      </c>
      <c r="B635" s="15" t="inlineStr">
        <is>
          <t>Morbihan</t>
        </is>
      </c>
      <c r="C635" s="15" t="inlineStr">
        <is>
          <t>56</t>
        </is>
      </c>
      <c r="D635" s="16" t="n">
        <v>39885</v>
      </c>
      <c r="E635" s="17">
        <f>MIN($B$4+$B$5*D635,$B$6)</f>
        <v/>
      </c>
      <c r="F635" s="17">
        <f>$B$7</f>
        <v/>
      </c>
      <c r="G635" s="17">
        <f>E635+F635</f>
        <v/>
      </c>
      <c r="H635" s="17">
        <f>3*E635+F635</f>
        <v/>
      </c>
      <c r="I635" s="15">
        <f>IF(H635&gt;$B$8,"Oui","Non")</f>
        <v/>
      </c>
      <c r="J635" s="18">
        <f>IF(D635&gt;0,E635/D635,"")</f>
        <v/>
      </c>
    </row>
    <row r="636">
      <c r="A636" t="inlineStr">
        <is>
          <t>CC Bouzonvillois-Trois Frontières</t>
        </is>
      </c>
      <c r="B636" t="inlineStr">
        <is>
          <t>Moselle</t>
        </is>
      </c>
      <c r="C636" t="inlineStr">
        <is>
          <t>57</t>
        </is>
      </c>
      <c r="D636" s="3" t="n">
        <v>24154</v>
      </c>
      <c r="E636" s="13">
        <f>MIN($B$4+$B$5*D636,$B$6)</f>
        <v/>
      </c>
      <c r="F636" s="13">
        <f>$B$7</f>
        <v/>
      </c>
      <c r="G636" s="13">
        <f>E636+F636</f>
        <v/>
      </c>
      <c r="H636" s="13">
        <f>3*E636+F636</f>
        <v/>
      </c>
      <c r="I636">
        <f>IF(H636&gt;$B$8,"Oui","Non")</f>
        <v/>
      </c>
      <c r="J636" s="14">
        <f>IF(D636&gt;0,E636/D636,"")</f>
        <v/>
      </c>
    </row>
    <row r="637">
      <c r="A637" s="15" t="inlineStr">
        <is>
          <t>CC Haut Chemin - Pays de Pange</t>
        </is>
      </c>
      <c r="B637" s="15" t="inlineStr">
        <is>
          <t>Moselle</t>
        </is>
      </c>
      <c r="C637" s="15" t="inlineStr">
        <is>
          <t>57</t>
        </is>
      </c>
      <c r="D637" s="16" t="n">
        <v>19286</v>
      </c>
      <c r="E637" s="17">
        <f>MIN($B$4+$B$5*D637,$B$6)</f>
        <v/>
      </c>
      <c r="F637" s="17">
        <f>$B$7</f>
        <v/>
      </c>
      <c r="G637" s="17">
        <f>E637+F637</f>
        <v/>
      </c>
      <c r="H637" s="17">
        <f>3*E637+F637</f>
        <v/>
      </c>
      <c r="I637" s="15">
        <f>IF(H637&gt;$B$8,"Oui","Non")</f>
        <v/>
      </c>
      <c r="J637" s="18">
        <f>IF(D637&gt;0,E637/D637,"")</f>
        <v/>
      </c>
    </row>
    <row r="638">
      <c r="A638" t="inlineStr">
        <is>
          <t>CC Houve - Pays Boulageois</t>
        </is>
      </c>
      <c r="B638" t="inlineStr">
        <is>
          <t>Moselle</t>
        </is>
      </c>
      <c r="C638" t="inlineStr">
        <is>
          <t>57</t>
        </is>
      </c>
      <c r="D638" s="3" t="n">
        <v>22769</v>
      </c>
      <c r="E638" s="13">
        <f>MIN($B$4+$B$5*D638,$B$6)</f>
        <v/>
      </c>
      <c r="F638" s="13">
        <f>$B$7</f>
        <v/>
      </c>
      <c r="G638" s="13">
        <f>E638+F638</f>
        <v/>
      </c>
      <c r="H638" s="13">
        <f>3*E638+F638</f>
        <v/>
      </c>
      <c r="I638">
        <f>IF(H638&gt;$B$8,"Oui","Non")</f>
        <v/>
      </c>
      <c r="J638" s="14">
        <f>IF(D638&gt;0,E638/D638,"")</f>
        <v/>
      </c>
    </row>
    <row r="639">
      <c r="A639" s="15" t="inlineStr">
        <is>
          <t>CC Rives de Moselle</t>
        </is>
      </c>
      <c r="B639" s="15" t="inlineStr">
        <is>
          <t>Moselle</t>
        </is>
      </c>
      <c r="C639" s="15" t="inlineStr">
        <is>
          <t>57</t>
        </is>
      </c>
      <c r="D639" s="16" t="n">
        <v>53122</v>
      </c>
      <c r="E639" s="17">
        <f>MIN($B$4+$B$5*D639,$B$6)</f>
        <v/>
      </c>
      <c r="F639" s="17">
        <f>$B$7</f>
        <v/>
      </c>
      <c r="G639" s="17">
        <f>E639+F639</f>
        <v/>
      </c>
      <c r="H639" s="17">
        <f>3*E639+F639</f>
        <v/>
      </c>
      <c r="I639" s="15">
        <f>IF(H639&gt;$B$8,"Oui","Non")</f>
        <v/>
      </c>
      <c r="J639" s="18">
        <f>IF(D639&gt;0,E639/D639,"")</f>
        <v/>
      </c>
    </row>
    <row r="640">
      <c r="A640" t="inlineStr">
        <is>
          <t>CC Sarrebourg Moselle Sud</t>
        </is>
      </c>
      <c r="B640" t="inlineStr">
        <is>
          <t>Moselle</t>
        </is>
      </c>
      <c r="C640" t="inlineStr">
        <is>
          <t>57</t>
        </is>
      </c>
      <c r="D640" s="3" t="n">
        <v>45143</v>
      </c>
      <c r="E640" s="13">
        <f>MIN($B$4+$B$5*D640,$B$6)</f>
        <v/>
      </c>
      <c r="F640" s="13">
        <f>$B$7</f>
        <v/>
      </c>
      <c r="G640" s="13">
        <f>E640+F640</f>
        <v/>
      </c>
      <c r="H640" s="13">
        <f>3*E640+F640</f>
        <v/>
      </c>
      <c r="I640">
        <f>IF(H640&gt;$B$8,"Oui","Non")</f>
        <v/>
      </c>
      <c r="J640" s="14">
        <f>IF(D640&gt;0,E640/D640,"")</f>
        <v/>
      </c>
    </row>
    <row r="641">
      <c r="A641" s="15" t="inlineStr">
        <is>
          <t>CC de Cattenom et Environs</t>
        </is>
      </c>
      <c r="B641" s="15" t="inlineStr">
        <is>
          <t>Moselle</t>
        </is>
      </c>
      <c r="C641" s="15" t="inlineStr">
        <is>
          <t>57</t>
        </is>
      </c>
      <c r="D641" s="16" t="n">
        <v>27687</v>
      </c>
      <c r="E641" s="17">
        <f>MIN($B$4+$B$5*D641,$B$6)</f>
        <v/>
      </c>
      <c r="F641" s="17">
        <f>$B$7</f>
        <v/>
      </c>
      <c r="G641" s="17">
        <f>E641+F641</f>
        <v/>
      </c>
      <c r="H641" s="17">
        <f>3*E641+F641</f>
        <v/>
      </c>
      <c r="I641" s="15">
        <f>IF(H641&gt;$B$8,"Oui","Non")</f>
        <v/>
      </c>
      <c r="J641" s="18">
        <f>IF(D641&gt;0,E641/D641,"")</f>
        <v/>
      </c>
    </row>
    <row r="642">
      <c r="A642" t="inlineStr">
        <is>
          <t>CC de Freyming-Merlebach</t>
        </is>
      </c>
      <c r="B642" t="inlineStr">
        <is>
          <t>Moselle</t>
        </is>
      </c>
      <c r="C642" t="inlineStr">
        <is>
          <t>57</t>
        </is>
      </c>
      <c r="D642" s="3" t="n">
        <v>31361</v>
      </c>
      <c r="E642" s="13">
        <f>MIN($B$4+$B$5*D642,$B$6)</f>
        <v/>
      </c>
      <c r="F642" s="13">
        <f>$B$7</f>
        <v/>
      </c>
      <c r="G642" s="13">
        <f>E642+F642</f>
        <v/>
      </c>
      <c r="H642" s="13">
        <f>3*E642+F642</f>
        <v/>
      </c>
      <c r="I642">
        <f>IF(H642&gt;$B$8,"Oui","Non")</f>
        <v/>
      </c>
      <c r="J642" s="14">
        <f>IF(D642&gt;0,E642/D642,"")</f>
        <v/>
      </c>
    </row>
    <row r="643">
      <c r="A643" s="15" t="inlineStr">
        <is>
          <t>CC de l'Arc Mosellan</t>
        </is>
      </c>
      <c r="B643" s="15" t="inlineStr">
        <is>
          <t>Moselle</t>
        </is>
      </c>
      <c r="C643" s="15" t="inlineStr">
        <is>
          <t>57</t>
        </is>
      </c>
      <c r="D643" s="16" t="n">
        <v>35812</v>
      </c>
      <c r="E643" s="17">
        <f>MIN($B$4+$B$5*D643,$B$6)</f>
        <v/>
      </c>
      <c r="F643" s="17">
        <f>$B$7</f>
        <v/>
      </c>
      <c r="G643" s="17">
        <f>E643+F643</f>
        <v/>
      </c>
      <c r="H643" s="17">
        <f>3*E643+F643</f>
        <v/>
      </c>
      <c r="I643" s="15">
        <f>IF(H643&gt;$B$8,"Oui","Non")</f>
        <v/>
      </c>
      <c r="J643" s="18">
        <f>IF(D643&gt;0,E643/D643,"")</f>
        <v/>
      </c>
    </row>
    <row r="644">
      <c r="A644" t="inlineStr">
        <is>
          <t>CC du District Urbain de Faulquemont (DUF)</t>
        </is>
      </c>
      <c r="B644" t="inlineStr">
        <is>
          <t>Moselle</t>
        </is>
      </c>
      <c r="C644" t="inlineStr">
        <is>
          <t>57</t>
        </is>
      </c>
      <c r="D644" s="3" t="n">
        <v>24038</v>
      </c>
      <c r="E644" s="13">
        <f>MIN($B$4+$B$5*D644,$B$6)</f>
        <v/>
      </c>
      <c r="F644" s="13">
        <f>$B$7</f>
        <v/>
      </c>
      <c r="G644" s="13">
        <f>E644+F644</f>
        <v/>
      </c>
      <c r="H644" s="13">
        <f>3*E644+F644</f>
        <v/>
      </c>
      <c r="I644">
        <f>IF(H644&gt;$B$8,"Oui","Non")</f>
        <v/>
      </c>
      <c r="J644" s="14">
        <f>IF(D644&gt;0,E644/D644,"")</f>
        <v/>
      </c>
    </row>
    <row r="645">
      <c r="A645" s="15" t="inlineStr">
        <is>
          <t>CC du Pays Orne Moselle</t>
        </is>
      </c>
      <c r="B645" s="15" t="inlineStr">
        <is>
          <t>Moselle</t>
        </is>
      </c>
      <c r="C645" s="15" t="inlineStr">
        <is>
          <t>57</t>
        </is>
      </c>
      <c r="D645" s="16" t="n">
        <v>52783</v>
      </c>
      <c r="E645" s="17">
        <f>MIN($B$4+$B$5*D645,$B$6)</f>
        <v/>
      </c>
      <c r="F645" s="17">
        <f>$B$7</f>
        <v/>
      </c>
      <c r="G645" s="17">
        <f>E645+F645</f>
        <v/>
      </c>
      <c r="H645" s="17">
        <f>3*E645+F645</f>
        <v/>
      </c>
      <c r="I645" s="15">
        <f>IF(H645&gt;$B$8,"Oui","Non")</f>
        <v/>
      </c>
      <c r="J645" s="18">
        <f>IF(D645&gt;0,E645/D645,"")</f>
        <v/>
      </c>
    </row>
    <row r="646">
      <c r="A646" t="inlineStr">
        <is>
          <t>CC du Pays de Bitche</t>
        </is>
      </c>
      <c r="B646" t="inlineStr">
        <is>
          <t>Moselle</t>
        </is>
      </c>
      <c r="C646" t="inlineStr">
        <is>
          <t>57</t>
        </is>
      </c>
      <c r="D646" s="3" t="n">
        <v>33184</v>
      </c>
      <c r="E646" s="13">
        <f>MIN($B$4+$B$5*D646,$B$6)</f>
        <v/>
      </c>
      <c r="F646" s="13">
        <f>$B$7</f>
        <v/>
      </c>
      <c r="G646" s="13">
        <f>E646+F646</f>
        <v/>
      </c>
      <c r="H646" s="13">
        <f>3*E646+F646</f>
        <v/>
      </c>
      <c r="I646">
        <f>IF(H646&gt;$B$8,"Oui","Non")</f>
        <v/>
      </c>
      <c r="J646" s="14">
        <f>IF(D646&gt;0,E646/D646,"")</f>
        <v/>
      </c>
    </row>
    <row r="647">
      <c r="A647" s="15" t="inlineStr">
        <is>
          <t>CC du Pays de Phalsbourg</t>
        </is>
      </c>
      <c r="B647" s="15" t="inlineStr">
        <is>
          <t>Moselle</t>
        </is>
      </c>
      <c r="C647" s="15" t="inlineStr">
        <is>
          <t>57</t>
        </is>
      </c>
      <c r="D647" s="16" t="n">
        <v>17096</v>
      </c>
      <c r="E647" s="17">
        <f>MIN($B$4+$B$5*D647,$B$6)</f>
        <v/>
      </c>
      <c r="F647" s="17">
        <f>$B$7</f>
        <v/>
      </c>
      <c r="G647" s="17">
        <f>E647+F647</f>
        <v/>
      </c>
      <c r="H647" s="17">
        <f>3*E647+F647</f>
        <v/>
      </c>
      <c r="I647" s="15">
        <f>IF(H647&gt;$B$8,"Oui","Non")</f>
        <v/>
      </c>
      <c r="J647" s="18">
        <f>IF(D647&gt;0,E647/D647,"")</f>
        <v/>
      </c>
    </row>
    <row r="648">
      <c r="A648" t="inlineStr">
        <is>
          <t>CC du Saulnois</t>
        </is>
      </c>
      <c r="B648" t="inlineStr">
        <is>
          <t>Moselle</t>
        </is>
      </c>
      <c r="C648" t="inlineStr">
        <is>
          <t>57</t>
        </is>
      </c>
      <c r="D648" s="3" t="n">
        <v>28102</v>
      </c>
      <c r="E648" s="13">
        <f>MIN($B$4+$B$5*D648,$B$6)</f>
        <v/>
      </c>
      <c r="F648" s="13">
        <f>$B$7</f>
        <v/>
      </c>
      <c r="G648" s="13">
        <f>E648+F648</f>
        <v/>
      </c>
      <c r="H648" s="13">
        <f>3*E648+F648</f>
        <v/>
      </c>
      <c r="I648">
        <f>IF(H648&gt;$B$8,"Oui","Non")</f>
        <v/>
      </c>
      <c r="J648" s="14">
        <f>IF(D648&gt;0,E648/D648,"")</f>
        <v/>
      </c>
    </row>
    <row r="649">
      <c r="A649" s="15" t="inlineStr">
        <is>
          <t>CC du Sud Messin</t>
        </is>
      </c>
      <c r="B649" s="15" t="inlineStr">
        <is>
          <t>Moselle</t>
        </is>
      </c>
      <c r="C649" s="15" t="inlineStr">
        <is>
          <t>57</t>
        </is>
      </c>
      <c r="D649" s="16" t="n">
        <v>17033</v>
      </c>
      <c r="E649" s="17">
        <f>MIN($B$4+$B$5*D649,$B$6)</f>
        <v/>
      </c>
      <c r="F649" s="17">
        <f>$B$7</f>
        <v/>
      </c>
      <c r="G649" s="17">
        <f>E649+F649</f>
        <v/>
      </c>
      <c r="H649" s="17">
        <f>3*E649+F649</f>
        <v/>
      </c>
      <c r="I649" s="15">
        <f>IF(H649&gt;$B$8,"Oui","Non")</f>
        <v/>
      </c>
      <c r="J649" s="18">
        <f>IF(D649&gt;0,E649/D649,"")</f>
        <v/>
      </c>
    </row>
    <row r="650">
      <c r="A650" t="inlineStr">
        <is>
          <t>CC du Warndt</t>
        </is>
      </c>
      <c r="B650" t="inlineStr">
        <is>
          <t>Moselle</t>
        </is>
      </c>
      <c r="C650" t="inlineStr">
        <is>
          <t>57</t>
        </is>
      </c>
      <c r="D650" s="3" t="n">
        <v>17369</v>
      </c>
      <c r="E650" s="13">
        <f>MIN($B$4+$B$5*D650,$B$6)</f>
        <v/>
      </c>
      <c r="F650" s="13">
        <f>$B$7</f>
        <v/>
      </c>
      <c r="G650" s="13">
        <f>E650+F650</f>
        <v/>
      </c>
      <c r="H650" s="13">
        <f>3*E650+F650</f>
        <v/>
      </c>
      <c r="I650">
        <f>IF(H650&gt;$B$8,"Oui","Non")</f>
        <v/>
      </c>
      <c r="J650" s="14">
        <f>IF(D650&gt;0,E650/D650,"")</f>
        <v/>
      </c>
    </row>
    <row r="651">
      <c r="A651" s="15" t="inlineStr">
        <is>
          <t>CC Amognes Coeur du Nivernais</t>
        </is>
      </c>
      <c r="B651" s="15" t="inlineStr">
        <is>
          <t>Nièvre</t>
        </is>
      </c>
      <c r="C651" s="15" t="inlineStr">
        <is>
          <t>58</t>
        </is>
      </c>
      <c r="D651" s="16" t="n">
        <v>8527</v>
      </c>
      <c r="E651" s="17">
        <f>MIN($B$4+$B$5*D651,$B$6)</f>
        <v/>
      </c>
      <c r="F651" s="17">
        <f>$B$7</f>
        <v/>
      </c>
      <c r="G651" s="17">
        <f>E651+F651</f>
        <v/>
      </c>
      <c r="H651" s="17">
        <f>3*E651+F651</f>
        <v/>
      </c>
      <c r="I651" s="15">
        <f>IF(H651&gt;$B$8,"Oui","Non")</f>
        <v/>
      </c>
      <c r="J651" s="18">
        <f>IF(D651&gt;0,E651/D651,"")</f>
        <v/>
      </c>
    </row>
    <row r="652">
      <c r="A652" t="inlineStr">
        <is>
          <t>CC Bazois Loire Morvan</t>
        </is>
      </c>
      <c r="B652" t="inlineStr">
        <is>
          <t>Nièvre</t>
        </is>
      </c>
      <c r="C652" t="inlineStr">
        <is>
          <t>58</t>
        </is>
      </c>
      <c r="D652" s="3" t="n">
        <v>15029</v>
      </c>
      <c r="E652" s="13">
        <f>MIN($B$4+$B$5*D652,$B$6)</f>
        <v/>
      </c>
      <c r="F652" s="13">
        <f>$B$7</f>
        <v/>
      </c>
      <c r="G652" s="13">
        <f>E652+F652</f>
        <v/>
      </c>
      <c r="H652" s="13">
        <f>3*E652+F652</f>
        <v/>
      </c>
      <c r="I652">
        <f>IF(H652&gt;$B$8,"Oui","Non")</f>
        <v/>
      </c>
      <c r="J652" s="14">
        <f>IF(D652&gt;0,E652/D652,"")</f>
        <v/>
      </c>
    </row>
    <row r="653">
      <c r="A653" s="15" t="inlineStr">
        <is>
          <t>CC Coeur de Loire</t>
        </is>
      </c>
      <c r="B653" s="15" t="inlineStr">
        <is>
          <t>Nièvre</t>
        </is>
      </c>
      <c r="C653" s="15" t="inlineStr">
        <is>
          <t>58</t>
        </is>
      </c>
      <c r="D653" s="16" t="n">
        <v>25204</v>
      </c>
      <c r="E653" s="17">
        <f>MIN($B$4+$B$5*D653,$B$6)</f>
        <v/>
      </c>
      <c r="F653" s="17">
        <f>$B$7</f>
        <v/>
      </c>
      <c r="G653" s="17">
        <f>E653+F653</f>
        <v/>
      </c>
      <c r="H653" s="17">
        <f>3*E653+F653</f>
        <v/>
      </c>
      <c r="I653" s="15">
        <f>IF(H653&gt;$B$8,"Oui","Non")</f>
        <v/>
      </c>
      <c r="J653" s="18">
        <f>IF(D653&gt;0,E653/D653,"")</f>
        <v/>
      </c>
    </row>
    <row r="654">
      <c r="A654" t="inlineStr">
        <is>
          <t>CC Haut Nivernais - Val d'Yonne</t>
        </is>
      </c>
      <c r="B654" t="inlineStr">
        <is>
          <t>Nièvre, Yonne</t>
        </is>
      </c>
      <c r="C654" t="inlineStr">
        <is>
          <t>58, 89</t>
        </is>
      </c>
      <c r="D654" s="3" t="n">
        <v>11845</v>
      </c>
      <c r="E654" s="13">
        <f>MIN($B$4+$B$5*D654,$B$6)</f>
        <v/>
      </c>
      <c r="F654" s="13">
        <f>$B$7</f>
        <v/>
      </c>
      <c r="G654" s="13">
        <f>E654+F654</f>
        <v/>
      </c>
      <c r="H654" s="13">
        <f>3*E654+F654</f>
        <v/>
      </c>
      <c r="I654">
        <f>IF(H654&gt;$B$8,"Oui","Non")</f>
        <v/>
      </c>
      <c r="J654" s="14">
        <f>IF(D654&gt;0,E654/D654,"")</f>
        <v/>
      </c>
    </row>
    <row r="655">
      <c r="A655" s="15" t="inlineStr">
        <is>
          <t>CC Loire et Allier</t>
        </is>
      </c>
      <c r="B655" s="15" t="inlineStr">
        <is>
          <t>Nièvre</t>
        </is>
      </c>
      <c r="C655" s="15" t="inlineStr">
        <is>
          <t>58</t>
        </is>
      </c>
      <c r="D655" s="16" t="n">
        <v>4978</v>
      </c>
      <c r="E655" s="17">
        <f>MIN($B$4+$B$5*D655,$B$6)</f>
        <v/>
      </c>
      <c r="F655" s="17">
        <f>$B$7</f>
        <v/>
      </c>
      <c r="G655" s="17">
        <f>E655+F655</f>
        <v/>
      </c>
      <c r="H655" s="17">
        <f>3*E655+F655</f>
        <v/>
      </c>
      <c r="I655" s="15">
        <f>IF(H655&gt;$B$8,"Oui","Non")</f>
        <v/>
      </c>
      <c r="J655" s="18">
        <f>IF(D655&gt;0,E655/D655,"")</f>
        <v/>
      </c>
    </row>
    <row r="656">
      <c r="A656" t="inlineStr">
        <is>
          <t>CC Morvan Sommets et Grands Lacs</t>
        </is>
      </c>
      <c r="B656" t="inlineStr">
        <is>
          <t>Nièvre</t>
        </is>
      </c>
      <c r="C656" t="inlineStr">
        <is>
          <t>58</t>
        </is>
      </c>
      <c r="D656" s="3" t="n">
        <v>12039</v>
      </c>
      <c r="E656" s="13">
        <f>MIN($B$4+$B$5*D656,$B$6)</f>
        <v/>
      </c>
      <c r="F656" s="13">
        <f>$B$7</f>
        <v/>
      </c>
      <c r="G656" s="13">
        <f>E656+F656</f>
        <v/>
      </c>
      <c r="H656" s="13">
        <f>3*E656+F656</f>
        <v/>
      </c>
      <c r="I656">
        <f>IF(H656&gt;$B$8,"Oui","Non")</f>
        <v/>
      </c>
      <c r="J656" s="14">
        <f>IF(D656&gt;0,E656/D656,"")</f>
        <v/>
      </c>
    </row>
    <row r="657">
      <c r="A657" s="15" t="inlineStr">
        <is>
          <t>CC Sud Nivernais</t>
        </is>
      </c>
      <c r="B657" s="15" t="inlineStr">
        <is>
          <t>Nièvre</t>
        </is>
      </c>
      <c r="C657" s="15" t="inlineStr">
        <is>
          <t>58</t>
        </is>
      </c>
      <c r="D657" s="16" t="n">
        <v>19771</v>
      </c>
      <c r="E657" s="17">
        <f>MIN($B$4+$B$5*D657,$B$6)</f>
        <v/>
      </c>
      <c r="F657" s="17">
        <f>$B$7</f>
        <v/>
      </c>
      <c r="G657" s="17">
        <f>E657+F657</f>
        <v/>
      </c>
      <c r="H657" s="17">
        <f>3*E657+F657</f>
        <v/>
      </c>
      <c r="I657" s="15">
        <f>IF(H657&gt;$B$8,"Oui","Non")</f>
        <v/>
      </c>
      <c r="J657" s="18">
        <f>IF(D657&gt;0,E657/D657,"")</f>
        <v/>
      </c>
    </row>
    <row r="658">
      <c r="A658" t="inlineStr">
        <is>
          <t>CC Tannay-Brinon-Corbigny</t>
        </is>
      </c>
      <c r="B658" t="inlineStr">
        <is>
          <t>Nièvre</t>
        </is>
      </c>
      <c r="C658" t="inlineStr">
        <is>
          <t>58</t>
        </is>
      </c>
      <c r="D658" s="3" t="n">
        <v>9394</v>
      </c>
      <c r="E658" s="13">
        <f>MIN($B$4+$B$5*D658,$B$6)</f>
        <v/>
      </c>
      <c r="F658" s="13">
        <f>$B$7</f>
        <v/>
      </c>
      <c r="G658" s="13">
        <f>E658+F658</f>
        <v/>
      </c>
      <c r="H658" s="13">
        <f>3*E658+F658</f>
        <v/>
      </c>
      <c r="I658">
        <f>IF(H658&gt;$B$8,"Oui","Non")</f>
        <v/>
      </c>
      <c r="J658" s="14">
        <f>IF(D658&gt;0,E658/D658,"")</f>
        <v/>
      </c>
    </row>
    <row r="659">
      <c r="A659" s="15" t="inlineStr">
        <is>
          <t>CC de Puisaye-Forterre</t>
        </is>
      </c>
      <c r="B659" s="15" t="inlineStr">
        <is>
          <t>Nièvre, Yonne</t>
        </is>
      </c>
      <c r="C659" s="15" t="inlineStr">
        <is>
          <t>58, 89</t>
        </is>
      </c>
      <c r="D659" s="16" t="n">
        <v>33562</v>
      </c>
      <c r="E659" s="17">
        <f>MIN($B$4+$B$5*D659,$B$6)</f>
        <v/>
      </c>
      <c r="F659" s="17">
        <f>$B$7</f>
        <v/>
      </c>
      <c r="G659" s="17">
        <f>E659+F659</f>
        <v/>
      </c>
      <c r="H659" s="17">
        <f>3*E659+F659</f>
        <v/>
      </c>
      <c r="I659" s="15">
        <f>IF(H659&gt;$B$8,"Oui","Non")</f>
        <v/>
      </c>
      <c r="J659" s="18">
        <f>IF(D659&gt;0,E659/D659,"")</f>
        <v/>
      </c>
    </row>
    <row r="660">
      <c r="A660" t="inlineStr">
        <is>
          <t>CC du Nivernais Bourbonnais</t>
        </is>
      </c>
      <c r="B660" t="inlineStr">
        <is>
          <t>Nièvre</t>
        </is>
      </c>
      <c r="C660" t="inlineStr">
        <is>
          <t>58</t>
        </is>
      </c>
      <c r="D660" s="3" t="n">
        <v>5176</v>
      </c>
      <c r="E660" s="13">
        <f>MIN($B$4+$B$5*D660,$B$6)</f>
        <v/>
      </c>
      <c r="F660" s="13">
        <f>$B$7</f>
        <v/>
      </c>
      <c r="G660" s="13">
        <f>E660+F660</f>
        <v/>
      </c>
      <c r="H660" s="13">
        <f>3*E660+F660</f>
        <v/>
      </c>
      <c r="I660">
        <f>IF(H660&gt;$B$8,"Oui","Non")</f>
        <v/>
      </c>
      <c r="J660" s="14">
        <f>IF(D660&gt;0,E660/D660,"")</f>
        <v/>
      </c>
    </row>
    <row r="661">
      <c r="A661" s="15" t="inlineStr">
        <is>
          <t>CC Coeur de l'Avesnois</t>
        </is>
      </c>
      <c r="B661" s="15" t="inlineStr">
        <is>
          <t>Nord</t>
        </is>
      </c>
      <c r="C661" s="15" t="inlineStr">
        <is>
          <t>59</t>
        </is>
      </c>
      <c r="D661" s="16" t="n">
        <v>28870</v>
      </c>
      <c r="E661" s="17">
        <f>MIN($B$4+$B$5*D661,$B$6)</f>
        <v/>
      </c>
      <c r="F661" s="17">
        <f>$B$7</f>
        <v/>
      </c>
      <c r="G661" s="17">
        <f>E661+F661</f>
        <v/>
      </c>
      <c r="H661" s="17">
        <f>3*E661+F661</f>
        <v/>
      </c>
      <c r="I661" s="15">
        <f>IF(H661&gt;$B$8,"Oui","Non")</f>
        <v/>
      </c>
      <c r="J661" s="18">
        <f>IF(D661&gt;0,E661/D661,"")</f>
        <v/>
      </c>
    </row>
    <row r="662">
      <c r="A662" t="inlineStr">
        <is>
          <t>CC Flandre Lys</t>
        </is>
      </c>
      <c r="B662" t="inlineStr">
        <is>
          <t>Nord, Pas-de-Calais</t>
        </is>
      </c>
      <c r="C662" t="inlineStr">
        <is>
          <t>59, 62</t>
        </is>
      </c>
      <c r="D662" s="3" t="n">
        <v>40142</v>
      </c>
      <c r="E662" s="13">
        <f>MIN($B$4+$B$5*D662,$B$6)</f>
        <v/>
      </c>
      <c r="F662" s="13">
        <f>$B$7</f>
        <v/>
      </c>
      <c r="G662" s="13">
        <f>E662+F662</f>
        <v/>
      </c>
      <c r="H662" s="13">
        <f>3*E662+F662</f>
        <v/>
      </c>
      <c r="I662">
        <f>IF(H662&gt;$B$8,"Oui","Non")</f>
        <v/>
      </c>
      <c r="J662" s="14">
        <f>IF(D662&gt;0,E662/D662,"")</f>
        <v/>
      </c>
    </row>
    <row r="663">
      <c r="A663" s="15" t="inlineStr">
        <is>
          <t>CC Pévèle-Carembault</t>
        </is>
      </c>
      <c r="B663" s="15" t="inlineStr">
        <is>
          <t>Nord</t>
        </is>
      </c>
      <c r="C663" s="15" t="inlineStr">
        <is>
          <t>59</t>
        </is>
      </c>
      <c r="D663" s="16" t="n">
        <v>98918</v>
      </c>
      <c r="E663" s="17">
        <f>MIN($B$4+$B$5*D663,$B$6)</f>
        <v/>
      </c>
      <c r="F663" s="17">
        <f>$B$7</f>
        <v/>
      </c>
      <c r="G663" s="17">
        <f>E663+F663</f>
        <v/>
      </c>
      <c r="H663" s="17">
        <f>3*E663+F663</f>
        <v/>
      </c>
      <c r="I663" s="15">
        <f>IF(H663&gt;$B$8,"Oui","Non")</f>
        <v/>
      </c>
      <c r="J663" s="18">
        <f>IF(D663&gt;0,E663/D663,"")</f>
        <v/>
      </c>
    </row>
    <row r="664">
      <c r="A664" t="inlineStr">
        <is>
          <t>CC des Hauts de Flandre</t>
        </is>
      </c>
      <c r="B664" t="inlineStr">
        <is>
          <t>Nord</t>
        </is>
      </c>
      <c r="C664" t="inlineStr">
        <is>
          <t>59</t>
        </is>
      </c>
      <c r="D664" s="3" t="n">
        <v>53525</v>
      </c>
      <c r="E664" s="13">
        <f>MIN($B$4+$B$5*D664,$B$6)</f>
        <v/>
      </c>
      <c r="F664" s="13">
        <f>$B$7</f>
        <v/>
      </c>
      <c r="G664" s="13">
        <f>E664+F664</f>
        <v/>
      </c>
      <c r="H664" s="13">
        <f>3*E664+F664</f>
        <v/>
      </c>
      <c r="I664">
        <f>IF(H664&gt;$B$8,"Oui","Non")</f>
        <v/>
      </c>
      <c r="J664" s="14">
        <f>IF(D664&gt;0,E664/D664,"")</f>
        <v/>
      </c>
    </row>
    <row r="665">
      <c r="A665" s="15" t="inlineStr">
        <is>
          <t>CC du Pays Solesmois</t>
        </is>
      </c>
      <c r="B665" s="15" t="inlineStr">
        <is>
          <t>Nord</t>
        </is>
      </c>
      <c r="C665" s="15" t="inlineStr">
        <is>
          <t>59</t>
        </is>
      </c>
      <c r="D665" s="16" t="n">
        <v>14568</v>
      </c>
      <c r="E665" s="17">
        <f>MIN($B$4+$B$5*D665,$B$6)</f>
        <v/>
      </c>
      <c r="F665" s="17">
        <f>$B$7</f>
        <v/>
      </c>
      <c r="G665" s="17">
        <f>E665+F665</f>
        <v/>
      </c>
      <c r="H665" s="17">
        <f>3*E665+F665</f>
        <v/>
      </c>
      <c r="I665" s="15">
        <f>IF(H665&gt;$B$8,"Oui","Non")</f>
        <v/>
      </c>
      <c r="J665" s="18">
        <f>IF(D665&gt;0,E665/D665,"")</f>
        <v/>
      </c>
    </row>
    <row r="666">
      <c r="A666" t="inlineStr">
        <is>
          <t>CC du Pays de Mormal</t>
        </is>
      </c>
      <c r="B666" t="inlineStr">
        <is>
          <t>Nord</t>
        </is>
      </c>
      <c r="C666" t="inlineStr">
        <is>
          <t>59</t>
        </is>
      </c>
      <c r="D666" s="3" t="n">
        <v>48132</v>
      </c>
      <c r="E666" s="13">
        <f>MIN($B$4+$B$5*D666,$B$6)</f>
        <v/>
      </c>
      <c r="F666" s="13">
        <f>$B$7</f>
        <v/>
      </c>
      <c r="G666" s="13">
        <f>E666+F666</f>
        <v/>
      </c>
      <c r="H666" s="13">
        <f>3*E666+F666</f>
        <v/>
      </c>
      <c r="I666">
        <f>IF(H666&gt;$B$8,"Oui","Non")</f>
        <v/>
      </c>
      <c r="J666" s="14">
        <f>IF(D666&gt;0,E666/D666,"")</f>
        <v/>
      </c>
    </row>
    <row r="667">
      <c r="A667" s="15" t="inlineStr">
        <is>
          <t>CC du Sud Avesnois</t>
        </is>
      </c>
      <c r="B667" s="15" t="inlineStr">
        <is>
          <t>Nord</t>
        </is>
      </c>
      <c r="C667" s="15" t="inlineStr">
        <is>
          <t>59</t>
        </is>
      </c>
      <c r="D667" s="16" t="n">
        <v>24414</v>
      </c>
      <c r="E667" s="17">
        <f>MIN($B$4+$B$5*D667,$B$6)</f>
        <v/>
      </c>
      <c r="F667" s="17">
        <f>$B$7</f>
        <v/>
      </c>
      <c r="G667" s="17">
        <f>E667+F667</f>
        <v/>
      </c>
      <c r="H667" s="17">
        <f>3*E667+F667</f>
        <v/>
      </c>
      <c r="I667" s="15">
        <f>IF(H667&gt;$B$8,"Oui","Non")</f>
        <v/>
      </c>
      <c r="J667" s="18">
        <f>IF(D667&gt;0,E667/D667,"")</f>
        <v/>
      </c>
    </row>
    <row r="668">
      <c r="A668" t="inlineStr">
        <is>
          <t>CC Senlis Sud Oise</t>
        </is>
      </c>
      <c r="B668" t="inlineStr">
        <is>
          <t>Oise</t>
        </is>
      </c>
      <c r="C668" t="inlineStr">
        <is>
          <t>60</t>
        </is>
      </c>
      <c r="D668" s="3" t="n">
        <v>25012</v>
      </c>
      <c r="E668" s="13">
        <f>MIN($B$4+$B$5*D668,$B$6)</f>
        <v/>
      </c>
      <c r="F668" s="13">
        <f>$B$7</f>
        <v/>
      </c>
      <c r="G668" s="13">
        <f>E668+F668</f>
        <v/>
      </c>
      <c r="H668" s="13">
        <f>3*E668+F668</f>
        <v/>
      </c>
      <c r="I668">
        <f>IF(H668&gt;$B$8,"Oui","Non")</f>
        <v/>
      </c>
      <c r="J668" s="14">
        <f>IF(D668&gt;0,E668/D668,"")</f>
        <v/>
      </c>
    </row>
    <row r="669">
      <c r="A669" s="15" t="inlineStr">
        <is>
          <t>CC Thelloise</t>
        </is>
      </c>
      <c r="B669" s="15" t="inlineStr">
        <is>
          <t>Oise</t>
        </is>
      </c>
      <c r="C669" s="15" t="inlineStr">
        <is>
          <t>60</t>
        </is>
      </c>
      <c r="D669" s="16" t="n">
        <v>61730</v>
      </c>
      <c r="E669" s="17">
        <f>MIN($B$4+$B$5*D669,$B$6)</f>
        <v/>
      </c>
      <c r="F669" s="17">
        <f>$B$7</f>
        <v/>
      </c>
      <c r="G669" s="17">
        <f>E669+F669</f>
        <v/>
      </c>
      <c r="H669" s="17">
        <f>3*E669+F669</f>
        <v/>
      </c>
      <c r="I669" s="15">
        <f>IF(H669&gt;$B$8,"Oui","Non")</f>
        <v/>
      </c>
      <c r="J669" s="18">
        <f>IF(D669&gt;0,E669/D669,"")</f>
        <v/>
      </c>
    </row>
    <row r="670">
      <c r="A670" t="inlineStr">
        <is>
          <t>CC de l'Aire Cantilienne</t>
        </is>
      </c>
      <c r="B670" t="inlineStr">
        <is>
          <t>Oise</t>
        </is>
      </c>
      <c r="C670" t="inlineStr">
        <is>
          <t>60</t>
        </is>
      </c>
      <c r="D670" s="3" t="n">
        <v>44820</v>
      </c>
      <c r="E670" s="13">
        <f>MIN($B$4+$B$5*D670,$B$6)</f>
        <v/>
      </c>
      <c r="F670" s="13">
        <f>$B$7</f>
        <v/>
      </c>
      <c r="G670" s="13">
        <f>E670+F670</f>
        <v/>
      </c>
      <c r="H670" s="13">
        <f>3*E670+F670</f>
        <v/>
      </c>
      <c r="I670">
        <f>IF(H670&gt;$B$8,"Oui","Non")</f>
        <v/>
      </c>
      <c r="J670" s="14">
        <f>IF(D670&gt;0,E670/D670,"")</f>
        <v/>
      </c>
    </row>
    <row r="671">
      <c r="A671" s="15" t="inlineStr">
        <is>
          <t>CC de l'Oise Picarde</t>
        </is>
      </c>
      <c r="B671" s="15" t="inlineStr">
        <is>
          <t>Oise</t>
        </is>
      </c>
      <c r="C671" s="15" t="inlineStr">
        <is>
          <t>60</t>
        </is>
      </c>
      <c r="D671" s="16" t="n">
        <v>20939</v>
      </c>
      <c r="E671" s="17">
        <f>MIN($B$4+$B$5*D671,$B$6)</f>
        <v/>
      </c>
      <c r="F671" s="17">
        <f>$B$7</f>
        <v/>
      </c>
      <c r="G671" s="17">
        <f>E671+F671</f>
        <v/>
      </c>
      <c r="H671" s="17">
        <f>3*E671+F671</f>
        <v/>
      </c>
      <c r="I671" s="15">
        <f>IF(H671&gt;$B$8,"Oui","Non")</f>
        <v/>
      </c>
      <c r="J671" s="18">
        <f>IF(D671&gt;0,E671/D671,"")</f>
        <v/>
      </c>
    </row>
    <row r="672">
      <c r="A672" t="inlineStr">
        <is>
          <t>CC de la Picardie Verte</t>
        </is>
      </c>
      <c r="B672" t="inlineStr">
        <is>
          <t>Oise</t>
        </is>
      </c>
      <c r="C672" t="inlineStr">
        <is>
          <t>60</t>
        </is>
      </c>
      <c r="D672" s="3" t="n">
        <v>32134</v>
      </c>
      <c r="E672" s="13">
        <f>MIN($B$4+$B$5*D672,$B$6)</f>
        <v/>
      </c>
      <c r="F672" s="13">
        <f>$B$7</f>
        <v/>
      </c>
      <c r="G672" s="13">
        <f>E672+F672</f>
        <v/>
      </c>
      <c r="H672" s="13">
        <f>3*E672+F672</f>
        <v/>
      </c>
      <c r="I672">
        <f>IF(H672&gt;$B$8,"Oui","Non")</f>
        <v/>
      </c>
      <c r="J672" s="14">
        <f>IF(D672&gt;0,E672/D672,"")</f>
        <v/>
      </c>
    </row>
    <row r="673">
      <c r="A673" s="15" t="inlineStr">
        <is>
          <t>CC de la Plaine d'Estrées</t>
        </is>
      </c>
      <c r="B673" s="15" t="inlineStr">
        <is>
          <t>Oise</t>
        </is>
      </c>
      <c r="C673" s="15" t="inlineStr">
        <is>
          <t>60</t>
        </is>
      </c>
      <c r="D673" s="16" t="n">
        <v>18167</v>
      </c>
      <c r="E673" s="17">
        <f>MIN($B$4+$B$5*D673,$B$6)</f>
        <v/>
      </c>
      <c r="F673" s="17">
        <f>$B$7</f>
        <v/>
      </c>
      <c r="G673" s="17">
        <f>E673+F673</f>
        <v/>
      </c>
      <c r="H673" s="17">
        <f>3*E673+F673</f>
        <v/>
      </c>
      <c r="I673" s="15">
        <f>IF(H673&gt;$B$8,"Oui","Non")</f>
        <v/>
      </c>
      <c r="J673" s="18">
        <f>IF(D673&gt;0,E673/D673,"")</f>
        <v/>
      </c>
    </row>
    <row r="674">
      <c r="A674" t="inlineStr">
        <is>
          <t>CC des Deux Vallées</t>
        </is>
      </c>
      <c r="B674" t="inlineStr">
        <is>
          <t>Oise</t>
        </is>
      </c>
      <c r="C674" t="inlineStr">
        <is>
          <t>60</t>
        </is>
      </c>
      <c r="D674" s="3" t="n">
        <v>22569</v>
      </c>
      <c r="E674" s="13">
        <f>MIN($B$4+$B$5*D674,$B$6)</f>
        <v/>
      </c>
      <c r="F674" s="13">
        <f>$B$7</f>
        <v/>
      </c>
      <c r="G674" s="13">
        <f>E674+F674</f>
        <v/>
      </c>
      <c r="H674" s="13">
        <f>3*E674+F674</f>
        <v/>
      </c>
      <c r="I674">
        <f>IF(H674&gt;$B$8,"Oui","Non")</f>
        <v/>
      </c>
      <c r="J674" s="14">
        <f>IF(D674&gt;0,E674/D674,"")</f>
        <v/>
      </c>
    </row>
    <row r="675">
      <c r="A675" s="15" t="inlineStr">
        <is>
          <t>CC des Lisières de l'Oise</t>
        </is>
      </c>
      <c r="B675" s="15" t="inlineStr">
        <is>
          <t>Oise</t>
        </is>
      </c>
      <c r="C675" s="15" t="inlineStr">
        <is>
          <t>60</t>
        </is>
      </c>
      <c r="D675" s="16" t="n">
        <v>15940</v>
      </c>
      <c r="E675" s="17">
        <f>MIN($B$4+$B$5*D675,$B$6)</f>
        <v/>
      </c>
      <c r="F675" s="17">
        <f>$B$7</f>
        <v/>
      </c>
      <c r="G675" s="17">
        <f>E675+F675</f>
        <v/>
      </c>
      <c r="H675" s="17">
        <f>3*E675+F675</f>
        <v/>
      </c>
      <c r="I675" s="15">
        <f>IF(H675&gt;$B$8,"Oui","Non")</f>
        <v/>
      </c>
      <c r="J675" s="18">
        <f>IF(D675&gt;0,E675/D675,"")</f>
        <v/>
      </c>
    </row>
    <row r="676">
      <c r="A676" t="inlineStr">
        <is>
          <t>CC des Pays d'Oise et d'Halatte</t>
        </is>
      </c>
      <c r="B676" t="inlineStr">
        <is>
          <t>Oise</t>
        </is>
      </c>
      <c r="C676" t="inlineStr">
        <is>
          <t>60</t>
        </is>
      </c>
      <c r="D676" s="3" t="n">
        <v>34438</v>
      </c>
      <c r="E676" s="13">
        <f>MIN($B$4+$B$5*D676,$B$6)</f>
        <v/>
      </c>
      <c r="F676" s="13">
        <f>$B$7</f>
        <v/>
      </c>
      <c r="G676" s="13">
        <f>E676+F676</f>
        <v/>
      </c>
      <c r="H676" s="13">
        <f>3*E676+F676</f>
        <v/>
      </c>
      <c r="I676">
        <f>IF(H676&gt;$B$8,"Oui","Non")</f>
        <v/>
      </c>
      <c r="J676" s="14">
        <f>IF(D676&gt;0,E676/D676,"")</f>
        <v/>
      </c>
    </row>
    <row r="677">
      <c r="A677" s="15" t="inlineStr">
        <is>
          <t>CC des Sablons</t>
        </is>
      </c>
      <c r="B677" s="15" t="inlineStr">
        <is>
          <t>Oise</t>
        </is>
      </c>
      <c r="C677" s="15" t="inlineStr">
        <is>
          <t>60</t>
        </is>
      </c>
      <c r="D677" s="16" t="n">
        <v>38502</v>
      </c>
      <c r="E677" s="17">
        <f>MIN($B$4+$B$5*D677,$B$6)</f>
        <v/>
      </c>
      <c r="F677" s="17">
        <f>$B$7</f>
        <v/>
      </c>
      <c r="G677" s="17">
        <f>E677+F677</f>
        <v/>
      </c>
      <c r="H677" s="17">
        <f>3*E677+F677</f>
        <v/>
      </c>
      <c r="I677" s="15">
        <f>IF(H677&gt;$B$8,"Oui","Non")</f>
        <v/>
      </c>
      <c r="J677" s="18">
        <f>IF(D677&gt;0,E677/D677,"")</f>
        <v/>
      </c>
    </row>
    <row r="678">
      <c r="A678" t="inlineStr">
        <is>
          <t>CC du Clermontois</t>
        </is>
      </c>
      <c r="B678" t="inlineStr">
        <is>
          <t>Oise</t>
        </is>
      </c>
      <c r="C678" t="inlineStr">
        <is>
          <t>60</t>
        </is>
      </c>
      <c r="D678" s="3" t="n">
        <v>37784</v>
      </c>
      <c r="E678" s="13">
        <f>MIN($B$4+$B$5*D678,$B$6)</f>
        <v/>
      </c>
      <c r="F678" s="13">
        <f>$B$7</f>
        <v/>
      </c>
      <c r="G678" s="13">
        <f>E678+F678</f>
        <v/>
      </c>
      <c r="H678" s="13">
        <f>3*E678+F678</f>
        <v/>
      </c>
      <c r="I678">
        <f>IF(H678&gt;$B$8,"Oui","Non")</f>
        <v/>
      </c>
      <c r="J678" s="14">
        <f>IF(D678&gt;0,E678/D678,"")</f>
        <v/>
      </c>
    </row>
    <row r="679">
      <c r="A679" s="15" t="inlineStr">
        <is>
          <t>CC du Liancourtois</t>
        </is>
      </c>
      <c r="B679" s="15" t="inlineStr">
        <is>
          <t>Oise</t>
        </is>
      </c>
      <c r="C679" s="15" t="inlineStr">
        <is>
          <t>60</t>
        </is>
      </c>
      <c r="D679" s="16" t="n">
        <v>23878</v>
      </c>
      <c r="E679" s="17">
        <f>MIN($B$4+$B$5*D679,$B$6)</f>
        <v/>
      </c>
      <c r="F679" s="17">
        <f>$B$7</f>
        <v/>
      </c>
      <c r="G679" s="17">
        <f>E679+F679</f>
        <v/>
      </c>
      <c r="H679" s="17">
        <f>3*E679+F679</f>
        <v/>
      </c>
      <c r="I679" s="15">
        <f>IF(H679&gt;$B$8,"Oui","Non")</f>
        <v/>
      </c>
      <c r="J679" s="18">
        <f>IF(D679&gt;0,E679/D679,"")</f>
        <v/>
      </c>
    </row>
    <row r="680">
      <c r="A680" t="inlineStr">
        <is>
          <t>CC du Pays Noyonnais</t>
        </is>
      </c>
      <c r="B680" t="inlineStr">
        <is>
          <t>Oise</t>
        </is>
      </c>
      <c r="C680" t="inlineStr">
        <is>
          <t>60</t>
        </is>
      </c>
      <c r="D680" s="3" t="n">
        <v>31879</v>
      </c>
      <c r="E680" s="13">
        <f>MIN($B$4+$B$5*D680,$B$6)</f>
        <v/>
      </c>
      <c r="F680" s="13">
        <f>$B$7</f>
        <v/>
      </c>
      <c r="G680" s="13">
        <f>E680+F680</f>
        <v/>
      </c>
      <c r="H680" s="13">
        <f>3*E680+F680</f>
        <v/>
      </c>
      <c r="I680">
        <f>IF(H680&gt;$B$8,"Oui","Non")</f>
        <v/>
      </c>
      <c r="J680" s="14">
        <f>IF(D680&gt;0,E680/D680,"")</f>
        <v/>
      </c>
    </row>
    <row r="681">
      <c r="A681" s="15" t="inlineStr">
        <is>
          <t>CC du Pays de Bray</t>
        </is>
      </c>
      <c r="B681" s="15" t="inlineStr">
        <is>
          <t>Oise</t>
        </is>
      </c>
      <c r="C681" s="15" t="inlineStr">
        <is>
          <t>60</t>
        </is>
      </c>
      <c r="D681" s="16" t="n">
        <v>18144</v>
      </c>
      <c r="E681" s="17">
        <f>MIN($B$4+$B$5*D681,$B$6)</f>
        <v/>
      </c>
      <c r="F681" s="17">
        <f>$B$7</f>
        <v/>
      </c>
      <c r="G681" s="17">
        <f>E681+F681</f>
        <v/>
      </c>
      <c r="H681" s="17">
        <f>3*E681+F681</f>
        <v/>
      </c>
      <c r="I681" s="15">
        <f>IF(H681&gt;$B$8,"Oui","Non")</f>
        <v/>
      </c>
      <c r="J681" s="18">
        <f>IF(D681&gt;0,E681/D681,"")</f>
        <v/>
      </c>
    </row>
    <row r="682">
      <c r="A682" t="inlineStr">
        <is>
          <t>CC du Pays de Valois</t>
        </is>
      </c>
      <c r="B682" t="inlineStr">
        <is>
          <t>Oise</t>
        </is>
      </c>
      <c r="C682" t="inlineStr">
        <is>
          <t>60</t>
        </is>
      </c>
      <c r="D682" s="3" t="n">
        <v>55394</v>
      </c>
      <c r="E682" s="13">
        <f>MIN($B$4+$B$5*D682,$B$6)</f>
        <v/>
      </c>
      <c r="F682" s="13">
        <f>$B$7</f>
        <v/>
      </c>
      <c r="G682" s="13">
        <f>E682+F682</f>
        <v/>
      </c>
      <c r="H682" s="13">
        <f>3*E682+F682</f>
        <v/>
      </c>
      <c r="I682">
        <f>IF(H682&gt;$B$8,"Oui","Non")</f>
        <v/>
      </c>
      <c r="J682" s="14">
        <f>IF(D682&gt;0,E682/D682,"")</f>
        <v/>
      </c>
    </row>
    <row r="683">
      <c r="A683" s="15" t="inlineStr">
        <is>
          <t>CC du Pays des Sources</t>
        </is>
      </c>
      <c r="B683" s="15" t="inlineStr">
        <is>
          <t>Oise</t>
        </is>
      </c>
      <c r="C683" s="15" t="inlineStr">
        <is>
          <t>60</t>
        </is>
      </c>
      <c r="D683" s="16" t="n">
        <v>22141</v>
      </c>
      <c r="E683" s="17">
        <f>MIN($B$4+$B$5*D683,$B$6)</f>
        <v/>
      </c>
      <c r="F683" s="17">
        <f>$B$7</f>
        <v/>
      </c>
      <c r="G683" s="17">
        <f>E683+F683</f>
        <v/>
      </c>
      <c r="H683" s="17">
        <f>3*E683+F683</f>
        <v/>
      </c>
      <c r="I683" s="15">
        <f>IF(H683&gt;$B$8,"Oui","Non")</f>
        <v/>
      </c>
      <c r="J683" s="18">
        <f>IF(D683&gt;0,E683/D683,"")</f>
        <v/>
      </c>
    </row>
    <row r="684">
      <c r="A684" t="inlineStr">
        <is>
          <t>CC du Plateau Picard</t>
        </is>
      </c>
      <c r="B684" t="inlineStr">
        <is>
          <t>Oise</t>
        </is>
      </c>
      <c r="C684" t="inlineStr">
        <is>
          <t>60</t>
        </is>
      </c>
      <c r="D684" s="3" t="n">
        <v>29684</v>
      </c>
      <c r="E684" s="13">
        <f>MIN($B$4+$B$5*D684,$B$6)</f>
        <v/>
      </c>
      <c r="F684" s="13">
        <f>$B$7</f>
        <v/>
      </c>
      <c r="G684" s="13">
        <f>E684+F684</f>
        <v/>
      </c>
      <c r="H684" s="13">
        <f>3*E684+F684</f>
        <v/>
      </c>
      <c r="I684">
        <f>IF(H684&gt;$B$8,"Oui","Non")</f>
        <v/>
      </c>
      <c r="J684" s="14">
        <f>IF(D684&gt;0,E684/D684,"")</f>
        <v/>
      </c>
    </row>
    <row r="685">
      <c r="A685" s="15" t="inlineStr">
        <is>
          <t>CC du Vexin-Thelle</t>
        </is>
      </c>
      <c r="B685" s="15" t="inlineStr">
        <is>
          <t>Oise</t>
        </is>
      </c>
      <c r="C685" s="15" t="inlineStr">
        <is>
          <t>60</t>
        </is>
      </c>
      <c r="D685" s="16" t="n">
        <v>20561</v>
      </c>
      <c r="E685" s="17">
        <f>MIN($B$4+$B$5*D685,$B$6)</f>
        <v/>
      </c>
      <c r="F685" s="17">
        <f>$B$7</f>
        <v/>
      </c>
      <c r="G685" s="17">
        <f>E685+F685</f>
        <v/>
      </c>
      <c r="H685" s="17">
        <f>3*E685+F685</f>
        <v/>
      </c>
      <c r="I685" s="15">
        <f>IF(H685&gt;$B$8,"Oui","Non")</f>
        <v/>
      </c>
      <c r="J685" s="18">
        <f>IF(D685&gt;0,E685/D685,"")</f>
        <v/>
      </c>
    </row>
    <row r="686">
      <c r="A686" t="inlineStr">
        <is>
          <t>CC Andaine - Passais</t>
        </is>
      </c>
      <c r="B686" t="inlineStr">
        <is>
          <t>Orne</t>
        </is>
      </c>
      <c r="C686" t="inlineStr">
        <is>
          <t>61</t>
        </is>
      </c>
      <c r="D686" s="3" t="n">
        <v>12837</v>
      </c>
      <c r="E686" s="13">
        <f>MIN($B$4+$B$5*D686,$B$6)</f>
        <v/>
      </c>
      <c r="F686" s="13">
        <f>$B$7</f>
        <v/>
      </c>
      <c r="G686" s="13">
        <f>E686+F686</f>
        <v/>
      </c>
      <c r="H686" s="13">
        <f>3*E686+F686</f>
        <v/>
      </c>
      <c r="I686">
        <f>IF(H686&gt;$B$8,"Oui","Non")</f>
        <v/>
      </c>
      <c r="J686" s="14">
        <f>IF(D686&gt;0,E686/D686,"")</f>
        <v/>
      </c>
    </row>
    <row r="687">
      <c r="A687" s="15" t="inlineStr">
        <is>
          <t>CC Coeur du Perche</t>
        </is>
      </c>
      <c r="B687" s="15" t="inlineStr">
        <is>
          <t>Orne</t>
        </is>
      </c>
      <c r="C687" s="15" t="inlineStr">
        <is>
          <t>61</t>
        </is>
      </c>
      <c r="D687" s="16" t="n">
        <v>11057</v>
      </c>
      <c r="E687" s="17">
        <f>MIN($B$4+$B$5*D687,$B$6)</f>
        <v/>
      </c>
      <c r="F687" s="17">
        <f>$B$7</f>
        <v/>
      </c>
      <c r="G687" s="17">
        <f>E687+F687</f>
        <v/>
      </c>
      <c r="H687" s="17">
        <f>3*E687+F687</f>
        <v/>
      </c>
      <c r="I687" s="15">
        <f>IF(H687&gt;$B$8,"Oui","Non")</f>
        <v/>
      </c>
      <c r="J687" s="18">
        <f>IF(D687&gt;0,E687/D687,"")</f>
        <v/>
      </c>
    </row>
    <row r="688">
      <c r="A688" t="inlineStr">
        <is>
          <t>CC Domfront Tinchebray Interco</t>
        </is>
      </c>
      <c r="B688" t="inlineStr">
        <is>
          <t>Orne</t>
        </is>
      </c>
      <c r="C688" t="inlineStr">
        <is>
          <t>61</t>
        </is>
      </c>
      <c r="D688" s="3" t="n">
        <v>15782</v>
      </c>
      <c r="E688" s="13">
        <f>MIN($B$4+$B$5*D688,$B$6)</f>
        <v/>
      </c>
      <c r="F688" s="13">
        <f>$B$7</f>
        <v/>
      </c>
      <c r="G688" s="13">
        <f>E688+F688</f>
        <v/>
      </c>
      <c r="H688" s="13">
        <f>3*E688+F688</f>
        <v/>
      </c>
      <c r="I688">
        <f>IF(H688&gt;$B$8,"Oui","Non")</f>
        <v/>
      </c>
      <c r="J688" s="14">
        <f>IF(D688&gt;0,E688/D688,"")</f>
        <v/>
      </c>
    </row>
    <row r="689">
      <c r="A689" s="15" t="inlineStr">
        <is>
          <t>CC Maine Saosnois</t>
        </is>
      </c>
      <c r="B689" s="15" t="inlineStr">
        <is>
          <t>Orne, Sarthe</t>
        </is>
      </c>
      <c r="C689" s="15" t="inlineStr">
        <is>
          <t>61, 72</t>
        </is>
      </c>
      <c r="D689" s="16" t="n">
        <v>27476</v>
      </c>
      <c r="E689" s="17">
        <f>MIN($B$4+$B$5*D689,$B$6)</f>
        <v/>
      </c>
      <c r="F689" s="17">
        <f>$B$7</f>
        <v/>
      </c>
      <c r="G689" s="17">
        <f>E689+F689</f>
        <v/>
      </c>
      <c r="H689" s="17">
        <f>3*E689+F689</f>
        <v/>
      </c>
      <c r="I689" s="15">
        <f>IF(H689&gt;$B$8,"Oui","Non")</f>
        <v/>
      </c>
      <c r="J689" s="18">
        <f>IF(D689&gt;0,E689/D689,"")</f>
        <v/>
      </c>
    </row>
    <row r="690">
      <c r="A690" t="inlineStr">
        <is>
          <t>CC Terres d'Argentan Interco</t>
        </is>
      </c>
      <c r="B690" t="inlineStr">
        <is>
          <t>Orne</t>
        </is>
      </c>
      <c r="C690" t="inlineStr">
        <is>
          <t>61</t>
        </is>
      </c>
      <c r="D690" s="3" t="n">
        <v>33374</v>
      </c>
      <c r="E690" s="13">
        <f>MIN($B$4+$B$5*D690,$B$6)</f>
        <v/>
      </c>
      <c r="F690" s="13">
        <f>$B$7</f>
        <v/>
      </c>
      <c r="G690" s="13">
        <f>E690+F690</f>
        <v/>
      </c>
      <c r="H690" s="13">
        <f>3*E690+F690</f>
        <v/>
      </c>
      <c r="I690">
        <f>IF(H690&gt;$B$8,"Oui","Non")</f>
        <v/>
      </c>
      <c r="J690" s="14">
        <f>IF(D690&gt;0,E690/D690,"")</f>
        <v/>
      </c>
    </row>
    <row r="691">
      <c r="A691" s="15" t="inlineStr">
        <is>
          <t>CC de la Vallée de la Haute Sarthe</t>
        </is>
      </c>
      <c r="B691" s="15" t="inlineStr">
        <is>
          <t>Orne</t>
        </is>
      </c>
      <c r="C691" s="15" t="inlineStr">
        <is>
          <t>61</t>
        </is>
      </c>
      <c r="D691" s="16" t="n">
        <v>7531</v>
      </c>
      <c r="E691" s="17">
        <f>MIN($B$4+$B$5*D691,$B$6)</f>
        <v/>
      </c>
      <c r="F691" s="17">
        <f>$B$7</f>
        <v/>
      </c>
      <c r="G691" s="17">
        <f>E691+F691</f>
        <v/>
      </c>
      <c r="H691" s="17">
        <f>3*E691+F691</f>
        <v/>
      </c>
      <c r="I691" s="15">
        <f>IF(H691&gt;$B$8,"Oui","Non")</f>
        <v/>
      </c>
      <c r="J691" s="18">
        <f>IF(D691&gt;0,E691/D691,"")</f>
        <v/>
      </c>
    </row>
    <row r="692">
      <c r="A692" t="inlineStr">
        <is>
          <t>CC des Collines du Perche Normand</t>
        </is>
      </c>
      <c r="B692" t="inlineStr">
        <is>
          <t>Orne</t>
        </is>
      </c>
      <c r="C692" t="inlineStr">
        <is>
          <t>61</t>
        </is>
      </c>
      <c r="D692" s="3" t="n">
        <v>11894</v>
      </c>
      <c r="E692" s="13">
        <f>MIN($B$4+$B$5*D692,$B$6)</f>
        <v/>
      </c>
      <c r="F692" s="13">
        <f>$B$7</f>
        <v/>
      </c>
      <c r="G692" s="13">
        <f>E692+F692</f>
        <v/>
      </c>
      <c r="H692" s="13">
        <f>3*E692+F692</f>
        <v/>
      </c>
      <c r="I692">
        <f>IF(H692&gt;$B$8,"Oui","Non")</f>
        <v/>
      </c>
      <c r="J692" s="14">
        <f>IF(D692&gt;0,E692/D692,"")</f>
        <v/>
      </c>
    </row>
    <row r="693">
      <c r="A693" s="15" t="inlineStr">
        <is>
          <t>CC des Hauts du Perche</t>
        </is>
      </c>
      <c r="B693" s="15" t="inlineStr">
        <is>
          <t>Orne</t>
        </is>
      </c>
      <c r="C693" s="15" t="inlineStr">
        <is>
          <t>61</t>
        </is>
      </c>
      <c r="D693" s="16" t="n">
        <v>7882</v>
      </c>
      <c r="E693" s="17">
        <f>MIN($B$4+$B$5*D693,$B$6)</f>
        <v/>
      </c>
      <c r="F693" s="17">
        <f>$B$7</f>
        <v/>
      </c>
      <c r="G693" s="17">
        <f>E693+F693</f>
        <v/>
      </c>
      <c r="H693" s="17">
        <f>3*E693+F693</f>
        <v/>
      </c>
      <c r="I693" s="15">
        <f>IF(H693&gt;$B$8,"Oui","Non")</f>
        <v/>
      </c>
      <c r="J693" s="18">
        <f>IF(D693&gt;0,E693/D693,"")</f>
        <v/>
      </c>
    </row>
    <row r="694">
      <c r="A694" t="inlineStr">
        <is>
          <t>CC des Pays de L'Aigle</t>
        </is>
      </c>
      <c r="B694" t="inlineStr">
        <is>
          <t>Orne</t>
        </is>
      </c>
      <c r="C694" t="inlineStr">
        <is>
          <t>61</t>
        </is>
      </c>
      <c r="D694" s="3" t="n">
        <v>24985</v>
      </c>
      <c r="E694" s="13">
        <f>MIN($B$4+$B$5*D694,$B$6)</f>
        <v/>
      </c>
      <c r="F694" s="13">
        <f>$B$7</f>
        <v/>
      </c>
      <c r="G694" s="13">
        <f>E694+F694</f>
        <v/>
      </c>
      <c r="H694" s="13">
        <f>3*E694+F694</f>
        <v/>
      </c>
      <c r="I694">
        <f>IF(H694&gt;$B$8,"Oui","Non")</f>
        <v/>
      </c>
      <c r="J694" s="14">
        <f>IF(D694&gt;0,E694/D694,"")</f>
        <v/>
      </c>
    </row>
    <row r="695">
      <c r="A695" s="15" t="inlineStr">
        <is>
          <t>CC des Sources de l'Orne</t>
        </is>
      </c>
      <c r="B695" s="15" t="inlineStr">
        <is>
          <t>Orne</t>
        </is>
      </c>
      <c r="C695" s="15" t="inlineStr">
        <is>
          <t>61</t>
        </is>
      </c>
      <c r="D695" s="16" t="n">
        <v>11960</v>
      </c>
      <c r="E695" s="17">
        <f>MIN($B$4+$B$5*D695,$B$6)</f>
        <v/>
      </c>
      <c r="F695" s="17">
        <f>$B$7</f>
        <v/>
      </c>
      <c r="G695" s="17">
        <f>E695+F695</f>
        <v/>
      </c>
      <c r="H695" s="17">
        <f>3*E695+F695</f>
        <v/>
      </c>
      <c r="I695" s="15">
        <f>IF(H695&gt;$B$8,"Oui","Non")</f>
        <v/>
      </c>
      <c r="J695" s="18">
        <f>IF(D695&gt;0,E695/D695,"")</f>
        <v/>
      </c>
    </row>
    <row r="696">
      <c r="A696" t="inlineStr">
        <is>
          <t>CC des Vallées d'Auge et du Merlerault</t>
        </is>
      </c>
      <c r="B696" t="inlineStr">
        <is>
          <t>Orne</t>
        </is>
      </c>
      <c r="C696" t="inlineStr">
        <is>
          <t>61</t>
        </is>
      </c>
      <c r="D696" s="3" t="n">
        <v>14184</v>
      </c>
      <c r="E696" s="13">
        <f>MIN($B$4+$B$5*D696,$B$6)</f>
        <v/>
      </c>
      <c r="F696" s="13">
        <f>$B$7</f>
        <v/>
      </c>
      <c r="G696" s="13">
        <f>E696+F696</f>
        <v/>
      </c>
      <c r="H696" s="13">
        <f>3*E696+F696</f>
        <v/>
      </c>
      <c r="I696">
        <f>IF(H696&gt;$B$8,"Oui","Non")</f>
        <v/>
      </c>
      <c r="J696" s="14">
        <f>IF(D696&gt;0,E696/D696,"")</f>
        <v/>
      </c>
    </row>
    <row r="697">
      <c r="A697" s="15" t="inlineStr">
        <is>
          <t>CC du Pays Fertois et du Bocage Carrougien</t>
        </is>
      </c>
      <c r="B697" s="15" t="inlineStr">
        <is>
          <t>Orne</t>
        </is>
      </c>
      <c r="C697" s="15" t="inlineStr">
        <is>
          <t>61</t>
        </is>
      </c>
      <c r="D697" s="16" t="n">
        <v>4822</v>
      </c>
      <c r="E697" s="17">
        <f>MIN($B$4+$B$5*D697,$B$6)</f>
        <v/>
      </c>
      <c r="F697" s="17">
        <f>$B$7</f>
        <v/>
      </c>
      <c r="G697" s="17">
        <f>E697+F697</f>
        <v/>
      </c>
      <c r="H697" s="17">
        <f>3*E697+F697</f>
        <v/>
      </c>
      <c r="I697" s="15">
        <f>IF(H697&gt;$B$8,"Oui","Non")</f>
        <v/>
      </c>
      <c r="J697" s="18">
        <f>IF(D697&gt;0,E697/D697,"")</f>
        <v/>
      </c>
    </row>
    <row r="698">
      <c r="A698" t="inlineStr">
        <is>
          <t>CC du Pays de Mortagne-au-Perche</t>
        </is>
      </c>
      <c r="B698" t="inlineStr">
        <is>
          <t>Orne</t>
        </is>
      </c>
      <c r="C698" t="inlineStr">
        <is>
          <t>61</t>
        </is>
      </c>
      <c r="D698" s="3" t="n">
        <v>13515</v>
      </c>
      <c r="E698" s="13">
        <f>MIN($B$4+$B$5*D698,$B$6)</f>
        <v/>
      </c>
      <c r="F698" s="13">
        <f>$B$7</f>
        <v/>
      </c>
      <c r="G698" s="13">
        <f>E698+F698</f>
        <v/>
      </c>
      <c r="H698" s="13">
        <f>3*E698+F698</f>
        <v/>
      </c>
      <c r="I698">
        <f>IF(H698&gt;$B$8,"Oui","Non")</f>
        <v/>
      </c>
      <c r="J698" s="14">
        <f>IF(D698&gt;0,E698/D698,"")</f>
        <v/>
      </c>
    </row>
    <row r="699">
      <c r="A699" s="15" t="inlineStr">
        <is>
          <t>CC du Val d'Orne</t>
        </is>
      </c>
      <c r="B699" s="15" t="inlineStr">
        <is>
          <t>Orne</t>
        </is>
      </c>
      <c r="C699" s="15" t="inlineStr">
        <is>
          <t>61</t>
        </is>
      </c>
      <c r="D699" s="16" t="n">
        <v>5618</v>
      </c>
      <c r="E699" s="17">
        <f>MIN($B$4+$B$5*D699,$B$6)</f>
        <v/>
      </c>
      <c r="F699" s="17">
        <f>$B$7</f>
        <v/>
      </c>
      <c r="G699" s="17">
        <f>E699+F699</f>
        <v/>
      </c>
      <c r="H699" s="17">
        <f>3*E699+F699</f>
        <v/>
      </c>
      <c r="I699" s="15">
        <f>IF(H699&gt;$B$8,"Oui","Non")</f>
        <v/>
      </c>
      <c r="J699" s="18">
        <f>IF(D699&gt;0,E699/D699,"")</f>
        <v/>
      </c>
    </row>
    <row r="700">
      <c r="A700" t="inlineStr">
        <is>
          <t>CC Osartis Marquion</t>
        </is>
      </c>
      <c r="B700" t="inlineStr">
        <is>
          <t>Pas-de-Calais</t>
        </is>
      </c>
      <c r="C700" t="inlineStr">
        <is>
          <t>62</t>
        </is>
      </c>
      <c r="D700" s="3" t="n">
        <v>42814</v>
      </c>
      <c r="E700" s="13">
        <f>MIN($B$4+$B$5*D700,$B$6)</f>
        <v/>
      </c>
      <c r="F700" s="13">
        <f>$B$7</f>
        <v/>
      </c>
      <c r="G700" s="13">
        <f>E700+F700</f>
        <v/>
      </c>
      <c r="H700" s="13">
        <f>3*E700+F700</f>
        <v/>
      </c>
      <c r="I700">
        <f>IF(H700&gt;$B$8,"Oui","Non")</f>
        <v/>
      </c>
      <c r="J700" s="14">
        <f>IF(D700&gt;0,E700/D700,"")</f>
        <v/>
      </c>
    </row>
    <row r="701">
      <c r="A701" s="15" t="inlineStr">
        <is>
          <t>CC Pays d'Opale</t>
        </is>
      </c>
      <c r="B701" s="15" t="inlineStr">
        <is>
          <t>Pas-de-Calais</t>
        </is>
      </c>
      <c r="C701" s="15" t="inlineStr">
        <is>
          <t>62</t>
        </is>
      </c>
      <c r="D701" s="16" t="n">
        <v>25182</v>
      </c>
      <c r="E701" s="17">
        <f>MIN($B$4+$B$5*D701,$B$6)</f>
        <v/>
      </c>
      <c r="F701" s="17">
        <f>$B$7</f>
        <v/>
      </c>
      <c r="G701" s="17">
        <f>E701+F701</f>
        <v/>
      </c>
      <c r="H701" s="17">
        <f>3*E701+F701</f>
        <v/>
      </c>
      <c r="I701" s="15">
        <f>IF(H701&gt;$B$8,"Oui","Non")</f>
        <v/>
      </c>
      <c r="J701" s="18">
        <f>IF(D701&gt;0,E701/D701,"")</f>
        <v/>
      </c>
    </row>
    <row r="702">
      <c r="A702" t="inlineStr">
        <is>
          <t>CC de Desvres-Samer</t>
        </is>
      </c>
      <c r="B702" t="inlineStr">
        <is>
          <t>Pas-de-Calais</t>
        </is>
      </c>
      <c r="C702" t="inlineStr">
        <is>
          <t>62</t>
        </is>
      </c>
      <c r="D702" s="3" t="n">
        <v>23138</v>
      </c>
      <c r="E702" s="13">
        <f>MIN($B$4+$B$5*D702,$B$6)</f>
        <v/>
      </c>
      <c r="F702" s="13">
        <f>$B$7</f>
        <v/>
      </c>
      <c r="G702" s="13">
        <f>E702+F702</f>
        <v/>
      </c>
      <c r="H702" s="13">
        <f>3*E702+F702</f>
        <v/>
      </c>
      <c r="I702">
        <f>IF(H702&gt;$B$8,"Oui","Non")</f>
        <v/>
      </c>
      <c r="J702" s="14">
        <f>IF(D702&gt;0,E702/D702,"")</f>
        <v/>
      </c>
    </row>
    <row r="703">
      <c r="A703" s="15" t="inlineStr">
        <is>
          <t>CC de la Région d'Audruicq</t>
        </is>
      </c>
      <c r="B703" s="15" t="inlineStr">
        <is>
          <t>Pas-de-Calais</t>
        </is>
      </c>
      <c r="C703" s="15" t="inlineStr">
        <is>
          <t>62</t>
        </is>
      </c>
      <c r="D703" s="16" t="n">
        <v>28187</v>
      </c>
      <c r="E703" s="17">
        <f>MIN($B$4+$B$5*D703,$B$6)</f>
        <v/>
      </c>
      <c r="F703" s="17">
        <f>$B$7</f>
        <v/>
      </c>
      <c r="G703" s="17">
        <f>E703+F703</f>
        <v/>
      </c>
      <c r="H703" s="17">
        <f>3*E703+F703</f>
        <v/>
      </c>
      <c r="I703" s="15">
        <f>IF(H703&gt;$B$8,"Oui","Non")</f>
        <v/>
      </c>
      <c r="J703" s="18">
        <f>IF(D703&gt;0,E703/D703,"")</f>
        <v/>
      </c>
    </row>
    <row r="704">
      <c r="A704" t="inlineStr">
        <is>
          <t>CC de la Terre des Deux Caps</t>
        </is>
      </c>
      <c r="B704" t="inlineStr">
        <is>
          <t>Pas-de-Calais</t>
        </is>
      </c>
      <c r="C704" t="inlineStr">
        <is>
          <t>62</t>
        </is>
      </c>
      <c r="D704" s="3" t="n">
        <v>22375</v>
      </c>
      <c r="E704" s="13">
        <f>MIN($B$4+$B$5*D704,$B$6)</f>
        <v/>
      </c>
      <c r="F704" s="13">
        <f>$B$7</f>
        <v/>
      </c>
      <c r="G704" s="13">
        <f>E704+F704</f>
        <v/>
      </c>
      <c r="H704" s="13">
        <f>3*E704+F704</f>
        <v/>
      </c>
      <c r="I704">
        <f>IF(H704&gt;$B$8,"Oui","Non")</f>
        <v/>
      </c>
      <c r="J704" s="14">
        <f>IF(D704&gt;0,E704/D704,"")</f>
        <v/>
      </c>
    </row>
    <row r="705">
      <c r="A705" s="15" t="inlineStr">
        <is>
          <t>CC des 7 Vallées</t>
        </is>
      </c>
      <c r="B705" s="15" t="inlineStr">
        <is>
          <t>Pas-de-Calais</t>
        </is>
      </c>
      <c r="C705" s="15" t="inlineStr">
        <is>
          <t>62</t>
        </is>
      </c>
      <c r="D705" s="16" t="n">
        <v>29425</v>
      </c>
      <c r="E705" s="17">
        <f>MIN($B$4+$B$5*D705,$B$6)</f>
        <v/>
      </c>
      <c r="F705" s="17">
        <f>$B$7</f>
        <v/>
      </c>
      <c r="G705" s="17">
        <f>E705+F705</f>
        <v/>
      </c>
      <c r="H705" s="17">
        <f>3*E705+F705</f>
        <v/>
      </c>
      <c r="I705" s="15">
        <f>IF(H705&gt;$B$8,"Oui","Non")</f>
        <v/>
      </c>
      <c r="J705" s="18">
        <f>IF(D705&gt;0,E705/D705,"")</f>
        <v/>
      </c>
    </row>
    <row r="706">
      <c r="A706" t="inlineStr">
        <is>
          <t>CC des Campagnes de l'Artois</t>
        </is>
      </c>
      <c r="B706" t="inlineStr">
        <is>
          <t>Pas-de-Calais</t>
        </is>
      </c>
      <c r="C706" t="inlineStr">
        <is>
          <t>62</t>
        </is>
      </c>
      <c r="D706" s="3" t="n">
        <v>33290</v>
      </c>
      <c r="E706" s="13">
        <f>MIN($B$4+$B$5*D706,$B$6)</f>
        <v/>
      </c>
      <c r="F706" s="13">
        <f>$B$7</f>
        <v/>
      </c>
      <c r="G706" s="13">
        <f>E706+F706</f>
        <v/>
      </c>
      <c r="H706" s="13">
        <f>3*E706+F706</f>
        <v/>
      </c>
      <c r="I706">
        <f>IF(H706&gt;$B$8,"Oui","Non")</f>
        <v/>
      </c>
      <c r="J706" s="14">
        <f>IF(D706&gt;0,E706/D706,"")</f>
        <v/>
      </c>
    </row>
    <row r="707">
      <c r="A707" s="15" t="inlineStr">
        <is>
          <t>CC du Haut Pays du Montreuillois</t>
        </is>
      </c>
      <c r="B707" s="15" t="inlineStr">
        <is>
          <t>Pas-de-Calais</t>
        </is>
      </c>
      <c r="C707" s="15" t="inlineStr">
        <is>
          <t>62</t>
        </is>
      </c>
      <c r="D707" s="16" t="n">
        <v>15742</v>
      </c>
      <c r="E707" s="17">
        <f>MIN($B$4+$B$5*D707,$B$6)</f>
        <v/>
      </c>
      <c r="F707" s="17">
        <f>$B$7</f>
        <v/>
      </c>
      <c r="G707" s="17">
        <f>E707+F707</f>
        <v/>
      </c>
      <c r="H707" s="17">
        <f>3*E707+F707</f>
        <v/>
      </c>
      <c r="I707" s="15">
        <f>IF(H707&gt;$B$8,"Oui","Non")</f>
        <v/>
      </c>
      <c r="J707" s="18">
        <f>IF(D707&gt;0,E707/D707,"")</f>
        <v/>
      </c>
    </row>
    <row r="708">
      <c r="A708" t="inlineStr">
        <is>
          <t>CC du Pays de Lumbres</t>
        </is>
      </c>
      <c r="B708" t="inlineStr">
        <is>
          <t>Pas-de-Calais</t>
        </is>
      </c>
      <c r="C708" t="inlineStr">
        <is>
          <t>62</t>
        </is>
      </c>
      <c r="D708" s="3" t="n">
        <v>24135</v>
      </c>
      <c r="E708" s="13">
        <f>MIN($B$4+$B$5*D708,$B$6)</f>
        <v/>
      </c>
      <c r="F708" s="13">
        <f>$B$7</f>
        <v/>
      </c>
      <c r="G708" s="13">
        <f>E708+F708</f>
        <v/>
      </c>
      <c r="H708" s="13">
        <f>3*E708+F708</f>
        <v/>
      </c>
      <c r="I708">
        <f>IF(H708&gt;$B$8,"Oui","Non")</f>
        <v/>
      </c>
      <c r="J708" s="14">
        <f>IF(D708&gt;0,E708/D708,"")</f>
        <v/>
      </c>
    </row>
    <row r="709">
      <c r="A709" s="15" t="inlineStr">
        <is>
          <t>CC du Sud Artois</t>
        </is>
      </c>
      <c r="B709" s="15" t="inlineStr">
        <is>
          <t>Pas-de-Calais</t>
        </is>
      </c>
      <c r="C709" s="15" t="inlineStr">
        <is>
          <t>62</t>
        </is>
      </c>
      <c r="D709" s="16" t="n">
        <v>26936</v>
      </c>
      <c r="E709" s="17">
        <f>MIN($B$4+$B$5*D709,$B$6)</f>
        <v/>
      </c>
      <c r="F709" s="17">
        <f>$B$7</f>
        <v/>
      </c>
      <c r="G709" s="17">
        <f>E709+F709</f>
        <v/>
      </c>
      <c r="H709" s="17">
        <f>3*E709+F709</f>
        <v/>
      </c>
      <c r="I709" s="15">
        <f>IF(H709&gt;$B$8,"Oui","Non")</f>
        <v/>
      </c>
      <c r="J709" s="18">
        <f>IF(D709&gt;0,E709/D709,"")</f>
        <v/>
      </c>
    </row>
    <row r="710">
      <c r="A710" t="inlineStr">
        <is>
          <t>CC du Ternois</t>
        </is>
      </c>
      <c r="B710" t="inlineStr">
        <is>
          <t>Pas-de-Calais, Somme</t>
        </is>
      </c>
      <c r="C710" t="inlineStr">
        <is>
          <t>62, 80</t>
        </is>
      </c>
      <c r="D710" s="3" t="n">
        <v>37150</v>
      </c>
      <c r="E710" s="13">
        <f>MIN($B$4+$B$5*D710,$B$6)</f>
        <v/>
      </c>
      <c r="F710" s="13">
        <f>$B$7</f>
        <v/>
      </c>
      <c r="G710" s="13">
        <f>E710+F710</f>
        <v/>
      </c>
      <c r="H710" s="13">
        <f>3*E710+F710</f>
        <v/>
      </c>
      <c r="I710">
        <f>IF(H710&gt;$B$8,"Oui","Non")</f>
        <v/>
      </c>
      <c r="J710" s="14">
        <f>IF(D710&gt;0,E710/D710,"")</f>
        <v/>
      </c>
    </row>
    <row r="711">
      <c r="A711" s="15" t="inlineStr">
        <is>
          <t>CC Ambert Livradois Forez</t>
        </is>
      </c>
      <c r="B711" s="15" t="inlineStr">
        <is>
          <t>Puy-de-Dôme</t>
        </is>
      </c>
      <c r="C711" s="15" t="inlineStr">
        <is>
          <t>63</t>
        </is>
      </c>
      <c r="D711" s="16" t="n">
        <v>27596</v>
      </c>
      <c r="E711" s="17">
        <f>MIN($B$4+$B$5*D711,$B$6)</f>
        <v/>
      </c>
      <c r="F711" s="17">
        <f>$B$7</f>
        <v/>
      </c>
      <c r="G711" s="17">
        <f>E711+F711</f>
        <v/>
      </c>
      <c r="H711" s="17">
        <f>3*E711+F711</f>
        <v/>
      </c>
      <c r="I711" s="15">
        <f>IF(H711&gt;$B$8,"Oui","Non")</f>
        <v/>
      </c>
      <c r="J711" s="18">
        <f>IF(D711&gt;0,E711/D711,"")</f>
        <v/>
      </c>
    </row>
    <row r="712">
      <c r="A712" t="inlineStr">
        <is>
          <t>CC Billom Communauté</t>
        </is>
      </c>
      <c r="B712" t="inlineStr">
        <is>
          <t>Puy-de-Dôme</t>
        </is>
      </c>
      <c r="C712" t="inlineStr">
        <is>
          <t>63</t>
        </is>
      </c>
      <c r="D712" s="3" t="n">
        <v>26098</v>
      </c>
      <c r="E712" s="13">
        <f>MIN($B$4+$B$5*D712,$B$6)</f>
        <v/>
      </c>
      <c r="F712" s="13">
        <f>$B$7</f>
        <v/>
      </c>
      <c r="G712" s="13">
        <f>E712+F712</f>
        <v/>
      </c>
      <c r="H712" s="13">
        <f>3*E712+F712</f>
        <v/>
      </c>
      <c r="I712">
        <f>IF(H712&gt;$B$8,"Oui","Non")</f>
        <v/>
      </c>
      <c r="J712" s="14">
        <f>IF(D712&gt;0,E712/D712,"")</f>
        <v/>
      </c>
    </row>
    <row r="713">
      <c r="A713" s="15" t="inlineStr">
        <is>
          <t>CC Chavanon Combrailles et Volcans</t>
        </is>
      </c>
      <c r="B713" s="15" t="inlineStr">
        <is>
          <t>Puy-de-Dôme</t>
        </is>
      </c>
      <c r="C713" s="15" t="inlineStr">
        <is>
          <t>63</t>
        </is>
      </c>
      <c r="D713" s="16" t="n">
        <v>12657</v>
      </c>
      <c r="E713" s="17">
        <f>MIN($B$4+$B$5*D713,$B$6)</f>
        <v/>
      </c>
      <c r="F713" s="17">
        <f>$B$7</f>
        <v/>
      </c>
      <c r="G713" s="17">
        <f>E713+F713</f>
        <v/>
      </c>
      <c r="H713" s="17">
        <f>3*E713+F713</f>
        <v/>
      </c>
      <c r="I713" s="15">
        <f>IF(H713&gt;$B$8,"Oui","Non")</f>
        <v/>
      </c>
      <c r="J713" s="18">
        <f>IF(D713&gt;0,E713/D713,"")</f>
        <v/>
      </c>
    </row>
    <row r="714">
      <c r="A714" t="inlineStr">
        <is>
          <t>CC Combrailles Sioule et Morge</t>
        </is>
      </c>
      <c r="B714" t="inlineStr">
        <is>
          <t>Puy-de-Dôme</t>
        </is>
      </c>
      <c r="C714" t="inlineStr">
        <is>
          <t>63</t>
        </is>
      </c>
      <c r="D714" s="3" t="n">
        <v>19861</v>
      </c>
      <c r="E714" s="13">
        <f>MIN($B$4+$B$5*D714,$B$6)</f>
        <v/>
      </c>
      <c r="F714" s="13">
        <f>$B$7</f>
        <v/>
      </c>
      <c r="G714" s="13">
        <f>E714+F714</f>
        <v/>
      </c>
      <c r="H714" s="13">
        <f>3*E714+F714</f>
        <v/>
      </c>
      <c r="I714">
        <f>IF(H714&gt;$B$8,"Oui","Non")</f>
        <v/>
      </c>
      <c r="J714" s="14">
        <f>IF(D714&gt;0,E714/D714,"")</f>
        <v/>
      </c>
    </row>
    <row r="715">
      <c r="A715" s="15" t="inlineStr">
        <is>
          <t>CC Dômes Sancy Artense</t>
        </is>
      </c>
      <c r="B715" s="15" t="inlineStr">
        <is>
          <t>Puy-de-Dôme</t>
        </is>
      </c>
      <c r="C715" s="15" t="inlineStr">
        <is>
          <t>63</t>
        </is>
      </c>
      <c r="D715" s="16" t="n">
        <v>12591</v>
      </c>
      <c r="E715" s="17">
        <f>MIN($B$4+$B$5*D715,$B$6)</f>
        <v/>
      </c>
      <c r="F715" s="17">
        <f>$B$7</f>
        <v/>
      </c>
      <c r="G715" s="17">
        <f>E715+F715</f>
        <v/>
      </c>
      <c r="H715" s="17">
        <f>3*E715+F715</f>
        <v/>
      </c>
      <c r="I715" s="15">
        <f>IF(H715&gt;$B$8,"Oui","Non")</f>
        <v/>
      </c>
      <c r="J715" s="18">
        <f>IF(D715&gt;0,E715/D715,"")</f>
        <v/>
      </c>
    </row>
    <row r="716">
      <c r="A716" t="inlineStr">
        <is>
          <t>CC Entre Dore et Allier</t>
        </is>
      </c>
      <c r="B716" t="inlineStr">
        <is>
          <t>Puy-de-Dôme</t>
        </is>
      </c>
      <c r="C716" t="inlineStr">
        <is>
          <t>63</t>
        </is>
      </c>
      <c r="D716" s="3" t="n">
        <v>19687</v>
      </c>
      <c r="E716" s="13">
        <f>MIN($B$4+$B$5*D716,$B$6)</f>
        <v/>
      </c>
      <c r="F716" s="13">
        <f>$B$7</f>
        <v/>
      </c>
      <c r="G716" s="13">
        <f>E716+F716</f>
        <v/>
      </c>
      <c r="H716" s="13">
        <f>3*E716+F716</f>
        <v/>
      </c>
      <c r="I716">
        <f>IF(H716&gt;$B$8,"Oui","Non")</f>
        <v/>
      </c>
      <c r="J716" s="14">
        <f>IF(D716&gt;0,E716/D716,"")</f>
        <v/>
      </c>
    </row>
    <row r="717">
      <c r="A717" s="15" t="inlineStr">
        <is>
          <t>CC Mond'Arverne Communauté</t>
        </is>
      </c>
      <c r="B717" s="15" t="inlineStr">
        <is>
          <t>Puy-de-Dôme</t>
        </is>
      </c>
      <c r="C717" s="15" t="inlineStr">
        <is>
          <t>63</t>
        </is>
      </c>
      <c r="D717" s="16" t="n">
        <v>41032</v>
      </c>
      <c r="E717" s="17">
        <f>MIN($B$4+$B$5*D717,$B$6)</f>
        <v/>
      </c>
      <c r="F717" s="17">
        <f>$B$7</f>
        <v/>
      </c>
      <c r="G717" s="17">
        <f>E717+F717</f>
        <v/>
      </c>
      <c r="H717" s="17">
        <f>3*E717+F717</f>
        <v/>
      </c>
      <c r="I717" s="15">
        <f>IF(H717&gt;$B$8,"Oui","Non")</f>
        <v/>
      </c>
      <c r="J717" s="18">
        <f>IF(D717&gt;0,E717/D717,"")</f>
        <v/>
      </c>
    </row>
    <row r="718">
      <c r="A718" t="inlineStr">
        <is>
          <t>CC Plaine Limagne</t>
        </is>
      </c>
      <c r="B718" t="inlineStr">
        <is>
          <t>Puy-de-Dôme</t>
        </is>
      </c>
      <c r="C718" t="inlineStr">
        <is>
          <t>63</t>
        </is>
      </c>
      <c r="D718" s="3" t="n">
        <v>21410</v>
      </c>
      <c r="E718" s="13">
        <f>MIN($B$4+$B$5*D718,$B$6)</f>
        <v/>
      </c>
      <c r="F718" s="13">
        <f>$B$7</f>
        <v/>
      </c>
      <c r="G718" s="13">
        <f>E718+F718</f>
        <v/>
      </c>
      <c r="H718" s="13">
        <f>3*E718+F718</f>
        <v/>
      </c>
      <c r="I718">
        <f>IF(H718&gt;$B$8,"Oui","Non")</f>
        <v/>
      </c>
      <c r="J718" s="14">
        <f>IF(D718&gt;0,E718/D718,"")</f>
        <v/>
      </c>
    </row>
    <row r="719">
      <c r="A719" s="15" t="inlineStr">
        <is>
          <t>CC Thiers Dore et Montagne</t>
        </is>
      </c>
      <c r="B719" s="15" t="inlineStr">
        <is>
          <t>Puy-de-Dôme</t>
        </is>
      </c>
      <c r="C719" s="15" t="inlineStr">
        <is>
          <t>63</t>
        </is>
      </c>
      <c r="D719" s="16" t="n">
        <v>36767</v>
      </c>
      <c r="E719" s="17">
        <f>MIN($B$4+$B$5*D719,$B$6)</f>
        <v/>
      </c>
      <c r="F719" s="17">
        <f>$B$7</f>
        <v/>
      </c>
      <c r="G719" s="17">
        <f>E719+F719</f>
        <v/>
      </c>
      <c r="H719" s="17">
        <f>3*E719+F719</f>
        <v/>
      </c>
      <c r="I719" s="15">
        <f>IF(H719&gt;$B$8,"Oui","Non")</f>
        <v/>
      </c>
      <c r="J719" s="18">
        <f>IF(D719&gt;0,E719/D719,"")</f>
        <v/>
      </c>
    </row>
    <row r="720">
      <c r="A720" t="inlineStr">
        <is>
          <t>CC du Pays de Saint-Eloy</t>
        </is>
      </c>
      <c r="B720" t="inlineStr">
        <is>
          <t>Puy-de-Dôme</t>
        </is>
      </c>
      <c r="C720" t="inlineStr">
        <is>
          <t>63</t>
        </is>
      </c>
      <c r="D720" s="3" t="n">
        <v>15464</v>
      </c>
      <c r="E720" s="13">
        <f>MIN($B$4+$B$5*D720,$B$6)</f>
        <v/>
      </c>
      <c r="F720" s="13">
        <f>$B$7</f>
        <v/>
      </c>
      <c r="G720" s="13">
        <f>E720+F720</f>
        <v/>
      </c>
      <c r="H720" s="13">
        <f>3*E720+F720</f>
        <v/>
      </c>
      <c r="I720">
        <f>IF(H720&gt;$B$8,"Oui","Non")</f>
        <v/>
      </c>
      <c r="J720" s="14">
        <f>IF(D720&gt;0,E720/D720,"")</f>
        <v/>
      </c>
    </row>
    <row r="721">
      <c r="A721" s="15" t="inlineStr">
        <is>
          <t>CC Adour Madiran</t>
        </is>
      </c>
      <c r="B721" s="15" t="inlineStr">
        <is>
          <t>Pyrénées-Atlantiques, Hautes-Pyrénées</t>
        </is>
      </c>
      <c r="C721" s="15" t="inlineStr">
        <is>
          <t>64, 65</t>
        </is>
      </c>
      <c r="D721" s="16" t="n">
        <v>23958</v>
      </c>
      <c r="E721" s="17">
        <f>MIN($B$4+$B$5*D721,$B$6)</f>
        <v/>
      </c>
      <c r="F721" s="17">
        <f>$B$7</f>
        <v/>
      </c>
      <c r="G721" s="17">
        <f>E721+F721</f>
        <v/>
      </c>
      <c r="H721" s="17">
        <f>3*E721+F721</f>
        <v/>
      </c>
      <c r="I721" s="15">
        <f>IF(H721&gt;$B$8,"Oui","Non")</f>
        <v/>
      </c>
      <c r="J721" s="18">
        <f>IF(D721&gt;0,E721/D721,"")</f>
        <v/>
      </c>
    </row>
    <row r="722">
      <c r="A722" t="inlineStr">
        <is>
          <t>CC Pays de Nay</t>
        </is>
      </c>
      <c r="B722" t="inlineStr">
        <is>
          <t>Pyrénées-Atlantiques, Hautes-Pyrénées</t>
        </is>
      </c>
      <c r="C722" t="inlineStr">
        <is>
          <t>64, 65</t>
        </is>
      </c>
      <c r="D722" s="3" t="n">
        <v>28877</v>
      </c>
      <c r="E722" s="13">
        <f>MIN($B$4+$B$5*D722,$B$6)</f>
        <v/>
      </c>
      <c r="F722" s="13">
        <f>$B$7</f>
        <v/>
      </c>
      <c r="G722" s="13">
        <f>E722+F722</f>
        <v/>
      </c>
      <c r="H722" s="13">
        <f>3*E722+F722</f>
        <v/>
      </c>
      <c r="I722">
        <f>IF(H722&gt;$B$8,"Oui","Non")</f>
        <v/>
      </c>
      <c r="J722" s="14">
        <f>IF(D722&gt;0,E722/D722,"")</f>
        <v/>
      </c>
    </row>
    <row r="723">
      <c r="A723" s="15" t="inlineStr">
        <is>
          <t>CC de Lacq-Orthez</t>
        </is>
      </c>
      <c r="B723" s="15" t="inlineStr">
        <is>
          <t>Pyrénées-Atlantiques</t>
        </is>
      </c>
      <c r="C723" s="15" t="inlineStr">
        <is>
          <t>64</t>
        </is>
      </c>
      <c r="D723" s="16" t="n">
        <v>52957</v>
      </c>
      <c r="E723" s="17">
        <f>MIN($B$4+$B$5*D723,$B$6)</f>
        <v/>
      </c>
      <c r="F723" s="17">
        <f>$B$7</f>
        <v/>
      </c>
      <c r="G723" s="17">
        <f>E723+F723</f>
        <v/>
      </c>
      <c r="H723" s="17">
        <f>3*E723+F723</f>
        <v/>
      </c>
      <c r="I723" s="15">
        <f>IF(H723&gt;$B$8,"Oui","Non")</f>
        <v/>
      </c>
      <c r="J723" s="18">
        <f>IF(D723&gt;0,E723/D723,"")</f>
        <v/>
      </c>
    </row>
    <row r="724">
      <c r="A724" t="inlineStr">
        <is>
          <t>CC de la Vallée d'Ossau</t>
        </is>
      </c>
      <c r="B724" t="inlineStr">
        <is>
          <t>Pyrénées-Atlantiques</t>
        </is>
      </c>
      <c r="C724" t="inlineStr">
        <is>
          <t>64</t>
        </is>
      </c>
      <c r="D724" s="3" t="n">
        <v>9728</v>
      </c>
      <c r="E724" s="13">
        <f>MIN($B$4+$B$5*D724,$B$6)</f>
        <v/>
      </c>
      <c r="F724" s="13">
        <f>$B$7</f>
        <v/>
      </c>
      <c r="G724" s="13">
        <f>E724+F724</f>
        <v/>
      </c>
      <c r="H724" s="13">
        <f>3*E724+F724</f>
        <v/>
      </c>
      <c r="I724">
        <f>IF(H724&gt;$B$8,"Oui","Non")</f>
        <v/>
      </c>
      <c r="J724" s="14">
        <f>IF(D724&gt;0,E724/D724,"")</f>
        <v/>
      </c>
    </row>
    <row r="725">
      <c r="A725" s="15" t="inlineStr">
        <is>
          <t>CC des Luys en Béarn</t>
        </is>
      </c>
      <c r="B725" s="15" t="inlineStr">
        <is>
          <t>Pyrénées-Atlantiques</t>
        </is>
      </c>
      <c r="C725" s="15" t="inlineStr">
        <is>
          <t>64</t>
        </is>
      </c>
      <c r="D725" s="16" t="n">
        <v>29307</v>
      </c>
      <c r="E725" s="17">
        <f>MIN($B$4+$B$5*D725,$B$6)</f>
        <v/>
      </c>
      <c r="F725" s="17">
        <f>$B$7</f>
        <v/>
      </c>
      <c r="G725" s="17">
        <f>E725+F725</f>
        <v/>
      </c>
      <c r="H725" s="17">
        <f>3*E725+F725</f>
        <v/>
      </c>
      <c r="I725" s="15">
        <f>IF(H725&gt;$B$8,"Oui","Non")</f>
        <v/>
      </c>
      <c r="J725" s="18">
        <f>IF(D725&gt;0,E725/D725,"")</f>
        <v/>
      </c>
    </row>
    <row r="726">
      <c r="A726" t="inlineStr">
        <is>
          <t>CC du Béarn des Gaves</t>
        </is>
      </c>
      <c r="B726" t="inlineStr">
        <is>
          <t>Pyrénées-Atlantiques</t>
        </is>
      </c>
      <c r="C726" t="inlineStr">
        <is>
          <t>64</t>
        </is>
      </c>
      <c r="D726" s="3" t="n">
        <v>17547</v>
      </c>
      <c r="E726" s="13">
        <f>MIN($B$4+$B$5*D726,$B$6)</f>
        <v/>
      </c>
      <c r="F726" s="13">
        <f>$B$7</f>
        <v/>
      </c>
      <c r="G726" s="13">
        <f>E726+F726</f>
        <v/>
      </c>
      <c r="H726" s="13">
        <f>3*E726+F726</f>
        <v/>
      </c>
      <c r="I726">
        <f>IF(H726&gt;$B$8,"Oui","Non")</f>
        <v/>
      </c>
      <c r="J726" s="14">
        <f>IF(D726&gt;0,E726/D726,"")</f>
        <v/>
      </c>
    </row>
    <row r="727">
      <c r="A727" s="15" t="inlineStr">
        <is>
          <t>CC du Haut Béarn</t>
        </is>
      </c>
      <c r="B727" s="15" t="inlineStr">
        <is>
          <t>Pyrénées-Atlantiques</t>
        </is>
      </c>
      <c r="C727" s="15" t="inlineStr">
        <is>
          <t>64</t>
        </is>
      </c>
      <c r="D727" s="16" t="n">
        <v>32038</v>
      </c>
      <c r="E727" s="17">
        <f>MIN($B$4+$B$5*D727,$B$6)</f>
        <v/>
      </c>
      <c r="F727" s="17">
        <f>$B$7</f>
        <v/>
      </c>
      <c r="G727" s="17">
        <f>E727+F727</f>
        <v/>
      </c>
      <c r="H727" s="17">
        <f>3*E727+F727</f>
        <v/>
      </c>
      <c r="I727" s="15">
        <f>IF(H727&gt;$B$8,"Oui","Non")</f>
        <v/>
      </c>
      <c r="J727" s="18">
        <f>IF(D727&gt;0,E727/D727,"")</f>
        <v/>
      </c>
    </row>
    <row r="728">
      <c r="A728" t="inlineStr">
        <is>
          <t>CC du Nord Est Béarn</t>
        </is>
      </c>
      <c r="B728" t="inlineStr">
        <is>
          <t>Pyrénées-Atlantiques</t>
        </is>
      </c>
      <c r="C728" t="inlineStr">
        <is>
          <t>64</t>
        </is>
      </c>
      <c r="D728" s="3" t="n">
        <v>34830</v>
      </c>
      <c r="E728" s="13">
        <f>MIN($B$4+$B$5*D728,$B$6)</f>
        <v/>
      </c>
      <c r="F728" s="13">
        <f>$B$7</f>
        <v/>
      </c>
      <c r="G728" s="13">
        <f>E728+F728</f>
        <v/>
      </c>
      <c r="H728" s="13">
        <f>3*E728+F728</f>
        <v/>
      </c>
      <c r="I728">
        <f>IF(H728&gt;$B$8,"Oui","Non")</f>
        <v/>
      </c>
      <c r="J728" s="14">
        <f>IF(D728&gt;0,E728/D728,"")</f>
        <v/>
      </c>
    </row>
    <row r="729">
      <c r="A729" s="15" t="inlineStr">
        <is>
          <t>CC Aure Louron</t>
        </is>
      </c>
      <c r="B729" s="15" t="inlineStr">
        <is>
          <t>Hautes-Pyrénées</t>
        </is>
      </c>
      <c r="C729" s="15" t="inlineStr">
        <is>
          <t>65</t>
        </is>
      </c>
      <c r="D729" s="16" t="n">
        <v>6961</v>
      </c>
      <c r="E729" s="17">
        <f>MIN($B$4+$B$5*D729,$B$6)</f>
        <v/>
      </c>
      <c r="F729" s="17">
        <f>$B$7</f>
        <v/>
      </c>
      <c r="G729" s="17">
        <f>E729+F729</f>
        <v/>
      </c>
      <c r="H729" s="17">
        <f>3*E729+F729</f>
        <v/>
      </c>
      <c r="I729" s="15">
        <f>IF(H729&gt;$B$8,"Oui","Non")</f>
        <v/>
      </c>
      <c r="J729" s="18">
        <f>IF(D729&gt;0,E729/D729,"")</f>
        <v/>
      </c>
    </row>
    <row r="730">
      <c r="A730" t="inlineStr">
        <is>
          <t>CC Neste Barousse</t>
        </is>
      </c>
      <c r="B730" t="inlineStr">
        <is>
          <t>Hautes-Pyrénées</t>
        </is>
      </c>
      <c r="C730" t="inlineStr">
        <is>
          <t>65</t>
        </is>
      </c>
      <c r="D730" s="3" t="n">
        <v>7354</v>
      </c>
      <c r="E730" s="13">
        <f>MIN($B$4+$B$5*D730,$B$6)</f>
        <v/>
      </c>
      <c r="F730" s="13">
        <f>$B$7</f>
        <v/>
      </c>
      <c r="G730" s="13">
        <f>E730+F730</f>
        <v/>
      </c>
      <c r="H730" s="13">
        <f>3*E730+F730</f>
        <v/>
      </c>
      <c r="I730">
        <f>IF(H730&gt;$B$8,"Oui","Non")</f>
        <v/>
      </c>
      <c r="J730" s="14">
        <f>IF(D730&gt;0,E730/D730,"")</f>
        <v/>
      </c>
    </row>
    <row r="731">
      <c r="A731" s="15" t="inlineStr">
        <is>
          <t>CC Pyrénées Vallées des Gaves</t>
        </is>
      </c>
      <c r="B731" s="15" t="inlineStr">
        <is>
          <t>Hautes-Pyrénées</t>
        </is>
      </c>
      <c r="C731" s="15" t="inlineStr">
        <is>
          <t>65</t>
        </is>
      </c>
      <c r="D731" s="16" t="n">
        <v>15144</v>
      </c>
      <c r="E731" s="17">
        <f>MIN($B$4+$B$5*D731,$B$6)</f>
        <v/>
      </c>
      <c r="F731" s="17">
        <f>$B$7</f>
        <v/>
      </c>
      <c r="G731" s="17">
        <f>E731+F731</f>
        <v/>
      </c>
      <c r="H731" s="17">
        <f>3*E731+F731</f>
        <v/>
      </c>
      <c r="I731" s="15">
        <f>IF(H731&gt;$B$8,"Oui","Non")</f>
        <v/>
      </c>
      <c r="J731" s="18">
        <f>IF(D731&gt;0,E731/D731,"")</f>
        <v/>
      </c>
    </row>
    <row r="732">
      <c r="A732" t="inlineStr">
        <is>
          <t>CC de la Haute-Bigorre</t>
        </is>
      </c>
      <c r="B732" t="inlineStr">
        <is>
          <t>Hautes-Pyrénées</t>
        </is>
      </c>
      <c r="C732" t="inlineStr">
        <is>
          <t>65</t>
        </is>
      </c>
      <c r="D732" s="3" t="n">
        <v>16510</v>
      </c>
      <c r="E732" s="13">
        <f>MIN($B$4+$B$5*D732,$B$6)</f>
        <v/>
      </c>
      <c r="F732" s="13">
        <f>$B$7</f>
        <v/>
      </c>
      <c r="G732" s="13">
        <f>E732+F732</f>
        <v/>
      </c>
      <c r="H732" s="13">
        <f>3*E732+F732</f>
        <v/>
      </c>
      <c r="I732">
        <f>IF(H732&gt;$B$8,"Oui","Non")</f>
        <v/>
      </c>
      <c r="J732" s="14">
        <f>IF(D732&gt;0,E732/D732,"")</f>
        <v/>
      </c>
    </row>
    <row r="733">
      <c r="A733" s="15" t="inlineStr">
        <is>
          <t>CC des Coteaux du Val d'Arros</t>
        </is>
      </c>
      <c r="B733" s="15" t="inlineStr">
        <is>
          <t>Hautes-Pyrénées</t>
        </is>
      </c>
      <c r="C733" s="15" t="inlineStr">
        <is>
          <t>65</t>
        </is>
      </c>
      <c r="D733" s="16" t="n">
        <v>11143</v>
      </c>
      <c r="E733" s="17">
        <f>MIN($B$4+$B$5*D733,$B$6)</f>
        <v/>
      </c>
      <c r="F733" s="17">
        <f>$B$7</f>
        <v/>
      </c>
      <c r="G733" s="17">
        <f>E733+F733</f>
        <v/>
      </c>
      <c r="H733" s="17">
        <f>3*E733+F733</f>
        <v/>
      </c>
      <c r="I733" s="15">
        <f>IF(H733&gt;$B$8,"Oui","Non")</f>
        <v/>
      </c>
      <c r="J733" s="18">
        <f>IF(D733&gt;0,E733/D733,"")</f>
        <v/>
      </c>
    </row>
    <row r="734">
      <c r="A734" t="inlineStr">
        <is>
          <t>CC du Pays de Trie et du Magnoac</t>
        </is>
      </c>
      <c r="B734" t="inlineStr">
        <is>
          <t>Hautes-Pyrénées</t>
        </is>
      </c>
      <c r="C734" t="inlineStr">
        <is>
          <t>65</t>
        </is>
      </c>
      <c r="D734" s="3" t="n">
        <v>6772</v>
      </c>
      <c r="E734" s="13">
        <f>MIN($B$4+$B$5*D734,$B$6)</f>
        <v/>
      </c>
      <c r="F734" s="13">
        <f>$B$7</f>
        <v/>
      </c>
      <c r="G734" s="13">
        <f>E734+F734</f>
        <v/>
      </c>
      <c r="H734" s="13">
        <f>3*E734+F734</f>
        <v/>
      </c>
      <c r="I734">
        <f>IF(H734&gt;$B$8,"Oui","Non")</f>
        <v/>
      </c>
      <c r="J734" s="14">
        <f>IF(D734&gt;0,E734/D734,"")</f>
        <v/>
      </c>
    </row>
    <row r="735">
      <c r="A735" s="15" t="inlineStr">
        <is>
          <t>CC du Plateau de Lannemezan</t>
        </is>
      </c>
      <c r="B735" s="15" t="inlineStr">
        <is>
          <t>Hautes-Pyrénées</t>
        </is>
      </c>
      <c r="C735" s="15" t="inlineStr">
        <is>
          <t>65</t>
        </is>
      </c>
      <c r="D735" s="16" t="n">
        <v>17673</v>
      </c>
      <c r="E735" s="17">
        <f>MIN($B$4+$B$5*D735,$B$6)</f>
        <v/>
      </c>
      <c r="F735" s="17">
        <f>$B$7</f>
        <v/>
      </c>
      <c r="G735" s="17">
        <f>E735+F735</f>
        <v/>
      </c>
      <c r="H735" s="17">
        <f>3*E735+F735</f>
        <v/>
      </c>
      <c r="I735" s="15">
        <f>IF(H735&gt;$B$8,"Oui","Non")</f>
        <v/>
      </c>
      <c r="J735" s="18">
        <f>IF(D735&gt;0,E735/D735,"")</f>
        <v/>
      </c>
    </row>
    <row r="736">
      <c r="A736" t="inlineStr">
        <is>
          <t>CC Agly Fenouillèdes</t>
        </is>
      </c>
      <c r="B736" t="inlineStr">
        <is>
          <t>Pyrénées-Orientales</t>
        </is>
      </c>
      <c r="C736" t="inlineStr">
        <is>
          <t>66</t>
        </is>
      </c>
      <c r="D736" s="3" t="n">
        <v>6284</v>
      </c>
      <c r="E736" s="13">
        <f>MIN($B$4+$B$5*D736,$B$6)</f>
        <v/>
      </c>
      <c r="F736" s="13">
        <f>$B$7</f>
        <v/>
      </c>
      <c r="G736" s="13">
        <f>E736+F736</f>
        <v/>
      </c>
      <c r="H736" s="13">
        <f>3*E736+F736</f>
        <v/>
      </c>
      <c r="I736">
        <f>IF(H736&gt;$B$8,"Oui","Non")</f>
        <v/>
      </c>
      <c r="J736" s="14">
        <f>IF(D736&gt;0,E736/D736,"")</f>
        <v/>
      </c>
    </row>
    <row r="737">
      <c r="A737" s="15" t="inlineStr">
        <is>
          <t>CC Conflent-Canigó</t>
        </is>
      </c>
      <c r="B737" s="15" t="inlineStr">
        <is>
          <t>Pyrénées-Orientales</t>
        </is>
      </c>
      <c r="C737" s="15" t="inlineStr">
        <is>
          <t>66</t>
        </is>
      </c>
      <c r="D737" s="16" t="n">
        <v>20918</v>
      </c>
      <c r="E737" s="17">
        <f>MIN($B$4+$B$5*D737,$B$6)</f>
        <v/>
      </c>
      <c r="F737" s="17">
        <f>$B$7</f>
        <v/>
      </c>
      <c r="G737" s="17">
        <f>E737+F737</f>
        <v/>
      </c>
      <c r="H737" s="17">
        <f>3*E737+F737</f>
        <v/>
      </c>
      <c r="I737" s="15">
        <f>IF(H737&gt;$B$8,"Oui","Non")</f>
        <v/>
      </c>
      <c r="J737" s="18">
        <f>IF(D737&gt;0,E737/D737,"")</f>
        <v/>
      </c>
    </row>
    <row r="738">
      <c r="A738" t="inlineStr">
        <is>
          <t>CC Pyrénées Catalanes</t>
        </is>
      </c>
      <c r="B738" t="inlineStr">
        <is>
          <t>Pyrénées-Orientales</t>
        </is>
      </c>
      <c r="C738" t="inlineStr">
        <is>
          <t>66</t>
        </is>
      </c>
      <c r="D738" s="3" t="n">
        <v>5951</v>
      </c>
      <c r="E738" s="13">
        <f>MIN($B$4+$B$5*D738,$B$6)</f>
        <v/>
      </c>
      <c r="F738" s="13">
        <f>$B$7</f>
        <v/>
      </c>
      <c r="G738" s="13">
        <f>E738+F738</f>
        <v/>
      </c>
      <c r="H738" s="13">
        <f>3*E738+F738</f>
        <v/>
      </c>
      <c r="I738">
        <f>IF(H738&gt;$B$8,"Oui","Non")</f>
        <v/>
      </c>
      <c r="J738" s="14">
        <f>IF(D738&gt;0,E738/D738,"")</f>
        <v/>
      </c>
    </row>
    <row r="739">
      <c r="A739" s="15" t="inlineStr">
        <is>
          <t>CC Pyrénées Cerdagne</t>
        </is>
      </c>
      <c r="B739" s="15" t="inlineStr">
        <is>
          <t>Pyrénées-Orientales</t>
        </is>
      </c>
      <c r="C739" s="15" t="inlineStr">
        <is>
          <t>66</t>
        </is>
      </c>
      <c r="D739" s="16" t="n">
        <v>8709</v>
      </c>
      <c r="E739" s="17">
        <f>MIN($B$4+$B$5*D739,$B$6)</f>
        <v/>
      </c>
      <c r="F739" s="17">
        <f>$B$7</f>
        <v/>
      </c>
      <c r="G739" s="17">
        <f>E739+F739</f>
        <v/>
      </c>
      <c r="H739" s="17">
        <f>3*E739+F739</f>
        <v/>
      </c>
      <c r="I739" s="15">
        <f>IF(H739&gt;$B$8,"Oui","Non")</f>
        <v/>
      </c>
      <c r="J739" s="18">
        <f>IF(D739&gt;0,E739/D739,"")</f>
        <v/>
      </c>
    </row>
    <row r="740">
      <c r="A740" t="inlineStr">
        <is>
          <t>CC Roussillon-Conflent</t>
        </is>
      </c>
      <c r="B740" t="inlineStr">
        <is>
          <t>Pyrénées-Orientales</t>
        </is>
      </c>
      <c r="C740" t="inlineStr">
        <is>
          <t>66</t>
        </is>
      </c>
      <c r="D740" s="3" t="n">
        <v>17036</v>
      </c>
      <c r="E740" s="13">
        <f>MIN($B$4+$B$5*D740,$B$6)</f>
        <v/>
      </c>
      <c r="F740" s="13">
        <f>$B$7</f>
        <v/>
      </c>
      <c r="G740" s="13">
        <f>E740+F740</f>
        <v/>
      </c>
      <c r="H740" s="13">
        <f>3*E740+F740</f>
        <v/>
      </c>
      <c r="I740">
        <f>IF(H740&gt;$B$8,"Oui","Non")</f>
        <v/>
      </c>
      <c r="J740" s="14">
        <f>IF(D740&gt;0,E740/D740,"")</f>
        <v/>
      </c>
    </row>
    <row r="741">
      <c r="A741" s="15" t="inlineStr">
        <is>
          <t>CC Sud-Roussillon</t>
        </is>
      </c>
      <c r="B741" s="15" t="inlineStr">
        <is>
          <t>Pyrénées-Orientales</t>
        </is>
      </c>
      <c r="C741" s="15" t="inlineStr">
        <is>
          <t>66</t>
        </is>
      </c>
      <c r="D741" s="16" t="n">
        <v>25386</v>
      </c>
      <c r="E741" s="17">
        <f>MIN($B$4+$B$5*D741,$B$6)</f>
        <v/>
      </c>
      <c r="F741" s="17">
        <f>$B$7</f>
        <v/>
      </c>
      <c r="G741" s="17">
        <f>E741+F741</f>
        <v/>
      </c>
      <c r="H741" s="17">
        <f>3*E741+F741</f>
        <v/>
      </c>
      <c r="I741" s="15">
        <f>IF(H741&gt;$B$8,"Oui","Non")</f>
        <v/>
      </c>
      <c r="J741" s="18">
        <f>IF(D741&gt;0,E741/D741,"")</f>
        <v/>
      </c>
    </row>
    <row r="742">
      <c r="A742" t="inlineStr">
        <is>
          <t>CC des Albères, de la Côte Vermeille et de l'Illibéris</t>
        </is>
      </c>
      <c r="B742" t="inlineStr">
        <is>
          <t>Pyrénées-Orientales</t>
        </is>
      </c>
      <c r="C742" t="inlineStr">
        <is>
          <t>66</t>
        </is>
      </c>
      <c r="D742" s="3" t="n">
        <v>57632</v>
      </c>
      <c r="E742" s="13">
        <f>MIN($B$4+$B$5*D742,$B$6)</f>
        <v/>
      </c>
      <c r="F742" s="13">
        <f>$B$7</f>
        <v/>
      </c>
      <c r="G742" s="13">
        <f>E742+F742</f>
        <v/>
      </c>
      <c r="H742" s="13">
        <f>3*E742+F742</f>
        <v/>
      </c>
      <c r="I742">
        <f>IF(H742&gt;$B$8,"Oui","Non")</f>
        <v/>
      </c>
      <c r="J742" s="14">
        <f>IF(D742&gt;0,E742/D742,"")</f>
        <v/>
      </c>
    </row>
    <row r="743">
      <c r="A743" s="15" t="inlineStr">
        <is>
          <t>CC des Aspres</t>
        </is>
      </c>
      <c r="B743" s="15" t="inlineStr">
        <is>
          <t>Pyrénées-Orientales</t>
        </is>
      </c>
      <c r="C743" s="15" t="inlineStr">
        <is>
          <t>66</t>
        </is>
      </c>
      <c r="D743" s="16" t="n">
        <v>22955</v>
      </c>
      <c r="E743" s="17">
        <f>MIN($B$4+$B$5*D743,$B$6)</f>
        <v/>
      </c>
      <c r="F743" s="17">
        <f>$B$7</f>
        <v/>
      </c>
      <c r="G743" s="17">
        <f>E743+F743</f>
        <v/>
      </c>
      <c r="H743" s="17">
        <f>3*E743+F743</f>
        <v/>
      </c>
      <c r="I743" s="15">
        <f>IF(H743&gt;$B$8,"Oui","Non")</f>
        <v/>
      </c>
      <c r="J743" s="18">
        <f>IF(D743&gt;0,E743/D743,"")</f>
        <v/>
      </c>
    </row>
    <row r="744">
      <c r="A744" t="inlineStr">
        <is>
          <t>CC du Haut Vallespir</t>
        </is>
      </c>
      <c r="B744" t="inlineStr">
        <is>
          <t>Pyrénées-Orientales</t>
        </is>
      </c>
      <c r="C744" t="inlineStr">
        <is>
          <t>66</t>
        </is>
      </c>
      <c r="D744" s="3" t="n">
        <v>9814</v>
      </c>
      <c r="E744" s="13">
        <f>MIN($B$4+$B$5*D744,$B$6)</f>
        <v/>
      </c>
      <c r="F744" s="13">
        <f>$B$7</f>
        <v/>
      </c>
      <c r="G744" s="13">
        <f>E744+F744</f>
        <v/>
      </c>
      <c r="H744" s="13">
        <f>3*E744+F744</f>
        <v/>
      </c>
      <c r="I744">
        <f>IF(H744&gt;$B$8,"Oui","Non")</f>
        <v/>
      </c>
      <c r="J744" s="14">
        <f>IF(D744&gt;0,E744/D744,"")</f>
        <v/>
      </c>
    </row>
    <row r="745">
      <c r="A745" s="15" t="inlineStr">
        <is>
          <t>CC du Vallespir</t>
        </is>
      </c>
      <c r="B745" s="15" t="inlineStr">
        <is>
          <t>Pyrénées-Orientales</t>
        </is>
      </c>
      <c r="C745" s="15" t="inlineStr">
        <is>
          <t>66</t>
        </is>
      </c>
      <c r="D745" s="16" t="n">
        <v>20490</v>
      </c>
      <c r="E745" s="17">
        <f>MIN($B$4+$B$5*D745,$B$6)</f>
        <v/>
      </c>
      <c r="F745" s="17">
        <f>$B$7</f>
        <v/>
      </c>
      <c r="G745" s="17">
        <f>E745+F745</f>
        <v/>
      </c>
      <c r="H745" s="17">
        <f>3*E745+F745</f>
        <v/>
      </c>
      <c r="I745" s="15">
        <f>IF(H745&gt;$B$8,"Oui","Non")</f>
        <v/>
      </c>
      <c r="J745" s="18">
        <f>IF(D745&gt;0,E745/D745,"")</f>
        <v/>
      </c>
    </row>
    <row r="746">
      <c r="A746" t="inlineStr">
        <is>
          <t>CC Sauer-Pechelbronn</t>
        </is>
      </c>
      <c r="B746" t="inlineStr">
        <is>
          <t>Bas-Rhin</t>
        </is>
      </c>
      <c r="C746" t="inlineStr">
        <is>
          <t>67</t>
        </is>
      </c>
      <c r="D746" s="3" t="n">
        <v>17281</v>
      </c>
      <c r="E746" s="13">
        <f>MIN($B$4+$B$5*D746,$B$6)</f>
        <v/>
      </c>
      <c r="F746" s="13">
        <f>$B$7</f>
        <v/>
      </c>
      <c r="G746" s="13">
        <f>E746+F746</f>
        <v/>
      </c>
      <c r="H746" s="13">
        <f>3*E746+F746</f>
        <v/>
      </c>
      <c r="I746">
        <f>IF(H746&gt;$B$8,"Oui","Non")</f>
        <v/>
      </c>
      <c r="J746" s="14">
        <f>IF(D746&gt;0,E746/D746,"")</f>
        <v/>
      </c>
    </row>
    <row r="747">
      <c r="A747" s="15" t="inlineStr">
        <is>
          <t>CC de Hanau-La Petite Pierre</t>
        </is>
      </c>
      <c r="B747" s="15" t="inlineStr">
        <is>
          <t>Bas-Rhin</t>
        </is>
      </c>
      <c r="C747" s="15" t="inlineStr">
        <is>
          <t>67</t>
        </is>
      </c>
      <c r="D747" s="16" t="n">
        <v>26172</v>
      </c>
      <c r="E747" s="17">
        <f>MIN($B$4+$B$5*D747,$B$6)</f>
        <v/>
      </c>
      <c r="F747" s="17">
        <f>$B$7</f>
        <v/>
      </c>
      <c r="G747" s="17">
        <f>E747+F747</f>
        <v/>
      </c>
      <c r="H747" s="17">
        <f>3*E747+F747</f>
        <v/>
      </c>
      <c r="I747" s="15">
        <f>IF(H747&gt;$B$8,"Oui","Non")</f>
        <v/>
      </c>
      <c r="J747" s="18">
        <f>IF(D747&gt;0,E747/D747,"")</f>
        <v/>
      </c>
    </row>
    <row r="748">
      <c r="A748" t="inlineStr">
        <is>
          <t>CC de Sélestat</t>
        </is>
      </c>
      <c r="B748" t="inlineStr">
        <is>
          <t>Bas-Rhin</t>
        </is>
      </c>
      <c r="C748" t="inlineStr">
        <is>
          <t>67</t>
        </is>
      </c>
      <c r="D748" s="3" t="n">
        <v>37404</v>
      </c>
      <c r="E748" s="13">
        <f>MIN($B$4+$B$5*D748,$B$6)</f>
        <v/>
      </c>
      <c r="F748" s="13">
        <f>$B$7</f>
        <v/>
      </c>
      <c r="G748" s="13">
        <f>E748+F748</f>
        <v/>
      </c>
      <c r="H748" s="13">
        <f>3*E748+F748</f>
        <v/>
      </c>
      <c r="I748">
        <f>IF(H748&gt;$B$8,"Oui","Non")</f>
        <v/>
      </c>
      <c r="J748" s="14">
        <f>IF(D748&gt;0,E748/D748,"")</f>
        <v/>
      </c>
    </row>
    <row r="749">
      <c r="A749" s="15" t="inlineStr">
        <is>
          <t>CC de l'Alsace Bossue</t>
        </is>
      </c>
      <c r="B749" s="15" t="inlineStr">
        <is>
          <t>Bas-Rhin</t>
        </is>
      </c>
      <c r="C749" s="15" t="inlineStr">
        <is>
          <t>67</t>
        </is>
      </c>
      <c r="D749" s="16" t="n">
        <v>23966</v>
      </c>
      <c r="E749" s="17">
        <f>MIN($B$4+$B$5*D749,$B$6)</f>
        <v/>
      </c>
      <c r="F749" s="17">
        <f>$B$7</f>
        <v/>
      </c>
      <c r="G749" s="17">
        <f>E749+F749</f>
        <v/>
      </c>
      <c r="H749" s="17">
        <f>3*E749+F749</f>
        <v/>
      </c>
      <c r="I749" s="15">
        <f>IF(H749&gt;$B$8,"Oui","Non")</f>
        <v/>
      </c>
      <c r="J749" s="18">
        <f>IF(D749&gt;0,E749/D749,"")</f>
        <v/>
      </c>
    </row>
    <row r="750">
      <c r="A750" t="inlineStr">
        <is>
          <t>CC de l'Outre-Forêt</t>
        </is>
      </c>
      <c r="B750" t="inlineStr">
        <is>
          <t>Bas-Rhin</t>
        </is>
      </c>
      <c r="C750" t="inlineStr">
        <is>
          <t>67</t>
        </is>
      </c>
      <c r="D750" s="3" t="n">
        <v>16194</v>
      </c>
      <c r="E750" s="13">
        <f>MIN($B$4+$B$5*D750,$B$6)</f>
        <v/>
      </c>
      <c r="F750" s="13">
        <f>$B$7</f>
        <v/>
      </c>
      <c r="G750" s="13">
        <f>E750+F750</f>
        <v/>
      </c>
      <c r="H750" s="13">
        <f>3*E750+F750</f>
        <v/>
      </c>
      <c r="I750">
        <f>IF(H750&gt;$B$8,"Oui","Non")</f>
        <v/>
      </c>
      <c r="J750" s="14">
        <f>IF(D750&gt;0,E750/D750,"")</f>
        <v/>
      </c>
    </row>
    <row r="751">
      <c r="A751" s="15" t="inlineStr">
        <is>
          <t>CC de la Basse-Zorn</t>
        </is>
      </c>
      <c r="B751" s="15" t="inlineStr">
        <is>
          <t>Bas-Rhin</t>
        </is>
      </c>
      <c r="C751" s="15" t="inlineStr">
        <is>
          <t>67</t>
        </is>
      </c>
      <c r="D751" s="16" t="n">
        <v>17802</v>
      </c>
      <c r="E751" s="17">
        <f>MIN($B$4+$B$5*D751,$B$6)</f>
        <v/>
      </c>
      <c r="F751" s="17">
        <f>$B$7</f>
        <v/>
      </c>
      <c r="G751" s="17">
        <f>E751+F751</f>
        <v/>
      </c>
      <c r="H751" s="17">
        <f>3*E751+F751</f>
        <v/>
      </c>
      <c r="I751" s="15">
        <f>IF(H751&gt;$B$8,"Oui","Non")</f>
        <v/>
      </c>
      <c r="J751" s="18">
        <f>IF(D751&gt;0,E751/D751,"")</f>
        <v/>
      </c>
    </row>
    <row r="752">
      <c r="A752" t="inlineStr">
        <is>
          <t>CC de la Mossig et du Vignoble</t>
        </is>
      </c>
      <c r="B752" t="inlineStr">
        <is>
          <t>Bas-Rhin</t>
        </is>
      </c>
      <c r="C752" t="inlineStr">
        <is>
          <t>67</t>
        </is>
      </c>
      <c r="D752" s="3" t="n">
        <v>24826</v>
      </c>
      <c r="E752" s="13">
        <f>MIN($B$4+$B$5*D752,$B$6)</f>
        <v/>
      </c>
      <c r="F752" s="13">
        <f>$B$7</f>
        <v/>
      </c>
      <c r="G752" s="13">
        <f>E752+F752</f>
        <v/>
      </c>
      <c r="H752" s="13">
        <f>3*E752+F752</f>
        <v/>
      </c>
      <c r="I752">
        <f>IF(H752&gt;$B$8,"Oui","Non")</f>
        <v/>
      </c>
      <c r="J752" s="14">
        <f>IF(D752&gt;0,E752/D752,"")</f>
        <v/>
      </c>
    </row>
    <row r="753">
      <c r="A753" s="15" t="inlineStr">
        <is>
          <t>CC de la Plaine du Rhin</t>
        </is>
      </c>
      <c r="B753" s="15" t="inlineStr">
        <is>
          <t>Bas-Rhin</t>
        </is>
      </c>
      <c r="C753" s="15" t="inlineStr">
        <is>
          <t>67</t>
        </is>
      </c>
      <c r="D753" s="16" t="n">
        <v>18379</v>
      </c>
      <c r="E753" s="17">
        <f>MIN($B$4+$B$5*D753,$B$6)</f>
        <v/>
      </c>
      <c r="F753" s="17">
        <f>$B$7</f>
        <v/>
      </c>
      <c r="G753" s="17">
        <f>E753+F753</f>
        <v/>
      </c>
      <c r="H753" s="17">
        <f>3*E753+F753</f>
        <v/>
      </c>
      <c r="I753" s="15">
        <f>IF(H753&gt;$B$8,"Oui","Non")</f>
        <v/>
      </c>
      <c r="J753" s="18">
        <f>IF(D753&gt;0,E753/D753,"")</f>
        <v/>
      </c>
    </row>
    <row r="754">
      <c r="A754" t="inlineStr">
        <is>
          <t>CC de la Région de Molsheim-Mutzig</t>
        </is>
      </c>
      <c r="B754" t="inlineStr">
        <is>
          <t>Bas-Rhin</t>
        </is>
      </c>
      <c r="C754" t="inlineStr">
        <is>
          <t>67</t>
        </is>
      </c>
      <c r="D754" s="3" t="n">
        <v>40929</v>
      </c>
      <c r="E754" s="13">
        <f>MIN($B$4+$B$5*D754,$B$6)</f>
        <v/>
      </c>
      <c r="F754" s="13">
        <f>$B$7</f>
        <v/>
      </c>
      <c r="G754" s="13">
        <f>E754+F754</f>
        <v/>
      </c>
      <c r="H754" s="13">
        <f>3*E754+F754</f>
        <v/>
      </c>
      <c r="I754">
        <f>IF(H754&gt;$B$8,"Oui","Non")</f>
        <v/>
      </c>
      <c r="J754" s="14">
        <f>IF(D754&gt;0,E754/D754,"")</f>
        <v/>
      </c>
    </row>
    <row r="755">
      <c r="A755" s="15" t="inlineStr">
        <is>
          <t>CC de la Vallée de Villé</t>
        </is>
      </c>
      <c r="B755" s="15" t="inlineStr">
        <is>
          <t>Bas-Rhin</t>
        </is>
      </c>
      <c r="C755" s="15" t="inlineStr">
        <is>
          <t>67</t>
        </is>
      </c>
      <c r="D755" s="16" t="n">
        <v>10771</v>
      </c>
      <c r="E755" s="17">
        <f>MIN($B$4+$B$5*D755,$B$6)</f>
        <v/>
      </c>
      <c r="F755" s="17">
        <f>$B$7</f>
        <v/>
      </c>
      <c r="G755" s="17">
        <f>E755+F755</f>
        <v/>
      </c>
      <c r="H755" s="17">
        <f>3*E755+F755</f>
        <v/>
      </c>
      <c r="I755" s="15">
        <f>IF(H755&gt;$B$8,"Oui","Non")</f>
        <v/>
      </c>
      <c r="J755" s="18">
        <f>IF(D755&gt;0,E755/D755,"")</f>
        <v/>
      </c>
    </row>
    <row r="756">
      <c r="A756" t="inlineStr">
        <is>
          <t>CC de la Vallée de la Bruche</t>
        </is>
      </c>
      <c r="B756" t="inlineStr">
        <is>
          <t>Bas-Rhin</t>
        </is>
      </c>
      <c r="C756" t="inlineStr">
        <is>
          <t>67</t>
        </is>
      </c>
      <c r="D756" s="3" t="n">
        <v>20517</v>
      </c>
      <c r="E756" s="13">
        <f>MIN($B$4+$B$5*D756,$B$6)</f>
        <v/>
      </c>
      <c r="F756" s="13">
        <f>$B$7</f>
        <v/>
      </c>
      <c r="G756" s="13">
        <f>E756+F756</f>
        <v/>
      </c>
      <c r="H756" s="13">
        <f>3*E756+F756</f>
        <v/>
      </c>
      <c r="I756">
        <f>IF(H756&gt;$B$8,"Oui","Non")</f>
        <v/>
      </c>
      <c r="J756" s="14">
        <f>IF(D756&gt;0,E756/D756,"")</f>
        <v/>
      </c>
    </row>
    <row r="757">
      <c r="A757" s="15" t="inlineStr">
        <is>
          <t>CC des Portes de Rosheim</t>
        </is>
      </c>
      <c r="B757" s="15" t="inlineStr">
        <is>
          <t>Bas-Rhin</t>
        </is>
      </c>
      <c r="C757" s="15" t="inlineStr">
        <is>
          <t>67</t>
        </is>
      </c>
      <c r="D757" s="16" t="n">
        <v>18395</v>
      </c>
      <c r="E757" s="17">
        <f>MIN($B$4+$B$5*D757,$B$6)</f>
        <v/>
      </c>
      <c r="F757" s="17">
        <f>$B$7</f>
        <v/>
      </c>
      <c r="G757" s="17">
        <f>E757+F757</f>
        <v/>
      </c>
      <c r="H757" s="17">
        <f>3*E757+F757</f>
        <v/>
      </c>
      <c r="I757" s="15">
        <f>IF(H757&gt;$B$8,"Oui","Non")</f>
        <v/>
      </c>
      <c r="J757" s="18">
        <f>IF(D757&gt;0,E757/D757,"")</f>
        <v/>
      </c>
    </row>
    <row r="758">
      <c r="A758" t="inlineStr">
        <is>
          <t>CC du Canton d'Erstein</t>
        </is>
      </c>
      <c r="B758" t="inlineStr">
        <is>
          <t>Bas-Rhin</t>
        </is>
      </c>
      <c r="C758" t="inlineStr">
        <is>
          <t>67</t>
        </is>
      </c>
      <c r="D758" s="3" t="n">
        <v>49088</v>
      </c>
      <c r="E758" s="13">
        <f>MIN($B$4+$B$5*D758,$B$6)</f>
        <v/>
      </c>
      <c r="F758" s="13">
        <f>$B$7</f>
        <v/>
      </c>
      <c r="G758" s="13">
        <f>E758+F758</f>
        <v/>
      </c>
      <c r="H758" s="13">
        <f>3*E758+F758</f>
        <v/>
      </c>
      <c r="I758">
        <f>IF(H758&gt;$B$8,"Oui","Non")</f>
        <v/>
      </c>
      <c r="J758" s="14">
        <f>IF(D758&gt;0,E758/D758,"")</f>
        <v/>
      </c>
    </row>
    <row r="759">
      <c r="A759" s="15" t="inlineStr">
        <is>
          <t>CC du Kochersberg</t>
        </is>
      </c>
      <c r="B759" s="15" t="inlineStr">
        <is>
          <t>Bas-Rhin</t>
        </is>
      </c>
      <c r="C759" s="15" t="inlineStr">
        <is>
          <t>67</t>
        </is>
      </c>
      <c r="D759" s="16" t="n">
        <v>26637</v>
      </c>
      <c r="E759" s="17">
        <f>MIN($B$4+$B$5*D759,$B$6)</f>
        <v/>
      </c>
      <c r="F759" s="17">
        <f>$B$7</f>
        <v/>
      </c>
      <c r="G759" s="17">
        <f>E759+F759</f>
        <v/>
      </c>
      <c r="H759" s="17">
        <f>3*E759+F759</f>
        <v/>
      </c>
      <c r="I759" s="15">
        <f>IF(H759&gt;$B$8,"Oui","Non")</f>
        <v/>
      </c>
      <c r="J759" s="18">
        <f>IF(D759&gt;0,E759/D759,"")</f>
        <v/>
      </c>
    </row>
    <row r="760">
      <c r="A760" t="inlineStr">
        <is>
          <t>CC du Pays Rhénan</t>
        </is>
      </c>
      <c r="B760" t="inlineStr">
        <is>
          <t>Bas-Rhin</t>
        </is>
      </c>
      <c r="C760" t="inlineStr">
        <is>
          <t>67</t>
        </is>
      </c>
      <c r="D760" s="3" t="n">
        <v>37259</v>
      </c>
      <c r="E760" s="13">
        <f>MIN($B$4+$B$5*D760,$B$6)</f>
        <v/>
      </c>
      <c r="F760" s="13">
        <f>$B$7</f>
        <v/>
      </c>
      <c r="G760" s="13">
        <f>E760+F760</f>
        <v/>
      </c>
      <c r="H760" s="13">
        <f>3*E760+F760</f>
        <v/>
      </c>
      <c r="I760">
        <f>IF(H760&gt;$B$8,"Oui","Non")</f>
        <v/>
      </c>
      <c r="J760" s="14">
        <f>IF(D760&gt;0,E760/D760,"")</f>
        <v/>
      </c>
    </row>
    <row r="761">
      <c r="A761" s="15" t="inlineStr">
        <is>
          <t>CC du Pays de Barr</t>
        </is>
      </c>
      <c r="B761" s="15" t="inlineStr">
        <is>
          <t>Bas-Rhin</t>
        </is>
      </c>
      <c r="C761" s="15" t="inlineStr">
        <is>
          <t>67</t>
        </is>
      </c>
      <c r="D761" s="16" t="n">
        <v>23882</v>
      </c>
      <c r="E761" s="17">
        <f>MIN($B$4+$B$5*D761,$B$6)</f>
        <v/>
      </c>
      <c r="F761" s="17">
        <f>$B$7</f>
        <v/>
      </c>
      <c r="G761" s="17">
        <f>E761+F761</f>
        <v/>
      </c>
      <c r="H761" s="17">
        <f>3*E761+F761</f>
        <v/>
      </c>
      <c r="I761" s="15">
        <f>IF(H761&gt;$B$8,"Oui","Non")</f>
        <v/>
      </c>
      <c r="J761" s="18">
        <f>IF(D761&gt;0,E761/D761,"")</f>
        <v/>
      </c>
    </row>
    <row r="762">
      <c r="A762" t="inlineStr">
        <is>
          <t>CC du Pays de Niederbronn-les-Bains</t>
        </is>
      </c>
      <c r="B762" t="inlineStr">
        <is>
          <t>Bas-Rhin</t>
        </is>
      </c>
      <c r="C762" t="inlineStr">
        <is>
          <t>67</t>
        </is>
      </c>
      <c r="D762" s="3" t="n">
        <v>23291</v>
      </c>
      <c r="E762" s="13">
        <f>MIN($B$4+$B$5*D762,$B$6)</f>
        <v/>
      </c>
      <c r="F762" s="13">
        <f>$B$7</f>
        <v/>
      </c>
      <c r="G762" s="13">
        <f>E762+F762</f>
        <v/>
      </c>
      <c r="H762" s="13">
        <f>3*E762+F762</f>
        <v/>
      </c>
      <c r="I762">
        <f>IF(H762&gt;$B$8,"Oui","Non")</f>
        <v/>
      </c>
      <c r="J762" s="14">
        <f>IF(D762&gt;0,E762/D762,"")</f>
        <v/>
      </c>
    </row>
    <row r="763">
      <c r="A763" s="15" t="inlineStr">
        <is>
          <t>CC du Pays de Sainte-Odile</t>
        </is>
      </c>
      <c r="B763" s="15" t="inlineStr">
        <is>
          <t>Bas-Rhin</t>
        </is>
      </c>
      <c r="C763" s="15" t="inlineStr">
        <is>
          <t>67</t>
        </is>
      </c>
      <c r="D763" s="16" t="n">
        <v>19552</v>
      </c>
      <c r="E763" s="17">
        <f>MIN($B$4+$B$5*D763,$B$6)</f>
        <v/>
      </c>
      <c r="F763" s="17">
        <f>$B$7</f>
        <v/>
      </c>
      <c r="G763" s="17">
        <f>E763+F763</f>
        <v/>
      </c>
      <c r="H763" s="17">
        <f>3*E763+F763</f>
        <v/>
      </c>
      <c r="I763" s="15">
        <f>IF(H763&gt;$B$8,"Oui","Non")</f>
        <v/>
      </c>
      <c r="J763" s="18">
        <f>IF(D763&gt;0,E763/D763,"")</f>
        <v/>
      </c>
    </row>
    <row r="764">
      <c r="A764" t="inlineStr">
        <is>
          <t>CC du Pays de Saverne</t>
        </is>
      </c>
      <c r="B764" t="inlineStr">
        <is>
          <t>Bas-Rhin</t>
        </is>
      </c>
      <c r="C764" t="inlineStr">
        <is>
          <t>67</t>
        </is>
      </c>
      <c r="D764" s="3" t="n">
        <v>35675</v>
      </c>
      <c r="E764" s="13">
        <f>MIN($B$4+$B$5*D764,$B$6)</f>
        <v/>
      </c>
      <c r="F764" s="13">
        <f>$B$7</f>
        <v/>
      </c>
      <c r="G764" s="13">
        <f>E764+F764</f>
        <v/>
      </c>
      <c r="H764" s="13">
        <f>3*E764+F764</f>
        <v/>
      </c>
      <c r="I764">
        <f>IF(H764&gt;$B$8,"Oui","Non")</f>
        <v/>
      </c>
      <c r="J764" s="14">
        <f>IF(D764&gt;0,E764/D764,"")</f>
        <v/>
      </c>
    </row>
    <row r="765">
      <c r="A765" s="15" t="inlineStr">
        <is>
          <t>CC du Pays de Wissembourg</t>
        </is>
      </c>
      <c r="B765" s="15" t="inlineStr">
        <is>
          <t>Bas-Rhin</t>
        </is>
      </c>
      <c r="C765" s="15" t="inlineStr">
        <is>
          <t>67</t>
        </is>
      </c>
      <c r="D765" s="16" t="n">
        <v>15749</v>
      </c>
      <c r="E765" s="17">
        <f>MIN($B$4+$B$5*D765,$B$6)</f>
        <v/>
      </c>
      <c r="F765" s="17">
        <f>$B$7</f>
        <v/>
      </c>
      <c r="G765" s="17">
        <f>E765+F765</f>
        <v/>
      </c>
      <c r="H765" s="17">
        <f>3*E765+F765</f>
        <v/>
      </c>
      <c r="I765" s="15">
        <f>IF(H765&gt;$B$8,"Oui","Non")</f>
        <v/>
      </c>
      <c r="J765" s="18">
        <f>IF(D765&gt;0,E765/D765,"")</f>
        <v/>
      </c>
    </row>
    <row r="766">
      <c r="A766" t="inlineStr">
        <is>
          <t>CC du Pays de la Zorn</t>
        </is>
      </c>
      <c r="B766" t="inlineStr">
        <is>
          <t>Bas-Rhin</t>
        </is>
      </c>
      <c r="C766" t="inlineStr">
        <is>
          <t>67</t>
        </is>
      </c>
      <c r="D766" s="3" t="n">
        <v>16195</v>
      </c>
      <c r="E766" s="13">
        <f>MIN($B$4+$B$5*D766,$B$6)</f>
        <v/>
      </c>
      <c r="F766" s="13">
        <f>$B$7</f>
        <v/>
      </c>
      <c r="G766" s="13">
        <f>E766+F766</f>
        <v/>
      </c>
      <c r="H766" s="13">
        <f>3*E766+F766</f>
        <v/>
      </c>
      <c r="I766">
        <f>IF(H766&gt;$B$8,"Oui","Non")</f>
        <v/>
      </c>
      <c r="J766" s="14">
        <f>IF(D766&gt;0,E766/D766,"")</f>
        <v/>
      </c>
    </row>
    <row r="767">
      <c r="A767" s="15" t="inlineStr">
        <is>
          <t>CC du Ried de Marckolsheim</t>
        </is>
      </c>
      <c r="B767" s="15" t="inlineStr">
        <is>
          <t>Bas-Rhin, Haut-Rhin</t>
        </is>
      </c>
      <c r="C767" s="15" t="inlineStr">
        <is>
          <t>67, 68</t>
        </is>
      </c>
      <c r="D767" s="16" t="n">
        <v>20664</v>
      </c>
      <c r="E767" s="17">
        <f>MIN($B$4+$B$5*D767,$B$6)</f>
        <v/>
      </c>
      <c r="F767" s="17">
        <f>$B$7</f>
        <v/>
      </c>
      <c r="G767" s="17">
        <f>E767+F767</f>
        <v/>
      </c>
      <c r="H767" s="17">
        <f>3*E767+F767</f>
        <v/>
      </c>
      <c r="I767" s="15">
        <f>IF(H767&gt;$B$8,"Oui","Non")</f>
        <v/>
      </c>
      <c r="J767" s="18">
        <f>IF(D767&gt;0,E767/D767,"")</f>
        <v/>
      </c>
    </row>
    <row r="768">
      <c r="A768" t="inlineStr">
        <is>
          <t>CC Alsace Rhin Brisach</t>
        </is>
      </c>
      <c r="B768" t="inlineStr">
        <is>
          <t>Haut-Rhin</t>
        </is>
      </c>
      <c r="C768" t="inlineStr">
        <is>
          <t>68</t>
        </is>
      </c>
      <c r="D768" s="3" t="n">
        <v>34031</v>
      </c>
      <c r="E768" s="13">
        <f>MIN($B$4+$B$5*D768,$B$6)</f>
        <v/>
      </c>
      <c r="F768" s="13">
        <f>$B$7</f>
        <v/>
      </c>
      <c r="G768" s="13">
        <f>E768+F768</f>
        <v/>
      </c>
      <c r="H768" s="13">
        <f>3*E768+F768</f>
        <v/>
      </c>
      <c r="I768">
        <f>IF(H768&gt;$B$8,"Oui","Non")</f>
        <v/>
      </c>
      <c r="J768" s="14">
        <f>IF(D768&gt;0,E768/D768,"")</f>
        <v/>
      </c>
    </row>
    <row r="769">
      <c r="A769" s="15" t="inlineStr">
        <is>
          <t>CC Sud Alsace Largue</t>
        </is>
      </c>
      <c r="B769" s="15" t="inlineStr">
        <is>
          <t>Haut-Rhin</t>
        </is>
      </c>
      <c r="C769" s="15" t="inlineStr">
        <is>
          <t>68</t>
        </is>
      </c>
      <c r="D769" s="16" t="n">
        <v>22331</v>
      </c>
      <c r="E769" s="17">
        <f>MIN($B$4+$B$5*D769,$B$6)</f>
        <v/>
      </c>
      <c r="F769" s="17">
        <f>$B$7</f>
        <v/>
      </c>
      <c r="G769" s="17">
        <f>E769+F769</f>
        <v/>
      </c>
      <c r="H769" s="17">
        <f>3*E769+F769</f>
        <v/>
      </c>
      <c r="I769" s="15">
        <f>IF(H769&gt;$B$8,"Oui","Non")</f>
        <v/>
      </c>
      <c r="J769" s="18">
        <f>IF(D769&gt;0,E769/D769,"")</f>
        <v/>
      </c>
    </row>
    <row r="770">
      <c r="A770" t="inlineStr">
        <is>
          <t>CC Sundgau</t>
        </is>
      </c>
      <c r="B770" t="inlineStr">
        <is>
          <t>Haut-Rhin</t>
        </is>
      </c>
      <c r="C770" t="inlineStr">
        <is>
          <t>68</t>
        </is>
      </c>
      <c r="D770" s="3" t="n">
        <v>47603</v>
      </c>
      <c r="E770" s="13">
        <f>MIN($B$4+$B$5*D770,$B$6)</f>
        <v/>
      </c>
      <c r="F770" s="13">
        <f>$B$7</f>
        <v/>
      </c>
      <c r="G770" s="13">
        <f>E770+F770</f>
        <v/>
      </c>
      <c r="H770" s="13">
        <f>3*E770+F770</f>
        <v/>
      </c>
      <c r="I770">
        <f>IF(H770&gt;$B$8,"Oui","Non")</f>
        <v/>
      </c>
      <c r="J770" s="14">
        <f>IF(D770&gt;0,E770/D770,"")</f>
        <v/>
      </c>
    </row>
    <row r="771">
      <c r="A771" s="15" t="inlineStr">
        <is>
          <t>CC de Thann-Cernay</t>
        </is>
      </c>
      <c r="B771" s="15" t="inlineStr">
        <is>
          <t>Haut-Rhin</t>
        </is>
      </c>
      <c r="C771" s="15" t="inlineStr">
        <is>
          <t>68</t>
        </is>
      </c>
      <c r="D771" s="16" t="n">
        <v>37567</v>
      </c>
      <c r="E771" s="17">
        <f>MIN($B$4+$B$5*D771,$B$6)</f>
        <v/>
      </c>
      <c r="F771" s="17">
        <f>$B$7</f>
        <v/>
      </c>
      <c r="G771" s="17">
        <f>E771+F771</f>
        <v/>
      </c>
      <c r="H771" s="17">
        <f>3*E771+F771</f>
        <v/>
      </c>
      <c r="I771" s="15">
        <f>IF(H771&gt;$B$8,"Oui","Non")</f>
        <v/>
      </c>
      <c r="J771" s="18">
        <f>IF(D771&gt;0,E771/D771,"")</f>
        <v/>
      </c>
    </row>
    <row r="772">
      <c r="A772" t="inlineStr">
        <is>
          <t>CC de la Région de Guebwiller</t>
        </is>
      </c>
      <c r="B772" t="inlineStr">
        <is>
          <t>Haut-Rhin</t>
        </is>
      </c>
      <c r="C772" t="inlineStr">
        <is>
          <t>68</t>
        </is>
      </c>
      <c r="D772" s="3" t="n">
        <v>38172</v>
      </c>
      <c r="E772" s="13">
        <f>MIN($B$4+$B$5*D772,$B$6)</f>
        <v/>
      </c>
      <c r="F772" s="13">
        <f>$B$7</f>
        <v/>
      </c>
      <c r="G772" s="13">
        <f>E772+F772</f>
        <v/>
      </c>
      <c r="H772" s="13">
        <f>3*E772+F772</f>
        <v/>
      </c>
      <c r="I772">
        <f>IF(H772&gt;$B$8,"Oui","Non")</f>
        <v/>
      </c>
      <c r="J772" s="14">
        <f>IF(D772&gt;0,E772/D772,"")</f>
        <v/>
      </c>
    </row>
    <row r="773">
      <c r="A773" s="15" t="inlineStr">
        <is>
          <t>CC de la Vallée de Kaysersberg</t>
        </is>
      </c>
      <c r="B773" s="15" t="inlineStr">
        <is>
          <t>Haut-Rhin</t>
        </is>
      </c>
      <c r="C773" s="15" t="inlineStr">
        <is>
          <t>68</t>
        </is>
      </c>
      <c r="D773" s="16" t="n">
        <v>16043</v>
      </c>
      <c r="E773" s="17">
        <f>MIN($B$4+$B$5*D773,$B$6)</f>
        <v/>
      </c>
      <c r="F773" s="17">
        <f>$B$7</f>
        <v/>
      </c>
      <c r="G773" s="17">
        <f>E773+F773</f>
        <v/>
      </c>
      <c r="H773" s="17">
        <f>3*E773+F773</f>
        <v/>
      </c>
      <c r="I773" s="15">
        <f>IF(H773&gt;$B$8,"Oui","Non")</f>
        <v/>
      </c>
      <c r="J773" s="18">
        <f>IF(D773&gt;0,E773/D773,"")</f>
        <v/>
      </c>
    </row>
    <row r="774">
      <c r="A774" t="inlineStr">
        <is>
          <t>CC de la Vallée de Munster</t>
        </is>
      </c>
      <c r="B774" t="inlineStr">
        <is>
          <t>Haut-Rhin</t>
        </is>
      </c>
      <c r="C774" t="inlineStr">
        <is>
          <t>68</t>
        </is>
      </c>
      <c r="D774" s="3" t="n">
        <v>16258</v>
      </c>
      <c r="E774" s="13">
        <f>MIN($B$4+$B$5*D774,$B$6)</f>
        <v/>
      </c>
      <c r="F774" s="13">
        <f>$B$7</f>
        <v/>
      </c>
      <c r="G774" s="13">
        <f>E774+F774</f>
        <v/>
      </c>
      <c r="H774" s="13">
        <f>3*E774+F774</f>
        <v/>
      </c>
      <c r="I774">
        <f>IF(H774&gt;$B$8,"Oui","Non")</f>
        <v/>
      </c>
      <c r="J774" s="14">
        <f>IF(D774&gt;0,E774/D774,"")</f>
        <v/>
      </c>
    </row>
    <row r="775">
      <c r="A775" s="15" t="inlineStr">
        <is>
          <t>CC de la Vallée de Saint-Amarin</t>
        </is>
      </c>
      <c r="B775" s="15" t="inlineStr">
        <is>
          <t>Haut-Rhin</t>
        </is>
      </c>
      <c r="C775" s="15" t="inlineStr">
        <is>
          <t>68</t>
        </is>
      </c>
      <c r="D775" s="16" t="n">
        <v>11976</v>
      </c>
      <c r="E775" s="17">
        <f>MIN($B$4+$B$5*D775,$B$6)</f>
        <v/>
      </c>
      <c r="F775" s="17">
        <f>$B$7</f>
        <v/>
      </c>
      <c r="G775" s="17">
        <f>E775+F775</f>
        <v/>
      </c>
      <c r="H775" s="17">
        <f>3*E775+F775</f>
        <v/>
      </c>
      <c r="I775" s="15">
        <f>IF(H775&gt;$B$8,"Oui","Non")</f>
        <v/>
      </c>
      <c r="J775" s="18">
        <f>IF(D775&gt;0,E775/D775,"")</f>
        <v/>
      </c>
    </row>
    <row r="776">
      <c r="A776" t="inlineStr">
        <is>
          <t>CC de la Vallée de la Doller et du Soultzbach</t>
        </is>
      </c>
      <c r="B776" t="inlineStr">
        <is>
          <t>Haut-Rhin</t>
        </is>
      </c>
      <c r="C776" t="inlineStr">
        <is>
          <t>68</t>
        </is>
      </c>
      <c r="D776" s="3" t="n">
        <v>15914</v>
      </c>
      <c r="E776" s="13">
        <f>MIN($B$4+$B$5*D776,$B$6)</f>
        <v/>
      </c>
      <c r="F776" s="13">
        <f>$B$7</f>
        <v/>
      </c>
      <c r="G776" s="13">
        <f>E776+F776</f>
        <v/>
      </c>
      <c r="H776" s="13">
        <f>3*E776+F776</f>
        <v/>
      </c>
      <c r="I776">
        <f>IF(H776&gt;$B$8,"Oui","Non")</f>
        <v/>
      </c>
      <c r="J776" s="14">
        <f>IF(D776&gt;0,E776/D776,"")</f>
        <v/>
      </c>
    </row>
    <row r="777">
      <c r="A777" s="15" t="inlineStr">
        <is>
          <t>CC du Centre du Haut-Rhin</t>
        </is>
      </c>
      <c r="B777" s="15" t="inlineStr">
        <is>
          <t>Haut-Rhin</t>
        </is>
      </c>
      <c r="C777" s="15" t="inlineStr">
        <is>
          <t>68</t>
        </is>
      </c>
      <c r="D777" s="16" t="n">
        <v>16348</v>
      </c>
      <c r="E777" s="17">
        <f>MIN($B$4+$B$5*D777,$B$6)</f>
        <v/>
      </c>
      <c r="F777" s="17">
        <f>$B$7</f>
        <v/>
      </c>
      <c r="G777" s="17">
        <f>E777+F777</f>
        <v/>
      </c>
      <c r="H777" s="17">
        <f>3*E777+F777</f>
        <v/>
      </c>
      <c r="I777" s="15">
        <f>IF(H777&gt;$B$8,"Oui","Non")</f>
        <v/>
      </c>
      <c r="J777" s="18">
        <f>IF(D777&gt;0,E777/D777,"")</f>
        <v/>
      </c>
    </row>
    <row r="778">
      <c r="A778" t="inlineStr">
        <is>
          <t>CC du Pays de Ribeauvillé</t>
        </is>
      </c>
      <c r="B778" t="inlineStr">
        <is>
          <t>Haut-Rhin</t>
        </is>
      </c>
      <c r="C778" t="inlineStr">
        <is>
          <t>68</t>
        </is>
      </c>
      <c r="D778" s="3" t="n">
        <v>18133</v>
      </c>
      <c r="E778" s="13">
        <f>MIN($B$4+$B$5*D778,$B$6)</f>
        <v/>
      </c>
      <c r="F778" s="13">
        <f>$B$7</f>
        <v/>
      </c>
      <c r="G778" s="13">
        <f>E778+F778</f>
        <v/>
      </c>
      <c r="H778" s="13">
        <f>3*E778+F778</f>
        <v/>
      </c>
      <c r="I778">
        <f>IF(H778&gt;$B$8,"Oui","Non")</f>
        <v/>
      </c>
      <c r="J778" s="14">
        <f>IF(D778&gt;0,E778/D778,"")</f>
        <v/>
      </c>
    </row>
    <row r="779">
      <c r="A779" s="15" t="inlineStr">
        <is>
          <t>CC du Pays de Rouffach, Vignobles et Châteaux</t>
        </is>
      </c>
      <c r="B779" s="15" t="inlineStr">
        <is>
          <t>Haut-Rhin</t>
        </is>
      </c>
      <c r="C779" s="15" t="inlineStr">
        <is>
          <t>68</t>
        </is>
      </c>
      <c r="D779" s="16" t="n">
        <v>12891</v>
      </c>
      <c r="E779" s="17">
        <f>MIN($B$4+$B$5*D779,$B$6)</f>
        <v/>
      </c>
      <c r="F779" s="17">
        <f>$B$7</f>
        <v/>
      </c>
      <c r="G779" s="17">
        <f>E779+F779</f>
        <v/>
      </c>
      <c r="H779" s="17">
        <f>3*E779+F779</f>
        <v/>
      </c>
      <c r="I779" s="15">
        <f>IF(H779&gt;$B$8,"Oui","Non")</f>
        <v/>
      </c>
      <c r="J779" s="18">
        <f>IF(D779&gt;0,E779/D779,"")</f>
        <v/>
      </c>
    </row>
    <row r="780">
      <c r="A780" t="inlineStr">
        <is>
          <t>CC du Val d'Argent</t>
        </is>
      </c>
      <c r="B780" t="inlineStr">
        <is>
          <t>Haut-Rhin</t>
        </is>
      </c>
      <c r="C780" t="inlineStr">
        <is>
          <t>68</t>
        </is>
      </c>
      <c r="D780" s="3" t="n">
        <v>9133</v>
      </c>
      <c r="E780" s="13">
        <f>MIN($B$4+$B$5*D780,$B$6)</f>
        <v/>
      </c>
      <c r="F780" s="13">
        <f>$B$7</f>
        <v/>
      </c>
      <c r="G780" s="13">
        <f>E780+F780</f>
        <v/>
      </c>
      <c r="H780" s="13">
        <f>3*E780+F780</f>
        <v/>
      </c>
      <c r="I780">
        <f>IF(H780&gt;$B$8,"Oui","Non")</f>
        <v/>
      </c>
      <c r="J780" s="14">
        <f>IF(D780&gt;0,E780/D780,"")</f>
        <v/>
      </c>
    </row>
    <row r="781">
      <c r="A781" s="15" t="inlineStr">
        <is>
          <t>CC Beaujolais Pierres Dorées</t>
        </is>
      </c>
      <c r="B781" s="15" t="inlineStr">
        <is>
          <t>Rhône</t>
        </is>
      </c>
      <c r="C781" s="15" t="inlineStr">
        <is>
          <t>69</t>
        </is>
      </c>
      <c r="D781" s="16" t="n">
        <v>56155</v>
      </c>
      <c r="E781" s="17">
        <f>MIN($B$4+$B$5*D781,$B$6)</f>
        <v/>
      </c>
      <c r="F781" s="17">
        <f>$B$7</f>
        <v/>
      </c>
      <c r="G781" s="17">
        <f>E781+F781</f>
        <v/>
      </c>
      <c r="H781" s="17">
        <f>3*E781+F781</f>
        <v/>
      </c>
      <c r="I781" s="15">
        <f>IF(H781&gt;$B$8,"Oui","Non")</f>
        <v/>
      </c>
      <c r="J781" s="18">
        <f>IF(D781&gt;0,E781/D781,"")</f>
        <v/>
      </c>
    </row>
    <row r="782">
      <c r="A782" t="inlineStr">
        <is>
          <t>CC Saône-Beaujolais</t>
        </is>
      </c>
      <c r="B782" t="inlineStr">
        <is>
          <t>Rhône</t>
        </is>
      </c>
      <c r="C782" t="inlineStr">
        <is>
          <t>69</t>
        </is>
      </c>
      <c r="D782" s="3" t="n">
        <v>45642</v>
      </c>
      <c r="E782" s="13">
        <f>MIN($B$4+$B$5*D782,$B$6)</f>
        <v/>
      </c>
      <c r="F782" s="13">
        <f>$B$7</f>
        <v/>
      </c>
      <c r="G782" s="13">
        <f>E782+F782</f>
        <v/>
      </c>
      <c r="H782" s="13">
        <f>3*E782+F782</f>
        <v/>
      </c>
      <c r="I782">
        <f>IF(H782&gt;$B$8,"Oui","Non")</f>
        <v/>
      </c>
      <c r="J782" s="14">
        <f>IF(D782&gt;0,E782/D782,"")</f>
        <v/>
      </c>
    </row>
    <row r="783">
      <c r="A783" s="15" t="inlineStr">
        <is>
          <t>CC de l'Est Lyonnais (CCEL)</t>
        </is>
      </c>
      <c r="B783" s="15" t="inlineStr">
        <is>
          <t>Rhône</t>
        </is>
      </c>
      <c r="C783" s="15" t="inlineStr">
        <is>
          <t>69</t>
        </is>
      </c>
      <c r="D783" s="16" t="n">
        <v>42457</v>
      </c>
      <c r="E783" s="17">
        <f>MIN($B$4+$B$5*D783,$B$6)</f>
        <v/>
      </c>
      <c r="F783" s="17">
        <f>$B$7</f>
        <v/>
      </c>
      <c r="G783" s="17">
        <f>E783+F783</f>
        <v/>
      </c>
      <c r="H783" s="17">
        <f>3*E783+F783</f>
        <v/>
      </c>
      <c r="I783" s="15">
        <f>IF(H783&gt;$B$8,"Oui","Non")</f>
        <v/>
      </c>
      <c r="J783" s="18">
        <f>IF(D783&gt;0,E783/D783,"")</f>
        <v/>
      </c>
    </row>
    <row r="784">
      <c r="A784" t="inlineStr">
        <is>
          <t>CC de la Vallée du Garon (CCVG)</t>
        </is>
      </c>
      <c r="B784" t="inlineStr">
        <is>
          <t>Rhône</t>
        </is>
      </c>
      <c r="C784" t="inlineStr">
        <is>
          <t>69</t>
        </is>
      </c>
      <c r="D784" s="3" t="n">
        <v>32435</v>
      </c>
      <c r="E784" s="13">
        <f>MIN($B$4+$B$5*D784,$B$6)</f>
        <v/>
      </c>
      <c r="F784" s="13">
        <f>$B$7</f>
        <v/>
      </c>
      <c r="G784" s="13">
        <f>E784+F784</f>
        <v/>
      </c>
      <c r="H784" s="13">
        <f>3*E784+F784</f>
        <v/>
      </c>
      <c r="I784">
        <f>IF(H784&gt;$B$8,"Oui","Non")</f>
        <v/>
      </c>
      <c r="J784" s="14">
        <f>IF(D784&gt;0,E784/D784,"")</f>
        <v/>
      </c>
    </row>
    <row r="785">
      <c r="A785" s="15" t="inlineStr">
        <is>
          <t>CC des Vallons du Lyonnais (CCVL)</t>
        </is>
      </c>
      <c r="B785" s="15" t="inlineStr">
        <is>
          <t>Rhône</t>
        </is>
      </c>
      <c r="C785" s="15" t="inlineStr">
        <is>
          <t>69</t>
        </is>
      </c>
      <c r="D785" s="16" t="n">
        <v>32088</v>
      </c>
      <c r="E785" s="17">
        <f>MIN($B$4+$B$5*D785,$B$6)</f>
        <v/>
      </c>
      <c r="F785" s="17">
        <f>$B$7</f>
        <v/>
      </c>
      <c r="G785" s="17">
        <f>E785+F785</f>
        <v/>
      </c>
      <c r="H785" s="17">
        <f>3*E785+F785</f>
        <v/>
      </c>
      <c r="I785" s="15">
        <f>IF(H785&gt;$B$8,"Oui","Non")</f>
        <v/>
      </c>
      <c r="J785" s="18">
        <f>IF(D785&gt;0,E785/D785,"")</f>
        <v/>
      </c>
    </row>
    <row r="786">
      <c r="A786" t="inlineStr">
        <is>
          <t>CC du Pays Mornantais (COPAMO)</t>
        </is>
      </c>
      <c r="B786" t="inlineStr">
        <is>
          <t>Rhône</t>
        </is>
      </c>
      <c r="C786" t="inlineStr">
        <is>
          <t>69</t>
        </is>
      </c>
      <c r="D786" s="3" t="n">
        <v>29758</v>
      </c>
      <c r="E786" s="13">
        <f>MIN($B$4+$B$5*D786,$B$6)</f>
        <v/>
      </c>
      <c r="F786" s="13">
        <f>$B$7</f>
        <v/>
      </c>
      <c r="G786" s="13">
        <f>E786+F786</f>
        <v/>
      </c>
      <c r="H786" s="13">
        <f>3*E786+F786</f>
        <v/>
      </c>
      <c r="I786">
        <f>IF(H786&gt;$B$8,"Oui","Non")</f>
        <v/>
      </c>
      <c r="J786" s="14">
        <f>IF(D786&gt;0,E786/D786,"")</f>
        <v/>
      </c>
    </row>
    <row r="787">
      <c r="A787" s="15" t="inlineStr">
        <is>
          <t>CC du Pays de l'Arbresle (CCPA)</t>
        </is>
      </c>
      <c r="B787" s="15" t="inlineStr">
        <is>
          <t>Rhône</t>
        </is>
      </c>
      <c r="C787" s="15" t="inlineStr">
        <is>
          <t>69</t>
        </is>
      </c>
      <c r="D787" s="16" t="n">
        <v>38945</v>
      </c>
      <c r="E787" s="17">
        <f>MIN($B$4+$B$5*D787,$B$6)</f>
        <v/>
      </c>
      <c r="F787" s="17">
        <f>$B$7</f>
        <v/>
      </c>
      <c r="G787" s="17">
        <f>E787+F787</f>
        <v/>
      </c>
      <c r="H787" s="17">
        <f>3*E787+F787</f>
        <v/>
      </c>
      <c r="I787" s="15">
        <f>IF(H787&gt;$B$8,"Oui","Non")</f>
        <v/>
      </c>
      <c r="J787" s="18">
        <f>IF(D787&gt;0,E787/D787,"")</f>
        <v/>
      </c>
    </row>
    <row r="788">
      <c r="A788" t="inlineStr">
        <is>
          <t>CC du Pays de l'Ozon</t>
        </is>
      </c>
      <c r="B788" t="inlineStr">
        <is>
          <t>Rhône</t>
        </is>
      </c>
      <c r="C788" t="inlineStr">
        <is>
          <t>69</t>
        </is>
      </c>
      <c r="D788" s="3" t="n">
        <v>27623</v>
      </c>
      <c r="E788" s="13">
        <f>MIN($B$4+$B$5*D788,$B$6)</f>
        <v/>
      </c>
      <c r="F788" s="13">
        <f>$B$7</f>
        <v/>
      </c>
      <c r="G788" s="13">
        <f>E788+F788</f>
        <v/>
      </c>
      <c r="H788" s="13">
        <f>3*E788+F788</f>
        <v/>
      </c>
      <c r="I788">
        <f>IF(H788&gt;$B$8,"Oui","Non")</f>
        <v/>
      </c>
      <c r="J788" s="14">
        <f>IF(D788&gt;0,E788/D788,"")</f>
        <v/>
      </c>
    </row>
    <row r="789">
      <c r="A789" s="15" t="inlineStr">
        <is>
          <t>CC Rahin et Chérimont</t>
        </is>
      </c>
      <c r="B789" s="15" t="inlineStr">
        <is>
          <t>Haute-Saône</t>
        </is>
      </c>
      <c r="C789" s="15" t="inlineStr">
        <is>
          <t>70</t>
        </is>
      </c>
      <c r="D789" s="16" t="n">
        <v>11627</v>
      </c>
      <c r="E789" s="17">
        <f>MIN($B$4+$B$5*D789,$B$6)</f>
        <v/>
      </c>
      <c r="F789" s="17">
        <f>$B$7</f>
        <v/>
      </c>
      <c r="G789" s="17">
        <f>E789+F789</f>
        <v/>
      </c>
      <c r="H789" s="17">
        <f>3*E789+F789</f>
        <v/>
      </c>
      <c r="I789" s="15">
        <f>IF(H789&gt;$B$8,"Oui","Non")</f>
        <v/>
      </c>
      <c r="J789" s="18">
        <f>IF(D789&gt;0,E789/D789,"")</f>
        <v/>
      </c>
    </row>
    <row r="790">
      <c r="A790" t="inlineStr">
        <is>
          <t>CC Terres de Saône</t>
        </is>
      </c>
      <c r="B790" t="inlineStr">
        <is>
          <t>Haute-Saône</t>
        </is>
      </c>
      <c r="C790" t="inlineStr">
        <is>
          <t>70</t>
        </is>
      </c>
      <c r="D790" s="3" t="n">
        <v>13103</v>
      </c>
      <c r="E790" s="13">
        <f>MIN($B$4+$B$5*D790,$B$6)</f>
        <v/>
      </c>
      <c r="F790" s="13">
        <f>$B$7</f>
        <v/>
      </c>
      <c r="G790" s="13">
        <f>E790+F790</f>
        <v/>
      </c>
      <c r="H790" s="13">
        <f>3*E790+F790</f>
        <v/>
      </c>
      <c r="I790">
        <f>IF(H790&gt;$B$8,"Oui","Non")</f>
        <v/>
      </c>
      <c r="J790" s="14">
        <f>IF(D790&gt;0,E790/D790,"")</f>
        <v/>
      </c>
    </row>
    <row r="791">
      <c r="A791" s="15" t="inlineStr">
        <is>
          <t>CC Val de Gray</t>
        </is>
      </c>
      <c r="B791" s="15" t="inlineStr">
        <is>
          <t>Haute-Saône</t>
        </is>
      </c>
      <c r="C791" s="15" t="inlineStr">
        <is>
          <t>70</t>
        </is>
      </c>
      <c r="D791" s="16" t="n">
        <v>20109</v>
      </c>
      <c r="E791" s="17">
        <f>MIN($B$4+$B$5*D791,$B$6)</f>
        <v/>
      </c>
      <c r="F791" s="17">
        <f>$B$7</f>
        <v/>
      </c>
      <c r="G791" s="17">
        <f>E791+F791</f>
        <v/>
      </c>
      <c r="H791" s="17">
        <f>3*E791+F791</f>
        <v/>
      </c>
      <c r="I791" s="15">
        <f>IF(H791&gt;$B$8,"Oui","Non")</f>
        <v/>
      </c>
      <c r="J791" s="18">
        <f>IF(D791&gt;0,E791/D791,"")</f>
        <v/>
      </c>
    </row>
    <row r="792">
      <c r="A792" t="inlineStr">
        <is>
          <t>CC de la Haute Comté</t>
        </is>
      </c>
      <c r="B792" t="inlineStr">
        <is>
          <t>Haute-Saône</t>
        </is>
      </c>
      <c r="C792" t="inlineStr">
        <is>
          <t>70</t>
        </is>
      </c>
      <c r="D792" s="3" t="n">
        <v>16798</v>
      </c>
      <c r="E792" s="13">
        <f>MIN($B$4+$B$5*D792,$B$6)</f>
        <v/>
      </c>
      <c r="F792" s="13">
        <f>$B$7</f>
        <v/>
      </c>
      <c r="G792" s="13">
        <f>E792+F792</f>
        <v/>
      </c>
      <c r="H792" s="13">
        <f>3*E792+F792</f>
        <v/>
      </c>
      <c r="I792">
        <f>IF(H792&gt;$B$8,"Oui","Non")</f>
        <v/>
      </c>
      <c r="J792" s="14">
        <f>IF(D792&gt;0,E792/D792,"")</f>
        <v/>
      </c>
    </row>
    <row r="793">
      <c r="A793" s="15" t="inlineStr">
        <is>
          <t>CC des 1000 étangs</t>
        </is>
      </c>
      <c r="B793" s="15" t="inlineStr">
        <is>
          <t>Haute-Saône</t>
        </is>
      </c>
      <c r="C793" s="15" t="inlineStr">
        <is>
          <t>70</t>
        </is>
      </c>
      <c r="D793" s="16" t="n">
        <v>8471</v>
      </c>
      <c r="E793" s="17">
        <f>MIN($B$4+$B$5*D793,$B$6)</f>
        <v/>
      </c>
      <c r="F793" s="17">
        <f>$B$7</f>
        <v/>
      </c>
      <c r="G793" s="17">
        <f>E793+F793</f>
        <v/>
      </c>
      <c r="H793" s="17">
        <f>3*E793+F793</f>
        <v/>
      </c>
      <c r="I793" s="15">
        <f>IF(H793&gt;$B$8,"Oui","Non")</f>
        <v/>
      </c>
      <c r="J793" s="18">
        <f>IF(D793&gt;0,E793/D793,"")</f>
        <v/>
      </c>
    </row>
    <row r="794">
      <c r="A794" t="inlineStr">
        <is>
          <t>CC des Combes</t>
        </is>
      </c>
      <c r="B794" t="inlineStr">
        <is>
          <t>Haute-Saône</t>
        </is>
      </c>
      <c r="C794" t="inlineStr">
        <is>
          <t>70</t>
        </is>
      </c>
      <c r="D794" s="3" t="n">
        <v>7541</v>
      </c>
      <c r="E794" s="13">
        <f>MIN($B$4+$B$5*D794,$B$6)</f>
        <v/>
      </c>
      <c r="F794" s="13">
        <f>$B$7</f>
        <v/>
      </c>
      <c r="G794" s="13">
        <f>E794+F794</f>
        <v/>
      </c>
      <c r="H794" s="13">
        <f>3*E794+F794</f>
        <v/>
      </c>
      <c r="I794">
        <f>IF(H794&gt;$B$8,"Oui","Non")</f>
        <v/>
      </c>
      <c r="J794" s="14">
        <f>IF(D794&gt;0,E794/D794,"")</f>
        <v/>
      </c>
    </row>
    <row r="795">
      <c r="A795" s="15" t="inlineStr">
        <is>
          <t>CC des Hauts du Val de Saône</t>
        </is>
      </c>
      <c r="B795" s="15" t="inlineStr">
        <is>
          <t>Haute-Saône</t>
        </is>
      </c>
      <c r="C795" s="15" t="inlineStr">
        <is>
          <t>70</t>
        </is>
      </c>
      <c r="D795" s="16" t="n">
        <v>8373</v>
      </c>
      <c r="E795" s="17">
        <f>MIN($B$4+$B$5*D795,$B$6)</f>
        <v/>
      </c>
      <c r="F795" s="17">
        <f>$B$7</f>
        <v/>
      </c>
      <c r="G795" s="17">
        <f>E795+F795</f>
        <v/>
      </c>
      <c r="H795" s="17">
        <f>3*E795+F795</f>
        <v/>
      </c>
      <c r="I795" s="15">
        <f>IF(H795&gt;$B$8,"Oui","Non")</f>
        <v/>
      </c>
      <c r="J795" s="18">
        <f>IF(D795&gt;0,E795/D795,"")</f>
        <v/>
      </c>
    </row>
    <row r="796">
      <c r="A796" t="inlineStr">
        <is>
          <t>CC des Monts de Gy</t>
        </is>
      </c>
      <c r="B796" t="inlineStr">
        <is>
          <t>Haute-Saône</t>
        </is>
      </c>
      <c r="C796" t="inlineStr">
        <is>
          <t>70</t>
        </is>
      </c>
      <c r="D796" s="3" t="n">
        <v>6143</v>
      </c>
      <c r="E796" s="13">
        <f>MIN($B$4+$B$5*D796,$B$6)</f>
        <v/>
      </c>
      <c r="F796" s="13">
        <f>$B$7</f>
        <v/>
      </c>
      <c r="G796" s="13">
        <f>E796+F796</f>
        <v/>
      </c>
      <c r="H796" s="13">
        <f>3*E796+F796</f>
        <v/>
      </c>
      <c r="I796">
        <f>IF(H796&gt;$B$8,"Oui","Non")</f>
        <v/>
      </c>
      <c r="J796" s="14">
        <f>IF(D796&gt;0,E796/D796,"")</f>
        <v/>
      </c>
    </row>
    <row r="797">
      <c r="A797" s="15" t="inlineStr">
        <is>
          <t>CC des Quatre Rivières</t>
        </is>
      </c>
      <c r="B797" s="15" t="inlineStr">
        <is>
          <t>Haute-Saône</t>
        </is>
      </c>
      <c r="C797" s="15" t="inlineStr">
        <is>
          <t>70</t>
        </is>
      </c>
      <c r="D797" s="16" t="n">
        <v>9437</v>
      </c>
      <c r="E797" s="17">
        <f>MIN($B$4+$B$5*D797,$B$6)</f>
        <v/>
      </c>
      <c r="F797" s="17">
        <f>$B$7</f>
        <v/>
      </c>
      <c r="G797" s="17">
        <f>E797+F797</f>
        <v/>
      </c>
      <c r="H797" s="17">
        <f>3*E797+F797</f>
        <v/>
      </c>
      <c r="I797" s="15">
        <f>IF(H797&gt;$B$8,"Oui","Non")</f>
        <v/>
      </c>
      <c r="J797" s="18">
        <f>IF(D797&gt;0,E797/D797,"")</f>
        <v/>
      </c>
    </row>
    <row r="798">
      <c r="A798" t="inlineStr">
        <is>
          <t>CC du Pays Riolais</t>
        </is>
      </c>
      <c r="B798" t="inlineStr">
        <is>
          <t>Haute-Saône</t>
        </is>
      </c>
      <c r="C798" t="inlineStr">
        <is>
          <t>70</t>
        </is>
      </c>
      <c r="D798" s="3" t="n">
        <v>13266</v>
      </c>
      <c r="E798" s="13">
        <f>MIN($B$4+$B$5*D798,$B$6)</f>
        <v/>
      </c>
      <c r="F798" s="13">
        <f>$B$7</f>
        <v/>
      </c>
      <c r="G798" s="13">
        <f>E798+F798</f>
        <v/>
      </c>
      <c r="H798" s="13">
        <f>3*E798+F798</f>
        <v/>
      </c>
      <c r="I798">
        <f>IF(H798&gt;$B$8,"Oui","Non")</f>
        <v/>
      </c>
      <c r="J798" s="14">
        <f>IF(D798&gt;0,E798/D798,"")</f>
        <v/>
      </c>
    </row>
    <row r="799">
      <c r="A799" s="15" t="inlineStr">
        <is>
          <t>CC du Pays de Lure</t>
        </is>
      </c>
      <c r="B799" s="15" t="inlineStr">
        <is>
          <t>Haute-Saône</t>
        </is>
      </c>
      <c r="C799" s="15" t="inlineStr">
        <is>
          <t>70</t>
        </is>
      </c>
      <c r="D799" s="16" t="n">
        <v>19128</v>
      </c>
      <c r="E799" s="17">
        <f>MIN($B$4+$B$5*D799,$B$6)</f>
        <v/>
      </c>
      <c r="F799" s="17">
        <f>$B$7</f>
        <v/>
      </c>
      <c r="G799" s="17">
        <f>E799+F799</f>
        <v/>
      </c>
      <c r="H799" s="17">
        <f>3*E799+F799</f>
        <v/>
      </c>
      <c r="I799" s="15">
        <f>IF(H799&gt;$B$8,"Oui","Non")</f>
        <v/>
      </c>
      <c r="J799" s="18">
        <f>IF(D799&gt;0,E799/D799,"")</f>
        <v/>
      </c>
    </row>
    <row r="800">
      <c r="A800" t="inlineStr">
        <is>
          <t>CC du Pays de Luxeuil</t>
        </is>
      </c>
      <c r="B800" t="inlineStr">
        <is>
          <t>Haute-Saône</t>
        </is>
      </c>
      <c r="C800" t="inlineStr">
        <is>
          <t>70</t>
        </is>
      </c>
      <c r="D800" s="3" t="n">
        <v>14856</v>
      </c>
      <c r="E800" s="13">
        <f>MIN($B$4+$B$5*D800,$B$6)</f>
        <v/>
      </c>
      <c r="F800" s="13">
        <f>$B$7</f>
        <v/>
      </c>
      <c r="G800" s="13">
        <f>E800+F800</f>
        <v/>
      </c>
      <c r="H800" s="13">
        <f>3*E800+F800</f>
        <v/>
      </c>
      <c r="I800">
        <f>IF(H800&gt;$B$8,"Oui","Non")</f>
        <v/>
      </c>
      <c r="J800" s="14">
        <f>IF(D800&gt;0,E800/D800,"")</f>
        <v/>
      </c>
    </row>
    <row r="801">
      <c r="A801" s="15" t="inlineStr">
        <is>
          <t>CC du Pays de Montbozon et du Chanois</t>
        </is>
      </c>
      <c r="B801" s="15" t="inlineStr">
        <is>
          <t>Haute-Saône</t>
        </is>
      </c>
      <c r="C801" s="15" t="inlineStr">
        <is>
          <t>70</t>
        </is>
      </c>
      <c r="D801" s="16" t="n">
        <v>6661</v>
      </c>
      <c r="E801" s="17">
        <f>MIN($B$4+$B$5*D801,$B$6)</f>
        <v/>
      </c>
      <c r="F801" s="17">
        <f>$B$7</f>
        <v/>
      </c>
      <c r="G801" s="17">
        <f>E801+F801</f>
        <v/>
      </c>
      <c r="H801" s="17">
        <f>3*E801+F801</f>
        <v/>
      </c>
      <c r="I801" s="15">
        <f>IF(H801&gt;$B$8,"Oui","Non")</f>
        <v/>
      </c>
      <c r="J801" s="18">
        <f>IF(D801&gt;0,E801/D801,"")</f>
        <v/>
      </c>
    </row>
    <row r="802">
      <c r="A802" t="inlineStr">
        <is>
          <t>CC du Triangle Vert</t>
        </is>
      </c>
      <c r="B802" t="inlineStr">
        <is>
          <t>Haute-Saône</t>
        </is>
      </c>
      <c r="C802" t="inlineStr">
        <is>
          <t>70</t>
        </is>
      </c>
      <c r="D802" s="3" t="n">
        <v>10976</v>
      </c>
      <c r="E802" s="13">
        <f>MIN($B$4+$B$5*D802,$B$6)</f>
        <v/>
      </c>
      <c r="F802" s="13">
        <f>$B$7</f>
        <v/>
      </c>
      <c r="G802" s="13">
        <f>E802+F802</f>
        <v/>
      </c>
      <c r="H802" s="13">
        <f>3*E802+F802</f>
        <v/>
      </c>
      <c r="I802">
        <f>IF(H802&gt;$B$8,"Oui","Non")</f>
        <v/>
      </c>
      <c r="J802" s="14">
        <f>IF(D802&gt;0,E802/D802,"")</f>
        <v/>
      </c>
    </row>
    <row r="803">
      <c r="A803" s="15" t="inlineStr">
        <is>
          <t>CC Bresse Louhannaise Intercom'</t>
        </is>
      </c>
      <c r="B803" s="15" t="inlineStr">
        <is>
          <t>Saône-et-Loire</t>
        </is>
      </c>
      <c r="C803" s="15" t="inlineStr">
        <is>
          <t>71</t>
        </is>
      </c>
      <c r="D803" s="16" t="n">
        <v>28331</v>
      </c>
      <c r="E803" s="17">
        <f>MIN($B$4+$B$5*D803,$B$6)</f>
        <v/>
      </c>
      <c r="F803" s="17">
        <f>$B$7</f>
        <v/>
      </c>
      <c r="G803" s="17">
        <f>E803+F803</f>
        <v/>
      </c>
      <c r="H803" s="17">
        <f>3*E803+F803</f>
        <v/>
      </c>
      <c r="I803" s="15">
        <f>IF(H803&gt;$B$8,"Oui","Non")</f>
        <v/>
      </c>
      <c r="J803" s="18">
        <f>IF(D803&gt;0,E803/D803,"")</f>
        <v/>
      </c>
    </row>
    <row r="804">
      <c r="A804" t="inlineStr">
        <is>
          <t>CC Bresse Nord Intercom'</t>
        </is>
      </c>
      <c r="B804" t="inlineStr">
        <is>
          <t>Saône-et-Loire</t>
        </is>
      </c>
      <c r="C804" t="inlineStr">
        <is>
          <t>71</t>
        </is>
      </c>
      <c r="D804" s="3" t="n">
        <v>6544</v>
      </c>
      <c r="E804" s="13">
        <f>MIN($B$4+$B$5*D804,$B$6)</f>
        <v/>
      </c>
      <c r="F804" s="13">
        <f>$B$7</f>
        <v/>
      </c>
      <c r="G804" s="13">
        <f>E804+F804</f>
        <v/>
      </c>
      <c r="H804" s="13">
        <f>3*E804+F804</f>
        <v/>
      </c>
      <c r="I804">
        <f>IF(H804&gt;$B$8,"Oui","Non")</f>
        <v/>
      </c>
      <c r="J804" s="14">
        <f>IF(D804&gt;0,E804/D804,"")</f>
        <v/>
      </c>
    </row>
    <row r="805">
      <c r="A805" s="15" t="inlineStr">
        <is>
          <t>CC Bresse Revermont 71</t>
        </is>
      </c>
      <c r="B805" s="15" t="inlineStr">
        <is>
          <t>Saône-et-Loire</t>
        </is>
      </c>
      <c r="C805" s="15" t="inlineStr">
        <is>
          <t>71</t>
        </is>
      </c>
      <c r="D805" s="16" t="n">
        <v>10001</v>
      </c>
      <c r="E805" s="17">
        <f>MIN($B$4+$B$5*D805,$B$6)</f>
        <v/>
      </c>
      <c r="F805" s="17">
        <f>$B$7</f>
        <v/>
      </c>
      <c r="G805" s="17">
        <f>E805+F805</f>
        <v/>
      </c>
      <c r="H805" s="17">
        <f>3*E805+F805</f>
        <v/>
      </c>
      <c r="I805" s="15">
        <f>IF(H805&gt;$B$8,"Oui","Non")</f>
        <v/>
      </c>
      <c r="J805" s="18">
        <f>IF(D805&gt;0,E805/D805,"")</f>
        <v/>
      </c>
    </row>
    <row r="806">
      <c r="A806" t="inlineStr">
        <is>
          <t>CC Brionnais Sud Bourgogne</t>
        </is>
      </c>
      <c r="B806" t="inlineStr">
        <is>
          <t>Saône-et-Loire</t>
        </is>
      </c>
      <c r="C806" t="inlineStr">
        <is>
          <t>71</t>
        </is>
      </c>
      <c r="D806" s="3" t="n">
        <v>14950</v>
      </c>
      <c r="E806" s="13">
        <f>MIN($B$4+$B$5*D806,$B$6)</f>
        <v/>
      </c>
      <c r="F806" s="13">
        <f>$B$7</f>
        <v/>
      </c>
      <c r="G806" s="13">
        <f>E806+F806</f>
        <v/>
      </c>
      <c r="H806" s="13">
        <f>3*E806+F806</f>
        <v/>
      </c>
      <c r="I806">
        <f>IF(H806&gt;$B$8,"Oui","Non")</f>
        <v/>
      </c>
      <c r="J806" s="14">
        <f>IF(D806&gt;0,E806/D806,"")</f>
        <v/>
      </c>
    </row>
    <row r="807">
      <c r="A807" s="15" t="inlineStr">
        <is>
          <t>CC Entre Arroux, Loire et Somme</t>
        </is>
      </c>
      <c r="B807" s="15" t="inlineStr">
        <is>
          <t>Saône-et-Loire</t>
        </is>
      </c>
      <c r="C807" s="15" t="inlineStr">
        <is>
          <t>71</t>
        </is>
      </c>
      <c r="D807" s="16" t="n">
        <v>21615</v>
      </c>
      <c r="E807" s="17">
        <f>MIN($B$4+$B$5*D807,$B$6)</f>
        <v/>
      </c>
      <c r="F807" s="17">
        <f>$B$7</f>
        <v/>
      </c>
      <c r="G807" s="17">
        <f>E807+F807</f>
        <v/>
      </c>
      <c r="H807" s="17">
        <f>3*E807+F807</f>
        <v/>
      </c>
      <c r="I807" s="15">
        <f>IF(H807&gt;$B$8,"Oui","Non")</f>
        <v/>
      </c>
      <c r="J807" s="18">
        <f>IF(D807&gt;0,E807/D807,"")</f>
        <v/>
      </c>
    </row>
    <row r="808">
      <c r="A808" t="inlineStr">
        <is>
          <t>CC Entre Saône et Grosne</t>
        </is>
      </c>
      <c r="B808" t="inlineStr">
        <is>
          <t>Saône-et-Loire</t>
        </is>
      </c>
      <c r="C808" t="inlineStr">
        <is>
          <t>71</t>
        </is>
      </c>
      <c r="D808" s="3" t="n">
        <v>11101</v>
      </c>
      <c r="E808" s="13">
        <f>MIN($B$4+$B$5*D808,$B$6)</f>
        <v/>
      </c>
      <c r="F808" s="13">
        <f>$B$7</f>
        <v/>
      </c>
      <c r="G808" s="13">
        <f>E808+F808</f>
        <v/>
      </c>
      <c r="H808" s="13">
        <f>3*E808+F808</f>
        <v/>
      </c>
      <c r="I808">
        <f>IF(H808&gt;$B$8,"Oui","Non")</f>
        <v/>
      </c>
      <c r="J808" s="14">
        <f>IF(D808&gt;0,E808/D808,"")</f>
        <v/>
      </c>
    </row>
    <row r="809">
      <c r="A809" s="15" t="inlineStr">
        <is>
          <t>CC Mâconnais - Tournugeois</t>
        </is>
      </c>
      <c r="B809" s="15" t="inlineStr">
        <is>
          <t>Saône-et-Loire</t>
        </is>
      </c>
      <c r="C809" s="15" t="inlineStr">
        <is>
          <t>71</t>
        </is>
      </c>
      <c r="D809" s="16" t="n">
        <v>15906</v>
      </c>
      <c r="E809" s="17">
        <f>MIN($B$4+$B$5*D809,$B$6)</f>
        <v/>
      </c>
      <c r="F809" s="17">
        <f>$B$7</f>
        <v/>
      </c>
      <c r="G809" s="17">
        <f>E809+F809</f>
        <v/>
      </c>
      <c r="H809" s="17">
        <f>3*E809+F809</f>
        <v/>
      </c>
      <c r="I809" s="15">
        <f>IF(H809&gt;$B$8,"Oui","Non")</f>
        <v/>
      </c>
      <c r="J809" s="18">
        <f>IF(D809&gt;0,E809/D809,"")</f>
        <v/>
      </c>
    </row>
    <row r="810">
      <c r="A810" t="inlineStr">
        <is>
          <t>CC Saint Cyr Mère Boitier entre Charolais et Mâconnais</t>
        </is>
      </c>
      <c r="B810" t="inlineStr">
        <is>
          <t>Saône-et-Loire</t>
        </is>
      </c>
      <c r="C810" t="inlineStr">
        <is>
          <t>71</t>
        </is>
      </c>
      <c r="D810" s="3" t="n">
        <v>8058</v>
      </c>
      <c r="E810" s="13">
        <f>MIN($B$4+$B$5*D810,$B$6)</f>
        <v/>
      </c>
      <c r="F810" s="13">
        <f>$B$7</f>
        <v/>
      </c>
      <c r="G810" s="13">
        <f>E810+F810</f>
        <v/>
      </c>
      <c r="H810" s="13">
        <f>3*E810+F810</f>
        <v/>
      </c>
      <c r="I810">
        <f>IF(H810&gt;$B$8,"Oui","Non")</f>
        <v/>
      </c>
      <c r="J810" s="14">
        <f>IF(D810&gt;0,E810/D810,"")</f>
        <v/>
      </c>
    </row>
    <row r="811">
      <c r="A811" s="15" t="inlineStr">
        <is>
          <t>CC Saône Doubs Bresse</t>
        </is>
      </c>
      <c r="B811" s="15" t="inlineStr">
        <is>
          <t>Saône-et-Loire</t>
        </is>
      </c>
      <c r="C811" s="15" t="inlineStr">
        <is>
          <t>71</t>
        </is>
      </c>
      <c r="D811" s="16" t="n">
        <v>12073</v>
      </c>
      <c r="E811" s="17">
        <f>MIN($B$4+$B$5*D811,$B$6)</f>
        <v/>
      </c>
      <c r="F811" s="17">
        <f>$B$7</f>
        <v/>
      </c>
      <c r="G811" s="17">
        <f>E811+F811</f>
        <v/>
      </c>
      <c r="H811" s="17">
        <f>3*E811+F811</f>
        <v/>
      </c>
      <c r="I811" s="15">
        <f>IF(H811&gt;$B$8,"Oui","Non")</f>
        <v/>
      </c>
      <c r="J811" s="18">
        <f>IF(D811&gt;0,E811/D811,"")</f>
        <v/>
      </c>
    </row>
    <row r="812">
      <c r="A812" t="inlineStr">
        <is>
          <t>CC Sud Côte Chalonnaise</t>
        </is>
      </c>
      <c r="B812" t="inlineStr">
        <is>
          <t>Saône-et-Loire</t>
        </is>
      </c>
      <c r="C812" t="inlineStr">
        <is>
          <t>71</t>
        </is>
      </c>
      <c r="D812" s="3" t="n">
        <v>11540</v>
      </c>
      <c r="E812" s="13">
        <f>MIN($B$4+$B$5*D812,$B$6)</f>
        <v/>
      </c>
      <c r="F812" s="13">
        <f>$B$7</f>
        <v/>
      </c>
      <c r="G812" s="13">
        <f>E812+F812</f>
        <v/>
      </c>
      <c r="H812" s="13">
        <f>3*E812+F812</f>
        <v/>
      </c>
      <c r="I812">
        <f>IF(H812&gt;$B$8,"Oui","Non")</f>
        <v/>
      </c>
      <c r="J812" s="14">
        <f>IF(D812&gt;0,E812/D812,"")</f>
        <v/>
      </c>
    </row>
    <row r="813">
      <c r="A813" s="15" t="inlineStr">
        <is>
          <t>CC Terres de Bresse</t>
        </is>
      </c>
      <c r="B813" s="15" t="inlineStr">
        <is>
          <t>Saône-et-Loire</t>
        </is>
      </c>
      <c r="C813" s="15" t="inlineStr">
        <is>
          <t>71</t>
        </is>
      </c>
      <c r="D813" s="16" t="n">
        <v>22711</v>
      </c>
      <c r="E813" s="17">
        <f>MIN($B$4+$B$5*D813,$B$6)</f>
        <v/>
      </c>
      <c r="F813" s="17">
        <f>$B$7</f>
        <v/>
      </c>
      <c r="G813" s="17">
        <f>E813+F813</f>
        <v/>
      </c>
      <c r="H813" s="17">
        <f>3*E813+F813</f>
        <v/>
      </c>
      <c r="I813" s="15">
        <f>IF(H813&gt;$B$8,"Oui","Non")</f>
        <v/>
      </c>
      <c r="J813" s="18">
        <f>IF(D813&gt;0,E813/D813,"")</f>
        <v/>
      </c>
    </row>
    <row r="814">
      <c r="A814" t="inlineStr">
        <is>
          <t>CC de Marcigny</t>
        </is>
      </c>
      <c r="B814" t="inlineStr">
        <is>
          <t>Saône-et-Loire</t>
        </is>
      </c>
      <c r="C814" t="inlineStr">
        <is>
          <t>71</t>
        </is>
      </c>
      <c r="D814" s="3" t="n">
        <v>5999</v>
      </c>
      <c r="E814" s="13">
        <f>MIN($B$4+$B$5*D814,$B$6)</f>
        <v/>
      </c>
      <c r="F814" s="13">
        <f>$B$7</f>
        <v/>
      </c>
      <c r="G814" s="13">
        <f>E814+F814</f>
        <v/>
      </c>
      <c r="H814" s="13">
        <f>3*E814+F814</f>
        <v/>
      </c>
      <c r="I814">
        <f>IF(H814&gt;$B$8,"Oui","Non")</f>
        <v/>
      </c>
      <c r="J814" s="14">
        <f>IF(D814&gt;0,E814/D814,"")</f>
        <v/>
      </c>
    </row>
    <row r="815">
      <c r="A815" s="15" t="inlineStr">
        <is>
          <t>CC de Semur en Brionnais</t>
        </is>
      </c>
      <c r="B815" s="15" t="inlineStr">
        <is>
          <t>Saône-et-Loire</t>
        </is>
      </c>
      <c r="C815" s="15" t="inlineStr">
        <is>
          <t>71</t>
        </is>
      </c>
      <c r="D815" s="16" t="n">
        <v>5206</v>
      </c>
      <c r="E815" s="17">
        <f>MIN($B$4+$B$5*D815,$B$6)</f>
        <v/>
      </c>
      <c r="F815" s="17">
        <f>$B$7</f>
        <v/>
      </c>
      <c r="G815" s="17">
        <f>E815+F815</f>
        <v/>
      </c>
      <c r="H815" s="17">
        <f>3*E815+F815</f>
        <v/>
      </c>
      <c r="I815" s="15">
        <f>IF(H815&gt;$B$8,"Oui","Non")</f>
        <v/>
      </c>
      <c r="J815" s="18">
        <f>IF(D815&gt;0,E815/D815,"")</f>
        <v/>
      </c>
    </row>
    <row r="816">
      <c r="A816" t="inlineStr">
        <is>
          <t>CC du Clunisois</t>
        </is>
      </c>
      <c r="B816" t="inlineStr">
        <is>
          <t>Saône-et-Loire</t>
        </is>
      </c>
      <c r="C816" t="inlineStr">
        <is>
          <t>71</t>
        </is>
      </c>
      <c r="D816" s="3" t="n">
        <v>14020</v>
      </c>
      <c r="E816" s="13">
        <f>MIN($B$4+$B$5*D816,$B$6)</f>
        <v/>
      </c>
      <c r="F816" s="13">
        <f>$B$7</f>
        <v/>
      </c>
      <c r="G816" s="13">
        <f>E816+F816</f>
        <v/>
      </c>
      <c r="H816" s="13">
        <f>3*E816+F816</f>
        <v/>
      </c>
      <c r="I816">
        <f>IF(H816&gt;$B$8,"Oui","Non")</f>
        <v/>
      </c>
      <c r="J816" s="14">
        <f>IF(D816&gt;0,E816/D816,"")</f>
        <v/>
      </c>
    </row>
    <row r="817">
      <c r="A817" s="15" t="inlineStr">
        <is>
          <t>CC du Grand Autunois Morvan</t>
        </is>
      </c>
      <c r="B817" s="15" t="inlineStr">
        <is>
          <t>Saône-et-Loire</t>
        </is>
      </c>
      <c r="C817" s="15" t="inlineStr">
        <is>
          <t>71</t>
        </is>
      </c>
      <c r="D817" s="16" t="n">
        <v>35106</v>
      </c>
      <c r="E817" s="17">
        <f>MIN($B$4+$B$5*D817,$B$6)</f>
        <v/>
      </c>
      <c r="F817" s="17">
        <f>$B$7</f>
        <v/>
      </c>
      <c r="G817" s="17">
        <f>E817+F817</f>
        <v/>
      </c>
      <c r="H817" s="17">
        <f>3*E817+F817</f>
        <v/>
      </c>
      <c r="I817" s="15">
        <f>IF(H817&gt;$B$8,"Oui","Non")</f>
        <v/>
      </c>
      <c r="J817" s="18">
        <f>IF(D817&gt;0,E817/D817,"")</f>
        <v/>
      </c>
    </row>
    <row r="818">
      <c r="A818" t="inlineStr">
        <is>
          <t>CC Haute Sarthe Alpes Mancelles</t>
        </is>
      </c>
      <c r="B818" t="inlineStr">
        <is>
          <t>Sarthe</t>
        </is>
      </c>
      <c r="C818" t="inlineStr">
        <is>
          <t>72</t>
        </is>
      </c>
      <c r="D818" s="3" t="n">
        <v>22528</v>
      </c>
      <c r="E818" s="13">
        <f>MIN($B$4+$B$5*D818,$B$6)</f>
        <v/>
      </c>
      <c r="F818" s="13">
        <f>$B$7</f>
        <v/>
      </c>
      <c r="G818" s="13">
        <f>E818+F818</f>
        <v/>
      </c>
      <c r="H818" s="13">
        <f>3*E818+F818</f>
        <v/>
      </c>
      <c r="I818">
        <f>IF(H818&gt;$B$8,"Oui","Non")</f>
        <v/>
      </c>
      <c r="J818" s="14">
        <f>IF(D818&gt;0,E818/D818,"")</f>
        <v/>
      </c>
    </row>
    <row r="819">
      <c r="A819" s="15" t="inlineStr">
        <is>
          <t>CC LBN Communauté</t>
        </is>
      </c>
      <c r="B819" s="15" t="inlineStr">
        <is>
          <t>Sarthe</t>
        </is>
      </c>
      <c r="C819" s="15" t="inlineStr">
        <is>
          <t>72</t>
        </is>
      </c>
      <c r="D819" s="16" t="n">
        <v>17824</v>
      </c>
      <c r="E819" s="17">
        <f>MIN($B$4+$B$5*D819,$B$6)</f>
        <v/>
      </c>
      <c r="F819" s="17">
        <f>$B$7</f>
        <v/>
      </c>
      <c r="G819" s="17">
        <f>E819+F819</f>
        <v/>
      </c>
      <c r="H819" s="17">
        <f>3*E819+F819</f>
        <v/>
      </c>
      <c r="I819" s="15">
        <f>IF(H819&gt;$B$8,"Oui","Non")</f>
        <v/>
      </c>
      <c r="J819" s="18">
        <f>IF(D819&gt;0,E819/D819,"")</f>
        <v/>
      </c>
    </row>
    <row r="820">
      <c r="A820" t="inlineStr">
        <is>
          <t>CC Le Gesnois Bilurien</t>
        </is>
      </c>
      <c r="B820" t="inlineStr">
        <is>
          <t>Sarthe</t>
        </is>
      </c>
      <c r="C820" t="inlineStr">
        <is>
          <t>72</t>
        </is>
      </c>
      <c r="D820" s="3" t="n">
        <v>30265</v>
      </c>
      <c r="E820" s="13">
        <f>MIN($B$4+$B$5*D820,$B$6)</f>
        <v/>
      </c>
      <c r="F820" s="13">
        <f>$B$7</f>
        <v/>
      </c>
      <c r="G820" s="13">
        <f>E820+F820</f>
        <v/>
      </c>
      <c r="H820" s="13">
        <f>3*E820+F820</f>
        <v/>
      </c>
      <c r="I820">
        <f>IF(H820&gt;$B$8,"Oui","Non")</f>
        <v/>
      </c>
      <c r="J820" s="14">
        <f>IF(D820&gt;0,E820/D820,"")</f>
        <v/>
      </c>
    </row>
    <row r="821">
      <c r="A821" s="15" t="inlineStr">
        <is>
          <t>CC Loir-Lucé-Bercé</t>
        </is>
      </c>
      <c r="B821" s="15" t="inlineStr">
        <is>
          <t>Sarthe</t>
        </is>
      </c>
      <c r="C821" s="15" t="inlineStr">
        <is>
          <t>72</t>
        </is>
      </c>
      <c r="D821" s="16" t="n">
        <v>23207</v>
      </c>
      <c r="E821" s="17">
        <f>MIN($B$4+$B$5*D821,$B$6)</f>
        <v/>
      </c>
      <c r="F821" s="17">
        <f>$B$7</f>
        <v/>
      </c>
      <c r="G821" s="17">
        <f>E821+F821</f>
        <v/>
      </c>
      <c r="H821" s="17">
        <f>3*E821+F821</f>
        <v/>
      </c>
      <c r="I821" s="15">
        <f>IF(H821&gt;$B$8,"Oui","Non")</f>
        <v/>
      </c>
      <c r="J821" s="18">
        <f>IF(D821&gt;0,E821/D821,"")</f>
        <v/>
      </c>
    </row>
    <row r="822">
      <c r="A822" t="inlineStr">
        <is>
          <t>CC Maine Coeur de Sarthe</t>
        </is>
      </c>
      <c r="B822" t="inlineStr">
        <is>
          <t>Sarthe</t>
        </is>
      </c>
      <c r="C822" t="inlineStr">
        <is>
          <t>72</t>
        </is>
      </c>
      <c r="D822" s="3" t="n">
        <v>21871</v>
      </c>
      <c r="E822" s="13">
        <f>MIN($B$4+$B$5*D822,$B$6)</f>
        <v/>
      </c>
      <c r="F822" s="13">
        <f>$B$7</f>
        <v/>
      </c>
      <c r="G822" s="13">
        <f>E822+F822</f>
        <v/>
      </c>
      <c r="H822" s="13">
        <f>3*E822+F822</f>
        <v/>
      </c>
      <c r="I822">
        <f>IF(H822&gt;$B$8,"Oui","Non")</f>
        <v/>
      </c>
      <c r="J822" s="14">
        <f>IF(D822&gt;0,E822/D822,"")</f>
        <v/>
      </c>
    </row>
    <row r="823">
      <c r="A823" s="15" t="inlineStr">
        <is>
          <t>CC Orée de Bercé - Belinois</t>
        </is>
      </c>
      <c r="B823" s="15" t="inlineStr">
        <is>
          <t>Sarthe</t>
        </is>
      </c>
      <c r="C823" s="15" t="inlineStr">
        <is>
          <t>72</t>
        </is>
      </c>
      <c r="D823" s="16" t="n">
        <v>19472</v>
      </c>
      <c r="E823" s="17">
        <f>MIN($B$4+$B$5*D823,$B$6)</f>
        <v/>
      </c>
      <c r="F823" s="17">
        <f>$B$7</f>
        <v/>
      </c>
      <c r="G823" s="17">
        <f>E823+F823</f>
        <v/>
      </c>
      <c r="H823" s="17">
        <f>3*E823+F823</f>
        <v/>
      </c>
      <c r="I823" s="15">
        <f>IF(H823&gt;$B$8,"Oui","Non")</f>
        <v/>
      </c>
      <c r="J823" s="18">
        <f>IF(D823&gt;0,E823/D823,"")</f>
        <v/>
      </c>
    </row>
    <row r="824">
      <c r="A824" t="inlineStr">
        <is>
          <t>CC Sud Sarthe</t>
        </is>
      </c>
      <c r="B824" t="inlineStr">
        <is>
          <t>Sarthe</t>
        </is>
      </c>
      <c r="C824" t="inlineStr">
        <is>
          <t>72</t>
        </is>
      </c>
      <c r="D824" s="3" t="n">
        <v>22583</v>
      </c>
      <c r="E824" s="13">
        <f>MIN($B$4+$B$5*D824,$B$6)</f>
        <v/>
      </c>
      <c r="F824" s="13">
        <f>$B$7</f>
        <v/>
      </c>
      <c r="G824" s="13">
        <f>E824+F824</f>
        <v/>
      </c>
      <c r="H824" s="13">
        <f>3*E824+F824</f>
        <v/>
      </c>
      <c r="I824">
        <f>IF(H824&gt;$B$8,"Oui","Non")</f>
        <v/>
      </c>
      <c r="J824" s="14">
        <f>IF(D824&gt;0,E824/D824,"")</f>
        <v/>
      </c>
    </row>
    <row r="825">
      <c r="A825" s="15" t="inlineStr">
        <is>
          <t>CC de la Champagne Conlinoise et du Pays de Sillé</t>
        </is>
      </c>
      <c r="B825" s="15" t="inlineStr">
        <is>
          <t>Sarthe</t>
        </is>
      </c>
      <c r="C825" s="15" t="inlineStr">
        <is>
          <t>72</t>
        </is>
      </c>
      <c r="D825" s="16" t="n">
        <v>17914</v>
      </c>
      <c r="E825" s="17">
        <f>MIN($B$4+$B$5*D825,$B$6)</f>
        <v/>
      </c>
      <c r="F825" s="17">
        <f>$B$7</f>
        <v/>
      </c>
      <c r="G825" s="17">
        <f>E825+F825</f>
        <v/>
      </c>
      <c r="H825" s="17">
        <f>3*E825+F825</f>
        <v/>
      </c>
      <c r="I825" s="15">
        <f>IF(H825&gt;$B$8,"Oui","Non")</f>
        <v/>
      </c>
      <c r="J825" s="18">
        <f>IF(D825&gt;0,E825/D825,"")</f>
        <v/>
      </c>
    </row>
    <row r="826">
      <c r="A826" t="inlineStr">
        <is>
          <t>CC des Vallées de la Braye et de l'Anille</t>
        </is>
      </c>
      <c r="B826" t="inlineStr">
        <is>
          <t>Sarthe</t>
        </is>
      </c>
      <c r="C826" t="inlineStr">
        <is>
          <t>72</t>
        </is>
      </c>
      <c r="D826" s="3" t="n">
        <v>14775</v>
      </c>
      <c r="E826" s="13">
        <f>MIN($B$4+$B$5*D826,$B$6)</f>
        <v/>
      </c>
      <c r="F826" s="13">
        <f>$B$7</f>
        <v/>
      </c>
      <c r="G826" s="13">
        <f>E826+F826</f>
        <v/>
      </c>
      <c r="H826" s="13">
        <f>3*E826+F826</f>
        <v/>
      </c>
      <c r="I826">
        <f>IF(H826&gt;$B$8,"Oui","Non")</f>
        <v/>
      </c>
      <c r="J826" s="14">
        <f>IF(D826&gt;0,E826/D826,"")</f>
        <v/>
      </c>
    </row>
    <row r="827">
      <c r="A827" s="15" t="inlineStr">
        <is>
          <t>CC du Pays Fléchois</t>
        </is>
      </c>
      <c r="B827" s="15" t="inlineStr">
        <is>
          <t>Sarthe</t>
        </is>
      </c>
      <c r="C827" s="15" t="inlineStr">
        <is>
          <t>72</t>
        </is>
      </c>
      <c r="D827" s="16" t="n">
        <v>27049</v>
      </c>
      <c r="E827" s="17">
        <f>MIN($B$4+$B$5*D827,$B$6)</f>
        <v/>
      </c>
      <c r="F827" s="17">
        <f>$B$7</f>
        <v/>
      </c>
      <c r="G827" s="17">
        <f>E827+F827</f>
        <v/>
      </c>
      <c r="H827" s="17">
        <f>3*E827+F827</f>
        <v/>
      </c>
      <c r="I827" s="15">
        <f>IF(H827&gt;$B$8,"Oui","Non")</f>
        <v/>
      </c>
      <c r="J827" s="18">
        <f>IF(D827&gt;0,E827/D827,"")</f>
        <v/>
      </c>
    </row>
    <row r="828">
      <c r="A828" t="inlineStr">
        <is>
          <t>CC du Pays de l'Huisne Sarthoise</t>
        </is>
      </c>
      <c r="B828" t="inlineStr">
        <is>
          <t>Sarthe</t>
        </is>
      </c>
      <c r="C828" t="inlineStr">
        <is>
          <t>72</t>
        </is>
      </c>
      <c r="D828" s="3" t="n">
        <v>28362</v>
      </c>
      <c r="E828" s="13">
        <f>MIN($B$4+$B$5*D828,$B$6)</f>
        <v/>
      </c>
      <c r="F828" s="13">
        <f>$B$7</f>
        <v/>
      </c>
      <c r="G828" s="13">
        <f>E828+F828</f>
        <v/>
      </c>
      <c r="H828" s="13">
        <f>3*E828+F828</f>
        <v/>
      </c>
      <c r="I828">
        <f>IF(H828&gt;$B$8,"Oui","Non")</f>
        <v/>
      </c>
      <c r="J828" s="14">
        <f>IF(D828&gt;0,E828/D828,"")</f>
        <v/>
      </c>
    </row>
    <row r="829">
      <c r="A829" s="15" t="inlineStr">
        <is>
          <t>CC du Sud Est Manceau</t>
        </is>
      </c>
      <c r="B829" s="15" t="inlineStr">
        <is>
          <t>Sarthe</t>
        </is>
      </c>
      <c r="C829" s="15" t="inlineStr">
        <is>
          <t>72</t>
        </is>
      </c>
      <c r="D829" s="16" t="n">
        <v>17929</v>
      </c>
      <c r="E829" s="17">
        <f>MIN($B$4+$B$5*D829,$B$6)</f>
        <v/>
      </c>
      <c r="F829" s="17">
        <f>$B$7</f>
        <v/>
      </c>
      <c r="G829" s="17">
        <f>E829+F829</f>
        <v/>
      </c>
      <c r="H829" s="17">
        <f>3*E829+F829</f>
        <v/>
      </c>
      <c r="I829" s="15">
        <f>IF(H829&gt;$B$8,"Oui","Non")</f>
        <v/>
      </c>
      <c r="J829" s="18">
        <f>IF(D829&gt;0,E829/D829,"")</f>
        <v/>
      </c>
    </row>
    <row r="830">
      <c r="A830" t="inlineStr">
        <is>
          <t>CC du Val de Sarthe</t>
        </is>
      </c>
      <c r="B830" t="inlineStr">
        <is>
          <t>Sarthe</t>
        </is>
      </c>
      <c r="C830" t="inlineStr">
        <is>
          <t>72</t>
        </is>
      </c>
      <c r="D830" s="3" t="n">
        <v>30404</v>
      </c>
      <c r="E830" s="13">
        <f>MIN($B$4+$B$5*D830,$B$6)</f>
        <v/>
      </c>
      <c r="F830" s="13">
        <f>$B$7</f>
        <v/>
      </c>
      <c r="G830" s="13">
        <f>E830+F830</f>
        <v/>
      </c>
      <c r="H830" s="13">
        <f>3*E830+F830</f>
        <v/>
      </c>
      <c r="I830">
        <f>IF(H830&gt;$B$8,"Oui","Non")</f>
        <v/>
      </c>
      <c r="J830" s="14">
        <f>IF(D830&gt;0,E830/D830,"")</f>
        <v/>
      </c>
    </row>
    <row r="831">
      <c r="A831" s="15" t="inlineStr">
        <is>
          <t>CC Coeur de Maurienne Arvan</t>
        </is>
      </c>
      <c r="B831" s="15" t="inlineStr">
        <is>
          <t>Savoie</t>
        </is>
      </c>
      <c r="C831" s="15" t="inlineStr">
        <is>
          <t>73</t>
        </is>
      </c>
      <c r="D831" s="16" t="n">
        <v>14302</v>
      </c>
      <c r="E831" s="17">
        <f>MIN($B$4+$B$5*D831,$B$6)</f>
        <v/>
      </c>
      <c r="F831" s="17">
        <f>$B$7</f>
        <v/>
      </c>
      <c r="G831" s="17">
        <f>E831+F831</f>
        <v/>
      </c>
      <c r="H831" s="17">
        <f>3*E831+F831</f>
        <v/>
      </c>
      <c r="I831" s="15">
        <f>IF(H831&gt;$B$8,"Oui","Non")</f>
        <v/>
      </c>
      <c r="J831" s="18">
        <f>IF(D831&gt;0,E831/D831,"")</f>
        <v/>
      </c>
    </row>
    <row r="832">
      <c r="A832" t="inlineStr">
        <is>
          <t>CC Coeur de Savoie</t>
        </is>
      </c>
      <c r="B832" t="inlineStr">
        <is>
          <t>Savoie</t>
        </is>
      </c>
      <c r="C832" t="inlineStr">
        <is>
          <t>73</t>
        </is>
      </c>
      <c r="D832" s="3" t="n">
        <v>37780</v>
      </c>
      <c r="E832" s="13">
        <f>MIN($B$4+$B$5*D832,$B$6)</f>
        <v/>
      </c>
      <c r="F832" s="13">
        <f>$B$7</f>
        <v/>
      </c>
      <c r="G832" s="13">
        <f>E832+F832</f>
        <v/>
      </c>
      <c r="H832" s="13">
        <f>3*E832+F832</f>
        <v/>
      </c>
      <c r="I832">
        <f>IF(H832&gt;$B$8,"Oui","Non")</f>
        <v/>
      </c>
      <c r="J832" s="14">
        <f>IF(D832&gt;0,E832/D832,"")</f>
        <v/>
      </c>
    </row>
    <row r="833">
      <c r="A833" s="15" t="inlineStr">
        <is>
          <t>CC Coeur de Tarentaise</t>
        </is>
      </c>
      <c r="B833" s="15" t="inlineStr">
        <is>
          <t>Savoie</t>
        </is>
      </c>
      <c r="C833" s="15" t="inlineStr">
        <is>
          <t>73</t>
        </is>
      </c>
      <c r="D833" s="16" t="n">
        <v>9098</v>
      </c>
      <c r="E833" s="17">
        <f>MIN($B$4+$B$5*D833,$B$6)</f>
        <v/>
      </c>
      <c r="F833" s="17">
        <f>$B$7</f>
        <v/>
      </c>
      <c r="G833" s="17">
        <f>E833+F833</f>
        <v/>
      </c>
      <c r="H833" s="17">
        <f>3*E833+F833</f>
        <v/>
      </c>
      <c r="I833" s="15">
        <f>IF(H833&gt;$B$8,"Oui","Non")</f>
        <v/>
      </c>
      <c r="J833" s="18">
        <f>IF(D833&gt;0,E833/D833,"")</f>
        <v/>
      </c>
    </row>
    <row r="834">
      <c r="A834" t="inlineStr">
        <is>
          <t>CC Haute Maurienne Vanoise</t>
        </is>
      </c>
      <c r="B834" t="inlineStr">
        <is>
          <t>Savoie</t>
        </is>
      </c>
      <c r="C834" t="inlineStr">
        <is>
          <t>73</t>
        </is>
      </c>
      <c r="D834" s="3" t="n">
        <v>8435</v>
      </c>
      <c r="E834" s="13">
        <f>MIN($B$4+$B$5*D834,$B$6)</f>
        <v/>
      </c>
      <c r="F834" s="13">
        <f>$B$7</f>
        <v/>
      </c>
      <c r="G834" s="13">
        <f>E834+F834</f>
        <v/>
      </c>
      <c r="H834" s="13">
        <f>3*E834+F834</f>
        <v/>
      </c>
      <c r="I834">
        <f>IF(H834&gt;$B$8,"Oui","Non")</f>
        <v/>
      </c>
      <c r="J834" s="14">
        <f>IF(D834&gt;0,E834/D834,"")</f>
        <v/>
      </c>
    </row>
    <row r="835">
      <c r="A835" s="15" t="inlineStr">
        <is>
          <t>CC Les Versants d'Aime</t>
        </is>
      </c>
      <c r="B835" s="15" t="inlineStr">
        <is>
          <t>Savoie</t>
        </is>
      </c>
      <c r="C835" s="15" t="inlineStr">
        <is>
          <t>73</t>
        </is>
      </c>
      <c r="D835" s="16" t="n">
        <v>9677</v>
      </c>
      <c r="E835" s="17">
        <f>MIN($B$4+$B$5*D835,$B$6)</f>
        <v/>
      </c>
      <c r="F835" s="17">
        <f>$B$7</f>
        <v/>
      </c>
      <c r="G835" s="17">
        <f>E835+F835</f>
        <v/>
      </c>
      <c r="H835" s="17">
        <f>3*E835+F835</f>
        <v/>
      </c>
      <c r="I835" s="15">
        <f>IF(H835&gt;$B$8,"Oui","Non")</f>
        <v/>
      </c>
      <c r="J835" s="18">
        <f>IF(D835&gt;0,E835/D835,"")</f>
        <v/>
      </c>
    </row>
    <row r="836">
      <c r="A836" t="inlineStr">
        <is>
          <t>CC Maurienne Galibier</t>
        </is>
      </c>
      <c r="B836" t="inlineStr">
        <is>
          <t>Savoie</t>
        </is>
      </c>
      <c r="C836" t="inlineStr">
        <is>
          <t>73</t>
        </is>
      </c>
      <c r="D836" s="3" t="n">
        <v>5399</v>
      </c>
      <c r="E836" s="13">
        <f>MIN($B$4+$B$5*D836,$B$6)</f>
        <v/>
      </c>
      <c r="F836" s="13">
        <f>$B$7</f>
        <v/>
      </c>
      <c r="G836" s="13">
        <f>E836+F836</f>
        <v/>
      </c>
      <c r="H836" s="13">
        <f>3*E836+F836</f>
        <v/>
      </c>
      <c r="I836">
        <f>IF(H836&gt;$B$8,"Oui","Non")</f>
        <v/>
      </c>
      <c r="J836" s="14">
        <f>IF(D836&gt;0,E836/D836,"")</f>
        <v/>
      </c>
    </row>
    <row r="837">
      <c r="A837" s="15" t="inlineStr">
        <is>
          <t>CC Porte de Maurienne</t>
        </is>
      </c>
      <c r="B837" s="15" t="inlineStr">
        <is>
          <t>Savoie</t>
        </is>
      </c>
      <c r="C837" s="15" t="inlineStr">
        <is>
          <t>73</t>
        </is>
      </c>
      <c r="D837" s="16" t="n">
        <v>7104</v>
      </c>
      <c r="E837" s="17">
        <f>MIN($B$4+$B$5*D837,$B$6)</f>
        <v/>
      </c>
      <c r="F837" s="17">
        <f>$B$7</f>
        <v/>
      </c>
      <c r="G837" s="17">
        <f>E837+F837</f>
        <v/>
      </c>
      <c r="H837" s="17">
        <f>3*E837+F837</f>
        <v/>
      </c>
      <c r="I837" s="15">
        <f>IF(H837&gt;$B$8,"Oui","Non")</f>
        <v/>
      </c>
      <c r="J837" s="18">
        <f>IF(D837&gt;0,E837/D837,"")</f>
        <v/>
      </c>
    </row>
    <row r="838">
      <c r="A838" t="inlineStr">
        <is>
          <t>CC Val Guiers</t>
        </is>
      </c>
      <c r="B838" t="inlineStr">
        <is>
          <t>Savoie</t>
        </is>
      </c>
      <c r="C838" t="inlineStr">
        <is>
          <t>73</t>
        </is>
      </c>
      <c r="D838" s="3" t="n">
        <v>12493</v>
      </c>
      <c r="E838" s="13">
        <f>MIN($B$4+$B$5*D838,$B$6)</f>
        <v/>
      </c>
      <c r="F838" s="13">
        <f>$B$7</f>
        <v/>
      </c>
      <c r="G838" s="13">
        <f>E838+F838</f>
        <v/>
      </c>
      <c r="H838" s="13">
        <f>3*E838+F838</f>
        <v/>
      </c>
      <c r="I838">
        <f>IF(H838&gt;$B$8,"Oui","Non")</f>
        <v/>
      </c>
      <c r="J838" s="14">
        <f>IF(D838&gt;0,E838/D838,"")</f>
        <v/>
      </c>
    </row>
    <row r="839">
      <c r="A839" s="15" t="inlineStr">
        <is>
          <t>CC Val Vanoise</t>
        </is>
      </c>
      <c r="B839" s="15" t="inlineStr">
        <is>
          <t>Savoie</t>
        </is>
      </c>
      <c r="C839" s="15" t="inlineStr">
        <is>
          <t>73</t>
        </is>
      </c>
      <c r="D839" s="16" t="n">
        <v>9045</v>
      </c>
      <c r="E839" s="17">
        <f>MIN($B$4+$B$5*D839,$B$6)</f>
        <v/>
      </c>
      <c r="F839" s="17">
        <f>$B$7</f>
        <v/>
      </c>
      <c r="G839" s="17">
        <f>E839+F839</f>
        <v/>
      </c>
      <c r="H839" s="17">
        <f>3*E839+F839</f>
        <v/>
      </c>
      <c r="I839" s="15">
        <f>IF(H839&gt;$B$8,"Oui","Non")</f>
        <v/>
      </c>
      <c r="J839" s="18">
        <f>IF(D839&gt;0,E839/D839,"")</f>
        <v/>
      </c>
    </row>
    <row r="840">
      <c r="A840" t="inlineStr">
        <is>
          <t>CC de Haute-Tarentaise</t>
        </is>
      </c>
      <c r="B840" t="inlineStr">
        <is>
          <t>Savoie</t>
        </is>
      </c>
      <c r="C840" t="inlineStr">
        <is>
          <t>73</t>
        </is>
      </c>
      <c r="D840" s="3" t="n">
        <v>15557</v>
      </c>
      <c r="E840" s="13">
        <f>MIN($B$4+$B$5*D840,$B$6)</f>
        <v/>
      </c>
      <c r="F840" s="13">
        <f>$B$7</f>
        <v/>
      </c>
      <c r="G840" s="13">
        <f>E840+F840</f>
        <v/>
      </c>
      <c r="H840" s="13">
        <f>3*E840+F840</f>
        <v/>
      </c>
      <c r="I840">
        <f>IF(H840&gt;$B$8,"Oui","Non")</f>
        <v/>
      </c>
      <c r="J840" s="14">
        <f>IF(D840&gt;0,E840/D840,"")</f>
        <v/>
      </c>
    </row>
    <row r="841">
      <c r="A841" s="15" t="inlineStr">
        <is>
          <t>CC de Yenne</t>
        </is>
      </c>
      <c r="B841" s="15" t="inlineStr">
        <is>
          <t>Savoie</t>
        </is>
      </c>
      <c r="C841" s="15" t="inlineStr">
        <is>
          <t>73</t>
        </is>
      </c>
      <c r="D841" s="16" t="n">
        <v>7416</v>
      </c>
      <c r="E841" s="17">
        <f>MIN($B$4+$B$5*D841,$B$6)</f>
        <v/>
      </c>
      <c r="F841" s="17">
        <f>$B$7</f>
        <v/>
      </c>
      <c r="G841" s="17">
        <f>E841+F841</f>
        <v/>
      </c>
      <c r="H841" s="17">
        <f>3*E841+F841</f>
        <v/>
      </c>
      <c r="I841" s="15">
        <f>IF(H841&gt;$B$8,"Oui","Non")</f>
        <v/>
      </c>
      <c r="J841" s="18">
        <f>IF(D841&gt;0,E841/D841,"")</f>
        <v/>
      </c>
    </row>
    <row r="842">
      <c r="A842" t="inlineStr">
        <is>
          <t>CC des Vallées d'Aigueblanche</t>
        </is>
      </c>
      <c r="B842" t="inlineStr">
        <is>
          <t>Savoie</t>
        </is>
      </c>
      <c r="C842" t="inlineStr">
        <is>
          <t>73</t>
        </is>
      </c>
      <c r="D842" s="3" t="n">
        <v>7069</v>
      </c>
      <c r="E842" s="13">
        <f>MIN($B$4+$B$5*D842,$B$6)</f>
        <v/>
      </c>
      <c r="F842" s="13">
        <f>$B$7</f>
        <v/>
      </c>
      <c r="G842" s="13">
        <f>E842+F842</f>
        <v/>
      </c>
      <c r="H842" s="13">
        <f>3*E842+F842</f>
        <v/>
      </c>
      <c r="I842">
        <f>IF(H842&gt;$B$8,"Oui","Non")</f>
        <v/>
      </c>
      <c r="J842" s="14">
        <f>IF(D842&gt;0,E842/D842,"")</f>
        <v/>
      </c>
    </row>
    <row r="843">
      <c r="A843" s="15" t="inlineStr">
        <is>
          <t>CC du Canton de La Chambre</t>
        </is>
      </c>
      <c r="B843" s="15" t="inlineStr">
        <is>
          <t>Savoie</t>
        </is>
      </c>
      <c r="C843" s="15" t="inlineStr">
        <is>
          <t>73</t>
        </is>
      </c>
      <c r="D843" s="16" t="n">
        <v>7389</v>
      </c>
      <c r="E843" s="17">
        <f>MIN($B$4+$B$5*D843,$B$6)</f>
        <v/>
      </c>
      <c r="F843" s="17">
        <f>$B$7</f>
        <v/>
      </c>
      <c r="G843" s="17">
        <f>E843+F843</f>
        <v/>
      </c>
      <c r="H843" s="17">
        <f>3*E843+F843</f>
        <v/>
      </c>
      <c r="I843" s="15">
        <f>IF(H843&gt;$B$8,"Oui","Non")</f>
        <v/>
      </c>
      <c r="J843" s="18">
        <f>IF(D843&gt;0,E843/D843,"")</f>
        <v/>
      </c>
    </row>
    <row r="844">
      <c r="A844" t="inlineStr">
        <is>
          <t>CC du Lac d'Aiguebelette (CCLA)</t>
        </is>
      </c>
      <c r="B844" t="inlineStr">
        <is>
          <t>Savoie</t>
        </is>
      </c>
      <c r="C844" t="inlineStr">
        <is>
          <t>73</t>
        </is>
      </c>
      <c r="D844" s="3" t="n">
        <v>6312</v>
      </c>
      <c r="E844" s="13">
        <f>MIN($B$4+$B$5*D844,$B$6)</f>
        <v/>
      </c>
      <c r="F844" s="13">
        <f>$B$7</f>
        <v/>
      </c>
      <c r="G844" s="13">
        <f>E844+F844</f>
        <v/>
      </c>
      <c r="H844" s="13">
        <f>3*E844+F844</f>
        <v/>
      </c>
      <c r="I844">
        <f>IF(H844&gt;$B$8,"Oui","Non")</f>
        <v/>
      </c>
      <c r="J844" s="14">
        <f>IF(D844&gt;0,E844/D844,"")</f>
        <v/>
      </c>
    </row>
    <row r="845">
      <c r="A845" s="15" t="inlineStr">
        <is>
          <t>CC Arve et Salève</t>
        </is>
      </c>
      <c r="B845" s="15" t="inlineStr">
        <is>
          <t>Haute-Savoie</t>
        </is>
      </c>
      <c r="C845" s="15" t="inlineStr">
        <is>
          <t>74</t>
        </is>
      </c>
      <c r="D845" s="16" t="n">
        <v>20437</v>
      </c>
      <c r="E845" s="17">
        <f>MIN($B$4+$B$5*D845,$B$6)</f>
        <v/>
      </c>
      <c r="F845" s="17">
        <f>$B$7</f>
        <v/>
      </c>
      <c r="G845" s="17">
        <f>E845+F845</f>
        <v/>
      </c>
      <c r="H845" s="17">
        <f>3*E845+F845</f>
        <v/>
      </c>
      <c r="I845" s="15">
        <f>IF(H845&gt;$B$8,"Oui","Non")</f>
        <v/>
      </c>
      <c r="J845" s="18">
        <f>IF(D845&gt;0,E845/D845,"")</f>
        <v/>
      </c>
    </row>
    <row r="846">
      <c r="A846" t="inlineStr">
        <is>
          <t>CC Cluses-Arve et Montagnes</t>
        </is>
      </c>
      <c r="B846" t="inlineStr">
        <is>
          <t>Haute-Savoie</t>
        </is>
      </c>
      <c r="C846" t="inlineStr">
        <is>
          <t>74</t>
        </is>
      </c>
      <c r="D846" s="3" t="n">
        <v>47034</v>
      </c>
      <c r="E846" s="13">
        <f>MIN($B$4+$B$5*D846,$B$6)</f>
        <v/>
      </c>
      <c r="F846" s="13">
        <f>$B$7</f>
        <v/>
      </c>
      <c r="G846" s="13">
        <f>E846+F846</f>
        <v/>
      </c>
      <c r="H846" s="13">
        <f>3*E846+F846</f>
        <v/>
      </c>
      <c r="I846">
        <f>IF(H846&gt;$B$8,"Oui","Non")</f>
        <v/>
      </c>
      <c r="J846" s="14">
        <f>IF(D846&gt;0,E846/D846,"")</f>
        <v/>
      </c>
    </row>
    <row r="847">
      <c r="A847" s="15" t="inlineStr">
        <is>
          <t>CC Faucigny - Glières</t>
        </is>
      </c>
      <c r="B847" s="15" t="inlineStr">
        <is>
          <t>Haute-Savoie</t>
        </is>
      </c>
      <c r="C847" s="15" t="inlineStr">
        <is>
          <t>74</t>
        </is>
      </c>
      <c r="D847" s="16" t="n">
        <v>28363</v>
      </c>
      <c r="E847" s="17">
        <f>MIN($B$4+$B$5*D847,$B$6)</f>
        <v/>
      </c>
      <c r="F847" s="17">
        <f>$B$7</f>
        <v/>
      </c>
      <c r="G847" s="17">
        <f>E847+F847</f>
        <v/>
      </c>
      <c r="H847" s="17">
        <f>3*E847+F847</f>
        <v/>
      </c>
      <c r="I847" s="15">
        <f>IF(H847&gt;$B$8,"Oui","Non")</f>
        <v/>
      </c>
      <c r="J847" s="18">
        <f>IF(D847&gt;0,E847/D847,"")</f>
        <v/>
      </c>
    </row>
    <row r="848">
      <c r="A848" t="inlineStr">
        <is>
          <t>CC Fier et Usses</t>
        </is>
      </c>
      <c r="B848" t="inlineStr">
        <is>
          <t>Haute-Savoie</t>
        </is>
      </c>
      <c r="C848" t="inlineStr">
        <is>
          <t>74</t>
        </is>
      </c>
      <c r="D848" s="3" t="n">
        <v>16252</v>
      </c>
      <c r="E848" s="13">
        <f>MIN($B$4+$B$5*D848,$B$6)</f>
        <v/>
      </c>
      <c r="F848" s="13">
        <f>$B$7</f>
        <v/>
      </c>
      <c r="G848" s="13">
        <f>E848+F848</f>
        <v/>
      </c>
      <c r="H848" s="13">
        <f>3*E848+F848</f>
        <v/>
      </c>
      <c r="I848">
        <f>IF(H848&gt;$B$8,"Oui","Non")</f>
        <v/>
      </c>
      <c r="J848" s="14">
        <f>IF(D848&gt;0,E848/D848,"")</f>
        <v/>
      </c>
    </row>
    <row r="849">
      <c r="A849" s="15" t="inlineStr">
        <is>
          <t>CC Pays d'Evian Vallée d'Abondance</t>
        </is>
      </c>
      <c r="B849" s="15" t="inlineStr">
        <is>
          <t>Haute-Savoie</t>
        </is>
      </c>
      <c r="C849" s="15" t="inlineStr">
        <is>
          <t>74</t>
        </is>
      </c>
      <c r="D849" s="16" t="n">
        <v>42979</v>
      </c>
      <c r="E849" s="17">
        <f>MIN($B$4+$B$5*D849,$B$6)</f>
        <v/>
      </c>
      <c r="F849" s="17">
        <f>$B$7</f>
        <v/>
      </c>
      <c r="G849" s="17">
        <f>E849+F849</f>
        <v/>
      </c>
      <c r="H849" s="17">
        <f>3*E849+F849</f>
        <v/>
      </c>
      <c r="I849" s="15">
        <f>IF(H849&gt;$B$8,"Oui","Non")</f>
        <v/>
      </c>
      <c r="J849" s="18">
        <f>IF(D849&gt;0,E849/D849,"")</f>
        <v/>
      </c>
    </row>
    <row r="850">
      <c r="A850" t="inlineStr">
        <is>
          <t>CC Pays du Mont-Blanc</t>
        </is>
      </c>
      <c r="B850" t="inlineStr">
        <is>
          <t>Haute-Savoie</t>
        </is>
      </c>
      <c r="C850" t="inlineStr">
        <is>
          <t>74</t>
        </is>
      </c>
      <c r="D850" s="3" t="n">
        <v>44954</v>
      </c>
      <c r="E850" s="13">
        <f>MIN($B$4+$B$5*D850,$B$6)</f>
        <v/>
      </c>
      <c r="F850" s="13">
        <f>$B$7</f>
        <v/>
      </c>
      <c r="G850" s="13">
        <f>E850+F850</f>
        <v/>
      </c>
      <c r="H850" s="13">
        <f>3*E850+F850</f>
        <v/>
      </c>
      <c r="I850">
        <f>IF(H850&gt;$B$8,"Oui","Non")</f>
        <v/>
      </c>
      <c r="J850" s="14">
        <f>IF(D850&gt;0,E850/D850,"")</f>
        <v/>
      </c>
    </row>
    <row r="851">
      <c r="A851" s="15" t="inlineStr">
        <is>
          <t>CC Rumilly Terre de Savoie</t>
        </is>
      </c>
      <c r="B851" s="15" t="inlineStr">
        <is>
          <t>Haute-Savoie</t>
        </is>
      </c>
      <c r="C851" s="15" t="inlineStr">
        <is>
          <t>74</t>
        </is>
      </c>
      <c r="D851" s="16" t="n">
        <v>33198</v>
      </c>
      <c r="E851" s="17">
        <f>MIN($B$4+$B$5*D851,$B$6)</f>
        <v/>
      </c>
      <c r="F851" s="17">
        <f>$B$7</f>
        <v/>
      </c>
      <c r="G851" s="17">
        <f>E851+F851</f>
        <v/>
      </c>
      <c r="H851" s="17">
        <f>3*E851+F851</f>
        <v/>
      </c>
      <c r="I851" s="15">
        <f>IF(H851&gt;$B$8,"Oui","Non")</f>
        <v/>
      </c>
      <c r="J851" s="18">
        <f>IF(D851&gt;0,E851/D851,"")</f>
        <v/>
      </c>
    </row>
    <row r="852">
      <c r="A852" t="inlineStr">
        <is>
          <t>CC de la Vallée Verte</t>
        </is>
      </c>
      <c r="B852" t="inlineStr">
        <is>
          <t>Haute-Savoie</t>
        </is>
      </c>
      <c r="C852" t="inlineStr">
        <is>
          <t>74</t>
        </is>
      </c>
      <c r="D852" s="3" t="n">
        <v>8424</v>
      </c>
      <c r="E852" s="13">
        <f>MIN($B$4+$B$5*D852,$B$6)</f>
        <v/>
      </c>
      <c r="F852" s="13">
        <f>$B$7</f>
        <v/>
      </c>
      <c r="G852" s="13">
        <f>E852+F852</f>
        <v/>
      </c>
      <c r="H852" s="13">
        <f>3*E852+F852</f>
        <v/>
      </c>
      <c r="I852">
        <f>IF(H852&gt;$B$8,"Oui","Non")</f>
        <v/>
      </c>
      <c r="J852" s="14">
        <f>IF(D852&gt;0,E852/D852,"")</f>
        <v/>
      </c>
    </row>
    <row r="853">
      <c r="A853" s="15" t="inlineStr">
        <is>
          <t>CC de la Vallée de Chamonix-Mont-Blanc</t>
        </is>
      </c>
      <c r="B853" s="15" t="inlineStr">
        <is>
          <t>Haute-Savoie</t>
        </is>
      </c>
      <c r="C853" s="15" t="inlineStr">
        <is>
          <t>74</t>
        </is>
      </c>
      <c r="D853" s="16" t="n">
        <v>13759</v>
      </c>
      <c r="E853" s="17">
        <f>MIN($B$4+$B$5*D853,$B$6)</f>
        <v/>
      </c>
      <c r="F853" s="17">
        <f>$B$7</f>
        <v/>
      </c>
      <c r="G853" s="17">
        <f>E853+F853</f>
        <v/>
      </c>
      <c r="H853" s="17">
        <f>3*E853+F853</f>
        <v/>
      </c>
      <c r="I853" s="15">
        <f>IF(H853&gt;$B$8,"Oui","Non")</f>
        <v/>
      </c>
      <c r="J853" s="18">
        <f>IF(D853&gt;0,E853/D853,"")</f>
        <v/>
      </c>
    </row>
    <row r="854">
      <c r="A854" t="inlineStr">
        <is>
          <t>CC des Montagnes du Giffre</t>
        </is>
      </c>
      <c r="B854" t="inlineStr">
        <is>
          <t>Haute-Savoie</t>
        </is>
      </c>
      <c r="C854" t="inlineStr">
        <is>
          <t>74</t>
        </is>
      </c>
      <c r="D854" s="3" t="n">
        <v>12136</v>
      </c>
      <c r="E854" s="13">
        <f>MIN($B$4+$B$5*D854,$B$6)</f>
        <v/>
      </c>
      <c r="F854" s="13">
        <f>$B$7</f>
        <v/>
      </c>
      <c r="G854" s="13">
        <f>E854+F854</f>
        <v/>
      </c>
      <c r="H854" s="13">
        <f>3*E854+F854</f>
        <v/>
      </c>
      <c r="I854">
        <f>IF(H854&gt;$B$8,"Oui","Non")</f>
        <v/>
      </c>
      <c r="J854" s="14">
        <f>IF(D854&gt;0,E854/D854,"")</f>
        <v/>
      </c>
    </row>
    <row r="855">
      <c r="A855" s="15" t="inlineStr">
        <is>
          <t>CC des Quatre Rivières</t>
        </is>
      </c>
      <c r="B855" s="15" t="inlineStr">
        <is>
          <t>Haute-Savoie</t>
        </is>
      </c>
      <c r="C855" s="15" t="inlineStr">
        <is>
          <t>74</t>
        </is>
      </c>
      <c r="D855" s="16" t="n">
        <v>20046</v>
      </c>
      <c r="E855" s="17">
        <f>MIN($B$4+$B$5*D855,$B$6)</f>
        <v/>
      </c>
      <c r="F855" s="17">
        <f>$B$7</f>
        <v/>
      </c>
      <c r="G855" s="17">
        <f>E855+F855</f>
        <v/>
      </c>
      <c r="H855" s="17">
        <f>3*E855+F855</f>
        <v/>
      </c>
      <c r="I855" s="15">
        <f>IF(H855&gt;$B$8,"Oui","Non")</f>
        <v/>
      </c>
      <c r="J855" s="18">
        <f>IF(D855&gt;0,E855/D855,"")</f>
        <v/>
      </c>
    </row>
    <row r="856">
      <c r="A856" t="inlineStr">
        <is>
          <t>CC des Sources du Lac d'Annecy</t>
        </is>
      </c>
      <c r="B856" t="inlineStr">
        <is>
          <t>Haute-Savoie</t>
        </is>
      </c>
      <c r="C856" t="inlineStr">
        <is>
          <t>74</t>
        </is>
      </c>
      <c r="D856" s="3" t="n">
        <v>15338</v>
      </c>
      <c r="E856" s="13">
        <f>MIN($B$4+$B$5*D856,$B$6)</f>
        <v/>
      </c>
      <c r="F856" s="13">
        <f>$B$7</f>
        <v/>
      </c>
      <c r="G856" s="13">
        <f>E856+F856</f>
        <v/>
      </c>
      <c r="H856" s="13">
        <f>3*E856+F856</f>
        <v/>
      </c>
      <c r="I856">
        <f>IF(H856&gt;$B$8,"Oui","Non")</f>
        <v/>
      </c>
      <c r="J856" s="14">
        <f>IF(D856&gt;0,E856/D856,"")</f>
        <v/>
      </c>
    </row>
    <row r="857">
      <c r="A857" s="15" t="inlineStr">
        <is>
          <t>CC des Vallées de Thônes</t>
        </is>
      </c>
      <c r="B857" s="15" t="inlineStr">
        <is>
          <t>Haute-Savoie</t>
        </is>
      </c>
      <c r="C857" s="15" t="inlineStr">
        <is>
          <t>74</t>
        </is>
      </c>
      <c r="D857" s="16" t="n">
        <v>18737</v>
      </c>
      <c r="E857" s="17">
        <f>MIN($B$4+$B$5*D857,$B$6)</f>
        <v/>
      </c>
      <c r="F857" s="17">
        <f>$B$7</f>
        <v/>
      </c>
      <c r="G857" s="17">
        <f>E857+F857</f>
        <v/>
      </c>
      <c r="H857" s="17">
        <f>3*E857+F857</f>
        <v/>
      </c>
      <c r="I857" s="15">
        <f>IF(H857&gt;$B$8,"Oui","Non")</f>
        <v/>
      </c>
      <c r="J857" s="18">
        <f>IF(D857&gt;0,E857/D857,"")</f>
        <v/>
      </c>
    </row>
    <row r="858">
      <c r="A858" t="inlineStr">
        <is>
          <t>CC du Genevois</t>
        </is>
      </c>
      <c r="B858" t="inlineStr">
        <is>
          <t>Haute-Savoie</t>
        </is>
      </c>
      <c r="C858" t="inlineStr">
        <is>
          <t>74</t>
        </is>
      </c>
      <c r="D858" s="3" t="n">
        <v>49025</v>
      </c>
      <c r="E858" s="13">
        <f>MIN($B$4+$B$5*D858,$B$6)</f>
        <v/>
      </c>
      <c r="F858" s="13">
        <f>$B$7</f>
        <v/>
      </c>
      <c r="G858" s="13">
        <f>E858+F858</f>
        <v/>
      </c>
      <c r="H858" s="13">
        <f>3*E858+F858</f>
        <v/>
      </c>
      <c r="I858">
        <f>IF(H858&gt;$B$8,"Oui","Non")</f>
        <v/>
      </c>
      <c r="J858" s="14">
        <f>IF(D858&gt;0,E858/D858,"")</f>
        <v/>
      </c>
    </row>
    <row r="859">
      <c r="A859" s="15" t="inlineStr">
        <is>
          <t>CC du Haut Chablais</t>
        </is>
      </c>
      <c r="B859" s="15" t="inlineStr">
        <is>
          <t>Haute-Savoie</t>
        </is>
      </c>
      <c r="C859" s="15" t="inlineStr">
        <is>
          <t>74</t>
        </is>
      </c>
      <c r="D859" s="16" t="n">
        <v>12864</v>
      </c>
      <c r="E859" s="17">
        <f>MIN($B$4+$B$5*D859,$B$6)</f>
        <v/>
      </c>
      <c r="F859" s="17">
        <f>$B$7</f>
        <v/>
      </c>
      <c r="G859" s="17">
        <f>E859+F859</f>
        <v/>
      </c>
      <c r="H859" s="17">
        <f>3*E859+F859</f>
        <v/>
      </c>
      <c r="I859" s="15">
        <f>IF(H859&gt;$B$8,"Oui","Non")</f>
        <v/>
      </c>
      <c r="J859" s="18">
        <f>IF(D859&gt;0,E859/D859,"")</f>
        <v/>
      </c>
    </row>
    <row r="860">
      <c r="A860" t="inlineStr">
        <is>
          <t>CC du Pays Rochois</t>
        </is>
      </c>
      <c r="B860" t="inlineStr">
        <is>
          <t>Haute-Savoie</t>
        </is>
      </c>
      <c r="C860" t="inlineStr">
        <is>
          <t>74</t>
        </is>
      </c>
      <c r="D860" s="3" t="n">
        <v>29529</v>
      </c>
      <c r="E860" s="13">
        <f>MIN($B$4+$B$5*D860,$B$6)</f>
        <v/>
      </c>
      <c r="F860" s="13">
        <f>$B$7</f>
        <v/>
      </c>
      <c r="G860" s="13">
        <f>E860+F860</f>
        <v/>
      </c>
      <c r="H860" s="13">
        <f>3*E860+F860</f>
        <v/>
      </c>
      <c r="I860">
        <f>IF(H860&gt;$B$8,"Oui","Non")</f>
        <v/>
      </c>
      <c r="J860" s="14">
        <f>IF(D860&gt;0,E860/D860,"")</f>
        <v/>
      </c>
    </row>
    <row r="861">
      <c r="A861" s="15" t="inlineStr">
        <is>
          <t>CC du Pays de Cruseilles</t>
        </is>
      </c>
      <c r="B861" s="15" t="inlineStr">
        <is>
          <t>Haute-Savoie</t>
        </is>
      </c>
      <c r="C861" s="15" t="inlineStr">
        <is>
          <t>74</t>
        </is>
      </c>
      <c r="D861" s="16" t="n">
        <v>17208</v>
      </c>
      <c r="E861" s="17">
        <f>MIN($B$4+$B$5*D861,$B$6)</f>
        <v/>
      </c>
      <c r="F861" s="17">
        <f>$B$7</f>
        <v/>
      </c>
      <c r="G861" s="17">
        <f>E861+F861</f>
        <v/>
      </c>
      <c r="H861" s="17">
        <f>3*E861+F861</f>
        <v/>
      </c>
      <c r="I861" s="15">
        <f>IF(H861&gt;$B$8,"Oui","Non")</f>
        <v/>
      </c>
      <c r="J861" s="18">
        <f>IF(D861&gt;0,E861/D861,"")</f>
        <v/>
      </c>
    </row>
    <row r="862">
      <c r="A862" t="inlineStr">
        <is>
          <t>CC Bray-Eawy</t>
        </is>
      </c>
      <c r="B862" t="inlineStr">
        <is>
          <t>Seine-Maritime</t>
        </is>
      </c>
      <c r="C862" t="inlineStr">
        <is>
          <t>76</t>
        </is>
      </c>
      <c r="D862" s="3" t="n">
        <v>24882</v>
      </c>
      <c r="E862" s="13">
        <f>MIN($B$4+$B$5*D862,$B$6)</f>
        <v/>
      </c>
      <c r="F862" s="13">
        <f>$B$7</f>
        <v/>
      </c>
      <c r="G862" s="13">
        <f>E862+F862</f>
        <v/>
      </c>
      <c r="H862" s="13">
        <f>3*E862+F862</f>
        <v/>
      </c>
      <c r="I862">
        <f>IF(H862&gt;$B$8,"Oui","Non")</f>
        <v/>
      </c>
      <c r="J862" s="14">
        <f>IF(D862&gt;0,E862/D862,"")</f>
        <v/>
      </c>
    </row>
    <row r="863">
      <c r="A863" s="15" t="inlineStr">
        <is>
          <t>CC Campagne-de-Caux</t>
        </is>
      </c>
      <c r="B863" s="15" t="inlineStr">
        <is>
          <t>Seine-Maritime</t>
        </is>
      </c>
      <c r="C863" s="15" t="inlineStr">
        <is>
          <t>76</t>
        </is>
      </c>
      <c r="D863" s="16" t="n">
        <v>15021</v>
      </c>
      <c r="E863" s="17">
        <f>MIN($B$4+$B$5*D863,$B$6)</f>
        <v/>
      </c>
      <c r="F863" s="17">
        <f>$B$7</f>
        <v/>
      </c>
      <c r="G863" s="17">
        <f>E863+F863</f>
        <v/>
      </c>
      <c r="H863" s="17">
        <f>3*E863+F863</f>
        <v/>
      </c>
      <c r="I863" s="15">
        <f>IF(H863&gt;$B$8,"Oui","Non")</f>
        <v/>
      </c>
      <c r="J863" s="18">
        <f>IF(D863&gt;0,E863/D863,"")</f>
        <v/>
      </c>
    </row>
    <row r="864">
      <c r="A864" t="inlineStr">
        <is>
          <t>CC Caux - Austreberthe</t>
        </is>
      </c>
      <c r="B864" t="inlineStr">
        <is>
          <t>Seine-Maritime</t>
        </is>
      </c>
      <c r="C864" t="inlineStr">
        <is>
          <t>76</t>
        </is>
      </c>
      <c r="D864" s="3" t="n">
        <v>25137</v>
      </c>
      <c r="E864" s="13">
        <f>MIN($B$4+$B$5*D864,$B$6)</f>
        <v/>
      </c>
      <c r="F864" s="13">
        <f>$B$7</f>
        <v/>
      </c>
      <c r="G864" s="13">
        <f>E864+F864</f>
        <v/>
      </c>
      <c r="H864" s="13">
        <f>3*E864+F864</f>
        <v/>
      </c>
      <c r="I864">
        <f>IF(H864&gt;$B$8,"Oui","Non")</f>
        <v/>
      </c>
      <c r="J864" s="14">
        <f>IF(D864&gt;0,E864/D864,"")</f>
        <v/>
      </c>
    </row>
    <row r="865">
      <c r="A865" s="15" t="inlineStr">
        <is>
          <t>CC Falaises du Talou</t>
        </is>
      </c>
      <c r="B865" s="15" t="inlineStr">
        <is>
          <t>Seine-Maritime</t>
        </is>
      </c>
      <c r="C865" s="15" t="inlineStr">
        <is>
          <t>76</t>
        </is>
      </c>
      <c r="D865" s="16" t="n">
        <v>23553</v>
      </c>
      <c r="E865" s="17">
        <f>MIN($B$4+$B$5*D865,$B$6)</f>
        <v/>
      </c>
      <c r="F865" s="17">
        <f>$B$7</f>
        <v/>
      </c>
      <c r="G865" s="17">
        <f>E865+F865</f>
        <v/>
      </c>
      <c r="H865" s="17">
        <f>3*E865+F865</f>
        <v/>
      </c>
      <c r="I865" s="15">
        <f>IF(H865&gt;$B$8,"Oui","Non")</f>
        <v/>
      </c>
      <c r="J865" s="18">
        <f>IF(D865&gt;0,E865/D865,"")</f>
        <v/>
      </c>
    </row>
    <row r="866">
      <c r="A866" t="inlineStr">
        <is>
          <t>CC Inter-Caux-Vexin</t>
        </is>
      </c>
      <c r="B866" t="inlineStr">
        <is>
          <t>Seine-Maritime</t>
        </is>
      </c>
      <c r="C866" t="inlineStr">
        <is>
          <t>76</t>
        </is>
      </c>
      <c r="D866" s="3" t="n">
        <v>55948</v>
      </c>
      <c r="E866" s="13">
        <f>MIN($B$4+$B$5*D866,$B$6)</f>
        <v/>
      </c>
      <c r="F866" s="13">
        <f>$B$7</f>
        <v/>
      </c>
      <c r="G866" s="13">
        <f>E866+F866</f>
        <v/>
      </c>
      <c r="H866" s="13">
        <f>3*E866+F866</f>
        <v/>
      </c>
      <c r="I866">
        <f>IF(H866&gt;$B$8,"Oui","Non")</f>
        <v/>
      </c>
      <c r="J866" s="14">
        <f>IF(D866&gt;0,E866/D866,"")</f>
        <v/>
      </c>
    </row>
    <row r="867">
      <c r="A867" s="15" t="inlineStr">
        <is>
          <t>CC Interrégionale Aumale - Blangy-sur-Bresle</t>
        </is>
      </c>
      <c r="B867" s="15" t="inlineStr">
        <is>
          <t>Seine-Maritime, Somme</t>
        </is>
      </c>
      <c r="C867" s="15" t="inlineStr">
        <is>
          <t>76, 80</t>
        </is>
      </c>
      <c r="D867" s="16" t="n">
        <v>21244</v>
      </c>
      <c r="E867" s="17">
        <f>MIN($B$4+$B$5*D867,$B$6)</f>
        <v/>
      </c>
      <c r="F867" s="17">
        <f>$B$7</f>
        <v/>
      </c>
      <c r="G867" s="17">
        <f>E867+F867</f>
        <v/>
      </c>
      <c r="H867" s="17">
        <f>3*E867+F867</f>
        <v/>
      </c>
      <c r="I867" s="15">
        <f>IF(H867&gt;$B$8,"Oui","Non")</f>
        <v/>
      </c>
      <c r="J867" s="18">
        <f>IF(D867&gt;0,E867/D867,"")</f>
        <v/>
      </c>
    </row>
    <row r="868">
      <c r="A868" t="inlineStr">
        <is>
          <t>CC Plateau de Caux</t>
        </is>
      </c>
      <c r="B868" t="inlineStr">
        <is>
          <t>Seine-Maritime</t>
        </is>
      </c>
      <c r="C868" t="inlineStr">
        <is>
          <t>76</t>
        </is>
      </c>
      <c r="D868" s="3" t="n">
        <v>21314</v>
      </c>
      <c r="E868" s="13">
        <f>MIN($B$4+$B$5*D868,$B$6)</f>
        <v/>
      </c>
      <c r="F868" s="13">
        <f>$B$7</f>
        <v/>
      </c>
      <c r="G868" s="13">
        <f>E868+F868</f>
        <v/>
      </c>
      <c r="H868" s="13">
        <f>3*E868+F868</f>
        <v/>
      </c>
      <c r="I868">
        <f>IF(H868&gt;$B$8,"Oui","Non")</f>
        <v/>
      </c>
      <c r="J868" s="14">
        <f>IF(D868&gt;0,E868/D868,"")</f>
        <v/>
      </c>
    </row>
    <row r="869">
      <c r="A869" s="15" t="inlineStr">
        <is>
          <t>CC Terroir de Caux</t>
        </is>
      </c>
      <c r="B869" s="15" t="inlineStr">
        <is>
          <t>Seine-Maritime</t>
        </is>
      </c>
      <c r="C869" s="15" t="inlineStr">
        <is>
          <t>76</t>
        </is>
      </c>
      <c r="D869" s="16" t="n">
        <v>37763</v>
      </c>
      <c r="E869" s="17">
        <f>MIN($B$4+$B$5*D869,$B$6)</f>
        <v/>
      </c>
      <c r="F869" s="17">
        <f>$B$7</f>
        <v/>
      </c>
      <c r="G869" s="17">
        <f>E869+F869</f>
        <v/>
      </c>
      <c r="H869" s="17">
        <f>3*E869+F869</f>
        <v/>
      </c>
      <c r="I869" s="15">
        <f>IF(H869&gt;$B$8,"Oui","Non")</f>
        <v/>
      </c>
      <c r="J869" s="18">
        <f>IF(D869&gt;0,E869/D869,"")</f>
        <v/>
      </c>
    </row>
    <row r="870">
      <c r="A870" t="inlineStr">
        <is>
          <t>CC Yvetot Normandie</t>
        </is>
      </c>
      <c r="B870" t="inlineStr">
        <is>
          <t>Seine-Maritime</t>
        </is>
      </c>
      <c r="C870" t="inlineStr">
        <is>
          <t>76</t>
        </is>
      </c>
      <c r="D870" s="3" t="n">
        <v>26348</v>
      </c>
      <c r="E870" s="13">
        <f>MIN($B$4+$B$5*D870,$B$6)</f>
        <v/>
      </c>
      <c r="F870" s="13">
        <f>$B$7</f>
        <v/>
      </c>
      <c r="G870" s="13">
        <f>E870+F870</f>
        <v/>
      </c>
      <c r="H870" s="13">
        <f>3*E870+F870</f>
        <v/>
      </c>
      <c r="I870">
        <f>IF(H870&gt;$B$8,"Oui","Non")</f>
        <v/>
      </c>
      <c r="J870" s="14">
        <f>IF(D870&gt;0,E870/D870,"")</f>
        <v/>
      </c>
    </row>
    <row r="871">
      <c r="A871" s="15" t="inlineStr">
        <is>
          <t>CC de Londinières</t>
        </is>
      </c>
      <c r="B871" s="15" t="inlineStr">
        <is>
          <t>Seine-Maritime</t>
        </is>
      </c>
      <c r="C871" s="15" t="inlineStr">
        <is>
          <t>76</t>
        </is>
      </c>
      <c r="D871" s="16" t="n">
        <v>5192</v>
      </c>
      <c r="E871" s="17">
        <f>MIN($B$4+$B$5*D871,$B$6)</f>
        <v/>
      </c>
      <c r="F871" s="17">
        <f>$B$7</f>
        <v/>
      </c>
      <c r="G871" s="17">
        <f>E871+F871</f>
        <v/>
      </c>
      <c r="H871" s="17">
        <f>3*E871+F871</f>
        <v/>
      </c>
      <c r="I871" s="15">
        <f>IF(H871&gt;$B$8,"Oui","Non")</f>
        <v/>
      </c>
      <c r="J871" s="18">
        <f>IF(D871&gt;0,E871/D871,"")</f>
        <v/>
      </c>
    </row>
    <row r="872">
      <c r="A872" t="inlineStr">
        <is>
          <t>CC de la Côte d'Albâtre</t>
        </is>
      </c>
      <c r="B872" t="inlineStr">
        <is>
          <t>Seine-Maritime</t>
        </is>
      </c>
      <c r="C872" t="inlineStr">
        <is>
          <t>76</t>
        </is>
      </c>
      <c r="D872" s="3" t="n">
        <v>27520</v>
      </c>
      <c r="E872" s="13">
        <f>MIN($B$4+$B$5*D872,$B$6)</f>
        <v/>
      </c>
      <c r="F872" s="13">
        <f>$B$7</f>
        <v/>
      </c>
      <c r="G872" s="13">
        <f>E872+F872</f>
        <v/>
      </c>
      <c r="H872" s="13">
        <f>3*E872+F872</f>
        <v/>
      </c>
      <c r="I872">
        <f>IF(H872&gt;$B$8,"Oui","Non")</f>
        <v/>
      </c>
      <c r="J872" s="14">
        <f>IF(D872&gt;0,E872/D872,"")</f>
        <v/>
      </c>
    </row>
    <row r="873">
      <c r="A873" s="15" t="inlineStr">
        <is>
          <t>CC des Villes Soeurs</t>
        </is>
      </c>
      <c r="B873" s="15" t="inlineStr">
        <is>
          <t>Seine-Maritime, Somme</t>
        </is>
      </c>
      <c r="C873" s="15" t="inlineStr">
        <is>
          <t>76, 80</t>
        </is>
      </c>
      <c r="D873" s="16" t="n">
        <v>35612</v>
      </c>
      <c r="E873" s="17">
        <f>MIN($B$4+$B$5*D873,$B$6)</f>
        <v/>
      </c>
      <c r="F873" s="17">
        <f>$B$7</f>
        <v/>
      </c>
      <c r="G873" s="17">
        <f>E873+F873</f>
        <v/>
      </c>
      <c r="H873" s="17">
        <f>3*E873+F873</f>
        <v/>
      </c>
      <c r="I873" s="15">
        <f>IF(H873&gt;$B$8,"Oui","Non")</f>
        <v/>
      </c>
      <c r="J873" s="18">
        <f>IF(D873&gt;0,E873/D873,"")</f>
        <v/>
      </c>
    </row>
    <row r="874">
      <c r="A874" t="inlineStr">
        <is>
          <t>CC Bassée-Montois</t>
        </is>
      </c>
      <c r="B874" t="inlineStr">
        <is>
          <t>Seine-et-Marne</t>
        </is>
      </c>
      <c r="C874" t="inlineStr">
        <is>
          <t>77</t>
        </is>
      </c>
      <c r="D874" s="3" t="n">
        <v>23165</v>
      </c>
      <c r="E874" s="13">
        <f>MIN($B$4+$B$5*D874,$B$6)</f>
        <v/>
      </c>
      <c r="F874" s="13">
        <f>$B$7</f>
        <v/>
      </c>
      <c r="G874" s="13">
        <f>E874+F874</f>
        <v/>
      </c>
      <c r="H874" s="13">
        <f>3*E874+F874</f>
        <v/>
      </c>
      <c r="I874">
        <f>IF(H874&gt;$B$8,"Oui","Non")</f>
        <v/>
      </c>
      <c r="J874" s="14">
        <f>IF(D874&gt;0,E874/D874,"")</f>
        <v/>
      </c>
    </row>
    <row r="875">
      <c r="A875" s="15" t="inlineStr">
        <is>
          <t>CC Brie Nangissienne</t>
        </is>
      </c>
      <c r="B875" s="15" t="inlineStr">
        <is>
          <t>Seine-et-Marne</t>
        </is>
      </c>
      <c r="C875" s="15" t="inlineStr">
        <is>
          <t>77</t>
        </is>
      </c>
      <c r="D875" s="16" t="n">
        <v>28330</v>
      </c>
      <c r="E875" s="17">
        <f>MIN($B$4+$B$5*D875,$B$6)</f>
        <v/>
      </c>
      <c r="F875" s="17">
        <f>$B$7</f>
        <v/>
      </c>
      <c r="G875" s="17">
        <f>E875+F875</f>
        <v/>
      </c>
      <c r="H875" s="17">
        <f>3*E875+F875</f>
        <v/>
      </c>
      <c r="I875" s="15">
        <f>IF(H875&gt;$B$8,"Oui","Non")</f>
        <v/>
      </c>
      <c r="J875" s="18">
        <f>IF(D875&gt;0,E875/D875,"")</f>
        <v/>
      </c>
    </row>
    <row r="876">
      <c r="A876" t="inlineStr">
        <is>
          <t>CC Brie des Rivières et Châteaux</t>
        </is>
      </c>
      <c r="B876" t="inlineStr">
        <is>
          <t>Seine-et-Marne</t>
        </is>
      </c>
      <c r="C876" t="inlineStr">
        <is>
          <t>77</t>
        </is>
      </c>
      <c r="D876" s="3" t="n">
        <v>40561</v>
      </c>
      <c r="E876" s="13">
        <f>MIN($B$4+$B$5*D876,$B$6)</f>
        <v/>
      </c>
      <c r="F876" s="13">
        <f>$B$7</f>
        <v/>
      </c>
      <c r="G876" s="13">
        <f>E876+F876</f>
        <v/>
      </c>
      <c r="H876" s="13">
        <f>3*E876+F876</f>
        <v/>
      </c>
      <c r="I876">
        <f>IF(H876&gt;$B$8,"Oui","Non")</f>
        <v/>
      </c>
      <c r="J876" s="14">
        <f>IF(D876&gt;0,E876/D876,"")</f>
        <v/>
      </c>
    </row>
    <row r="877">
      <c r="A877" s="15" t="inlineStr">
        <is>
          <t>CC Gâtinais Val de Loing</t>
        </is>
      </c>
      <c r="B877" s="15" t="inlineStr">
        <is>
          <t>Seine-et-Marne</t>
        </is>
      </c>
      <c r="C877" s="15" t="inlineStr">
        <is>
          <t>77</t>
        </is>
      </c>
      <c r="D877" s="16" t="n">
        <v>18432</v>
      </c>
      <c r="E877" s="17">
        <f>MIN($B$4+$B$5*D877,$B$6)</f>
        <v/>
      </c>
      <c r="F877" s="17">
        <f>$B$7</f>
        <v/>
      </c>
      <c r="G877" s="17">
        <f>E877+F877</f>
        <v/>
      </c>
      <c r="H877" s="17">
        <f>3*E877+F877</f>
        <v/>
      </c>
      <c r="I877" s="15">
        <f>IF(H877&gt;$B$8,"Oui","Non")</f>
        <v/>
      </c>
      <c r="J877" s="18">
        <f>IF(D877&gt;0,E877/D877,"")</f>
        <v/>
      </c>
    </row>
    <row r="878">
      <c r="A878" t="inlineStr">
        <is>
          <t>CC Les Portes Briardes Entre Villes et Forêts</t>
        </is>
      </c>
      <c r="B878" t="inlineStr">
        <is>
          <t>Seine-et-Marne</t>
        </is>
      </c>
      <c r="C878" t="inlineStr">
        <is>
          <t>77</t>
        </is>
      </c>
      <c r="D878" s="3" t="n">
        <v>46241</v>
      </c>
      <c r="E878" s="13">
        <f>MIN($B$4+$B$5*D878,$B$6)</f>
        <v/>
      </c>
      <c r="F878" s="13">
        <f>$B$7</f>
        <v/>
      </c>
      <c r="G878" s="13">
        <f>E878+F878</f>
        <v/>
      </c>
      <c r="H878" s="13">
        <f>3*E878+F878</f>
        <v/>
      </c>
      <c r="I878">
        <f>IF(H878&gt;$B$8,"Oui","Non")</f>
        <v/>
      </c>
      <c r="J878" s="14">
        <f>IF(D878&gt;0,E878/D878,"")</f>
        <v/>
      </c>
    </row>
    <row r="879">
      <c r="A879" s="15" t="inlineStr">
        <is>
          <t>CC Moret Seine et Loing</t>
        </is>
      </c>
      <c r="B879" s="15" t="inlineStr">
        <is>
          <t>Seine-et-Marne</t>
        </is>
      </c>
      <c r="C879" s="15" t="inlineStr">
        <is>
          <t>77</t>
        </is>
      </c>
      <c r="D879" s="16" t="n">
        <v>39247</v>
      </c>
      <c r="E879" s="17">
        <f>MIN($B$4+$B$5*D879,$B$6)</f>
        <v/>
      </c>
      <c r="F879" s="17">
        <f>$B$7</f>
        <v/>
      </c>
      <c r="G879" s="17">
        <f>E879+F879</f>
        <v/>
      </c>
      <c r="H879" s="17">
        <f>3*E879+F879</f>
        <v/>
      </c>
      <c r="I879" s="15">
        <f>IF(H879&gt;$B$8,"Oui","Non")</f>
        <v/>
      </c>
      <c r="J879" s="18">
        <f>IF(D879&gt;0,E879/D879,"")</f>
        <v/>
      </c>
    </row>
    <row r="880">
      <c r="A880" t="inlineStr">
        <is>
          <t>CC Pays de Montereau</t>
        </is>
      </c>
      <c r="B880" t="inlineStr">
        <is>
          <t>Seine-et-Marne</t>
        </is>
      </c>
      <c r="C880" t="inlineStr">
        <is>
          <t>77</t>
        </is>
      </c>
      <c r="D880" s="3" t="n">
        <v>45085</v>
      </c>
      <c r="E880" s="13">
        <f>MIN($B$4+$B$5*D880,$B$6)</f>
        <v/>
      </c>
      <c r="F880" s="13">
        <f>$B$7</f>
        <v/>
      </c>
      <c r="G880" s="13">
        <f>E880+F880</f>
        <v/>
      </c>
      <c r="H880" s="13">
        <f>3*E880+F880</f>
        <v/>
      </c>
      <c r="I880">
        <f>IF(H880&gt;$B$8,"Oui","Non")</f>
        <v/>
      </c>
      <c r="J880" s="14">
        <f>IF(D880&gt;0,E880/D880,"")</f>
        <v/>
      </c>
    </row>
    <row r="881">
      <c r="A881" s="15" t="inlineStr">
        <is>
          <t>CC Pays de Nemours</t>
        </is>
      </c>
      <c r="B881" s="15" t="inlineStr">
        <is>
          <t>Seine-et-Marne</t>
        </is>
      </c>
      <c r="C881" s="15" t="inlineStr">
        <is>
          <t>77</t>
        </is>
      </c>
      <c r="D881" s="16" t="n">
        <v>29774</v>
      </c>
      <c r="E881" s="17">
        <f>MIN($B$4+$B$5*D881,$B$6)</f>
        <v/>
      </c>
      <c r="F881" s="17">
        <f>$B$7</f>
        <v/>
      </c>
      <c r="G881" s="17">
        <f>E881+F881</f>
        <v/>
      </c>
      <c r="H881" s="17">
        <f>3*E881+F881</f>
        <v/>
      </c>
      <c r="I881" s="15">
        <f>IF(H881&gt;$B$8,"Oui","Non")</f>
        <v/>
      </c>
      <c r="J881" s="18">
        <f>IF(D881&gt;0,E881/D881,"")</f>
        <v/>
      </c>
    </row>
    <row r="882">
      <c r="A882" t="inlineStr">
        <is>
          <t>CC Plaines et Monts de France</t>
        </is>
      </c>
      <c r="B882" t="inlineStr">
        <is>
          <t>Seine-et-Marne</t>
        </is>
      </c>
      <c r="C882" t="inlineStr">
        <is>
          <t>77</t>
        </is>
      </c>
      <c r="D882" s="3" t="n">
        <v>25662</v>
      </c>
      <c r="E882" s="13">
        <f>MIN($B$4+$B$5*D882,$B$6)</f>
        <v/>
      </c>
      <c r="F882" s="13">
        <f>$B$7</f>
        <v/>
      </c>
      <c r="G882" s="13">
        <f>E882+F882</f>
        <v/>
      </c>
      <c r="H882" s="13">
        <f>3*E882+F882</f>
        <v/>
      </c>
      <c r="I882">
        <f>IF(H882&gt;$B$8,"Oui","Non")</f>
        <v/>
      </c>
      <c r="J882" s="14">
        <f>IF(D882&gt;0,E882/D882,"")</f>
        <v/>
      </c>
    </row>
    <row r="883">
      <c r="A883" s="15" t="inlineStr">
        <is>
          <t>CC Val Briard</t>
        </is>
      </c>
      <c r="B883" s="15" t="inlineStr">
        <is>
          <t>Seine-et-Marne</t>
        </is>
      </c>
      <c r="C883" s="15" t="inlineStr">
        <is>
          <t>77</t>
        </is>
      </c>
      <c r="D883" s="16" t="n">
        <v>29261</v>
      </c>
      <c r="E883" s="17">
        <f>MIN($B$4+$B$5*D883,$B$6)</f>
        <v/>
      </c>
      <c r="F883" s="17">
        <f>$B$7</f>
        <v/>
      </c>
      <c r="G883" s="17">
        <f>E883+F883</f>
        <v/>
      </c>
      <c r="H883" s="17">
        <f>3*E883+F883</f>
        <v/>
      </c>
      <c r="I883" s="15">
        <f>IF(H883&gt;$B$8,"Oui","Non")</f>
        <v/>
      </c>
      <c r="J883" s="18">
        <f>IF(D883&gt;0,E883/D883,"")</f>
        <v/>
      </c>
    </row>
    <row r="884">
      <c r="A884" t="inlineStr">
        <is>
          <t>CC des Deux Morin</t>
        </is>
      </c>
      <c r="B884" t="inlineStr">
        <is>
          <t>Seine-et-Marne</t>
        </is>
      </c>
      <c r="C884" t="inlineStr">
        <is>
          <t>77</t>
        </is>
      </c>
      <c r="D884" s="3" t="n">
        <v>26471</v>
      </c>
      <c r="E884" s="13">
        <f>MIN($B$4+$B$5*D884,$B$6)</f>
        <v/>
      </c>
      <c r="F884" s="13">
        <f>$B$7</f>
        <v/>
      </c>
      <c r="G884" s="13">
        <f>E884+F884</f>
        <v/>
      </c>
      <c r="H884" s="13">
        <f>3*E884+F884</f>
        <v/>
      </c>
      <c r="I884">
        <f>IF(H884&gt;$B$8,"Oui","Non")</f>
        <v/>
      </c>
      <c r="J884" s="14">
        <f>IF(D884&gt;0,E884/D884,"")</f>
        <v/>
      </c>
    </row>
    <row r="885">
      <c r="A885" s="15" t="inlineStr">
        <is>
          <t>CC du Pays de l'Ourcq</t>
        </is>
      </c>
      <c r="B885" s="15" t="inlineStr">
        <is>
          <t>Seine-et-Marne</t>
        </is>
      </c>
      <c r="C885" s="15" t="inlineStr">
        <is>
          <t>77</t>
        </is>
      </c>
      <c r="D885" s="16" t="n">
        <v>17365</v>
      </c>
      <c r="E885" s="17">
        <f>MIN($B$4+$B$5*D885,$B$6)</f>
        <v/>
      </c>
      <c r="F885" s="17">
        <f>$B$7</f>
        <v/>
      </c>
      <c r="G885" s="17">
        <f>E885+F885</f>
        <v/>
      </c>
      <c r="H885" s="17">
        <f>3*E885+F885</f>
        <v/>
      </c>
      <c r="I885" s="15">
        <f>IF(H885&gt;$B$8,"Oui","Non")</f>
        <v/>
      </c>
      <c r="J885" s="18">
        <f>IF(D885&gt;0,E885/D885,"")</f>
        <v/>
      </c>
    </row>
    <row r="886">
      <c r="A886" t="inlineStr">
        <is>
          <t>CC du Provinois</t>
        </is>
      </c>
      <c r="B886" t="inlineStr">
        <is>
          <t>Seine-et-Marne</t>
        </is>
      </c>
      <c r="C886" t="inlineStr">
        <is>
          <t>77</t>
        </is>
      </c>
      <c r="D886" s="3" t="n">
        <v>34302</v>
      </c>
      <c r="E886" s="13">
        <f>MIN($B$4+$B$5*D886,$B$6)</f>
        <v/>
      </c>
      <c r="F886" s="13">
        <f>$B$7</f>
        <v/>
      </c>
      <c r="G886" s="13">
        <f>E886+F886</f>
        <v/>
      </c>
      <c r="H886" s="13">
        <f>3*E886+F886</f>
        <v/>
      </c>
      <c r="I886">
        <f>IF(H886&gt;$B$8,"Oui","Non")</f>
        <v/>
      </c>
      <c r="J886" s="14">
        <f>IF(D886&gt;0,E886/D886,"")</f>
        <v/>
      </c>
    </row>
    <row r="887">
      <c r="A887" s="15" t="inlineStr">
        <is>
          <t>CC l'Orée de la Brie</t>
        </is>
      </c>
      <c r="B887" s="15" t="inlineStr">
        <is>
          <t>Seine-et-Marne, Essonne</t>
        </is>
      </c>
      <c r="C887" s="15" t="inlineStr">
        <is>
          <t>77, 91</t>
        </is>
      </c>
      <c r="D887" s="16" t="n">
        <v>28829</v>
      </c>
      <c r="E887" s="17">
        <f>MIN($B$4+$B$5*D887,$B$6)</f>
        <v/>
      </c>
      <c r="F887" s="17">
        <f>$B$7</f>
        <v/>
      </c>
      <c r="G887" s="17">
        <f>E887+F887</f>
        <v/>
      </c>
      <c r="H887" s="17">
        <f>3*E887+F887</f>
        <v/>
      </c>
      <c r="I887" s="15">
        <f>IF(H887&gt;$B$8,"Oui","Non")</f>
        <v/>
      </c>
      <c r="J887" s="18">
        <f>IF(D887&gt;0,E887/D887,"")</f>
        <v/>
      </c>
    </row>
    <row r="888">
      <c r="A888" t="inlineStr">
        <is>
          <t>CC Coeur d'Yvelines</t>
        </is>
      </c>
      <c r="B888" t="inlineStr">
        <is>
          <t>Yvelines</t>
        </is>
      </c>
      <c r="C888" t="inlineStr">
        <is>
          <t>78</t>
        </is>
      </c>
      <c r="D888" s="3" t="n">
        <v>51560</v>
      </c>
      <c r="E888" s="13">
        <f>MIN($B$4+$B$5*D888,$B$6)</f>
        <v/>
      </c>
      <c r="F888" s="13">
        <f>$B$7</f>
        <v/>
      </c>
      <c r="G888" s="13">
        <f>E888+F888</f>
        <v/>
      </c>
      <c r="H888" s="13">
        <f>3*E888+F888</f>
        <v/>
      </c>
      <c r="I888">
        <f>IF(H888&gt;$B$8,"Oui","Non")</f>
        <v/>
      </c>
      <c r="J888" s="14">
        <f>IF(D888&gt;0,E888/D888,"")</f>
        <v/>
      </c>
    </row>
    <row r="889">
      <c r="A889" s="15" t="inlineStr">
        <is>
          <t>CC Gally Mauldre</t>
        </is>
      </c>
      <c r="B889" s="15" t="inlineStr">
        <is>
          <t>Yvelines</t>
        </is>
      </c>
      <c r="C889" s="15" t="inlineStr">
        <is>
          <t>78</t>
        </is>
      </c>
      <c r="D889" s="16" t="n">
        <v>22529</v>
      </c>
      <c r="E889" s="17">
        <f>MIN($B$4+$B$5*D889,$B$6)</f>
        <v/>
      </c>
      <c r="F889" s="17">
        <f>$B$7</f>
        <v/>
      </c>
      <c r="G889" s="17">
        <f>E889+F889</f>
        <v/>
      </c>
      <c r="H889" s="17">
        <f>3*E889+F889</f>
        <v/>
      </c>
      <c r="I889" s="15">
        <f>IF(H889&gt;$B$8,"Oui","Non")</f>
        <v/>
      </c>
      <c r="J889" s="18">
        <f>IF(D889&gt;0,E889/D889,"")</f>
        <v/>
      </c>
    </row>
    <row r="890">
      <c r="A890" t="inlineStr">
        <is>
          <t>CC Les Portes de l'Ile de France</t>
        </is>
      </c>
      <c r="B890" t="inlineStr">
        <is>
          <t>Yvelines</t>
        </is>
      </c>
      <c r="C890" t="inlineStr">
        <is>
          <t>78</t>
        </is>
      </c>
      <c r="D890" s="3" t="n">
        <v>23147</v>
      </c>
      <c r="E890" s="13">
        <f>MIN($B$4+$B$5*D890,$B$6)</f>
        <v/>
      </c>
      <c r="F890" s="13">
        <f>$B$7</f>
        <v/>
      </c>
      <c r="G890" s="13">
        <f>E890+F890</f>
        <v/>
      </c>
      <c r="H890" s="13">
        <f>3*E890+F890</f>
        <v/>
      </c>
      <c r="I890">
        <f>IF(H890&gt;$B$8,"Oui","Non")</f>
        <v/>
      </c>
      <c r="J890" s="14">
        <f>IF(D890&gt;0,E890/D890,"")</f>
        <v/>
      </c>
    </row>
    <row r="891">
      <c r="A891" s="15" t="inlineStr">
        <is>
          <t>CC de la Haute Vallée de Chevreuse</t>
        </is>
      </c>
      <c r="B891" s="15" t="inlineStr">
        <is>
          <t>Yvelines</t>
        </is>
      </c>
      <c r="C891" s="15" t="inlineStr">
        <is>
          <t>78</t>
        </is>
      </c>
      <c r="D891" s="16" t="n">
        <v>25225</v>
      </c>
      <c r="E891" s="17">
        <f>MIN($B$4+$B$5*D891,$B$6)</f>
        <v/>
      </c>
      <c r="F891" s="17">
        <f>$B$7</f>
        <v/>
      </c>
      <c r="G891" s="17">
        <f>E891+F891</f>
        <v/>
      </c>
      <c r="H891" s="17">
        <f>3*E891+F891</f>
        <v/>
      </c>
      <c r="I891" s="15">
        <f>IF(H891&gt;$B$8,"Oui","Non")</f>
        <v/>
      </c>
      <c r="J891" s="18">
        <f>IF(D891&gt;0,E891/D891,"")</f>
        <v/>
      </c>
    </row>
    <row r="892">
      <c r="A892" t="inlineStr">
        <is>
          <t>CC Airvaudais-Val du Thouet</t>
        </is>
      </c>
      <c r="B892" t="inlineStr">
        <is>
          <t>Deux-Sèvres</t>
        </is>
      </c>
      <c r="C892" t="inlineStr">
        <is>
          <t>79</t>
        </is>
      </c>
      <c r="D892" s="3" t="n">
        <v>6913</v>
      </c>
      <c r="E892" s="13">
        <f>MIN($B$4+$B$5*D892,$B$6)</f>
        <v/>
      </c>
      <c r="F892" s="13">
        <f>$B$7</f>
        <v/>
      </c>
      <c r="G892" s="13">
        <f>E892+F892</f>
        <v/>
      </c>
      <c r="H892" s="13">
        <f>3*E892+F892</f>
        <v/>
      </c>
      <c r="I892">
        <f>IF(H892&gt;$B$8,"Oui","Non")</f>
        <v/>
      </c>
      <c r="J892" s="14">
        <f>IF(D892&gt;0,E892/D892,"")</f>
        <v/>
      </c>
    </row>
    <row r="893">
      <c r="A893" s="15" t="inlineStr">
        <is>
          <t>CC Haut Val de Sèvre</t>
        </is>
      </c>
      <c r="B893" s="15" t="inlineStr">
        <is>
          <t>Deux-Sèvres</t>
        </is>
      </c>
      <c r="C893" s="15" t="inlineStr">
        <is>
          <t>79</t>
        </is>
      </c>
      <c r="D893" s="16" t="n">
        <v>30618</v>
      </c>
      <c r="E893" s="17">
        <f>MIN($B$4+$B$5*D893,$B$6)</f>
        <v/>
      </c>
      <c r="F893" s="17">
        <f>$B$7</f>
        <v/>
      </c>
      <c r="G893" s="17">
        <f>E893+F893</f>
        <v/>
      </c>
      <c r="H893" s="17">
        <f>3*E893+F893</f>
        <v/>
      </c>
      <c r="I893" s="15">
        <f>IF(H893&gt;$B$8,"Oui","Non")</f>
        <v/>
      </c>
      <c r="J893" s="18">
        <f>IF(D893&gt;0,E893/D893,"")</f>
        <v/>
      </c>
    </row>
    <row r="894">
      <c r="A894" t="inlineStr">
        <is>
          <t>CC Mellois en Poitou</t>
        </is>
      </c>
      <c r="B894" t="inlineStr">
        <is>
          <t>Deux-Sèvres</t>
        </is>
      </c>
      <c r="C894" t="inlineStr">
        <is>
          <t>79</t>
        </is>
      </c>
      <c r="D894" s="3" t="n">
        <v>46490</v>
      </c>
      <c r="E894" s="13">
        <f>MIN($B$4+$B$5*D894,$B$6)</f>
        <v/>
      </c>
      <c r="F894" s="13">
        <f>$B$7</f>
        <v/>
      </c>
      <c r="G894" s="13">
        <f>E894+F894</f>
        <v/>
      </c>
      <c r="H894" s="13">
        <f>3*E894+F894</f>
        <v/>
      </c>
      <c r="I894">
        <f>IF(H894&gt;$B$8,"Oui","Non")</f>
        <v/>
      </c>
      <c r="J894" s="14">
        <f>IF(D894&gt;0,E894/D894,"")</f>
        <v/>
      </c>
    </row>
    <row r="895">
      <c r="A895" s="15" t="inlineStr">
        <is>
          <t>CC Val de Gâtine</t>
        </is>
      </c>
      <c r="B895" s="15" t="inlineStr">
        <is>
          <t>Deux-Sèvres</t>
        </is>
      </c>
      <c r="C895" s="15" t="inlineStr">
        <is>
          <t>79</t>
        </is>
      </c>
      <c r="D895" s="16" t="n">
        <v>21570</v>
      </c>
      <c r="E895" s="17">
        <f>MIN($B$4+$B$5*D895,$B$6)</f>
        <v/>
      </c>
      <c r="F895" s="17">
        <f>$B$7</f>
        <v/>
      </c>
      <c r="G895" s="17">
        <f>E895+F895</f>
        <v/>
      </c>
      <c r="H895" s="17">
        <f>3*E895+F895</f>
        <v/>
      </c>
      <c r="I895" s="15">
        <f>IF(H895&gt;$B$8,"Oui","Non")</f>
        <v/>
      </c>
      <c r="J895" s="18">
        <f>IF(D895&gt;0,E895/D895,"")</f>
        <v/>
      </c>
    </row>
    <row r="896">
      <c r="A896" t="inlineStr">
        <is>
          <t>CC de Parthenay-Gâtine</t>
        </is>
      </c>
      <c r="B896" t="inlineStr">
        <is>
          <t>Deux-Sèvres</t>
        </is>
      </c>
      <c r="C896" t="inlineStr">
        <is>
          <t>79</t>
        </is>
      </c>
      <c r="D896" s="3" t="n">
        <v>36926</v>
      </c>
      <c r="E896" s="13">
        <f>MIN($B$4+$B$5*D896,$B$6)</f>
        <v/>
      </c>
      <c r="F896" s="13">
        <f>$B$7</f>
        <v/>
      </c>
      <c r="G896" s="13">
        <f>E896+F896</f>
        <v/>
      </c>
      <c r="H896" s="13">
        <f>3*E896+F896</f>
        <v/>
      </c>
      <c r="I896">
        <f>IF(H896&gt;$B$8,"Oui","Non")</f>
        <v/>
      </c>
      <c r="J896" s="14">
        <f>IF(D896&gt;0,E896/D896,"")</f>
        <v/>
      </c>
    </row>
    <row r="897">
      <c r="A897" s="15" t="inlineStr">
        <is>
          <t>CC du Thouarsais</t>
        </is>
      </c>
      <c r="B897" s="15" t="inlineStr">
        <is>
          <t>Deux-Sèvres</t>
        </is>
      </c>
      <c r="C897" s="15" t="inlineStr">
        <is>
          <t>79</t>
        </is>
      </c>
      <c r="D897" s="16" t="n">
        <v>35369</v>
      </c>
      <c r="E897" s="17">
        <f>MIN($B$4+$B$5*D897,$B$6)</f>
        <v/>
      </c>
      <c r="F897" s="17">
        <f>$B$7</f>
        <v/>
      </c>
      <c r="G897" s="17">
        <f>E897+F897</f>
        <v/>
      </c>
      <c r="H897" s="17">
        <f>3*E897+F897</f>
        <v/>
      </c>
      <c r="I897" s="15">
        <f>IF(H897&gt;$B$8,"Oui","Non")</f>
        <v/>
      </c>
      <c r="J897" s="18">
        <f>IF(D897&gt;0,E897/D897,"")</f>
        <v/>
      </c>
    </row>
    <row r="898">
      <c r="A898" t="inlineStr">
        <is>
          <t>CC Avre Luce Noye</t>
        </is>
      </c>
      <c r="B898" t="inlineStr">
        <is>
          <t>Somme</t>
        </is>
      </c>
      <c r="C898" t="inlineStr">
        <is>
          <t>80</t>
        </is>
      </c>
      <c r="D898" s="3" t="n">
        <v>21536</v>
      </c>
      <c r="E898" s="13">
        <f>MIN($B$4+$B$5*D898,$B$6)</f>
        <v/>
      </c>
      <c r="F898" s="13">
        <f>$B$7</f>
        <v/>
      </c>
      <c r="G898" s="13">
        <f>E898+F898</f>
        <v/>
      </c>
      <c r="H898" s="13">
        <f>3*E898+F898</f>
        <v/>
      </c>
      <c r="I898">
        <f>IF(H898&gt;$B$8,"Oui","Non")</f>
        <v/>
      </c>
      <c r="J898" s="14">
        <f>IF(D898&gt;0,E898/D898,"")</f>
        <v/>
      </c>
    </row>
    <row r="899">
      <c r="A899" s="15" t="inlineStr">
        <is>
          <t>CC Nièvre et Somme</t>
        </is>
      </c>
      <c r="B899" s="15" t="inlineStr">
        <is>
          <t>Somme</t>
        </is>
      </c>
      <c r="C899" s="15" t="inlineStr">
        <is>
          <t>80</t>
        </is>
      </c>
      <c r="D899" s="16" t="n">
        <v>27719</v>
      </c>
      <c r="E899" s="17">
        <f>MIN($B$4+$B$5*D899,$B$6)</f>
        <v/>
      </c>
      <c r="F899" s="17">
        <f>$B$7</f>
        <v/>
      </c>
      <c r="G899" s="17">
        <f>E899+F899</f>
        <v/>
      </c>
      <c r="H899" s="17">
        <f>3*E899+F899</f>
        <v/>
      </c>
      <c r="I899" s="15">
        <f>IF(H899&gt;$B$8,"Oui","Non")</f>
        <v/>
      </c>
      <c r="J899" s="18">
        <f>IF(D899&gt;0,E899/D899,"")</f>
        <v/>
      </c>
    </row>
    <row r="900">
      <c r="A900" t="inlineStr">
        <is>
          <t>CC Ponthieu-Marquenterre</t>
        </is>
      </c>
      <c r="B900" t="inlineStr">
        <is>
          <t>Somme</t>
        </is>
      </c>
      <c r="C900" t="inlineStr">
        <is>
          <t>80</t>
        </is>
      </c>
      <c r="D900" s="3" t="n">
        <v>32650</v>
      </c>
      <c r="E900" s="13">
        <f>MIN($B$4+$B$5*D900,$B$6)</f>
        <v/>
      </c>
      <c r="F900" s="13">
        <f>$B$7</f>
        <v/>
      </c>
      <c r="G900" s="13">
        <f>E900+F900</f>
        <v/>
      </c>
      <c r="H900" s="13">
        <f>3*E900+F900</f>
        <v/>
      </c>
      <c r="I900">
        <f>IF(H900&gt;$B$8,"Oui","Non")</f>
        <v/>
      </c>
      <c r="J900" s="14">
        <f>IF(D900&gt;0,E900/D900,"")</f>
        <v/>
      </c>
    </row>
    <row r="901">
      <c r="A901" s="15" t="inlineStr">
        <is>
          <t>CC Somme Sud-Ouest</t>
        </is>
      </c>
      <c r="B901" s="15" t="inlineStr">
        <is>
          <t>Somme</t>
        </is>
      </c>
      <c r="C901" s="15" t="inlineStr">
        <is>
          <t>80</t>
        </is>
      </c>
      <c r="D901" s="16" t="n">
        <v>38045</v>
      </c>
      <c r="E901" s="17">
        <f>MIN($B$4+$B$5*D901,$B$6)</f>
        <v/>
      </c>
      <c r="F901" s="17">
        <f>$B$7</f>
        <v/>
      </c>
      <c r="G901" s="17">
        <f>E901+F901</f>
        <v/>
      </c>
      <c r="H901" s="17">
        <f>3*E901+F901</f>
        <v/>
      </c>
      <c r="I901" s="15">
        <f>IF(H901&gt;$B$8,"Oui","Non")</f>
        <v/>
      </c>
      <c r="J901" s="18">
        <f>IF(D901&gt;0,E901/D901,"")</f>
        <v/>
      </c>
    </row>
    <row r="902">
      <c r="A902" t="inlineStr">
        <is>
          <t>CC Terre de Picardie</t>
        </is>
      </c>
      <c r="B902" t="inlineStr">
        <is>
          <t>Somme</t>
        </is>
      </c>
      <c r="C902" t="inlineStr">
        <is>
          <t>80</t>
        </is>
      </c>
      <c r="D902" s="3" t="n">
        <v>17997</v>
      </c>
      <c r="E902" s="13">
        <f>MIN($B$4+$B$5*D902,$B$6)</f>
        <v/>
      </c>
      <c r="F902" s="13">
        <f>$B$7</f>
        <v/>
      </c>
      <c r="G902" s="13">
        <f>E902+F902</f>
        <v/>
      </c>
      <c r="H902" s="13">
        <f>3*E902+F902</f>
        <v/>
      </c>
      <c r="I902">
        <f>IF(H902&gt;$B$8,"Oui","Non")</f>
        <v/>
      </c>
      <c r="J902" s="14">
        <f>IF(D902&gt;0,E902/D902,"")</f>
        <v/>
      </c>
    </row>
    <row r="903">
      <c r="A903" s="15" t="inlineStr">
        <is>
          <t>CC de la Haute Somme (Combles - Péronne - Roisel)</t>
        </is>
      </c>
      <c r="B903" s="15" t="inlineStr">
        <is>
          <t>Somme</t>
        </is>
      </c>
      <c r="C903" s="15" t="inlineStr">
        <is>
          <t>80</t>
        </is>
      </c>
      <c r="D903" s="16" t="n">
        <v>26454</v>
      </c>
      <c r="E903" s="17">
        <f>MIN($B$4+$B$5*D903,$B$6)</f>
        <v/>
      </c>
      <c r="F903" s="17">
        <f>$B$7</f>
        <v/>
      </c>
      <c r="G903" s="17">
        <f>E903+F903</f>
        <v/>
      </c>
      <c r="H903" s="17">
        <f>3*E903+F903</f>
        <v/>
      </c>
      <c r="I903" s="15">
        <f>IF(H903&gt;$B$8,"Oui","Non")</f>
        <v/>
      </c>
      <c r="J903" s="18">
        <f>IF(D903&gt;0,E903/D903,"")</f>
        <v/>
      </c>
    </row>
    <row r="904">
      <c r="A904" t="inlineStr">
        <is>
          <t>CC du Grand Roye</t>
        </is>
      </c>
      <c r="B904" t="inlineStr">
        <is>
          <t>Somme</t>
        </is>
      </c>
      <c r="C904" t="inlineStr">
        <is>
          <t>80</t>
        </is>
      </c>
      <c r="D904" s="3" t="n">
        <v>25268</v>
      </c>
      <c r="E904" s="13">
        <f>MIN($B$4+$B$5*D904,$B$6)</f>
        <v/>
      </c>
      <c r="F904" s="13">
        <f>$B$7</f>
        <v/>
      </c>
      <c r="G904" s="13">
        <f>E904+F904</f>
        <v/>
      </c>
      <c r="H904" s="13">
        <f>3*E904+F904</f>
        <v/>
      </c>
      <c r="I904">
        <f>IF(H904&gt;$B$8,"Oui","Non")</f>
        <v/>
      </c>
      <c r="J904" s="14">
        <f>IF(D904&gt;0,E904/D904,"")</f>
        <v/>
      </c>
    </row>
    <row r="905">
      <c r="A905" s="15" t="inlineStr">
        <is>
          <t>CC du Pays du Coquelicot</t>
        </is>
      </c>
      <c r="B905" s="15" t="inlineStr">
        <is>
          <t>Somme</t>
        </is>
      </c>
      <c r="C905" s="15" t="inlineStr">
        <is>
          <t>80</t>
        </is>
      </c>
      <c r="D905" s="16" t="n">
        <v>27909</v>
      </c>
      <c r="E905" s="17">
        <f>MIN($B$4+$B$5*D905,$B$6)</f>
        <v/>
      </c>
      <c r="F905" s="17">
        <f>$B$7</f>
        <v/>
      </c>
      <c r="G905" s="17">
        <f>E905+F905</f>
        <v/>
      </c>
      <c r="H905" s="17">
        <f>3*E905+F905</f>
        <v/>
      </c>
      <c r="I905" s="15">
        <f>IF(H905&gt;$B$8,"Oui","Non")</f>
        <v/>
      </c>
      <c r="J905" s="18">
        <f>IF(D905&gt;0,E905/D905,"")</f>
        <v/>
      </c>
    </row>
    <row r="906">
      <c r="A906" t="inlineStr">
        <is>
          <t>CC du Territoire Nord Picardie</t>
        </is>
      </c>
      <c r="B906" t="inlineStr">
        <is>
          <t>Somme</t>
        </is>
      </c>
      <c r="C906" t="inlineStr">
        <is>
          <t>80</t>
        </is>
      </c>
      <c r="D906" s="3" t="n">
        <v>30818</v>
      </c>
      <c r="E906" s="13">
        <f>MIN($B$4+$B$5*D906,$B$6)</f>
        <v/>
      </c>
      <c r="F906" s="13">
        <f>$B$7</f>
        <v/>
      </c>
      <c r="G906" s="13">
        <f>E906+F906</f>
        <v/>
      </c>
      <c r="H906" s="13">
        <f>3*E906+F906</f>
        <v/>
      </c>
      <c r="I906">
        <f>IF(H906&gt;$B$8,"Oui","Non")</f>
        <v/>
      </c>
      <c r="J906" s="14">
        <f>IF(D906&gt;0,E906/D906,"")</f>
        <v/>
      </c>
    </row>
    <row r="907">
      <c r="A907" s="15" t="inlineStr">
        <is>
          <t>CC du Val de Somme</t>
        </is>
      </c>
      <c r="B907" s="15" t="inlineStr">
        <is>
          <t>Somme</t>
        </is>
      </c>
      <c r="C907" s="15" t="inlineStr">
        <is>
          <t>80</t>
        </is>
      </c>
      <c r="D907" s="16" t="n">
        <v>26501</v>
      </c>
      <c r="E907" s="17">
        <f>MIN($B$4+$B$5*D907,$B$6)</f>
        <v/>
      </c>
      <c r="F907" s="17">
        <f>$B$7</f>
        <v/>
      </c>
      <c r="G907" s="17">
        <f>E907+F907</f>
        <v/>
      </c>
      <c r="H907" s="17">
        <f>3*E907+F907</f>
        <v/>
      </c>
      <c r="I907" s="15">
        <f>IF(H907&gt;$B$8,"Oui","Non")</f>
        <v/>
      </c>
      <c r="J907" s="18">
        <f>IF(D907&gt;0,E907/D907,"")</f>
        <v/>
      </c>
    </row>
    <row r="908">
      <c r="A908" t="inlineStr">
        <is>
          <t>CC du Vimeu</t>
        </is>
      </c>
      <c r="B908" t="inlineStr">
        <is>
          <t>Somme</t>
        </is>
      </c>
      <c r="C908" t="inlineStr">
        <is>
          <t>80</t>
        </is>
      </c>
      <c r="D908" s="3" t="n">
        <v>22234</v>
      </c>
      <c r="E908" s="13">
        <f>MIN($B$4+$B$5*D908,$B$6)</f>
        <v/>
      </c>
      <c r="F908" s="13">
        <f>$B$7</f>
        <v/>
      </c>
      <c r="G908" s="13">
        <f>E908+F908</f>
        <v/>
      </c>
      <c r="H908" s="13">
        <f>3*E908+F908</f>
        <v/>
      </c>
      <c r="I908">
        <f>IF(H908&gt;$B$8,"Oui","Non")</f>
        <v/>
      </c>
      <c r="J908" s="14">
        <f>IF(D908&gt;0,E908/D908,"")</f>
        <v/>
      </c>
    </row>
    <row r="909">
      <c r="A909" s="15" t="inlineStr">
        <is>
          <t>CC Carmausin-Ségala</t>
        </is>
      </c>
      <c r="B909" s="15" t="inlineStr">
        <is>
          <t>Tarn</t>
        </is>
      </c>
      <c r="C909" s="15" t="inlineStr">
        <is>
          <t>81</t>
        </is>
      </c>
      <c r="D909" s="16" t="n">
        <v>30115</v>
      </c>
      <c r="E909" s="17">
        <f>MIN($B$4+$B$5*D909,$B$6)</f>
        <v/>
      </c>
      <c r="F909" s="17">
        <f>$B$7</f>
        <v/>
      </c>
      <c r="G909" s="17">
        <f>E909+F909</f>
        <v/>
      </c>
      <c r="H909" s="17">
        <f>3*E909+F909</f>
        <v/>
      </c>
      <c r="I909" s="15">
        <f>IF(H909&gt;$B$8,"Oui","Non")</f>
        <v/>
      </c>
      <c r="J909" s="18">
        <f>IF(D909&gt;0,E909/D909,"")</f>
        <v/>
      </c>
    </row>
    <row r="910">
      <c r="A910" t="inlineStr">
        <is>
          <t>CC Centre Tarn</t>
        </is>
      </c>
      <c r="B910" t="inlineStr">
        <is>
          <t>Tarn</t>
        </is>
      </c>
      <c r="C910" t="inlineStr">
        <is>
          <t>81</t>
        </is>
      </c>
      <c r="D910" s="3" t="n">
        <v>11276</v>
      </c>
      <c r="E910" s="13">
        <f>MIN($B$4+$B$5*D910,$B$6)</f>
        <v/>
      </c>
      <c r="F910" s="13">
        <f>$B$7</f>
        <v/>
      </c>
      <c r="G910" s="13">
        <f>E910+F910</f>
        <v/>
      </c>
      <c r="H910" s="13">
        <f>3*E910+F910</f>
        <v/>
      </c>
      <c r="I910">
        <f>IF(H910&gt;$B$8,"Oui","Non")</f>
        <v/>
      </c>
      <c r="J910" s="14">
        <f>IF(D910&gt;0,E910/D910,"")</f>
        <v/>
      </c>
    </row>
    <row r="911">
      <c r="A911" s="15" t="inlineStr">
        <is>
          <t>CC Sidobre Vals et Plateaux</t>
        </is>
      </c>
      <c r="B911" s="15" t="inlineStr">
        <is>
          <t>Tarn</t>
        </is>
      </c>
      <c r="C911" s="15" t="inlineStr">
        <is>
          <t>81</t>
        </is>
      </c>
      <c r="D911" s="16" t="n">
        <v>12437</v>
      </c>
      <c r="E911" s="17">
        <f>MIN($B$4+$B$5*D911,$B$6)</f>
        <v/>
      </c>
      <c r="F911" s="17">
        <f>$B$7</f>
        <v/>
      </c>
      <c r="G911" s="17">
        <f>E911+F911</f>
        <v/>
      </c>
      <c r="H911" s="17">
        <f>3*E911+F911</f>
        <v/>
      </c>
      <c r="I911" s="15">
        <f>IF(H911&gt;$B$8,"Oui","Non")</f>
        <v/>
      </c>
      <c r="J911" s="18">
        <f>IF(D911&gt;0,E911/D911,"")</f>
        <v/>
      </c>
    </row>
    <row r="912">
      <c r="A912" t="inlineStr">
        <is>
          <t>CC Thoré Montagne Noire</t>
        </is>
      </c>
      <c r="B912" t="inlineStr">
        <is>
          <t>Tarn</t>
        </is>
      </c>
      <c r="C912" t="inlineStr">
        <is>
          <t>81</t>
        </is>
      </c>
      <c r="D912" s="3" t="n">
        <v>5057</v>
      </c>
      <c r="E912" s="13">
        <f>MIN($B$4+$B$5*D912,$B$6)</f>
        <v/>
      </c>
      <c r="F912" s="13">
        <f>$B$7</f>
        <v/>
      </c>
      <c r="G912" s="13">
        <f>E912+F912</f>
        <v/>
      </c>
      <c r="H912" s="13">
        <f>3*E912+F912</f>
        <v/>
      </c>
      <c r="I912">
        <f>IF(H912&gt;$B$8,"Oui","Non")</f>
        <v/>
      </c>
      <c r="J912" s="14">
        <f>IF(D912&gt;0,E912/D912,"")</f>
        <v/>
      </c>
    </row>
    <row r="913">
      <c r="A913" s="15" t="inlineStr">
        <is>
          <t>CC Val 81</t>
        </is>
      </c>
      <c r="B913" s="15" t="inlineStr">
        <is>
          <t>Tarn</t>
        </is>
      </c>
      <c r="C913" s="15" t="inlineStr">
        <is>
          <t>81</t>
        </is>
      </c>
      <c r="D913" s="16" t="n">
        <v>5559</v>
      </c>
      <c r="E913" s="17">
        <f>MIN($B$4+$B$5*D913,$B$6)</f>
        <v/>
      </c>
      <c r="F913" s="17">
        <f>$B$7</f>
        <v/>
      </c>
      <c r="G913" s="17">
        <f>E913+F913</f>
        <v/>
      </c>
      <c r="H913" s="17">
        <f>3*E913+F913</f>
        <v/>
      </c>
      <c r="I913" s="15">
        <f>IF(H913&gt;$B$8,"Oui","Non")</f>
        <v/>
      </c>
      <c r="J913" s="18">
        <f>IF(D913&gt;0,E913/D913,"")</f>
        <v/>
      </c>
    </row>
    <row r="914">
      <c r="A914" t="inlineStr">
        <is>
          <t>CC des Monts d'Alban et du Villefranchois</t>
        </is>
      </c>
      <c r="B914" t="inlineStr">
        <is>
          <t>Tarn</t>
        </is>
      </c>
      <c r="C914" t="inlineStr">
        <is>
          <t>81</t>
        </is>
      </c>
      <c r="D914" s="3" t="n">
        <v>6360</v>
      </c>
      <c r="E914" s="13">
        <f>MIN($B$4+$B$5*D914,$B$6)</f>
        <v/>
      </c>
      <c r="F914" s="13">
        <f>$B$7</f>
        <v/>
      </c>
      <c r="G914" s="13">
        <f>E914+F914</f>
        <v/>
      </c>
      <c r="H914" s="13">
        <f>3*E914+F914</f>
        <v/>
      </c>
      <c r="I914">
        <f>IF(H914&gt;$B$8,"Oui","Non")</f>
        <v/>
      </c>
      <c r="J914" s="14">
        <f>IF(D914&gt;0,E914/D914,"")</f>
        <v/>
      </c>
    </row>
    <row r="915">
      <c r="A915" s="15" t="inlineStr">
        <is>
          <t>CC du Cordais et du Causse (4 C)</t>
        </is>
      </c>
      <c r="B915" s="15" t="inlineStr">
        <is>
          <t>Tarn</t>
        </is>
      </c>
      <c r="C915" s="15" t="inlineStr">
        <is>
          <t>81</t>
        </is>
      </c>
      <c r="D915" s="16" t="n">
        <v>5381</v>
      </c>
      <c r="E915" s="17">
        <f>MIN($B$4+$B$5*D915,$B$6)</f>
        <v/>
      </c>
      <c r="F915" s="17">
        <f>$B$7</f>
        <v/>
      </c>
      <c r="G915" s="17">
        <f>E915+F915</f>
        <v/>
      </c>
      <c r="H915" s="17">
        <f>3*E915+F915</f>
        <v/>
      </c>
      <c r="I915" s="15">
        <f>IF(H915&gt;$B$8,"Oui","Non")</f>
        <v/>
      </c>
      <c r="J915" s="18">
        <f>IF(D915&gt;0,E915/D915,"")</f>
        <v/>
      </c>
    </row>
    <row r="916">
      <c r="A916" t="inlineStr">
        <is>
          <t>CC du Lautrécois et du Pays d'Agout</t>
        </is>
      </c>
      <c r="B916" t="inlineStr">
        <is>
          <t>Tarn</t>
        </is>
      </c>
      <c r="C916" t="inlineStr">
        <is>
          <t>81</t>
        </is>
      </c>
      <c r="D916" s="3" t="n">
        <v>14303</v>
      </c>
      <c r="E916" s="13">
        <f>MIN($B$4+$B$5*D916,$B$6)</f>
        <v/>
      </c>
      <c r="F916" s="13">
        <f>$B$7</f>
        <v/>
      </c>
      <c r="G916" s="13">
        <f>E916+F916</f>
        <v/>
      </c>
      <c r="H916" s="13">
        <f>3*E916+F916</f>
        <v/>
      </c>
      <c r="I916">
        <f>IF(H916&gt;$B$8,"Oui","Non")</f>
        <v/>
      </c>
      <c r="J916" s="14">
        <f>IF(D916&gt;0,E916/D916,"")</f>
        <v/>
      </c>
    </row>
    <row r="917">
      <c r="A917" s="15" t="inlineStr">
        <is>
          <t>CC du Quercy Rouergue et des Gorges de l'Aveyron</t>
        </is>
      </c>
      <c r="B917" s="15" t="inlineStr">
        <is>
          <t>Tarn, Tarn-et-Garonne</t>
        </is>
      </c>
      <c r="C917" s="15" t="inlineStr">
        <is>
          <t>81, 82</t>
        </is>
      </c>
      <c r="D917" s="16" t="n">
        <v>7848</v>
      </c>
      <c r="E917" s="17">
        <f>MIN($B$4+$B$5*D917,$B$6)</f>
        <v/>
      </c>
      <c r="F917" s="17">
        <f>$B$7</f>
        <v/>
      </c>
      <c r="G917" s="17">
        <f>E917+F917</f>
        <v/>
      </c>
      <c r="H917" s="17">
        <f>3*E917+F917</f>
        <v/>
      </c>
      <c r="I917" s="15">
        <f>IF(H917&gt;$B$8,"Oui","Non")</f>
        <v/>
      </c>
      <c r="J917" s="18">
        <f>IF(D917&gt;0,E917/D917,"")</f>
        <v/>
      </c>
    </row>
    <row r="918">
      <c r="A918" t="inlineStr">
        <is>
          <t>CC du Sor et de l'Agout</t>
        </is>
      </c>
      <c r="B918" t="inlineStr">
        <is>
          <t>Tarn</t>
        </is>
      </c>
      <c r="C918" t="inlineStr">
        <is>
          <t>81</t>
        </is>
      </c>
      <c r="D918" s="3" t="n">
        <v>23206</v>
      </c>
      <c r="E918" s="13">
        <f>MIN($B$4+$B$5*D918,$B$6)</f>
        <v/>
      </c>
      <c r="F918" s="13">
        <f>$B$7</f>
        <v/>
      </c>
      <c r="G918" s="13">
        <f>E918+F918</f>
        <v/>
      </c>
      <c r="H918" s="13">
        <f>3*E918+F918</f>
        <v/>
      </c>
      <c r="I918">
        <f>IF(H918&gt;$B$8,"Oui","Non")</f>
        <v/>
      </c>
      <c r="J918" s="14">
        <f>IF(D918&gt;0,E918/D918,"")</f>
        <v/>
      </c>
    </row>
    <row r="919">
      <c r="A919" s="15" t="inlineStr">
        <is>
          <t>CC Grand Sud Tarn-et-Garonne</t>
        </is>
      </c>
      <c r="B919" s="15" t="inlineStr">
        <is>
          <t>Tarn-et-Garonne</t>
        </is>
      </c>
      <c r="C919" s="15" t="inlineStr">
        <is>
          <t>82</t>
        </is>
      </c>
      <c r="D919" s="16" t="n">
        <v>43301</v>
      </c>
      <c r="E919" s="17">
        <f>MIN($B$4+$B$5*D919,$B$6)</f>
        <v/>
      </c>
      <c r="F919" s="17">
        <f>$B$7</f>
        <v/>
      </c>
      <c r="G919" s="17">
        <f>E919+F919</f>
        <v/>
      </c>
      <c r="H919" s="17">
        <f>3*E919+F919</f>
        <v/>
      </c>
      <c r="I919" s="15">
        <f>IF(H919&gt;$B$8,"Oui","Non")</f>
        <v/>
      </c>
      <c r="J919" s="18">
        <f>IF(D919&gt;0,E919/D919,"")</f>
        <v/>
      </c>
    </row>
    <row r="920">
      <c r="A920" t="inlineStr">
        <is>
          <t>CC Quercy Vert-Aveyron</t>
        </is>
      </c>
      <c r="B920" t="inlineStr">
        <is>
          <t>Tarn-et-Garonne</t>
        </is>
      </c>
      <c r="C920" t="inlineStr">
        <is>
          <t>82</t>
        </is>
      </c>
      <c r="D920" s="3" t="n">
        <v>21707</v>
      </c>
      <c r="E920" s="13">
        <f>MIN($B$4+$B$5*D920,$B$6)</f>
        <v/>
      </c>
      <c r="F920" s="13">
        <f>$B$7</f>
        <v/>
      </c>
      <c r="G920" s="13">
        <f>E920+F920</f>
        <v/>
      </c>
      <c r="H920" s="13">
        <f>3*E920+F920</f>
        <v/>
      </c>
      <c r="I920">
        <f>IF(H920&gt;$B$8,"Oui","Non")</f>
        <v/>
      </c>
      <c r="J920" s="14">
        <f>IF(D920&gt;0,E920/D920,"")</f>
        <v/>
      </c>
    </row>
    <row r="921">
      <c r="A921" s="15" t="inlineStr">
        <is>
          <t>CC Terres des Confluences</t>
        </is>
      </c>
      <c r="B921" s="15" t="inlineStr">
        <is>
          <t>Tarn-et-Garonne</t>
        </is>
      </c>
      <c r="C921" s="15" t="inlineStr">
        <is>
          <t>82</t>
        </is>
      </c>
      <c r="D921" s="16" t="n">
        <v>42367</v>
      </c>
      <c r="E921" s="17">
        <f>MIN($B$4+$B$5*D921,$B$6)</f>
        <v/>
      </c>
      <c r="F921" s="17">
        <f>$B$7</f>
        <v/>
      </c>
      <c r="G921" s="17">
        <f>E921+F921</f>
        <v/>
      </c>
      <c r="H921" s="17">
        <f>3*E921+F921</f>
        <v/>
      </c>
      <c r="I921" s="15">
        <f>IF(H921&gt;$B$8,"Oui","Non")</f>
        <v/>
      </c>
      <c r="J921" s="18">
        <f>IF(D921&gt;0,E921/D921,"")</f>
        <v/>
      </c>
    </row>
    <row r="922">
      <c r="A922" t="inlineStr">
        <is>
          <t>CC de la Lomagne Tarn-et-Garonnaise</t>
        </is>
      </c>
      <c r="B922" t="inlineStr">
        <is>
          <t>Tarn-et-Garonne</t>
        </is>
      </c>
      <c r="C922" t="inlineStr">
        <is>
          <t>82</t>
        </is>
      </c>
      <c r="D922" s="3" t="n">
        <v>10003</v>
      </c>
      <c r="E922" s="13">
        <f>MIN($B$4+$B$5*D922,$B$6)</f>
        <v/>
      </c>
      <c r="F922" s="13">
        <f>$B$7</f>
        <v/>
      </c>
      <c r="G922" s="13">
        <f>E922+F922</f>
        <v/>
      </c>
      <c r="H922" s="13">
        <f>3*E922+F922</f>
        <v/>
      </c>
      <c r="I922">
        <f>IF(H922&gt;$B$8,"Oui","Non")</f>
        <v/>
      </c>
      <c r="J922" s="14">
        <f>IF(D922&gt;0,E922/D922,"")</f>
        <v/>
      </c>
    </row>
    <row r="923">
      <c r="A923" s="15" t="inlineStr">
        <is>
          <t>CC du Pays de Lafrançaise</t>
        </is>
      </c>
      <c r="B923" s="15" t="inlineStr">
        <is>
          <t>Tarn-et-Garonne</t>
        </is>
      </c>
      <c r="C923" s="15" t="inlineStr">
        <is>
          <t>82</t>
        </is>
      </c>
      <c r="D923" s="16" t="n">
        <v>11246</v>
      </c>
      <c r="E923" s="17">
        <f>MIN($B$4+$B$5*D923,$B$6)</f>
        <v/>
      </c>
      <c r="F923" s="17">
        <f>$B$7</f>
        <v/>
      </c>
      <c r="G923" s="17">
        <f>E923+F923</f>
        <v/>
      </c>
      <c r="H923" s="17">
        <f>3*E923+F923</f>
        <v/>
      </c>
      <c r="I923" s="15">
        <f>IF(H923&gt;$B$8,"Oui","Non")</f>
        <v/>
      </c>
      <c r="J923" s="18">
        <f>IF(D923&gt;0,E923/D923,"")</f>
        <v/>
      </c>
    </row>
    <row r="924">
      <c r="A924" t="inlineStr">
        <is>
          <t>CC du Pays de Serres en Quercy</t>
        </is>
      </c>
      <c r="B924" t="inlineStr">
        <is>
          <t>Tarn-et-Garonne</t>
        </is>
      </c>
      <c r="C924" t="inlineStr">
        <is>
          <t>82</t>
        </is>
      </c>
      <c r="D924" s="3" t="n">
        <v>8386</v>
      </c>
      <c r="E924" s="13">
        <f>MIN($B$4+$B$5*D924,$B$6)</f>
        <v/>
      </c>
      <c r="F924" s="13">
        <f>$B$7</f>
        <v/>
      </c>
      <c r="G924" s="13">
        <f>E924+F924</f>
        <v/>
      </c>
      <c r="H924" s="13">
        <f>3*E924+F924</f>
        <v/>
      </c>
      <c r="I924">
        <f>IF(H924&gt;$B$8,"Oui","Non")</f>
        <v/>
      </c>
      <c r="J924" s="14">
        <f>IF(D924&gt;0,E924/D924,"")</f>
        <v/>
      </c>
    </row>
    <row r="925">
      <c r="A925" s="15" t="inlineStr">
        <is>
          <t>CC du Quercy Caussadais</t>
        </is>
      </c>
      <c r="B925" s="15" t="inlineStr">
        <is>
          <t>Tarn-et-Garonne</t>
        </is>
      </c>
      <c r="C925" s="15" t="inlineStr">
        <is>
          <t>82</t>
        </is>
      </c>
      <c r="D925" s="16" t="n">
        <v>20434</v>
      </c>
      <c r="E925" s="17">
        <f>MIN($B$4+$B$5*D925,$B$6)</f>
        <v/>
      </c>
      <c r="F925" s="17">
        <f>$B$7</f>
        <v/>
      </c>
      <c r="G925" s="17">
        <f>E925+F925</f>
        <v/>
      </c>
      <c r="H925" s="17">
        <f>3*E925+F925</f>
        <v/>
      </c>
      <c r="I925" s="15">
        <f>IF(H925&gt;$B$8,"Oui","Non")</f>
        <v/>
      </c>
      <c r="J925" s="18">
        <f>IF(D925&gt;0,E925/D925,"")</f>
        <v/>
      </c>
    </row>
    <row r="926">
      <c r="A926" t="inlineStr">
        <is>
          <t>CC Coeur du Var</t>
        </is>
      </c>
      <c r="B926" t="inlineStr">
        <is>
          <t>Var</t>
        </is>
      </c>
      <c r="C926" t="inlineStr">
        <is>
          <t>83</t>
        </is>
      </c>
      <c r="D926" s="3" t="n">
        <v>45824</v>
      </c>
      <c r="E926" s="13">
        <f>MIN($B$4+$B$5*D926,$B$6)</f>
        <v/>
      </c>
      <c r="F926" s="13">
        <f>$B$7</f>
        <v/>
      </c>
      <c r="G926" s="13">
        <f>E926+F926</f>
        <v/>
      </c>
      <c r="H926" s="13">
        <f>3*E926+F926</f>
        <v/>
      </c>
      <c r="I926">
        <f>IF(H926&gt;$B$8,"Oui","Non")</f>
        <v/>
      </c>
      <c r="J926" s="14">
        <f>IF(D926&gt;0,E926/D926,"")</f>
        <v/>
      </c>
    </row>
    <row r="927">
      <c r="A927" s="15" t="inlineStr">
        <is>
          <t>CC Lacs et Gorges du Verdon</t>
        </is>
      </c>
      <c r="B927" s="15" t="inlineStr">
        <is>
          <t>Var</t>
        </is>
      </c>
      <c r="C927" s="15" t="inlineStr">
        <is>
          <t>83</t>
        </is>
      </c>
      <c r="D927" s="16" t="n">
        <v>8984</v>
      </c>
      <c r="E927" s="17">
        <f>MIN($B$4+$B$5*D927,$B$6)</f>
        <v/>
      </c>
      <c r="F927" s="17">
        <f>$B$7</f>
        <v/>
      </c>
      <c r="G927" s="17">
        <f>E927+F927</f>
        <v/>
      </c>
      <c r="H927" s="17">
        <f>3*E927+F927</f>
        <v/>
      </c>
      <c r="I927" s="15">
        <f>IF(H927&gt;$B$8,"Oui","Non")</f>
        <v/>
      </c>
      <c r="J927" s="18">
        <f>IF(D927&gt;0,E927/D927,"")</f>
        <v/>
      </c>
    </row>
    <row r="928">
      <c r="A928" t="inlineStr">
        <is>
          <t>CC Méditerranée Porte des Maures</t>
        </is>
      </c>
      <c r="B928" t="inlineStr">
        <is>
          <t>Var</t>
        </is>
      </c>
      <c r="C928" t="inlineStr">
        <is>
          <t>83</t>
        </is>
      </c>
      <c r="D928" s="3" t="n">
        <v>46540</v>
      </c>
      <c r="E928" s="13">
        <f>MIN($B$4+$B$5*D928,$B$6)</f>
        <v/>
      </c>
      <c r="F928" s="13">
        <f>$B$7</f>
        <v/>
      </c>
      <c r="G928" s="13">
        <f>E928+F928</f>
        <v/>
      </c>
      <c r="H928" s="13">
        <f>3*E928+F928</f>
        <v/>
      </c>
      <c r="I928">
        <f>IF(H928&gt;$B$8,"Oui","Non")</f>
        <v/>
      </c>
      <c r="J928" s="14">
        <f>IF(D928&gt;0,E928/D928,"")</f>
        <v/>
      </c>
    </row>
    <row r="929">
      <c r="A929" s="15" t="inlineStr">
        <is>
          <t>CC Provence Verdon</t>
        </is>
      </c>
      <c r="B929" s="15" t="inlineStr">
        <is>
          <t>Var</t>
        </is>
      </c>
      <c r="C929" s="15" t="inlineStr">
        <is>
          <t>83</t>
        </is>
      </c>
      <c r="D929" s="16" t="n">
        <v>22923</v>
      </c>
      <c r="E929" s="17">
        <f>MIN($B$4+$B$5*D929,$B$6)</f>
        <v/>
      </c>
      <c r="F929" s="17">
        <f>$B$7</f>
        <v/>
      </c>
      <c r="G929" s="17">
        <f>E929+F929</f>
        <v/>
      </c>
      <c r="H929" s="17">
        <f>3*E929+F929</f>
        <v/>
      </c>
      <c r="I929" s="15">
        <f>IF(H929&gt;$B$8,"Oui","Non")</f>
        <v/>
      </c>
      <c r="J929" s="18">
        <f>IF(D929&gt;0,E929/D929,"")</f>
        <v/>
      </c>
    </row>
    <row r="930">
      <c r="A930" t="inlineStr">
        <is>
          <t>CC de la Vallée du Gapeau</t>
        </is>
      </c>
      <c r="B930" t="inlineStr">
        <is>
          <t>Var</t>
        </is>
      </c>
      <c r="C930" t="inlineStr">
        <is>
          <t>83</t>
        </is>
      </c>
      <c r="D930" s="3" t="n">
        <v>32961</v>
      </c>
      <c r="E930" s="13">
        <f>MIN($B$4+$B$5*D930,$B$6)</f>
        <v/>
      </c>
      <c r="F930" s="13">
        <f>$B$7</f>
        <v/>
      </c>
      <c r="G930" s="13">
        <f>E930+F930</f>
        <v/>
      </c>
      <c r="H930" s="13">
        <f>3*E930+F930</f>
        <v/>
      </c>
      <c r="I930">
        <f>IF(H930&gt;$B$8,"Oui","Non")</f>
        <v/>
      </c>
      <c r="J930" s="14">
        <f>IF(D930&gt;0,E930/D930,"")</f>
        <v/>
      </c>
    </row>
    <row r="931">
      <c r="A931" s="15" t="inlineStr">
        <is>
          <t>CC du Golfe de Saint-Tropez</t>
        </is>
      </c>
      <c r="B931" s="15" t="inlineStr">
        <is>
          <t>Var</t>
        </is>
      </c>
      <c r="C931" s="15" t="inlineStr">
        <is>
          <t>83</t>
        </is>
      </c>
      <c r="D931" s="16" t="n">
        <v>57965</v>
      </c>
      <c r="E931" s="17">
        <f>MIN($B$4+$B$5*D931,$B$6)</f>
        <v/>
      </c>
      <c r="F931" s="17">
        <f>$B$7</f>
        <v/>
      </c>
      <c r="G931" s="17">
        <f>E931+F931</f>
        <v/>
      </c>
      <c r="H931" s="17">
        <f>3*E931+F931</f>
        <v/>
      </c>
      <c r="I931" s="15">
        <f>IF(H931&gt;$B$8,"Oui","Non")</f>
        <v/>
      </c>
      <c r="J931" s="18">
        <f>IF(D931&gt;0,E931/D931,"")</f>
        <v/>
      </c>
    </row>
    <row r="932">
      <c r="A932" t="inlineStr">
        <is>
          <t>CC du Pays de Fayence</t>
        </is>
      </c>
      <c r="B932" t="inlineStr">
        <is>
          <t>Var</t>
        </is>
      </c>
      <c r="C932" t="inlineStr">
        <is>
          <t>83</t>
        </is>
      </c>
      <c r="D932" s="3" t="n">
        <v>29769</v>
      </c>
      <c r="E932" s="13">
        <f>MIN($B$4+$B$5*D932,$B$6)</f>
        <v/>
      </c>
      <c r="F932" s="13">
        <f>$B$7</f>
        <v/>
      </c>
      <c r="G932" s="13">
        <f>E932+F932</f>
        <v/>
      </c>
      <c r="H932" s="13">
        <f>3*E932+F932</f>
        <v/>
      </c>
      <c r="I932">
        <f>IF(H932&gt;$B$8,"Oui","Non")</f>
        <v/>
      </c>
      <c r="J932" s="14">
        <f>IF(D932&gt;0,E932/D932,"")</f>
        <v/>
      </c>
    </row>
    <row r="933">
      <c r="A933" s="15" t="inlineStr">
        <is>
          <t>CC Aygues-Ouvèze en Provence (CCAOP)</t>
        </is>
      </c>
      <c r="B933" s="15" t="inlineStr">
        <is>
          <t>Vaucluse</t>
        </is>
      </c>
      <c r="C933" s="15" t="inlineStr">
        <is>
          <t>84</t>
        </is>
      </c>
      <c r="D933" s="16" t="n">
        <v>20252</v>
      </c>
      <c r="E933" s="17">
        <f>MIN($B$4+$B$5*D933,$B$6)</f>
        <v/>
      </c>
      <c r="F933" s="17">
        <f>$B$7</f>
        <v/>
      </c>
      <c r="G933" s="17">
        <f>E933+F933</f>
        <v/>
      </c>
      <c r="H933" s="17">
        <f>3*E933+F933</f>
        <v/>
      </c>
      <c r="I933" s="15">
        <f>IF(H933&gt;$B$8,"Oui","Non")</f>
        <v/>
      </c>
      <c r="J933" s="18">
        <f>IF(D933&gt;0,E933/D933,"")</f>
        <v/>
      </c>
    </row>
    <row r="934">
      <c r="A934" t="inlineStr">
        <is>
          <t>CC Pays d'Orange en Provence</t>
        </is>
      </c>
      <c r="B934" t="inlineStr">
        <is>
          <t>Vaucluse</t>
        </is>
      </c>
      <c r="C934" t="inlineStr">
        <is>
          <t>84</t>
        </is>
      </c>
      <c r="D934" s="3" t="n">
        <v>45401</v>
      </c>
      <c r="E934" s="13">
        <f>MIN($B$4+$B$5*D934,$B$6)</f>
        <v/>
      </c>
      <c r="F934" s="13">
        <f>$B$7</f>
        <v/>
      </c>
      <c r="G934" s="13">
        <f>E934+F934</f>
        <v/>
      </c>
      <c r="H934" s="13">
        <f>3*E934+F934</f>
        <v/>
      </c>
      <c r="I934">
        <f>IF(H934&gt;$B$8,"Oui","Non")</f>
        <v/>
      </c>
      <c r="J934" s="14">
        <f>IF(D934&gt;0,E934/D934,"")</f>
        <v/>
      </c>
    </row>
    <row r="935">
      <c r="A935" s="15" t="inlineStr">
        <is>
          <t>CC Rhône Lez Provence</t>
        </is>
      </c>
      <c r="B935" s="15" t="inlineStr">
        <is>
          <t>Vaucluse</t>
        </is>
      </c>
      <c r="C935" s="15" t="inlineStr">
        <is>
          <t>84</t>
        </is>
      </c>
      <c r="D935" s="16" t="n">
        <v>24385</v>
      </c>
      <c r="E935" s="17">
        <f>MIN($B$4+$B$5*D935,$B$6)</f>
        <v/>
      </c>
      <c r="F935" s="17">
        <f>$B$7</f>
        <v/>
      </c>
      <c r="G935" s="17">
        <f>E935+F935</f>
        <v/>
      </c>
      <c r="H935" s="17">
        <f>3*E935+F935</f>
        <v/>
      </c>
      <c r="I935" s="15">
        <f>IF(H935&gt;$B$8,"Oui","Non")</f>
        <v/>
      </c>
      <c r="J935" s="18">
        <f>IF(D935&gt;0,E935/D935,"")</f>
        <v/>
      </c>
    </row>
    <row r="936">
      <c r="A936" t="inlineStr">
        <is>
          <t>CC Territoriale Sud-Luberon</t>
        </is>
      </c>
      <c r="B936" t="inlineStr">
        <is>
          <t>Vaucluse</t>
        </is>
      </c>
      <c r="C936" t="inlineStr">
        <is>
          <t>84</t>
        </is>
      </c>
      <c r="D936" s="3" t="n">
        <v>25719</v>
      </c>
      <c r="E936" s="13">
        <f>MIN($B$4+$B$5*D936,$B$6)</f>
        <v/>
      </c>
      <c r="F936" s="13">
        <f>$B$7</f>
        <v/>
      </c>
      <c r="G936" s="13">
        <f>E936+F936</f>
        <v/>
      </c>
      <c r="H936" s="13">
        <f>3*E936+F936</f>
        <v/>
      </c>
      <c r="I936">
        <f>IF(H936&gt;$B$8,"Oui","Non")</f>
        <v/>
      </c>
      <c r="J936" s="14">
        <f>IF(D936&gt;0,E936/D936,"")</f>
        <v/>
      </c>
    </row>
    <row r="937">
      <c r="A937" s="15" t="inlineStr">
        <is>
          <t>CC du Pays des Sorgues et des Monts de Vaucluse</t>
        </is>
      </c>
      <c r="B937" s="15" t="inlineStr">
        <is>
          <t>Vaucluse</t>
        </is>
      </c>
      <c r="C937" s="15" t="inlineStr">
        <is>
          <t>84</t>
        </is>
      </c>
      <c r="D937" s="16" t="n">
        <v>34163</v>
      </c>
      <c r="E937" s="17">
        <f>MIN($B$4+$B$5*D937,$B$6)</f>
        <v/>
      </c>
      <c r="F937" s="17">
        <f>$B$7</f>
        <v/>
      </c>
      <c r="G937" s="17">
        <f>E937+F937</f>
        <v/>
      </c>
      <c r="H937" s="17">
        <f>3*E937+F937</f>
        <v/>
      </c>
      <c r="I937" s="15">
        <f>IF(H937&gt;$B$8,"Oui","Non")</f>
        <v/>
      </c>
      <c r="J937" s="18">
        <f>IF(D937&gt;0,E937/D937,"")</f>
        <v/>
      </c>
    </row>
    <row r="938">
      <c r="A938" t="inlineStr">
        <is>
          <t>CC Challans-Gois Communauté</t>
        </is>
      </c>
      <c r="B938" t="inlineStr">
        <is>
          <t>Vendée</t>
        </is>
      </c>
      <c r="C938" t="inlineStr">
        <is>
          <t>85</t>
        </is>
      </c>
      <c r="D938" s="3" t="n">
        <v>50705</v>
      </c>
      <c r="E938" s="13">
        <f>MIN($B$4+$B$5*D938,$B$6)</f>
        <v/>
      </c>
      <c r="F938" s="13">
        <f>$B$7</f>
        <v/>
      </c>
      <c r="G938" s="13">
        <f>E938+F938</f>
        <v/>
      </c>
      <c r="H938" s="13">
        <f>3*E938+F938</f>
        <v/>
      </c>
      <c r="I938">
        <f>IF(H938&gt;$B$8,"Oui","Non")</f>
        <v/>
      </c>
      <c r="J938" s="14">
        <f>IF(D938&gt;0,E938/D938,"")</f>
        <v/>
      </c>
    </row>
    <row r="939">
      <c r="A939" s="15" t="inlineStr">
        <is>
          <t>CC Océan Marais de Monts</t>
        </is>
      </c>
      <c r="B939" s="15" t="inlineStr">
        <is>
          <t>Vendée</t>
        </is>
      </c>
      <c r="C939" s="15" t="inlineStr">
        <is>
          <t>85</t>
        </is>
      </c>
      <c r="D939" s="16" t="n">
        <v>20203</v>
      </c>
      <c r="E939" s="17">
        <f>MIN($B$4+$B$5*D939,$B$6)</f>
        <v/>
      </c>
      <c r="F939" s="17">
        <f>$B$7</f>
        <v/>
      </c>
      <c r="G939" s="17">
        <f>E939+F939</f>
        <v/>
      </c>
      <c r="H939" s="17">
        <f>3*E939+F939</f>
        <v/>
      </c>
      <c r="I939" s="15">
        <f>IF(H939&gt;$B$8,"Oui","Non")</f>
        <v/>
      </c>
      <c r="J939" s="18">
        <f>IF(D939&gt;0,E939/D939,"")</f>
        <v/>
      </c>
    </row>
    <row r="940">
      <c r="A940" t="inlineStr">
        <is>
          <t>CC Pays de Chantonnay</t>
        </is>
      </c>
      <c r="B940" t="inlineStr">
        <is>
          <t>Vendée</t>
        </is>
      </c>
      <c r="C940" t="inlineStr">
        <is>
          <t>85</t>
        </is>
      </c>
      <c r="D940" s="3" t="n">
        <v>23216</v>
      </c>
      <c r="E940" s="13">
        <f>MIN($B$4+$B$5*D940,$B$6)</f>
        <v/>
      </c>
      <c r="F940" s="13">
        <f>$B$7</f>
        <v/>
      </c>
      <c r="G940" s="13">
        <f>E940+F940</f>
        <v/>
      </c>
      <c r="H940" s="13">
        <f>3*E940+F940</f>
        <v/>
      </c>
      <c r="I940">
        <f>IF(H940&gt;$B$8,"Oui","Non")</f>
        <v/>
      </c>
      <c r="J940" s="14">
        <f>IF(D940&gt;0,E940/D940,"")</f>
        <v/>
      </c>
    </row>
    <row r="941">
      <c r="A941" s="15" t="inlineStr">
        <is>
          <t>CC Sud Vendée Littoral</t>
        </is>
      </c>
      <c r="B941" s="15" t="inlineStr">
        <is>
          <t>Vendée</t>
        </is>
      </c>
      <c r="C941" s="15" t="inlineStr">
        <is>
          <t>85</t>
        </is>
      </c>
      <c r="D941" s="16" t="n">
        <v>55649</v>
      </c>
      <c r="E941" s="17">
        <f>MIN($B$4+$B$5*D941,$B$6)</f>
        <v/>
      </c>
      <c r="F941" s="17">
        <f>$B$7</f>
        <v/>
      </c>
      <c r="G941" s="17">
        <f>E941+F941</f>
        <v/>
      </c>
      <c r="H941" s="17">
        <f>3*E941+F941</f>
        <v/>
      </c>
      <c r="I941" s="15">
        <f>IF(H941&gt;$B$8,"Oui","Non")</f>
        <v/>
      </c>
      <c r="J941" s="18">
        <f>IF(D941&gt;0,E941/D941,"")</f>
        <v/>
      </c>
    </row>
    <row r="942">
      <c r="A942" t="inlineStr">
        <is>
          <t>CC Vendée Grand Littoral</t>
        </is>
      </c>
      <c r="B942" t="inlineStr">
        <is>
          <t>Vendée</t>
        </is>
      </c>
      <c r="C942" t="inlineStr">
        <is>
          <t>85</t>
        </is>
      </c>
      <c r="D942" s="3" t="n">
        <v>36360</v>
      </c>
      <c r="E942" s="13">
        <f>MIN($B$4+$B$5*D942,$B$6)</f>
        <v/>
      </c>
      <c r="F942" s="13">
        <f>$B$7</f>
        <v/>
      </c>
      <c r="G942" s="13">
        <f>E942+F942</f>
        <v/>
      </c>
      <c r="H942" s="13">
        <f>3*E942+F942</f>
        <v/>
      </c>
      <c r="I942">
        <f>IF(H942&gt;$B$8,"Oui","Non")</f>
        <v/>
      </c>
      <c r="J942" s="14">
        <f>IF(D942&gt;0,E942/D942,"")</f>
        <v/>
      </c>
    </row>
    <row r="943">
      <c r="A943" s="15" t="inlineStr">
        <is>
          <t>CC Vendée, Sèvre, Autise</t>
        </is>
      </c>
      <c r="B943" s="15" t="inlineStr">
        <is>
          <t>Vendée</t>
        </is>
      </c>
      <c r="C943" s="15" t="inlineStr">
        <is>
          <t>85</t>
        </is>
      </c>
      <c r="D943" s="16" t="n">
        <v>16191</v>
      </c>
      <c r="E943" s="17">
        <f>MIN($B$4+$B$5*D943,$B$6)</f>
        <v/>
      </c>
      <c r="F943" s="17">
        <f>$B$7</f>
        <v/>
      </c>
      <c r="G943" s="17">
        <f>E943+F943</f>
        <v/>
      </c>
      <c r="H943" s="17">
        <f>3*E943+F943</f>
        <v/>
      </c>
      <c r="I943" s="15">
        <f>IF(H943&gt;$B$8,"Oui","Non")</f>
        <v/>
      </c>
      <c r="J943" s="18">
        <f>IF(D943&gt;0,E943/D943,"")</f>
        <v/>
      </c>
    </row>
    <row r="944">
      <c r="A944" t="inlineStr">
        <is>
          <t>CC de Vie et Boulogne</t>
        </is>
      </c>
      <c r="B944" t="inlineStr">
        <is>
          <t>Vendée</t>
        </is>
      </c>
      <c r="C944" t="inlineStr">
        <is>
          <t>85</t>
        </is>
      </c>
      <c r="D944" s="3" t="n">
        <v>46344</v>
      </c>
      <c r="E944" s="13">
        <f>MIN($B$4+$B$5*D944,$B$6)</f>
        <v/>
      </c>
      <c r="F944" s="13">
        <f>$B$7</f>
        <v/>
      </c>
      <c r="G944" s="13">
        <f>E944+F944</f>
        <v/>
      </c>
      <c r="H944" s="13">
        <f>3*E944+F944</f>
        <v/>
      </c>
      <c r="I944">
        <f>IF(H944&gt;$B$8,"Oui","Non")</f>
        <v/>
      </c>
      <c r="J944" s="14">
        <f>IF(D944&gt;0,E944/D944,"")</f>
        <v/>
      </c>
    </row>
    <row r="945">
      <c r="A945" s="15" t="inlineStr">
        <is>
          <t>CC de l'Ile de Noirmoutier</t>
        </is>
      </c>
      <c r="B945" s="15" t="inlineStr">
        <is>
          <t>Vendée</t>
        </is>
      </c>
      <c r="C945" s="15" t="inlineStr">
        <is>
          <t>85</t>
        </is>
      </c>
      <c r="D945" s="16" t="n">
        <v>9270</v>
      </c>
      <c r="E945" s="17">
        <f>MIN($B$4+$B$5*D945,$B$6)</f>
        <v/>
      </c>
      <c r="F945" s="17">
        <f>$B$7</f>
        <v/>
      </c>
      <c r="G945" s="17">
        <f>E945+F945</f>
        <v/>
      </c>
      <c r="H945" s="17">
        <f>3*E945+F945</f>
        <v/>
      </c>
      <c r="I945" s="15">
        <f>IF(H945&gt;$B$8,"Oui","Non")</f>
        <v/>
      </c>
      <c r="J945" s="18">
        <f>IF(D945&gt;0,E945/D945,"")</f>
        <v/>
      </c>
    </row>
    <row r="946">
      <c r="A946" t="inlineStr">
        <is>
          <t>CC du Pays de Fontenay-Vendée</t>
        </is>
      </c>
      <c r="B946" t="inlineStr">
        <is>
          <t>Vendée</t>
        </is>
      </c>
      <c r="C946" t="inlineStr">
        <is>
          <t>85</t>
        </is>
      </c>
      <c r="D946" s="3" t="n">
        <v>35727</v>
      </c>
      <c r="E946" s="13">
        <f>MIN($B$4+$B$5*D946,$B$6)</f>
        <v/>
      </c>
      <c r="F946" s="13">
        <f>$B$7</f>
        <v/>
      </c>
      <c r="G946" s="13">
        <f>E946+F946</f>
        <v/>
      </c>
      <c r="H946" s="13">
        <f>3*E946+F946</f>
        <v/>
      </c>
      <c r="I946">
        <f>IF(H946&gt;$B$8,"Oui","Non")</f>
        <v/>
      </c>
      <c r="J946" s="14">
        <f>IF(D946&gt;0,E946/D946,"")</f>
        <v/>
      </c>
    </row>
    <row r="947">
      <c r="A947" s="15" t="inlineStr">
        <is>
          <t>CC du Pays de Mortagne</t>
        </is>
      </c>
      <c r="B947" s="15" t="inlineStr">
        <is>
          <t>Vendée</t>
        </is>
      </c>
      <c r="C947" s="15" t="inlineStr">
        <is>
          <t>85</t>
        </is>
      </c>
      <c r="D947" s="16" t="n">
        <v>28234</v>
      </c>
      <c r="E947" s="17">
        <f>MIN($B$4+$B$5*D947,$B$6)</f>
        <v/>
      </c>
      <c r="F947" s="17">
        <f>$B$7</f>
        <v/>
      </c>
      <c r="G947" s="17">
        <f>E947+F947</f>
        <v/>
      </c>
      <c r="H947" s="17">
        <f>3*E947+F947</f>
        <v/>
      </c>
      <c r="I947" s="15">
        <f>IF(H947&gt;$B$8,"Oui","Non")</f>
        <v/>
      </c>
      <c r="J947" s="18">
        <f>IF(D947&gt;0,E947/D947,"")</f>
        <v/>
      </c>
    </row>
    <row r="948">
      <c r="A948" t="inlineStr">
        <is>
          <t>CC du Pays de Pouzauges</t>
        </is>
      </c>
      <c r="B948" t="inlineStr">
        <is>
          <t>Vendée</t>
        </is>
      </c>
      <c r="C948" t="inlineStr">
        <is>
          <t>85</t>
        </is>
      </c>
      <c r="D948" s="3" t="n">
        <v>23242</v>
      </c>
      <c r="E948" s="13">
        <f>MIN($B$4+$B$5*D948,$B$6)</f>
        <v/>
      </c>
      <c r="F948" s="13">
        <f>$B$7</f>
        <v/>
      </c>
      <c r="G948" s="13">
        <f>E948+F948</f>
        <v/>
      </c>
      <c r="H948" s="13">
        <f>3*E948+F948</f>
        <v/>
      </c>
      <c r="I948">
        <f>IF(H948&gt;$B$8,"Oui","Non")</f>
        <v/>
      </c>
      <c r="J948" s="14">
        <f>IF(D948&gt;0,E948/D948,"")</f>
        <v/>
      </c>
    </row>
    <row r="949">
      <c r="A949" s="15" t="inlineStr">
        <is>
          <t>CC du Pays de Saint-Fulgent - Les Essarts</t>
        </is>
      </c>
      <c r="B949" s="15" t="inlineStr">
        <is>
          <t>Vendée</t>
        </is>
      </c>
      <c r="C949" s="15" t="inlineStr">
        <is>
          <t>85</t>
        </is>
      </c>
      <c r="D949" s="16" t="n">
        <v>29052</v>
      </c>
      <c r="E949" s="17">
        <f>MIN($B$4+$B$5*D949,$B$6)</f>
        <v/>
      </c>
      <c r="F949" s="17">
        <f>$B$7</f>
        <v/>
      </c>
      <c r="G949" s="17">
        <f>E949+F949</f>
        <v/>
      </c>
      <c r="H949" s="17">
        <f>3*E949+F949</f>
        <v/>
      </c>
      <c r="I949" s="15">
        <f>IF(H949&gt;$B$8,"Oui","Non")</f>
        <v/>
      </c>
      <c r="J949" s="18">
        <f>IF(D949&gt;0,E949/D949,"")</f>
        <v/>
      </c>
    </row>
    <row r="950">
      <c r="A950" t="inlineStr">
        <is>
          <t>CC du Pays de la Châtaigneraie</t>
        </is>
      </c>
      <c r="B950" t="inlineStr">
        <is>
          <t>Vendée</t>
        </is>
      </c>
      <c r="C950" t="inlineStr">
        <is>
          <t>85</t>
        </is>
      </c>
      <c r="D950" s="3" t="n">
        <v>15605</v>
      </c>
      <c r="E950" s="13">
        <f>MIN($B$4+$B$5*D950,$B$6)</f>
        <v/>
      </c>
      <c r="F950" s="13">
        <f>$B$7</f>
        <v/>
      </c>
      <c r="G950" s="13">
        <f>E950+F950</f>
        <v/>
      </c>
      <c r="H950" s="13">
        <f>3*E950+F950</f>
        <v/>
      </c>
      <c r="I950">
        <f>IF(H950&gt;$B$8,"Oui","Non")</f>
        <v/>
      </c>
      <c r="J950" s="14">
        <f>IF(D950&gt;0,E950/D950,"")</f>
        <v/>
      </c>
    </row>
    <row r="951">
      <c r="A951" s="15" t="inlineStr">
        <is>
          <t>CC du Pays des Achards</t>
        </is>
      </c>
      <c r="B951" s="15" t="inlineStr">
        <is>
          <t>Vendée</t>
        </is>
      </c>
      <c r="C951" s="15" t="inlineStr">
        <is>
          <t>85</t>
        </is>
      </c>
      <c r="D951" s="16" t="n">
        <v>20174</v>
      </c>
      <c r="E951" s="17">
        <f>MIN($B$4+$B$5*D951,$B$6)</f>
        <v/>
      </c>
      <c r="F951" s="17">
        <f>$B$7</f>
        <v/>
      </c>
      <c r="G951" s="17">
        <f>E951+F951</f>
        <v/>
      </c>
      <c r="H951" s="17">
        <f>3*E951+F951</f>
        <v/>
      </c>
      <c r="I951" s="15">
        <f>IF(H951&gt;$B$8,"Oui","Non")</f>
        <v/>
      </c>
      <c r="J951" s="18">
        <f>IF(D951&gt;0,E951/D951,"")</f>
        <v/>
      </c>
    </row>
    <row r="952">
      <c r="A952" t="inlineStr">
        <is>
          <t>CC du Pays des Herbiers</t>
        </is>
      </c>
      <c r="B952" t="inlineStr">
        <is>
          <t>Vendée</t>
        </is>
      </c>
      <c r="C952" t="inlineStr">
        <is>
          <t>85</t>
        </is>
      </c>
      <c r="D952" s="3" t="n">
        <v>30742</v>
      </c>
      <c r="E952" s="13">
        <f>MIN($B$4+$B$5*D952,$B$6)</f>
        <v/>
      </c>
      <c r="F952" s="13">
        <f>$B$7</f>
        <v/>
      </c>
      <c r="G952" s="13">
        <f>E952+F952</f>
        <v/>
      </c>
      <c r="H952" s="13">
        <f>3*E952+F952</f>
        <v/>
      </c>
      <c r="I952">
        <f>IF(H952&gt;$B$8,"Oui","Non")</f>
        <v/>
      </c>
      <c r="J952" s="14">
        <f>IF(D952&gt;0,E952/D952,"")</f>
        <v/>
      </c>
    </row>
    <row r="953">
      <c r="A953" s="15" t="inlineStr">
        <is>
          <t>CC Vienne et Gartempe</t>
        </is>
      </c>
      <c r="B953" s="15" t="inlineStr">
        <is>
          <t>Vienne</t>
        </is>
      </c>
      <c r="C953" s="15" t="inlineStr">
        <is>
          <t>86</t>
        </is>
      </c>
      <c r="D953" s="16" t="n">
        <v>38694</v>
      </c>
      <c r="E953" s="17">
        <f>MIN($B$4+$B$5*D953,$B$6)</f>
        <v/>
      </c>
      <c r="F953" s="17">
        <f>$B$7</f>
        <v/>
      </c>
      <c r="G953" s="17">
        <f>E953+F953</f>
        <v/>
      </c>
      <c r="H953" s="17">
        <f>3*E953+F953</f>
        <v/>
      </c>
      <c r="I953" s="15">
        <f>IF(H953&gt;$B$8,"Oui","Non")</f>
        <v/>
      </c>
      <c r="J953" s="18">
        <f>IF(D953&gt;0,E953/D953,"")</f>
        <v/>
      </c>
    </row>
    <row r="954">
      <c r="A954" t="inlineStr">
        <is>
          <t>CC des Vallées du Clain</t>
        </is>
      </c>
      <c r="B954" t="inlineStr">
        <is>
          <t>Vienne</t>
        </is>
      </c>
      <c r="C954" t="inlineStr">
        <is>
          <t>86</t>
        </is>
      </c>
      <c r="D954" s="3" t="n">
        <v>27158</v>
      </c>
      <c r="E954" s="13">
        <f>MIN($B$4+$B$5*D954,$B$6)</f>
        <v/>
      </c>
      <c r="F954" s="13">
        <f>$B$7</f>
        <v/>
      </c>
      <c r="G954" s="13">
        <f>E954+F954</f>
        <v/>
      </c>
      <c r="H954" s="13">
        <f>3*E954+F954</f>
        <v/>
      </c>
      <c r="I954">
        <f>IF(H954&gt;$B$8,"Oui","Non")</f>
        <v/>
      </c>
      <c r="J954" s="14">
        <f>IF(D954&gt;0,E954/D954,"")</f>
        <v/>
      </c>
    </row>
    <row r="955">
      <c r="A955" s="15" t="inlineStr">
        <is>
          <t>CC du Civraisien en Poitou</t>
        </is>
      </c>
      <c r="B955" s="15" t="inlineStr">
        <is>
          <t>Vienne</t>
        </is>
      </c>
      <c r="C955" s="15" t="inlineStr">
        <is>
          <t>86</t>
        </is>
      </c>
      <c r="D955" s="16" t="n">
        <v>26737</v>
      </c>
      <c r="E955" s="17">
        <f>MIN($B$4+$B$5*D955,$B$6)</f>
        <v/>
      </c>
      <c r="F955" s="17">
        <f>$B$7</f>
        <v/>
      </c>
      <c r="G955" s="17">
        <f>E955+F955</f>
        <v/>
      </c>
      <c r="H955" s="17">
        <f>3*E955+F955</f>
        <v/>
      </c>
      <c r="I955" s="15">
        <f>IF(H955&gt;$B$8,"Oui","Non")</f>
        <v/>
      </c>
      <c r="J955" s="18">
        <f>IF(D955&gt;0,E955/D955,"")</f>
        <v/>
      </c>
    </row>
    <row r="956">
      <c r="A956" t="inlineStr">
        <is>
          <t>CC du Haut Poitou</t>
        </is>
      </c>
      <c r="B956" t="inlineStr">
        <is>
          <t>Vienne</t>
        </is>
      </c>
      <c r="C956" t="inlineStr">
        <is>
          <t>86</t>
        </is>
      </c>
      <c r="D956" s="3" t="n">
        <v>41934</v>
      </c>
      <c r="E956" s="13">
        <f>MIN($B$4+$B$5*D956,$B$6)</f>
        <v/>
      </c>
      <c r="F956" s="13">
        <f>$B$7</f>
        <v/>
      </c>
      <c r="G956" s="13">
        <f>E956+F956</f>
        <v/>
      </c>
      <c r="H956" s="13">
        <f>3*E956+F956</f>
        <v/>
      </c>
      <c r="I956">
        <f>IF(H956&gt;$B$8,"Oui","Non")</f>
        <v/>
      </c>
      <c r="J956" s="14">
        <f>IF(D956&gt;0,E956/D956,"")</f>
        <v/>
      </c>
    </row>
    <row r="957">
      <c r="A957" s="15" t="inlineStr">
        <is>
          <t>CC du Pays Loudunais</t>
        </is>
      </c>
      <c r="B957" s="15" t="inlineStr">
        <is>
          <t>Vienne</t>
        </is>
      </c>
      <c r="C957" s="15" t="inlineStr">
        <is>
          <t>86</t>
        </is>
      </c>
      <c r="D957" s="16" t="n">
        <v>24352</v>
      </c>
      <c r="E957" s="17">
        <f>MIN($B$4+$B$5*D957,$B$6)</f>
        <v/>
      </c>
      <c r="F957" s="17">
        <f>$B$7</f>
        <v/>
      </c>
      <c r="G957" s="17">
        <f>E957+F957</f>
        <v/>
      </c>
      <c r="H957" s="17">
        <f>3*E957+F957</f>
        <v/>
      </c>
      <c r="I957" s="15">
        <f>IF(H957&gt;$B$8,"Oui","Non")</f>
        <v/>
      </c>
      <c r="J957" s="18">
        <f>IF(D957&gt;0,E957/D957,"")</f>
        <v/>
      </c>
    </row>
    <row r="958">
      <c r="A958" t="inlineStr">
        <is>
          <t>CC Briance Sud Haute Vienne</t>
        </is>
      </c>
      <c r="B958" t="inlineStr">
        <is>
          <t>Haute-Vienne</t>
        </is>
      </c>
      <c r="C958" t="inlineStr">
        <is>
          <t>87</t>
        </is>
      </c>
      <c r="D958" s="3" t="n">
        <v>9158</v>
      </c>
      <c r="E958" s="13">
        <f>MIN($B$4+$B$5*D958,$B$6)</f>
        <v/>
      </c>
      <c r="F958" s="13">
        <f>$B$7</f>
        <v/>
      </c>
      <c r="G958" s="13">
        <f>E958+F958</f>
        <v/>
      </c>
      <c r="H958" s="13">
        <f>3*E958+F958</f>
        <v/>
      </c>
      <c r="I958">
        <f>IF(H958&gt;$B$8,"Oui","Non")</f>
        <v/>
      </c>
      <c r="J958" s="14">
        <f>IF(D958&gt;0,E958/D958,"")</f>
        <v/>
      </c>
    </row>
    <row r="959">
      <c r="A959" s="15" t="inlineStr">
        <is>
          <t>CC Briance-Combade</t>
        </is>
      </c>
      <c r="B959" s="15" t="inlineStr">
        <is>
          <t>Haute-Vienne</t>
        </is>
      </c>
      <c r="C959" s="15" t="inlineStr">
        <is>
          <t>87</t>
        </is>
      </c>
      <c r="D959" s="16" t="n">
        <v>5380</v>
      </c>
      <c r="E959" s="17">
        <f>MIN($B$4+$B$5*D959,$B$6)</f>
        <v/>
      </c>
      <c r="F959" s="17">
        <f>$B$7</f>
        <v/>
      </c>
      <c r="G959" s="17">
        <f>E959+F959</f>
        <v/>
      </c>
      <c r="H959" s="17">
        <f>3*E959+F959</f>
        <v/>
      </c>
      <c r="I959" s="15">
        <f>IF(H959&gt;$B$8,"Oui","Non")</f>
        <v/>
      </c>
      <c r="J959" s="18">
        <f>IF(D959&gt;0,E959/D959,"")</f>
        <v/>
      </c>
    </row>
    <row r="960">
      <c r="A960" t="inlineStr">
        <is>
          <t>CC Gartempe - Saint Pardoux</t>
        </is>
      </c>
      <c r="B960" t="inlineStr">
        <is>
          <t>Haute-Vienne</t>
        </is>
      </c>
      <c r="C960" t="inlineStr">
        <is>
          <t>87</t>
        </is>
      </c>
      <c r="D960" s="3" t="n">
        <v>5115</v>
      </c>
      <c r="E960" s="13">
        <f>MIN($B$4+$B$5*D960,$B$6)</f>
        <v/>
      </c>
      <c r="F960" s="13">
        <f>$B$7</f>
        <v/>
      </c>
      <c r="G960" s="13">
        <f>E960+F960</f>
        <v/>
      </c>
      <c r="H960" s="13">
        <f>3*E960+F960</f>
        <v/>
      </c>
      <c r="I960">
        <f>IF(H960&gt;$B$8,"Oui","Non")</f>
        <v/>
      </c>
      <c r="J960" s="14">
        <f>IF(D960&gt;0,E960/D960,"")</f>
        <v/>
      </c>
    </row>
    <row r="961">
      <c r="A961" s="15" t="inlineStr">
        <is>
          <t>CC Haut Limousin en Marche</t>
        </is>
      </c>
      <c r="B961" s="15" t="inlineStr">
        <is>
          <t>Haute-Vienne</t>
        </is>
      </c>
      <c r="C961" s="15" t="inlineStr">
        <is>
          <t>87</t>
        </is>
      </c>
      <c r="D961" s="16" t="n">
        <v>22394</v>
      </c>
      <c r="E961" s="17">
        <f>MIN($B$4+$B$5*D961,$B$6)</f>
        <v/>
      </c>
      <c r="F961" s="17">
        <f>$B$7</f>
        <v/>
      </c>
      <c r="G961" s="17">
        <f>E961+F961</f>
        <v/>
      </c>
      <c r="H961" s="17">
        <f>3*E961+F961</f>
        <v/>
      </c>
      <c r="I961" s="15">
        <f>IF(H961&gt;$B$8,"Oui","Non")</f>
        <v/>
      </c>
      <c r="J961" s="18">
        <f>IF(D961&gt;0,E961/D961,"")</f>
        <v/>
      </c>
    </row>
    <row r="962">
      <c r="A962" t="inlineStr">
        <is>
          <t>CC Ouest Limousin</t>
        </is>
      </c>
      <c r="B962" t="inlineStr">
        <is>
          <t>Haute-Vienne</t>
        </is>
      </c>
      <c r="C962" t="inlineStr">
        <is>
          <t>87</t>
        </is>
      </c>
      <c r="D962" s="3" t="n">
        <v>11370</v>
      </c>
      <c r="E962" s="13">
        <f>MIN($B$4+$B$5*D962,$B$6)</f>
        <v/>
      </c>
      <c r="F962" s="13">
        <f>$B$7</f>
        <v/>
      </c>
      <c r="G962" s="13">
        <f>E962+F962</f>
        <v/>
      </c>
      <c r="H962" s="13">
        <f>3*E962+F962</f>
        <v/>
      </c>
      <c r="I962">
        <f>IF(H962&gt;$B$8,"Oui","Non")</f>
        <v/>
      </c>
      <c r="J962" s="14">
        <f>IF(D962&gt;0,E962/D962,"")</f>
        <v/>
      </c>
    </row>
    <row r="963">
      <c r="A963" s="15" t="inlineStr">
        <is>
          <t>CC Pays de Nexon Monts de Chalus</t>
        </is>
      </c>
      <c r="B963" s="15" t="inlineStr">
        <is>
          <t>Haute-Vienne</t>
        </is>
      </c>
      <c r="C963" s="15" t="inlineStr">
        <is>
          <t>87</t>
        </is>
      </c>
      <c r="D963" s="16" t="n">
        <v>13133</v>
      </c>
      <c r="E963" s="17">
        <f>MIN($B$4+$B$5*D963,$B$6)</f>
        <v/>
      </c>
      <c r="F963" s="17">
        <f>$B$7</f>
        <v/>
      </c>
      <c r="G963" s="17">
        <f>E963+F963</f>
        <v/>
      </c>
      <c r="H963" s="17">
        <f>3*E963+F963</f>
        <v/>
      </c>
      <c r="I963" s="15">
        <f>IF(H963&gt;$B$8,"Oui","Non")</f>
        <v/>
      </c>
      <c r="J963" s="18">
        <f>IF(D963&gt;0,E963/D963,"")</f>
        <v/>
      </c>
    </row>
    <row r="964">
      <c r="A964" t="inlineStr">
        <is>
          <t>CC Porte Océane du Limousin</t>
        </is>
      </c>
      <c r="B964" t="inlineStr">
        <is>
          <t>Haute-Vienne</t>
        </is>
      </c>
      <c r="C964" t="inlineStr">
        <is>
          <t>87</t>
        </is>
      </c>
      <c r="D964" s="3" t="n">
        <v>25686</v>
      </c>
      <c r="E964" s="13">
        <f>MIN($B$4+$B$5*D964,$B$6)</f>
        <v/>
      </c>
      <c r="F964" s="13">
        <f>$B$7</f>
        <v/>
      </c>
      <c r="G964" s="13">
        <f>E964+F964</f>
        <v/>
      </c>
      <c r="H964" s="13">
        <f>3*E964+F964</f>
        <v/>
      </c>
      <c r="I964">
        <f>IF(H964&gt;$B$8,"Oui","Non")</f>
        <v/>
      </c>
      <c r="J964" s="14">
        <f>IF(D964&gt;0,E964/D964,"")</f>
        <v/>
      </c>
    </row>
    <row r="965">
      <c r="A965" s="15" t="inlineStr">
        <is>
          <t>CC de Noblat</t>
        </is>
      </c>
      <c r="B965" s="15" t="inlineStr">
        <is>
          <t>Haute-Vienne</t>
        </is>
      </c>
      <c r="C965" s="15" t="inlineStr">
        <is>
          <t>87</t>
        </is>
      </c>
      <c r="D965" s="16" t="n">
        <v>11745</v>
      </c>
      <c r="E965" s="17">
        <f>MIN($B$4+$B$5*D965,$B$6)</f>
        <v/>
      </c>
      <c r="F965" s="17">
        <f>$B$7</f>
        <v/>
      </c>
      <c r="G965" s="17">
        <f>E965+F965</f>
        <v/>
      </c>
      <c r="H965" s="17">
        <f>3*E965+F965</f>
        <v/>
      </c>
      <c r="I965" s="15">
        <f>IF(H965&gt;$B$8,"Oui","Non")</f>
        <v/>
      </c>
      <c r="J965" s="18">
        <f>IF(D965&gt;0,E965/D965,"")</f>
        <v/>
      </c>
    </row>
    <row r="966">
      <c r="A966" t="inlineStr">
        <is>
          <t>CC des Portes de Vassivière</t>
        </is>
      </c>
      <c r="B966" t="inlineStr">
        <is>
          <t>Haute-Vienne</t>
        </is>
      </c>
      <c r="C966" t="inlineStr">
        <is>
          <t>87</t>
        </is>
      </c>
      <c r="D966" s="3" t="n">
        <v>5698</v>
      </c>
      <c r="E966" s="13">
        <f>MIN($B$4+$B$5*D966,$B$6)</f>
        <v/>
      </c>
      <c r="F966" s="13">
        <f>$B$7</f>
        <v/>
      </c>
      <c r="G966" s="13">
        <f>E966+F966</f>
        <v/>
      </c>
      <c r="H966" s="13">
        <f>3*E966+F966</f>
        <v/>
      </c>
      <c r="I966">
        <f>IF(H966&gt;$B$8,"Oui","Non")</f>
        <v/>
      </c>
      <c r="J966" s="14">
        <f>IF(D966&gt;0,E966/D966,"")</f>
        <v/>
      </c>
    </row>
    <row r="967">
      <c r="A967" s="15" t="inlineStr">
        <is>
          <t>CC du Val de Vienne</t>
        </is>
      </c>
      <c r="B967" s="15" t="inlineStr">
        <is>
          <t>Haute-Vienne</t>
        </is>
      </c>
      <c r="C967" s="15" t="inlineStr">
        <is>
          <t>87</t>
        </is>
      </c>
      <c r="D967" s="16" t="n">
        <v>16305</v>
      </c>
      <c r="E967" s="17">
        <f>MIN($B$4+$B$5*D967,$B$6)</f>
        <v/>
      </c>
      <c r="F967" s="17">
        <f>$B$7</f>
        <v/>
      </c>
      <c r="G967" s="17">
        <f>E967+F967</f>
        <v/>
      </c>
      <c r="H967" s="17">
        <f>3*E967+F967</f>
        <v/>
      </c>
      <c r="I967" s="15">
        <f>IF(H967&gt;$B$8,"Oui","Non")</f>
        <v/>
      </c>
      <c r="J967" s="18">
        <f>IF(D967&gt;0,E967/D967,"")</f>
        <v/>
      </c>
    </row>
    <row r="968">
      <c r="A968" t="inlineStr">
        <is>
          <t>CC Élan Limousin Avenir Nature</t>
        </is>
      </c>
      <c r="B968" t="inlineStr">
        <is>
          <t>Haute-Vienne</t>
        </is>
      </c>
      <c r="C968" t="inlineStr">
        <is>
          <t>87</t>
        </is>
      </c>
      <c r="D968" s="3" t="n">
        <v>27459</v>
      </c>
      <c r="E968" s="13">
        <f>MIN($B$4+$B$5*D968,$B$6)</f>
        <v/>
      </c>
      <c r="F968" s="13">
        <f>$B$7</f>
        <v/>
      </c>
      <c r="G968" s="13">
        <f>E968+F968</f>
        <v/>
      </c>
      <c r="H968" s="13">
        <f>3*E968+F968</f>
        <v/>
      </c>
      <c r="I968">
        <f>IF(H968&gt;$B$8,"Oui","Non")</f>
        <v/>
      </c>
      <c r="J968" s="14">
        <f>IF(D968&gt;0,E968/D968,"")</f>
        <v/>
      </c>
    </row>
    <row r="969">
      <c r="A969" s="15" t="inlineStr">
        <is>
          <t>CC Bruyères-Vallons des Vosges</t>
        </is>
      </c>
      <c r="B969" s="15" t="inlineStr">
        <is>
          <t>Vosges</t>
        </is>
      </c>
      <c r="C969" s="15" t="inlineStr">
        <is>
          <t>88</t>
        </is>
      </c>
      <c r="D969" s="16" t="n">
        <v>14808</v>
      </c>
      <c r="E969" s="17">
        <f>MIN($B$4+$B$5*D969,$B$6)</f>
        <v/>
      </c>
      <c r="F969" s="17">
        <f>$B$7</f>
        <v/>
      </c>
      <c r="G969" s="17">
        <f>E969+F969</f>
        <v/>
      </c>
      <c r="H969" s="17">
        <f>3*E969+F969</f>
        <v/>
      </c>
      <c r="I969" s="15">
        <f>IF(H969&gt;$B$8,"Oui","Non")</f>
        <v/>
      </c>
      <c r="J969" s="18">
        <f>IF(D969&gt;0,E969/D969,"")</f>
        <v/>
      </c>
    </row>
    <row r="970">
      <c r="A970" t="inlineStr">
        <is>
          <t>CC Gérardmer Hautes Vosges</t>
        </is>
      </c>
      <c r="B970" t="inlineStr">
        <is>
          <t>Vosges</t>
        </is>
      </c>
      <c r="C970" t="inlineStr">
        <is>
          <t>88</t>
        </is>
      </c>
      <c r="D970" s="3" t="n">
        <v>13990</v>
      </c>
      <c r="E970" s="13">
        <f>MIN($B$4+$B$5*D970,$B$6)</f>
        <v/>
      </c>
      <c r="F970" s="13">
        <f>$B$7</f>
        <v/>
      </c>
      <c r="G970" s="13">
        <f>E970+F970</f>
        <v/>
      </c>
      <c r="H970" s="13">
        <f>3*E970+F970</f>
        <v/>
      </c>
      <c r="I970">
        <f>IF(H970&gt;$B$8,"Oui","Non")</f>
        <v/>
      </c>
      <c r="J970" s="14">
        <f>IF(D970&gt;0,E970/D970,"")</f>
        <v/>
      </c>
    </row>
    <row r="971">
      <c r="A971" s="15" t="inlineStr">
        <is>
          <t>CC Terre d'Eau</t>
        </is>
      </c>
      <c r="B971" s="15" t="inlineStr">
        <is>
          <t>Vosges</t>
        </is>
      </c>
      <c r="C971" s="15" t="inlineStr">
        <is>
          <t>88</t>
        </is>
      </c>
      <c r="D971" s="16" t="n">
        <v>17043</v>
      </c>
      <c r="E971" s="17">
        <f>MIN($B$4+$B$5*D971,$B$6)</f>
        <v/>
      </c>
      <c r="F971" s="17">
        <f>$B$7</f>
        <v/>
      </c>
      <c r="G971" s="17">
        <f>E971+F971</f>
        <v/>
      </c>
      <c r="H971" s="17">
        <f>3*E971+F971</f>
        <v/>
      </c>
      <c r="I971" s="15">
        <f>IF(H971&gt;$B$8,"Oui","Non")</f>
        <v/>
      </c>
      <c r="J971" s="18">
        <f>IF(D971&gt;0,E971/D971,"")</f>
        <v/>
      </c>
    </row>
    <row r="972">
      <c r="A972" t="inlineStr">
        <is>
          <t>CC de Mirecourt Dompaire</t>
        </is>
      </c>
      <c r="B972" t="inlineStr">
        <is>
          <t>Vosges</t>
        </is>
      </c>
      <c r="C972" t="inlineStr">
        <is>
          <t>88</t>
        </is>
      </c>
      <c r="D972" s="3" t="n">
        <v>18441</v>
      </c>
      <c r="E972" s="13">
        <f>MIN($B$4+$B$5*D972,$B$6)</f>
        <v/>
      </c>
      <c r="F972" s="13">
        <f>$B$7</f>
        <v/>
      </c>
      <c r="G972" s="13">
        <f>E972+F972</f>
        <v/>
      </c>
      <c r="H972" s="13">
        <f>3*E972+F972</f>
        <v/>
      </c>
      <c r="I972">
        <f>IF(H972&gt;$B$8,"Oui","Non")</f>
        <v/>
      </c>
      <c r="J972" s="14">
        <f>IF(D972&gt;0,E972/D972,"")</f>
        <v/>
      </c>
    </row>
    <row r="973">
      <c r="A973" s="15" t="inlineStr">
        <is>
          <t>CC de la Porte des Vosges Méridionales</t>
        </is>
      </c>
      <c r="B973" s="15" t="inlineStr">
        <is>
          <t>Vosges</t>
        </is>
      </c>
      <c r="C973" s="15" t="inlineStr">
        <is>
          <t>88</t>
        </is>
      </c>
      <c r="D973" s="16" t="n">
        <v>29017</v>
      </c>
      <c r="E973" s="17">
        <f>MIN($B$4+$B$5*D973,$B$6)</f>
        <v/>
      </c>
      <c r="F973" s="17">
        <f>$B$7</f>
        <v/>
      </c>
      <c r="G973" s="17">
        <f>E973+F973</f>
        <v/>
      </c>
      <c r="H973" s="17">
        <f>3*E973+F973</f>
        <v/>
      </c>
      <c r="I973" s="15">
        <f>IF(H973&gt;$B$8,"Oui","Non")</f>
        <v/>
      </c>
      <c r="J973" s="18">
        <f>IF(D973&gt;0,E973/D973,"")</f>
        <v/>
      </c>
    </row>
    <row r="974">
      <c r="A974" t="inlineStr">
        <is>
          <t>CC de la Région de Rambervillers</t>
        </is>
      </c>
      <c r="B974" t="inlineStr">
        <is>
          <t>Vosges</t>
        </is>
      </c>
      <c r="C974" t="inlineStr">
        <is>
          <t>88</t>
        </is>
      </c>
      <c r="D974" s="3" t="n">
        <v>12833</v>
      </c>
      <c r="E974" s="13">
        <f>MIN($B$4+$B$5*D974,$B$6)</f>
        <v/>
      </c>
      <c r="F974" s="13">
        <f>$B$7</f>
        <v/>
      </c>
      <c r="G974" s="13">
        <f>E974+F974</f>
        <v/>
      </c>
      <c r="H974" s="13">
        <f>3*E974+F974</f>
        <v/>
      </c>
      <c r="I974">
        <f>IF(H974&gt;$B$8,"Oui","Non")</f>
        <v/>
      </c>
      <c r="J974" s="14">
        <f>IF(D974&gt;0,E974/D974,"")</f>
        <v/>
      </c>
    </row>
    <row r="975">
      <c r="A975" s="15" t="inlineStr">
        <is>
          <t>CC des Ballons des Hautes-Vosges</t>
        </is>
      </c>
      <c r="B975" s="15" t="inlineStr">
        <is>
          <t>Vosges</t>
        </is>
      </c>
      <c r="C975" s="15" t="inlineStr">
        <is>
          <t>88</t>
        </is>
      </c>
      <c r="D975" s="16" t="n">
        <v>14503</v>
      </c>
      <c r="E975" s="17">
        <f>MIN($B$4+$B$5*D975,$B$6)</f>
        <v/>
      </c>
      <c r="F975" s="17">
        <f>$B$7</f>
        <v/>
      </c>
      <c r="G975" s="17">
        <f>E975+F975</f>
        <v/>
      </c>
      <c r="H975" s="17">
        <f>3*E975+F975</f>
        <v/>
      </c>
      <c r="I975" s="15">
        <f>IF(H975&gt;$B$8,"Oui","Non")</f>
        <v/>
      </c>
      <c r="J975" s="18">
        <f>IF(D975&gt;0,E975/D975,"")</f>
        <v/>
      </c>
    </row>
    <row r="976">
      <c r="A976" t="inlineStr">
        <is>
          <t>CC des Hautes Vosges</t>
        </is>
      </c>
      <c r="B976" t="inlineStr">
        <is>
          <t>Vosges</t>
        </is>
      </c>
      <c r="C976" t="inlineStr">
        <is>
          <t>88</t>
        </is>
      </c>
      <c r="D976" s="3" t="n">
        <v>20854</v>
      </c>
      <c r="E976" s="13">
        <f>MIN($B$4+$B$5*D976,$B$6)</f>
        <v/>
      </c>
      <c r="F976" s="13">
        <f>$B$7</f>
        <v/>
      </c>
      <c r="G976" s="13">
        <f>E976+F976</f>
        <v/>
      </c>
      <c r="H976" s="13">
        <f>3*E976+F976</f>
        <v/>
      </c>
      <c r="I976">
        <f>IF(H976&gt;$B$8,"Oui","Non")</f>
        <v/>
      </c>
      <c r="J976" s="14">
        <f>IF(D976&gt;0,E976/D976,"")</f>
        <v/>
      </c>
    </row>
    <row r="977">
      <c r="A977" s="15" t="inlineStr">
        <is>
          <t>CC des Vosges côté Sud Ouest</t>
        </is>
      </c>
      <c r="B977" s="15" t="inlineStr">
        <is>
          <t>Vosges</t>
        </is>
      </c>
      <c r="C977" s="15" t="inlineStr">
        <is>
          <t>88</t>
        </is>
      </c>
      <c r="D977" s="16" t="n">
        <v>11564</v>
      </c>
      <c r="E977" s="17">
        <f>MIN($B$4+$B$5*D977,$B$6)</f>
        <v/>
      </c>
      <c r="F977" s="17">
        <f>$B$7</f>
        <v/>
      </c>
      <c r="G977" s="17">
        <f>E977+F977</f>
        <v/>
      </c>
      <c r="H977" s="17">
        <f>3*E977+F977</f>
        <v/>
      </c>
      <c r="I977" s="15">
        <f>IF(H977&gt;$B$8,"Oui","Non")</f>
        <v/>
      </c>
      <c r="J977" s="18">
        <f>IF(D977&gt;0,E977/D977,"")</f>
        <v/>
      </c>
    </row>
    <row r="978">
      <c r="A978" t="inlineStr">
        <is>
          <t>CC Avallon, Vézelay, Morvan</t>
        </is>
      </c>
      <c r="B978" t="inlineStr">
        <is>
          <t>Yonne</t>
        </is>
      </c>
      <c r="C978" t="inlineStr">
        <is>
          <t>89</t>
        </is>
      </c>
      <c r="D978" s="3" t="n">
        <v>18488</v>
      </c>
      <c r="E978" s="13">
        <f>MIN($B$4+$B$5*D978,$B$6)</f>
        <v/>
      </c>
      <c r="F978" s="13">
        <f>$B$7</f>
        <v/>
      </c>
      <c r="G978" s="13">
        <f>E978+F978</f>
        <v/>
      </c>
      <c r="H978" s="13">
        <f>3*E978+F978</f>
        <v/>
      </c>
      <c r="I978">
        <f>IF(H978&gt;$B$8,"Oui","Non")</f>
        <v/>
      </c>
      <c r="J978" s="14">
        <f>IF(D978&gt;0,E978/D978,"")</f>
        <v/>
      </c>
    </row>
    <row r="979">
      <c r="A979" s="15" t="inlineStr">
        <is>
          <t>CC Chablis Villages et Terroirs</t>
        </is>
      </c>
      <c r="B979" s="15" t="inlineStr">
        <is>
          <t>Yonne</t>
        </is>
      </c>
      <c r="C979" s="15" t="inlineStr">
        <is>
          <t>89</t>
        </is>
      </c>
      <c r="D979" s="16" t="n">
        <v>14638</v>
      </c>
      <c r="E979" s="17">
        <f>MIN($B$4+$B$5*D979,$B$6)</f>
        <v/>
      </c>
      <c r="F979" s="17">
        <f>$B$7</f>
        <v/>
      </c>
      <c r="G979" s="17">
        <f>E979+F979</f>
        <v/>
      </c>
      <c r="H979" s="17">
        <f>3*E979+F979</f>
        <v/>
      </c>
      <c r="I979" s="15">
        <f>IF(H979&gt;$B$8,"Oui","Non")</f>
        <v/>
      </c>
      <c r="J979" s="18">
        <f>IF(D979&gt;0,E979/D979,"")</f>
        <v/>
      </c>
    </row>
    <row r="980">
      <c r="A980" t="inlineStr">
        <is>
          <t>CC Le Tonnerrois en Bourgogne</t>
        </is>
      </c>
      <c r="B980" t="inlineStr">
        <is>
          <t>Yonne</t>
        </is>
      </c>
      <c r="C980" t="inlineStr">
        <is>
          <t>89</t>
        </is>
      </c>
      <c r="D980" s="3" t="n">
        <v>15138</v>
      </c>
      <c r="E980" s="13">
        <f>MIN($B$4+$B$5*D980,$B$6)</f>
        <v/>
      </c>
      <c r="F980" s="13">
        <f>$B$7</f>
        <v/>
      </c>
      <c r="G980" s="13">
        <f>E980+F980</f>
        <v/>
      </c>
      <c r="H980" s="13">
        <f>3*E980+F980</f>
        <v/>
      </c>
      <c r="I980">
        <f>IF(H980&gt;$B$8,"Oui","Non")</f>
        <v/>
      </c>
      <c r="J980" s="14">
        <f>IF(D980&gt;0,E980/D980,"")</f>
        <v/>
      </c>
    </row>
    <row r="981">
      <c r="A981" s="15" t="inlineStr">
        <is>
          <t>CC Serein et Armance</t>
        </is>
      </c>
      <c r="B981" s="15" t="inlineStr">
        <is>
          <t>Yonne</t>
        </is>
      </c>
      <c r="C981" s="15" t="inlineStr">
        <is>
          <t>89</t>
        </is>
      </c>
      <c r="D981" s="16" t="n">
        <v>23421</v>
      </c>
      <c r="E981" s="17">
        <f>MIN($B$4+$B$5*D981,$B$6)</f>
        <v/>
      </c>
      <c r="F981" s="17">
        <f>$B$7</f>
        <v/>
      </c>
      <c r="G981" s="17">
        <f>E981+F981</f>
        <v/>
      </c>
      <c r="H981" s="17">
        <f>3*E981+F981</f>
        <v/>
      </c>
      <c r="I981" s="15">
        <f>IF(H981&gt;$B$8,"Oui","Non")</f>
        <v/>
      </c>
      <c r="J981" s="18">
        <f>IF(D981&gt;0,E981/D981,"")</f>
        <v/>
      </c>
    </row>
    <row r="982">
      <c r="A982" t="inlineStr">
        <is>
          <t>CC Yonne Nord</t>
        </is>
      </c>
      <c r="B982" t="inlineStr">
        <is>
          <t>Yonne</t>
        </is>
      </c>
      <c r="C982" t="inlineStr">
        <is>
          <t>89</t>
        </is>
      </c>
      <c r="D982" s="3" t="n">
        <v>24434</v>
      </c>
      <c r="E982" s="13">
        <f>MIN($B$4+$B$5*D982,$B$6)</f>
        <v/>
      </c>
      <c r="F982" s="13">
        <f>$B$7</f>
        <v/>
      </c>
      <c r="G982" s="13">
        <f>E982+F982</f>
        <v/>
      </c>
      <c r="H982" s="13">
        <f>3*E982+F982</f>
        <v/>
      </c>
      <c r="I982">
        <f>IF(H982&gt;$B$8,"Oui","Non")</f>
        <v/>
      </c>
      <c r="J982" s="14">
        <f>IF(D982&gt;0,E982/D982,"")</f>
        <v/>
      </c>
    </row>
    <row r="983">
      <c r="A983" s="15" t="inlineStr">
        <is>
          <t>CC de l'Agglomération Migennoise</t>
        </is>
      </c>
      <c r="B983" s="15" t="inlineStr">
        <is>
          <t>Yonne</t>
        </is>
      </c>
      <c r="C983" s="15" t="inlineStr">
        <is>
          <t>89</t>
        </is>
      </c>
      <c r="D983" s="16" t="n">
        <v>14353</v>
      </c>
      <c r="E983" s="17">
        <f>MIN($B$4+$B$5*D983,$B$6)</f>
        <v/>
      </c>
      <c r="F983" s="17">
        <f>$B$7</f>
        <v/>
      </c>
      <c r="G983" s="17">
        <f>E983+F983</f>
        <v/>
      </c>
      <c r="H983" s="17">
        <f>3*E983+F983</f>
        <v/>
      </c>
      <c r="I983" s="15">
        <f>IF(H983&gt;$B$8,"Oui","Non")</f>
        <v/>
      </c>
      <c r="J983" s="18">
        <f>IF(D983&gt;0,E983/D983,"")</f>
        <v/>
      </c>
    </row>
    <row r="984">
      <c r="A984" t="inlineStr">
        <is>
          <t>CC de l'Aillantais en Bourgogne</t>
        </is>
      </c>
      <c r="B984" t="inlineStr">
        <is>
          <t>Yonne</t>
        </is>
      </c>
      <c r="C984" t="inlineStr">
        <is>
          <t>89</t>
        </is>
      </c>
      <c r="D984" s="3" t="n">
        <v>10116</v>
      </c>
      <c r="E984" s="13">
        <f>MIN($B$4+$B$5*D984,$B$6)</f>
        <v/>
      </c>
      <c r="F984" s="13">
        <f>$B$7</f>
        <v/>
      </c>
      <c r="G984" s="13">
        <f>E984+F984</f>
        <v/>
      </c>
      <c r="H984" s="13">
        <f>3*E984+F984</f>
        <v/>
      </c>
      <c r="I984">
        <f>IF(H984&gt;$B$8,"Oui","Non")</f>
        <v/>
      </c>
      <c r="J984" s="14">
        <f>IF(D984&gt;0,E984/D984,"")</f>
        <v/>
      </c>
    </row>
    <row r="985">
      <c r="A985" s="15" t="inlineStr">
        <is>
          <t>CC de la Vanne et du Pays d'Othe</t>
        </is>
      </c>
      <c r="B985" s="15" t="inlineStr">
        <is>
          <t>Yonne</t>
        </is>
      </c>
      <c r="C985" s="15" t="inlineStr">
        <is>
          <t>89</t>
        </is>
      </c>
      <c r="D985" s="16" t="n">
        <v>8609</v>
      </c>
      <c r="E985" s="17">
        <f>MIN($B$4+$B$5*D985,$B$6)</f>
        <v/>
      </c>
      <c r="F985" s="17">
        <f>$B$7</f>
        <v/>
      </c>
      <c r="G985" s="17">
        <f>E985+F985</f>
        <v/>
      </c>
      <c r="H985" s="17">
        <f>3*E985+F985</f>
        <v/>
      </c>
      <c r="I985" s="15">
        <f>IF(H985&gt;$B$8,"Oui","Non")</f>
        <v/>
      </c>
      <c r="J985" s="18">
        <f>IF(D985&gt;0,E985/D985,"")</f>
        <v/>
      </c>
    </row>
    <row r="986">
      <c r="A986" t="inlineStr">
        <is>
          <t>CC du Gâtinais en Bourgogne</t>
        </is>
      </c>
      <c r="B986" t="inlineStr">
        <is>
          <t>Yonne</t>
        </is>
      </c>
      <c r="C986" t="inlineStr">
        <is>
          <t>89</t>
        </is>
      </c>
      <c r="D986" s="3" t="n">
        <v>17619</v>
      </c>
      <c r="E986" s="13">
        <f>MIN($B$4+$B$5*D986,$B$6)</f>
        <v/>
      </c>
      <c r="F986" s="13">
        <f>$B$7</f>
        <v/>
      </c>
      <c r="G986" s="13">
        <f>E986+F986</f>
        <v/>
      </c>
      <c r="H986" s="13">
        <f>3*E986+F986</f>
        <v/>
      </c>
      <c r="I986">
        <f>IF(H986&gt;$B$8,"Oui","Non")</f>
        <v/>
      </c>
      <c r="J986" s="14">
        <f>IF(D986&gt;0,E986/D986,"")</f>
        <v/>
      </c>
    </row>
    <row r="987">
      <c r="A987" s="15" t="inlineStr">
        <is>
          <t>CC du Jovinien</t>
        </is>
      </c>
      <c r="B987" s="15" t="inlineStr">
        <is>
          <t>Yonne</t>
        </is>
      </c>
      <c r="C987" s="15" t="inlineStr">
        <is>
          <t>89</t>
        </is>
      </c>
      <c r="D987" s="16" t="n">
        <v>20500</v>
      </c>
      <c r="E987" s="17">
        <f>MIN($B$4+$B$5*D987,$B$6)</f>
        <v/>
      </c>
      <c r="F987" s="17">
        <f>$B$7</f>
        <v/>
      </c>
      <c r="G987" s="17">
        <f>E987+F987</f>
        <v/>
      </c>
      <c r="H987" s="17">
        <f>3*E987+F987</f>
        <v/>
      </c>
      <c r="I987" s="15">
        <f>IF(H987&gt;$B$8,"Oui","Non")</f>
        <v/>
      </c>
      <c r="J987" s="18">
        <f>IF(D987&gt;0,E987/D987,"")</f>
        <v/>
      </c>
    </row>
    <row r="988">
      <c r="A988" t="inlineStr">
        <is>
          <t>CC du Serein</t>
        </is>
      </c>
      <c r="B988" t="inlineStr">
        <is>
          <t>Yonne</t>
        </is>
      </c>
      <c r="C988" t="inlineStr">
        <is>
          <t>89</t>
        </is>
      </c>
      <c r="D988" s="3" t="n">
        <v>7043</v>
      </c>
      <c r="E988" s="13">
        <f>MIN($B$4+$B$5*D988,$B$6)</f>
        <v/>
      </c>
      <c r="F988" s="13">
        <f>$B$7</f>
        <v/>
      </c>
      <c r="G988" s="13">
        <f>E988+F988</f>
        <v/>
      </c>
      <c r="H988" s="13">
        <f>3*E988+F988</f>
        <v/>
      </c>
      <c r="I988">
        <f>IF(H988&gt;$B$8,"Oui","Non")</f>
        <v/>
      </c>
      <c r="J988" s="14">
        <f>IF(D988&gt;0,E988/D988,"")</f>
        <v/>
      </c>
    </row>
    <row r="989">
      <c r="A989" s="15" t="inlineStr">
        <is>
          <t>CC des Vosges du Sud</t>
        </is>
      </c>
      <c r="B989" s="15" t="inlineStr">
        <is>
          <t>Territoire de Belfort</t>
        </is>
      </c>
      <c r="C989" s="15" t="inlineStr">
        <is>
          <t>90</t>
        </is>
      </c>
      <c r="D989" s="16" t="n">
        <v>15046</v>
      </c>
      <c r="E989" s="17">
        <f>MIN($B$4+$B$5*D989,$B$6)</f>
        <v/>
      </c>
      <c r="F989" s="17">
        <f>$B$7</f>
        <v/>
      </c>
      <c r="G989" s="17">
        <f>E989+F989</f>
        <v/>
      </c>
      <c r="H989" s="17">
        <f>3*E989+F989</f>
        <v/>
      </c>
      <c r="I989" s="15">
        <f>IF(H989&gt;$B$8,"Oui","Non")</f>
        <v/>
      </c>
      <c r="J989" s="18">
        <f>IF(D989&gt;0,E989/D989,"")</f>
        <v/>
      </c>
    </row>
    <row r="990">
      <c r="A990" t="inlineStr">
        <is>
          <t>CC du Sud Territoire</t>
        </is>
      </c>
      <c r="B990" t="inlineStr">
        <is>
          <t>Territoire de Belfort</t>
        </is>
      </c>
      <c r="C990" t="inlineStr">
        <is>
          <t>90</t>
        </is>
      </c>
      <c r="D990" s="3" t="n">
        <v>23585</v>
      </c>
      <c r="E990" s="13">
        <f>MIN($B$4+$B$5*D990,$B$6)</f>
        <v/>
      </c>
      <c r="F990" s="13">
        <f>$B$7</f>
        <v/>
      </c>
      <c r="G990" s="13">
        <f>E990+F990</f>
        <v/>
      </c>
      <c r="H990" s="13">
        <f>3*E990+F990</f>
        <v/>
      </c>
      <c r="I990">
        <f>IF(H990&gt;$B$8,"Oui","Non")</f>
        <v/>
      </c>
      <c r="J990" s="14">
        <f>IF(D990&gt;0,E990/D990,"")</f>
        <v/>
      </c>
    </row>
    <row r="991">
      <c r="A991" s="15" t="inlineStr">
        <is>
          <t>CC Entre Juine et Renarde (CCEJR)</t>
        </is>
      </c>
      <c r="B991" s="15" t="inlineStr">
        <is>
          <t>Essonne</t>
        </is>
      </c>
      <c r="C991" s="15" t="inlineStr">
        <is>
          <t>91</t>
        </is>
      </c>
      <c r="D991" s="16" t="n">
        <v>27947</v>
      </c>
      <c r="E991" s="17">
        <f>MIN($B$4+$B$5*D991,$B$6)</f>
        <v/>
      </c>
      <c r="F991" s="17">
        <f>$B$7</f>
        <v/>
      </c>
      <c r="G991" s="17">
        <f>E991+F991</f>
        <v/>
      </c>
      <c r="H991" s="17">
        <f>3*E991+F991</f>
        <v/>
      </c>
      <c r="I991" s="15">
        <f>IF(H991&gt;$B$8,"Oui","Non")</f>
        <v/>
      </c>
      <c r="J991" s="18">
        <f>IF(D991&gt;0,E991/D991,"")</f>
        <v/>
      </c>
    </row>
    <row r="992">
      <c r="A992" t="inlineStr">
        <is>
          <t>CC des 2 Vallées</t>
        </is>
      </c>
      <c r="B992" t="inlineStr">
        <is>
          <t>Essonne</t>
        </is>
      </c>
      <c r="C992" t="inlineStr">
        <is>
          <t>91</t>
        </is>
      </c>
      <c r="D992" s="3" t="n">
        <v>18701</v>
      </c>
      <c r="E992" s="13">
        <f>MIN($B$4+$B$5*D992,$B$6)</f>
        <v/>
      </c>
      <c r="F992" s="13">
        <f>$B$7</f>
        <v/>
      </c>
      <c r="G992" s="13">
        <f>E992+F992</f>
        <v/>
      </c>
      <c r="H992" s="13">
        <f>3*E992+F992</f>
        <v/>
      </c>
      <c r="I992">
        <f>IF(H992&gt;$B$8,"Oui","Non")</f>
        <v/>
      </c>
      <c r="J992" s="14">
        <f>IF(D992&gt;0,E992/D992,"")</f>
        <v/>
      </c>
    </row>
    <row r="993">
      <c r="A993" s="15" t="inlineStr">
        <is>
          <t>CC du Pays de Limours (CCPL)</t>
        </is>
      </c>
      <c r="B993" s="15" t="inlineStr">
        <is>
          <t>Essonne</t>
        </is>
      </c>
      <c r="C993" s="15" t="inlineStr">
        <is>
          <t>91</t>
        </is>
      </c>
      <c r="D993" s="16" t="n">
        <v>27290</v>
      </c>
      <c r="E993" s="17">
        <f>MIN($B$4+$B$5*D993,$B$6)</f>
        <v/>
      </c>
      <c r="F993" s="17">
        <f>$B$7</f>
        <v/>
      </c>
      <c r="G993" s="17">
        <f>E993+F993</f>
        <v/>
      </c>
      <c r="H993" s="17">
        <f>3*E993+F993</f>
        <v/>
      </c>
      <c r="I993" s="15">
        <f>IF(H993&gt;$B$8,"Oui","Non")</f>
        <v/>
      </c>
      <c r="J993" s="18">
        <f>IF(D993&gt;0,E993/D993,"")</f>
        <v/>
      </c>
    </row>
    <row r="994">
      <c r="A994" t="inlineStr">
        <is>
          <t>CC du Val d'Essonne (CCVE)</t>
        </is>
      </c>
      <c r="B994" t="inlineStr">
        <is>
          <t>Essonne</t>
        </is>
      </c>
      <c r="C994" t="inlineStr">
        <is>
          <t>91</t>
        </is>
      </c>
      <c r="D994" s="3" t="n">
        <v>62746</v>
      </c>
      <c r="E994" s="13">
        <f>MIN($B$4+$B$5*D994,$B$6)</f>
        <v/>
      </c>
      <c r="F994" s="13">
        <f>$B$7</f>
        <v/>
      </c>
      <c r="G994" s="13">
        <f>E994+F994</f>
        <v/>
      </c>
      <c r="H994" s="13">
        <f>3*E994+F994</f>
        <v/>
      </c>
      <c r="I994">
        <f>IF(H994&gt;$B$8,"Oui","Non")</f>
        <v/>
      </c>
      <c r="J994" s="14">
        <f>IF(D994&gt;0,E994/D994,"")</f>
        <v/>
      </c>
    </row>
    <row r="995">
      <c r="A995" s="15" t="inlineStr">
        <is>
          <t>CC le Dourdannais en Hurepoix (CCDH)</t>
        </is>
      </c>
      <c r="B995" s="15" t="inlineStr">
        <is>
          <t>Essonne</t>
        </is>
      </c>
      <c r="C995" s="15" t="inlineStr">
        <is>
          <t>91</t>
        </is>
      </c>
      <c r="D995" s="16" t="n">
        <v>26697</v>
      </c>
      <c r="E995" s="17">
        <f>MIN($B$4+$B$5*D995,$B$6)</f>
        <v/>
      </c>
      <c r="F995" s="17">
        <f>$B$7</f>
        <v/>
      </c>
      <c r="G995" s="17">
        <f>E995+F995</f>
        <v/>
      </c>
      <c r="H995" s="17">
        <f>3*E995+F995</f>
        <v/>
      </c>
      <c r="I995" s="15">
        <f>IF(H995&gt;$B$8,"Oui","Non")</f>
        <v/>
      </c>
      <c r="J995" s="18">
        <f>IF(D995&gt;0,E995/D995,"")</f>
        <v/>
      </c>
    </row>
    <row r="996">
      <c r="A996" t="inlineStr">
        <is>
          <t>CC Carnelle Pays-de-France</t>
        </is>
      </c>
      <c r="B996" t="inlineStr">
        <is>
          <t>Val-d'Oise</t>
        </is>
      </c>
      <c r="C996" t="inlineStr">
        <is>
          <t>95</t>
        </is>
      </c>
      <c r="D996" s="3" t="n">
        <v>33539</v>
      </c>
      <c r="E996" s="13">
        <f>MIN($B$4+$B$5*D996,$B$6)</f>
        <v/>
      </c>
      <c r="F996" s="13">
        <f>$B$7</f>
        <v/>
      </c>
      <c r="G996" s="13">
        <f>E996+F996</f>
        <v/>
      </c>
      <c r="H996" s="13">
        <f>3*E996+F996</f>
        <v/>
      </c>
      <c r="I996">
        <f>IF(H996&gt;$B$8,"Oui","Non")</f>
        <v/>
      </c>
      <c r="J996" s="14">
        <f>IF(D996&gt;0,E996/D996,"")</f>
        <v/>
      </c>
    </row>
    <row r="997">
      <c r="A997" s="15" t="inlineStr">
        <is>
          <t>CC Sausseron Impressionnistes</t>
        </is>
      </c>
      <c r="B997" s="15" t="inlineStr">
        <is>
          <t>Val-d'Oise</t>
        </is>
      </c>
      <c r="C997" s="15" t="inlineStr">
        <is>
          <t>95</t>
        </is>
      </c>
      <c r="D997" s="16" t="n">
        <v>19049</v>
      </c>
      <c r="E997" s="17">
        <f>MIN($B$4+$B$5*D997,$B$6)</f>
        <v/>
      </c>
      <c r="F997" s="17">
        <f>$B$7</f>
        <v/>
      </c>
      <c r="G997" s="17">
        <f>E997+F997</f>
        <v/>
      </c>
      <c r="H997" s="17">
        <f>3*E997+F997</f>
        <v/>
      </c>
      <c r="I997" s="15">
        <f>IF(H997&gt;$B$8,"Oui","Non")</f>
        <v/>
      </c>
      <c r="J997" s="18">
        <f>IF(D997&gt;0,E997/D997,"")</f>
        <v/>
      </c>
    </row>
    <row r="998">
      <c r="A998" t="inlineStr">
        <is>
          <t>CC Vexin Centre</t>
        </is>
      </c>
      <c r="B998" t="inlineStr">
        <is>
          <t>Val-d'Oise</t>
        </is>
      </c>
      <c r="C998" t="inlineStr">
        <is>
          <t>95</t>
        </is>
      </c>
      <c r="D998" s="3" t="n">
        <v>25137</v>
      </c>
      <c r="E998" s="13">
        <f>MIN($B$4+$B$5*D998,$B$6)</f>
        <v/>
      </c>
      <c r="F998" s="13">
        <f>$B$7</f>
        <v/>
      </c>
      <c r="G998" s="13">
        <f>E998+F998</f>
        <v/>
      </c>
      <c r="H998" s="13">
        <f>3*E998+F998</f>
        <v/>
      </c>
      <c r="I998">
        <f>IF(H998&gt;$B$8,"Oui","Non")</f>
        <v/>
      </c>
      <c r="J998" s="14">
        <f>IF(D998&gt;0,E998/D998,"")</f>
        <v/>
      </c>
    </row>
    <row r="999">
      <c r="A999" s="15" t="inlineStr">
        <is>
          <t>CC de la Vallée de l'Oise et des Trois Forêts</t>
        </is>
      </c>
      <c r="B999" s="15" t="inlineStr">
        <is>
          <t>Val-d'Oise</t>
        </is>
      </c>
      <c r="C999" s="15" t="inlineStr">
        <is>
          <t>95</t>
        </is>
      </c>
      <c r="D999" s="16" t="n">
        <v>39681</v>
      </c>
      <c r="E999" s="17">
        <f>MIN($B$4+$B$5*D999,$B$6)</f>
        <v/>
      </c>
      <c r="F999" s="17">
        <f>$B$7</f>
        <v/>
      </c>
      <c r="G999" s="17">
        <f>E999+F999</f>
        <v/>
      </c>
      <c r="H999" s="17">
        <f>3*E999+F999</f>
        <v/>
      </c>
      <c r="I999" s="15">
        <f>IF(H999&gt;$B$8,"Oui","Non")</f>
        <v/>
      </c>
      <c r="J999" s="18">
        <f>IF(D999&gt;0,E999/D999,"")</f>
        <v/>
      </c>
    </row>
    <row r="1000">
      <c r="A1000" t="inlineStr">
        <is>
          <t>CC du Haut Val d'Oise</t>
        </is>
      </c>
      <c r="B1000" t="inlineStr">
        <is>
          <t>Val-d'Oise</t>
        </is>
      </c>
      <c r="C1000" t="inlineStr">
        <is>
          <t>95</t>
        </is>
      </c>
      <c r="D1000" s="3" t="n">
        <v>40950</v>
      </c>
      <c r="E1000" s="13">
        <f>MIN($B$4+$B$5*D1000,$B$6)</f>
        <v/>
      </c>
      <c r="F1000" s="13">
        <f>$B$7</f>
        <v/>
      </c>
      <c r="G1000" s="13">
        <f>E1000+F1000</f>
        <v/>
      </c>
      <c r="H1000" s="13">
        <f>3*E1000+F1000</f>
        <v/>
      </c>
      <c r="I1000">
        <f>IF(H1000&gt;$B$8,"Oui","Non")</f>
        <v/>
      </c>
      <c r="J1000" s="14">
        <f>IF(D1000&gt;0,E1000/D1000,"")</f>
        <v/>
      </c>
    </row>
    <row r="1001">
      <c r="A1001" s="15" t="inlineStr">
        <is>
          <t>CC du Vexin-Val de Seine</t>
        </is>
      </c>
      <c r="B1001" s="15" t="inlineStr">
        <is>
          <t>Val-d'Oise</t>
        </is>
      </c>
      <c r="C1001" s="15" t="inlineStr">
        <is>
          <t>95</t>
        </is>
      </c>
      <c r="D1001" s="16" t="n">
        <v>16545</v>
      </c>
      <c r="E1001" s="17">
        <f>MIN($B$4+$B$5*D1001,$B$6)</f>
        <v/>
      </c>
      <c r="F1001" s="17">
        <f>$B$7</f>
        <v/>
      </c>
      <c r="G1001" s="17">
        <f>E1001+F1001</f>
        <v/>
      </c>
      <c r="H1001" s="17">
        <f>3*E1001+F1001</f>
        <v/>
      </c>
      <c r="I1001" s="15">
        <f>IF(H1001&gt;$B$8,"Oui","Non")</f>
        <v/>
      </c>
      <c r="J1001" s="18">
        <f>IF(D1001&gt;0,E1001/D1001,"")</f>
        <v/>
      </c>
    </row>
    <row r="1002">
      <c r="A1002" t="inlineStr">
        <is>
          <t>CC de Marie-Galante</t>
        </is>
      </c>
      <c r="B1002" t="inlineStr">
        <is>
          <t>Guadeloupe</t>
        </is>
      </c>
      <c r="C1002" t="inlineStr">
        <is>
          <t>971</t>
        </is>
      </c>
      <c r="D1002" s="3" t="n">
        <v>10422</v>
      </c>
      <c r="E1002" s="13">
        <f>MIN($B$4+$B$5*D1002,$B$6)</f>
        <v/>
      </c>
      <c r="F1002" s="13">
        <f>$B$7</f>
        <v/>
      </c>
      <c r="G1002" s="13">
        <f>E1002+F1002</f>
        <v/>
      </c>
      <c r="H1002" s="13">
        <f>3*E1002+F1002</f>
        <v/>
      </c>
      <c r="I1002">
        <f>IF(H1002&gt;$B$8,"Oui","Non")</f>
        <v/>
      </c>
      <c r="J1002" s="14">
        <f>IF(D1002&gt;0,E1002/D1002,"")</f>
        <v/>
      </c>
    </row>
    <row r="1003">
      <c r="A1003" s="15" t="inlineStr">
        <is>
          <t>CC de l'Est Guyanais</t>
        </is>
      </c>
      <c r="B1003" s="15" t="inlineStr">
        <is>
          <t>Guyane</t>
        </is>
      </c>
      <c r="C1003" s="15" t="inlineStr">
        <is>
          <t>973</t>
        </is>
      </c>
      <c r="D1003" s="16" t="n">
        <v>8735</v>
      </c>
      <c r="E1003" s="17">
        <f>MIN($B$4+$B$5*D1003,$B$6)</f>
        <v/>
      </c>
      <c r="F1003" s="17">
        <f>$B$7</f>
        <v/>
      </c>
      <c r="G1003" s="17">
        <f>E1003+F1003</f>
        <v/>
      </c>
      <c r="H1003" s="17">
        <f>3*E1003+F1003</f>
        <v/>
      </c>
      <c r="I1003" s="15">
        <f>IF(H1003&gt;$B$8,"Oui","Non")</f>
        <v/>
      </c>
      <c r="J1003" s="18">
        <f>IF(D1003&gt;0,E1003/D1003,"")</f>
        <v/>
      </c>
    </row>
    <row r="1004">
      <c r="A1004" t="inlineStr">
        <is>
          <t>CC de l'Ouest Guyanais</t>
        </is>
      </c>
      <c r="B1004" t="inlineStr">
        <is>
          <t>Guyane</t>
        </is>
      </c>
      <c r="C1004" t="inlineStr">
        <is>
          <t>973</t>
        </is>
      </c>
      <c r="D1004" s="3" t="n">
        <v>98344</v>
      </c>
      <c r="E1004" s="13">
        <f>MIN($B$4+$B$5*D1004,$B$6)</f>
        <v/>
      </c>
      <c r="F1004" s="13">
        <f>$B$7</f>
        <v/>
      </c>
      <c r="G1004" s="13">
        <f>E1004+F1004</f>
        <v/>
      </c>
      <c r="H1004" s="13">
        <f>3*E1004+F1004</f>
        <v/>
      </c>
      <c r="I1004">
        <f>IF(H1004&gt;$B$8,"Oui","Non")</f>
        <v/>
      </c>
      <c r="J1004" s="14">
        <f>IF(D1004&gt;0,E1004/D1004,"")</f>
        <v/>
      </c>
    </row>
    <row r="1005">
      <c r="A1005" s="15" t="inlineStr">
        <is>
          <t>CC des Savanes</t>
        </is>
      </c>
      <c r="B1005" s="15" t="inlineStr">
        <is>
          <t>Guyane</t>
        </is>
      </c>
      <c r="C1005" s="15" t="inlineStr">
        <is>
          <t>973</t>
        </is>
      </c>
      <c r="D1005" s="16" t="n">
        <v>29113</v>
      </c>
      <c r="E1005" s="17">
        <f>MIN($B$4+$B$5*D1005,$B$6)</f>
        <v/>
      </c>
      <c r="F1005" s="17">
        <f>$B$7</f>
        <v/>
      </c>
      <c r="G1005" s="17">
        <f>E1005+F1005</f>
        <v/>
      </c>
      <c r="H1005" s="17">
        <f>3*E1005+F1005</f>
        <v/>
      </c>
      <c r="I1005" s="15">
        <f>IF(H1005&gt;$B$8,"Oui","Non")</f>
        <v/>
      </c>
      <c r="J1005" s="18">
        <f>IF(D1005&gt;0,E1005/D1005,"")</f>
        <v/>
      </c>
    </row>
    <row r="1006">
      <c r="A1006" t="inlineStr">
        <is>
          <t>CC de Petite-Terre</t>
        </is>
      </c>
      <c r="B1006" t="inlineStr">
        <is>
          <t>Mayotte</t>
        </is>
      </c>
      <c r="C1006" t="inlineStr">
        <is>
          <t>976</t>
        </is>
      </c>
      <c r="D1006" s="3" t="n">
        <v>29273</v>
      </c>
      <c r="E1006" s="13">
        <f>MIN($B$4+$B$5*D1006,$B$6)</f>
        <v/>
      </c>
      <c r="F1006" s="13">
        <f>$B$7</f>
        <v/>
      </c>
      <c r="G1006" s="13">
        <f>E1006+F1006</f>
        <v/>
      </c>
      <c r="H1006" s="13">
        <f>3*E1006+F1006</f>
        <v/>
      </c>
      <c r="I1006">
        <f>IF(H1006&gt;$B$8,"Oui","Non")</f>
        <v/>
      </c>
      <c r="J1006" s="14">
        <f>IF(D1006&gt;0,E1006/D1006,"")</f>
        <v/>
      </c>
    </row>
    <row r="1007">
      <c r="A1007" s="15" t="inlineStr">
        <is>
          <t>CC du Centre-Ouest</t>
        </is>
      </c>
      <c r="B1007" s="15" t="inlineStr">
        <is>
          <t>Mayotte</t>
        </is>
      </c>
      <c r="C1007" s="15" t="inlineStr">
        <is>
          <t>976</t>
        </is>
      </c>
      <c r="D1007" s="16" t="n">
        <v>50020</v>
      </c>
      <c r="E1007" s="17">
        <f>MIN($B$4+$B$5*D1007,$B$6)</f>
        <v/>
      </c>
      <c r="F1007" s="17">
        <f>$B$7</f>
        <v/>
      </c>
      <c r="G1007" s="17">
        <f>E1007+F1007</f>
        <v/>
      </c>
      <c r="H1007" s="17">
        <f>3*E1007+F1007</f>
        <v/>
      </c>
      <c r="I1007" s="15">
        <f>IF(H1007&gt;$B$8,"Oui","Non")</f>
        <v/>
      </c>
      <c r="J1007" s="18">
        <f>IF(D1007&gt;0,E1007/D1007,"")</f>
        <v/>
      </c>
    </row>
    <row r="1008">
      <c r="A1008" t="inlineStr">
        <is>
          <t>CC du Sud</t>
        </is>
      </c>
      <c r="B1008" t="inlineStr">
        <is>
          <t>Mayotte</t>
        </is>
      </c>
      <c r="C1008" t="inlineStr">
        <is>
          <t>976</t>
        </is>
      </c>
      <c r="D1008" s="3" t="n">
        <v>30898</v>
      </c>
      <c r="E1008" s="13">
        <f>MIN($B$4+$B$5*D1008,$B$6)</f>
        <v/>
      </c>
      <c r="F1008" s="13">
        <f>$B$7</f>
        <v/>
      </c>
      <c r="G1008" s="13">
        <f>E1008+F1008</f>
        <v/>
      </c>
      <c r="H1008" s="13">
        <f>3*E1008+F1008</f>
        <v/>
      </c>
      <c r="I1008">
        <f>IF(H1008&gt;$B$8,"Oui","Non")</f>
        <v/>
      </c>
      <c r="J1008" s="14">
        <f>IF(D1008&gt;0,E1008/D1008,"")</f>
        <v/>
      </c>
    </row>
    <row r="1009">
      <c r="A1009" s="19" t="inlineStr">
        <is>
          <t>TOTAL</t>
        </is>
      </c>
      <c r="B1009" s="19" t="n"/>
      <c r="C1009" s="19" t="n"/>
      <c r="D1009" s="20">
        <f>SUM(D20:D1008)</f>
        <v/>
      </c>
      <c r="E1009" s="21">
        <f>SUM(E20:E1008)</f>
        <v/>
      </c>
      <c r="F1009" s="21">
        <f>SUM(F20:F1008)</f>
        <v/>
      </c>
      <c r="G1009" s="21">
        <f>SUM(G20:G1008)</f>
        <v/>
      </c>
      <c r="H1009" s="21">
        <f>SUM(H20:H1008)</f>
        <v/>
      </c>
      <c r="I1009" s="19" t="n"/>
      <c r="J1009" s="19" t="n"/>
    </row>
  </sheetData>
  <autoFilter ref="A19:J10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12" customWidth="1" min="3" max="3"/>
    <col width="11" customWidth="1" min="4" max="4"/>
    <col width="22" customWidth="1" min="5" max="5"/>
    <col width="26" customWidth="1" min="6" max="6"/>
    <col width="11" customWidth="1" min="7" max="7"/>
    <col width="10" customWidth="1" min="8" max="8"/>
    <col width="38" customWidth="1" min="9" max="9"/>
    <col width="11" customWidth="1" min="10" max="10"/>
    <col width="26" customWidth="1" min="11" max="11"/>
    <col width="18" customWidth="1" min="12" max="12"/>
    <col width="34" customWidth="1" min="13" max="13"/>
    <col width="34" customWidth="1" min="14" max="14"/>
    <col width="30" customWidth="1" min="15" max="15"/>
    <col width="30" customWidth="1" min="16" max="16"/>
    <col width="26" customWidth="1" min="17" max="17"/>
    <col width="18" customWidth="1" min="18" max="18"/>
    <col width="22" customWidth="1" min="19" max="19"/>
    <col width="40" customWidth="1" min="20" max="20"/>
  </cols>
  <sheetData>
    <row r="1" ht="32" customHeight="1">
      <c r="A1" s="1" t="inlineStr">
        <is>
          <t>Nom</t>
        </is>
      </c>
      <c r="B1" s="1" t="inlineStr">
        <is>
          <t>Type</t>
        </is>
      </c>
      <c r="C1" s="1" t="inlineStr">
        <is>
          <t>SIREN</t>
        </is>
      </c>
      <c r="D1" s="1" t="inlineStr">
        <is>
          <t>Code département</t>
        </is>
      </c>
      <c r="E1" s="1" t="inlineStr">
        <is>
          <t>Département</t>
        </is>
      </c>
      <c r="F1" s="1" t="inlineStr">
        <is>
          <t>Région</t>
        </is>
      </c>
      <c r="G1" s="1" t="inlineStr">
        <is>
          <t>Population</t>
        </is>
      </c>
      <c r="H1" s="1" t="inlineStr">
        <is>
          <t>Communes</t>
        </is>
      </c>
      <c r="I1" s="1" t="inlineStr">
        <is>
          <t>Adresse</t>
        </is>
      </c>
      <c r="J1" s="1" t="inlineStr">
        <is>
          <t>Code postal</t>
        </is>
      </c>
      <c r="K1" s="1" t="inlineStr">
        <is>
          <t>Commune</t>
        </is>
      </c>
      <c r="L1" s="1" t="inlineStr">
        <is>
          <t>Téléphone</t>
        </is>
      </c>
      <c r="M1" s="1" t="inlineStr">
        <is>
          <t>Courriel</t>
        </is>
      </c>
      <c r="N1" s="1" t="inlineStr">
        <is>
          <t>Site web</t>
        </is>
      </c>
      <c r="O1" s="1" t="inlineStr">
        <is>
          <t>Formulaire de contact</t>
        </is>
      </c>
      <c r="P1" s="1" t="inlineStr">
        <is>
          <t>Fiche Service-public.fr</t>
        </is>
      </c>
      <c r="Q1" s="1" t="inlineStr">
        <is>
          <t>Source des coordonnées</t>
        </is>
      </c>
      <c r="R1" s="2" t="inlineStr">
        <is>
          <t>Statut prospection</t>
        </is>
      </c>
      <c r="S1" s="2" t="inlineStr">
        <is>
          <t>Interlocuteur</t>
        </is>
      </c>
      <c r="T1" s="2" t="inlineStr">
        <is>
          <t>Notes</t>
        </is>
      </c>
    </row>
    <row r="2">
      <c r="A2" t="inlineStr">
        <is>
          <t>CC Bresse et Saône</t>
        </is>
      </c>
      <c r="B2" t="inlineStr">
        <is>
          <t>Communauté de communes</t>
        </is>
      </c>
      <c r="C2" t="inlineStr">
        <is>
          <t>200071371</t>
        </is>
      </c>
      <c r="D2" t="inlineStr">
        <is>
          <t>01</t>
        </is>
      </c>
      <c r="E2" t="inlineStr">
        <is>
          <t>Ain</t>
        </is>
      </c>
      <c r="F2" t="inlineStr">
        <is>
          <t>Auvergne-Rhône-Alpes</t>
        </is>
      </c>
      <c r="G2" s="3" t="n">
        <v>25700</v>
      </c>
      <c r="H2" t="n">
        <v>20</v>
      </c>
      <c r="I2" t="inlineStr">
        <is>
          <t>50 chemin de la Glaine</t>
        </is>
      </c>
      <c r="J2" t="inlineStr">
        <is>
          <t>01380</t>
        </is>
      </c>
      <c r="K2" t="inlineStr">
        <is>
          <t>Bagé-le-Chatel</t>
        </is>
      </c>
      <c r="L2" t="inlineStr">
        <is>
          <t>03 85 36 37 18</t>
        </is>
      </c>
      <c r="M2" s="4" t="inlineStr">
        <is>
          <t>accueil@ccbresseetsaone.fr</t>
        </is>
      </c>
      <c r="N2" s="4" t="inlineStr">
        <is>
          <t>https://www.ccbresseetsaone.fr/</t>
        </is>
      </c>
      <c r="O2" s="4" t="inlineStr">
        <is>
          <t>https://www.ccbresseetsaone.fr/nous-contacter/</t>
        </is>
      </c>
      <c r="P2" s="4" t="inlineStr">
        <is>
          <t>https://lannuaire.service-public.gouv.fr/auvergne-rhone-alpes/ain/31de1c7a-3bb6-4c7c-a672-816f2af0b87a</t>
        </is>
      </c>
      <c r="Q2" t="inlineStr">
        <is>
          <t>Annuaire Service-public.fr</t>
        </is>
      </c>
      <c r="R2" t="inlineStr"/>
      <c r="S2" t="inlineStr"/>
      <c r="T2" t="inlineStr"/>
    </row>
    <row r="3">
      <c r="A3" t="inlineStr">
        <is>
          <t>CC Bugey Sud</t>
        </is>
      </c>
      <c r="B3" t="inlineStr">
        <is>
          <t>Communauté de communes</t>
        </is>
      </c>
      <c r="C3" t="inlineStr">
        <is>
          <t>200040350</t>
        </is>
      </c>
      <c r="D3" t="inlineStr">
        <is>
          <t>01</t>
        </is>
      </c>
      <c r="E3" t="inlineStr">
        <is>
          <t>Ain</t>
        </is>
      </c>
      <c r="F3" t="inlineStr">
        <is>
          <t>Auvergne-Rhône-Alpes</t>
        </is>
      </c>
      <c r="G3" s="3" t="n">
        <v>34086</v>
      </c>
      <c r="H3" t="n">
        <v>41</v>
      </c>
      <c r="I3" t="inlineStr">
        <is>
          <t>34 Grande rue</t>
        </is>
      </c>
      <c r="J3" t="inlineStr">
        <is>
          <t>01300</t>
        </is>
      </c>
      <c r="K3" t="inlineStr">
        <is>
          <t>Belley</t>
        </is>
      </c>
      <c r="L3" t="inlineStr">
        <is>
          <t>04 79 81 41 05</t>
        </is>
      </c>
      <c r="M3" s="4" t="inlineStr">
        <is>
          <t>accueil@ccbugeysud.com</t>
        </is>
      </c>
      <c r="N3" s="4" t="inlineStr">
        <is>
          <t>https://www.ccbugeysud.com/</t>
        </is>
      </c>
      <c r="O3" s="4" t="inlineStr">
        <is>
          <t>https://www.ccbugeysud.com/la-collectivite/contacts-et-logo/</t>
        </is>
      </c>
      <c r="P3" s="4" t="inlineStr">
        <is>
          <t>https://lannuaire.service-public.gouv.fr/auvergne-rhone-alpes/ain/51b6052a-73af-4c3e-bd45-5ac214ff4c71</t>
        </is>
      </c>
      <c r="Q3" t="inlineStr">
        <is>
          <t>Annuaire Service-public.fr</t>
        </is>
      </c>
      <c r="R3" t="inlineStr"/>
      <c r="S3" t="inlineStr"/>
      <c r="T3" t="inlineStr"/>
    </row>
    <row r="4">
      <c r="A4" t="inlineStr">
        <is>
          <t>CC Dombes Saône Vallée</t>
        </is>
      </c>
      <c r="B4" t="inlineStr">
        <is>
          <t>Communauté de communes</t>
        </is>
      </c>
      <c r="C4" t="inlineStr">
        <is>
          <t>200042497</t>
        </is>
      </c>
      <c r="D4" t="inlineStr">
        <is>
          <t>01</t>
        </is>
      </c>
      <c r="E4" t="inlineStr">
        <is>
          <t>Ain</t>
        </is>
      </c>
      <c r="F4" t="inlineStr">
        <is>
          <t>Auvergne-Rhône-Alpes</t>
        </is>
      </c>
      <c r="G4" s="3" t="n">
        <v>40893</v>
      </c>
      <c r="H4" t="n">
        <v>19</v>
      </c>
      <c r="I4" t="inlineStr">
        <is>
          <t>627 route de Jassans</t>
        </is>
      </c>
      <c r="J4" t="inlineStr">
        <is>
          <t>01600</t>
        </is>
      </c>
      <c r="K4" t="inlineStr">
        <is>
          <t>Trévoux</t>
        </is>
      </c>
      <c r="L4" t="inlineStr">
        <is>
          <t>04 74 08 97 66</t>
        </is>
      </c>
      <c r="M4" s="4" t="inlineStr">
        <is>
          <t>contact@ccdsv.fr</t>
        </is>
      </c>
      <c r="N4" s="4" t="inlineStr">
        <is>
          <t>https://www.ccdsv.fr/</t>
        </is>
      </c>
      <c r="O4" t="inlineStr"/>
      <c r="P4" s="4" t="inlineStr">
        <is>
          <t>https://lannuaire.service-public.gouv.fr/auvergne-rhone-alpes/ain/32c18409-c830-4ba1-988f-53798fd4b9a2</t>
        </is>
      </c>
      <c r="Q4" t="inlineStr">
        <is>
          <t>Annuaire Service-public.fr</t>
        </is>
      </c>
      <c r="R4" t="inlineStr"/>
      <c r="S4" t="inlineStr"/>
      <c r="T4" t="inlineStr"/>
    </row>
    <row r="5">
      <c r="A5" t="inlineStr">
        <is>
          <t>CC Rives de l'Ain - Pays du Cerdon</t>
        </is>
      </c>
      <c r="B5" t="inlineStr">
        <is>
          <t>Communauté de communes</t>
        </is>
      </c>
      <c r="C5" t="inlineStr">
        <is>
          <t>200029999</t>
        </is>
      </c>
      <c r="D5" t="inlineStr">
        <is>
          <t>01</t>
        </is>
      </c>
      <c r="E5" t="inlineStr">
        <is>
          <t>Ain</t>
        </is>
      </c>
      <c r="F5" t="inlineStr">
        <is>
          <t>Auvergne-Rhône-Alpes</t>
        </is>
      </c>
      <c r="G5" s="3" t="n">
        <v>14873</v>
      </c>
      <c r="H5" t="n">
        <v>14</v>
      </c>
      <c r="I5" t="inlineStr">
        <is>
          <t>Place de l'Hôtel-de-Ville</t>
        </is>
      </c>
      <c r="J5" t="inlineStr">
        <is>
          <t>01640</t>
        </is>
      </c>
      <c r="K5" t="inlineStr">
        <is>
          <t>Jujurieux</t>
        </is>
      </c>
      <c r="L5" t="inlineStr">
        <is>
          <t>04 74 37 13 32</t>
        </is>
      </c>
      <c r="M5" s="4" t="inlineStr">
        <is>
          <t>accueil@ain-cerdon.fr</t>
        </is>
      </c>
      <c r="N5" s="4" t="inlineStr">
        <is>
          <t>https://www.ain-cerdon.fr/</t>
        </is>
      </c>
      <c r="O5" s="4" t="inlineStr">
        <is>
          <t>https://www.ain-cerdon.fr/contact/</t>
        </is>
      </c>
      <c r="P5" s="4" t="inlineStr">
        <is>
          <t>https://lannuaire.service-public.gouv.fr/auvergne-rhone-alpes/ain/7c54a81b-bfe4-4256-8884-5fd8703fb853</t>
        </is>
      </c>
      <c r="Q5" t="inlineStr">
        <is>
          <t>Annuaire Service-public.fr</t>
        </is>
      </c>
      <c r="R5" t="inlineStr"/>
      <c r="S5" t="inlineStr"/>
      <c r="T5" t="inlineStr"/>
    </row>
    <row r="6">
      <c r="A6" t="inlineStr">
        <is>
          <t>CC Terre Valserhône (CCTV)</t>
        </is>
      </c>
      <c r="B6" t="inlineStr">
        <is>
          <t>Communauté de communes</t>
        </is>
      </c>
      <c r="C6" t="inlineStr">
        <is>
          <t>240100891</t>
        </is>
      </c>
      <c r="D6" t="inlineStr">
        <is>
          <t>01</t>
        </is>
      </c>
      <c r="E6" t="inlineStr">
        <is>
          <t>Ain</t>
        </is>
      </c>
      <c r="F6" t="inlineStr">
        <is>
          <t>Auvergne-Rhône-Alpes</t>
        </is>
      </c>
      <c r="G6" s="3" t="n">
        <v>21657</v>
      </c>
      <c r="H6" t="n">
        <v>12</v>
      </c>
      <c r="I6" t="inlineStr">
        <is>
          <t>35 rue de la Poste, Châtillon-en-Michaille</t>
        </is>
      </c>
      <c r="J6" t="inlineStr">
        <is>
          <t>01200</t>
        </is>
      </c>
      <c r="K6" t="inlineStr">
        <is>
          <t>Valserhône</t>
        </is>
      </c>
      <c r="L6" t="inlineStr">
        <is>
          <t>04 50 48 19 78</t>
        </is>
      </c>
      <c r="M6" s="4" t="inlineStr">
        <is>
          <t>info@terrevalserhone.fr</t>
        </is>
      </c>
      <c r="N6" s="4" t="inlineStr">
        <is>
          <t>https://terrevalserhone.fr/</t>
        </is>
      </c>
      <c r="O6" t="inlineStr"/>
      <c r="P6" s="4" t="inlineStr">
        <is>
          <t>https://lannuaire.service-public.gouv.fr/auvergne-rhone-alpes/ain/f6bc123d-9ed3-4ad9-bc18-685e4142da05</t>
        </is>
      </c>
      <c r="Q6" t="inlineStr">
        <is>
          <t>Annuaire Service-public.fr</t>
        </is>
      </c>
      <c r="R6" t="inlineStr"/>
      <c r="S6" t="inlineStr"/>
      <c r="T6" t="inlineStr"/>
    </row>
    <row r="7">
      <c r="A7" t="inlineStr">
        <is>
          <t>CC Usses et Rhône</t>
        </is>
      </c>
      <c r="B7" t="inlineStr">
        <is>
          <t>Communauté de communes</t>
        </is>
      </c>
      <c r="C7" t="inlineStr">
        <is>
          <t>200070852</t>
        </is>
      </c>
      <c r="D7" t="inlineStr">
        <is>
          <t>01, 74</t>
        </is>
      </c>
      <c r="E7" t="inlineStr">
        <is>
          <t>Ain, Haute-Savoie</t>
        </is>
      </c>
      <c r="F7" t="inlineStr">
        <is>
          <t>Auvergne-Rhône-Alpes</t>
        </is>
      </c>
      <c r="G7" s="3" t="n">
        <v>21475</v>
      </c>
      <c r="H7" t="n">
        <v>26</v>
      </c>
      <c r="I7" t="inlineStr">
        <is>
          <t>24 place de l'Orme</t>
        </is>
      </c>
      <c r="J7" t="inlineStr">
        <is>
          <t>74910</t>
        </is>
      </c>
      <c r="K7" t="inlineStr">
        <is>
          <t>Seyssel</t>
        </is>
      </c>
      <c r="L7" t="inlineStr">
        <is>
          <t>04 50 56 15 30</t>
        </is>
      </c>
      <c r="M7" s="4" t="inlineStr">
        <is>
          <t>accueil@cc-ur.fr</t>
        </is>
      </c>
      <c r="N7" s="4" t="inlineStr">
        <is>
          <t>https://www.usses-et-rhone.fr/</t>
        </is>
      </c>
      <c r="O7" t="inlineStr"/>
      <c r="P7" s="4" t="inlineStr">
        <is>
          <t>https://lannuaire.service-public.gouv.fr/auvergne-rhone-alpes/haute-savoie/1197ee22-f148-4d3f-880f-b5373ab2b987</t>
        </is>
      </c>
      <c r="Q7" t="inlineStr">
        <is>
          <t>Annuaire Service-public.fr</t>
        </is>
      </c>
      <c r="R7" t="inlineStr"/>
      <c r="S7" t="inlineStr"/>
      <c r="T7" t="inlineStr"/>
    </row>
    <row r="8">
      <c r="A8" t="inlineStr">
        <is>
          <t>CC Val de Saône Centre</t>
        </is>
      </c>
      <c r="B8" t="inlineStr">
        <is>
          <t>Communauté de communes</t>
        </is>
      </c>
      <c r="C8" t="inlineStr">
        <is>
          <t>200070118</t>
        </is>
      </c>
      <c r="D8" t="inlineStr">
        <is>
          <t>01</t>
        </is>
      </c>
      <c r="E8" t="inlineStr">
        <is>
          <t>Ain</t>
        </is>
      </c>
      <c r="F8" t="inlineStr">
        <is>
          <t>Auvergne-Rhône-Alpes</t>
        </is>
      </c>
      <c r="G8" s="3" t="n">
        <v>21022</v>
      </c>
      <c r="H8" t="n">
        <v>15</v>
      </c>
      <c r="I8" t="inlineStr">
        <is>
          <t>Parc Visiosport, 166 route de Francheleins</t>
        </is>
      </c>
      <c r="J8" t="inlineStr">
        <is>
          <t>01090</t>
        </is>
      </c>
      <c r="K8" t="inlineStr">
        <is>
          <t>Montceaux</t>
        </is>
      </c>
      <c r="L8" t="inlineStr">
        <is>
          <t>04 74 06 46 26</t>
        </is>
      </c>
      <c r="M8" s="4" t="inlineStr">
        <is>
          <t>accueil@ccvsc01.org</t>
        </is>
      </c>
      <c r="N8" s="4" t="inlineStr">
        <is>
          <t>https://www.ccvsc01.org/</t>
        </is>
      </c>
      <c r="O8" t="inlineStr"/>
      <c r="P8" s="4" t="inlineStr">
        <is>
          <t>https://lannuaire.service-public.gouv.fr/auvergne-rhone-alpes/ain/85a7aa66-fdb6-469b-8274-feb81b44a106</t>
        </is>
      </c>
      <c r="Q8" t="inlineStr">
        <is>
          <t>Annuaire Service-public.fr</t>
        </is>
      </c>
      <c r="R8" t="inlineStr"/>
      <c r="S8" t="inlineStr"/>
      <c r="T8" t="inlineStr"/>
    </row>
    <row r="9">
      <c r="A9" t="inlineStr">
        <is>
          <t>CC de Miribel et du Plateau</t>
        </is>
      </c>
      <c r="B9" t="inlineStr">
        <is>
          <t>Communauté de communes</t>
        </is>
      </c>
      <c r="C9" t="inlineStr">
        <is>
          <t>240100800</t>
        </is>
      </c>
      <c r="D9" t="inlineStr">
        <is>
          <t>01</t>
        </is>
      </c>
      <c r="E9" t="inlineStr">
        <is>
          <t>Ain</t>
        </is>
      </c>
      <c r="F9" t="inlineStr">
        <is>
          <t>Auvergne-Rhône-Alpes</t>
        </is>
      </c>
      <c r="G9" s="3" t="n">
        <v>25161</v>
      </c>
      <c r="H9" t="n">
        <v>6</v>
      </c>
      <c r="I9" t="inlineStr">
        <is>
          <t>238 rue des Breteaux</t>
        </is>
      </c>
      <c r="J9" t="inlineStr">
        <is>
          <t>01700</t>
        </is>
      </c>
      <c r="K9" t="inlineStr">
        <is>
          <t>Miribel</t>
        </is>
      </c>
      <c r="L9" t="inlineStr">
        <is>
          <t>04 78 55 52 18</t>
        </is>
      </c>
      <c r="M9" s="4" t="inlineStr">
        <is>
          <t>contact@cc-miribel.fr</t>
        </is>
      </c>
      <c r="N9" s="4" t="inlineStr">
        <is>
          <t>https://cc-miribel.fr/</t>
        </is>
      </c>
      <c r="O9" t="inlineStr"/>
      <c r="P9" s="4" t="inlineStr">
        <is>
          <t>https://lannuaire.service-public.gouv.fr/auvergne-rhone-alpes/ain/b311e423-fcc1-41cb-bbec-067819eef761</t>
        </is>
      </c>
      <c r="Q9" t="inlineStr">
        <is>
          <t>Annuaire Service-public.fr</t>
        </is>
      </c>
      <c r="R9" t="inlineStr"/>
      <c r="S9" t="inlineStr"/>
      <c r="T9" t="inlineStr"/>
    </row>
    <row r="10">
      <c r="A10" t="inlineStr">
        <is>
          <t>CC de la Côtière à Montluel</t>
        </is>
      </c>
      <c r="B10" t="inlineStr">
        <is>
          <t>Communauté de communes</t>
        </is>
      </c>
      <c r="C10" t="inlineStr">
        <is>
          <t>240100610</t>
        </is>
      </c>
      <c r="D10" t="inlineStr">
        <is>
          <t>01</t>
        </is>
      </c>
      <c r="E10" t="inlineStr">
        <is>
          <t>Ain</t>
        </is>
      </c>
      <c r="F10" t="inlineStr">
        <is>
          <t>Auvergne-Rhône-Alpes</t>
        </is>
      </c>
      <c r="G10" s="3" t="n">
        <v>25504</v>
      </c>
      <c r="H10" t="n">
        <v>9</v>
      </c>
      <c r="I10" t="inlineStr">
        <is>
          <t>485 rue des Valets, ZAC Cap &amp; Co</t>
        </is>
      </c>
      <c r="J10" t="inlineStr">
        <is>
          <t>01120</t>
        </is>
      </c>
      <c r="K10" t="inlineStr">
        <is>
          <t>Montluel</t>
        </is>
      </c>
      <c r="L10" t="inlineStr">
        <is>
          <t>04 78 06 39 37</t>
        </is>
      </c>
      <c r="M10" s="4" t="inlineStr">
        <is>
          <t>infos@3cm.fr</t>
        </is>
      </c>
      <c r="N10" s="4" t="inlineStr">
        <is>
          <t>https://www.3cm.fr/</t>
        </is>
      </c>
      <c r="O10" t="inlineStr"/>
      <c r="P10" s="4" t="inlineStr">
        <is>
          <t>https://lannuaire.service-public.gouv.fr/auvergne-rhone-alpes/ain/1055a5d1-81c2-4d92-960d-5095cbffc5bf</t>
        </is>
      </c>
      <c r="Q10" t="inlineStr">
        <is>
          <t>Annuaire Service-public.fr</t>
        </is>
      </c>
      <c r="R10" t="inlineStr"/>
      <c r="S10" t="inlineStr"/>
      <c r="T10" t="inlineStr"/>
    </row>
    <row r="11">
      <c r="A11" t="inlineStr">
        <is>
          <t>CC de la Dombes</t>
        </is>
      </c>
      <c r="B11" t="inlineStr">
        <is>
          <t>Communauté de communes</t>
        </is>
      </c>
      <c r="C11" t="inlineStr">
        <is>
          <t>200069193</t>
        </is>
      </c>
      <c r="D11" t="inlineStr">
        <is>
          <t>01</t>
        </is>
      </c>
      <c r="E11" t="inlineStr">
        <is>
          <t>Ain</t>
        </is>
      </c>
      <c r="F11" t="inlineStr">
        <is>
          <t>Auvergne-Rhône-Alpes</t>
        </is>
      </c>
      <c r="G11" s="3" t="n">
        <v>40570</v>
      </c>
      <c r="H11" t="n">
        <v>36</v>
      </c>
      <c r="I11" t="inlineStr">
        <is>
          <t>100 avenue Foch</t>
        </is>
      </c>
      <c r="J11" t="inlineStr">
        <is>
          <t>01400</t>
        </is>
      </c>
      <c r="K11" t="inlineStr">
        <is>
          <t>Châtillon-sur-Chalaronne</t>
        </is>
      </c>
      <c r="L11" t="inlineStr">
        <is>
          <t>04 28 36 12 12</t>
        </is>
      </c>
      <c r="M11" s="4" t="inlineStr">
        <is>
          <t>contact@ccdombes.fr</t>
        </is>
      </c>
      <c r="N11" s="4" t="inlineStr">
        <is>
          <t>https://www.ccdombes.fr</t>
        </is>
      </c>
      <c r="O11" s="4" t="inlineStr">
        <is>
          <t>https://www.ccdombes.fr/contact/</t>
        </is>
      </c>
      <c r="P11" s="4" t="inlineStr">
        <is>
          <t>https://lannuaire.service-public.gouv.fr/auvergne-rhone-alpes/ain/1c3d258e-06a9-446b-a607-c962b4232c0f</t>
        </is>
      </c>
      <c r="Q11" t="inlineStr">
        <is>
          <t>Annuaire Service-public.fr</t>
        </is>
      </c>
      <c r="R11" t="inlineStr"/>
      <c r="S11" t="inlineStr"/>
      <c r="T11" t="inlineStr"/>
    </row>
    <row r="12">
      <c r="A12" t="inlineStr">
        <is>
          <t>CC de la Plaine de l'Ain</t>
        </is>
      </c>
      <c r="B12" t="inlineStr">
        <is>
          <t>Communauté de communes</t>
        </is>
      </c>
      <c r="C12" t="inlineStr">
        <is>
          <t>240100883</t>
        </is>
      </c>
      <c r="D12" t="inlineStr">
        <is>
          <t>01</t>
        </is>
      </c>
      <c r="E12" t="inlineStr">
        <is>
          <t>Ain</t>
        </is>
      </c>
      <c r="F12" t="inlineStr">
        <is>
          <t>Auvergne-Rhône-Alpes</t>
        </is>
      </c>
      <c r="G12" s="3" t="n">
        <v>82840</v>
      </c>
      <c r="H12" t="n">
        <v>53</v>
      </c>
      <c r="I12" t="inlineStr">
        <is>
          <t>143 rue du Château</t>
        </is>
      </c>
      <c r="J12" t="inlineStr">
        <is>
          <t>01150</t>
        </is>
      </c>
      <c r="K12" t="inlineStr">
        <is>
          <t>Chazey-sur-Ain</t>
        </is>
      </c>
      <c r="L12" t="inlineStr">
        <is>
          <t>04 74 61 96 40</t>
        </is>
      </c>
      <c r="M12" s="4" t="inlineStr">
        <is>
          <t>contact@cc-plainedelain.fr</t>
        </is>
      </c>
      <c r="N12" s="4" t="inlineStr">
        <is>
          <t>https://cc-plainedelain.fr</t>
        </is>
      </c>
      <c r="O12" s="4" t="inlineStr">
        <is>
          <t>https://www.cc-plainedelain.fr/fr/contact.html</t>
        </is>
      </c>
      <c r="P12" s="4" t="inlineStr">
        <is>
          <t>https://lannuaire.service-public.gouv.fr/auvergne-rhone-alpes/ain/c832c350-2fb4-44f2-b465-4cab3844b8f0</t>
        </is>
      </c>
      <c r="Q12" t="inlineStr">
        <is>
          <t>Annuaire Service-public.fr</t>
        </is>
      </c>
      <c r="R12" t="inlineStr"/>
      <c r="S12" t="inlineStr"/>
      <c r="T12" t="inlineStr"/>
    </row>
    <row r="13">
      <c r="A13" t="inlineStr">
        <is>
          <t>CC de la Veyle</t>
        </is>
      </c>
      <c r="B13" t="inlineStr">
        <is>
          <t>Communauté de communes</t>
        </is>
      </c>
      <c r="C13" t="inlineStr">
        <is>
          <t>200070555</t>
        </is>
      </c>
      <c r="D13" t="inlineStr">
        <is>
          <t>01</t>
        </is>
      </c>
      <c r="E13" t="inlineStr">
        <is>
          <t>Ain</t>
        </is>
      </c>
      <c r="F13" t="inlineStr">
        <is>
          <t>Auvergne-Rhône-Alpes</t>
        </is>
      </c>
      <c r="G13" s="3" t="n">
        <v>23254</v>
      </c>
      <c r="H13" t="n">
        <v>18</v>
      </c>
      <c r="I13" t="inlineStr">
        <is>
          <t>10 rue de la Poste, Pôle des services publics</t>
        </is>
      </c>
      <c r="J13" t="inlineStr">
        <is>
          <t>01290</t>
        </is>
      </c>
      <c r="K13" t="inlineStr">
        <is>
          <t>Pont-de-Veyle</t>
        </is>
      </c>
      <c r="L13" t="inlineStr">
        <is>
          <t>03 85 23 90 15</t>
        </is>
      </c>
      <c r="M13" s="4" t="inlineStr">
        <is>
          <t>accueil@cc-laveyle.fr</t>
        </is>
      </c>
      <c r="N13" s="4" t="inlineStr">
        <is>
          <t>https://www.cc-laveyle.fr/</t>
        </is>
      </c>
      <c r="O13" t="inlineStr"/>
      <c r="P13" s="4" t="inlineStr">
        <is>
          <t>https://lannuaire.service-public.gouv.fr/auvergne-rhone-alpes/ain/c727991c-62e6-454a-9e74-ae42f76963b9</t>
        </is>
      </c>
      <c r="Q13" t="inlineStr">
        <is>
          <t>Annuaire Service-public.fr</t>
        </is>
      </c>
      <c r="R13" t="inlineStr"/>
      <c r="S13" t="inlineStr"/>
      <c r="T13" t="inlineStr"/>
    </row>
    <row r="14">
      <c r="A14" t="inlineStr">
        <is>
          <t>CC Picardie des Châteaux</t>
        </is>
      </c>
      <c r="B14" t="inlineStr">
        <is>
          <t>Communauté de communes</t>
        </is>
      </c>
      <c r="C14" t="inlineStr">
        <is>
          <t>200071769</t>
        </is>
      </c>
      <c r="D14" t="inlineStr">
        <is>
          <t>02</t>
        </is>
      </c>
      <c r="E14" t="inlineStr">
        <is>
          <t>Aisne</t>
        </is>
      </c>
      <c r="F14" t="inlineStr">
        <is>
          <t>Hauts-de-France</t>
        </is>
      </c>
      <c r="G14" s="3" t="n">
        <v>16677</v>
      </c>
      <c r="H14" t="n">
        <v>36</v>
      </c>
      <c r="I14" t="inlineStr">
        <is>
          <t>6-8 place Charles-De-Gaulle</t>
        </is>
      </c>
      <c r="J14" t="inlineStr">
        <is>
          <t>02320</t>
        </is>
      </c>
      <c r="K14" t="inlineStr">
        <is>
          <t>Pinon</t>
        </is>
      </c>
      <c r="L14" t="inlineStr">
        <is>
          <t>03 23 80 18 13</t>
        </is>
      </c>
      <c r="M14" s="4" t="inlineStr">
        <is>
          <t>accueil@picardiedeschateaux.fr</t>
        </is>
      </c>
      <c r="N14" s="4" t="inlineStr">
        <is>
          <t>https://picardiedeschateaux.fr/</t>
        </is>
      </c>
      <c r="O14" t="inlineStr"/>
      <c r="P14" s="4" t="inlineStr">
        <is>
          <t>https://lannuaire.service-public.gouv.fr/hauts-de-france/aisne/39032582-3389-4d71-b35d-c4788cfcacdb</t>
        </is>
      </c>
      <c r="Q14" t="inlineStr">
        <is>
          <t>Annuaire Service-public.fr</t>
        </is>
      </c>
      <c r="R14" t="inlineStr"/>
      <c r="S14" t="inlineStr"/>
      <c r="T14" t="inlineStr"/>
    </row>
    <row r="15">
      <c r="A15" t="inlineStr">
        <is>
          <t>CC Retz en Valois</t>
        </is>
      </c>
      <c r="B15" t="inlineStr">
        <is>
          <t>Communauté de communes</t>
        </is>
      </c>
      <c r="C15" t="inlineStr">
        <is>
          <t>200071991</t>
        </is>
      </c>
      <c r="D15" t="inlineStr">
        <is>
          <t>02</t>
        </is>
      </c>
      <c r="E15" t="inlineStr">
        <is>
          <t>Aisne</t>
        </is>
      </c>
      <c r="F15" t="inlineStr">
        <is>
          <t>Hauts-de-France</t>
        </is>
      </c>
      <c r="G15" s="3" t="n">
        <v>28939</v>
      </c>
      <c r="H15" t="n">
        <v>54</v>
      </c>
      <c r="I15" t="inlineStr">
        <is>
          <t>9 rue Marx-Dormoy</t>
        </is>
      </c>
      <c r="J15" t="inlineStr">
        <is>
          <t>02600</t>
        </is>
      </c>
      <c r="K15" t="inlineStr">
        <is>
          <t>Villers-Cotterêts</t>
        </is>
      </c>
      <c r="L15" t="inlineStr">
        <is>
          <t>03 23 96 13 01</t>
        </is>
      </c>
      <c r="M15" s="4" t="inlineStr">
        <is>
          <t>communautedecommunes@retzenvalois.fr</t>
        </is>
      </c>
      <c r="N15" s="4" t="inlineStr">
        <is>
          <t>https://www.cc-retz-en-valois.fr/</t>
        </is>
      </c>
      <c r="O15" s="4" t="inlineStr">
        <is>
          <t>https://www.cc-retz-en-valois.fr/contact/</t>
        </is>
      </c>
      <c r="P15" s="4" t="inlineStr">
        <is>
          <t>https://lannuaire.service-public.gouv.fr/hauts-de-france/aisne/8e3e9bb2-ac56-4bde-aead-1b97e57fe3ee</t>
        </is>
      </c>
      <c r="Q15" t="inlineStr">
        <is>
          <t>Annuaire Service-public.fr</t>
        </is>
      </c>
      <c r="R15" t="inlineStr"/>
      <c r="S15" t="inlineStr"/>
      <c r="T15" t="inlineStr"/>
    </row>
    <row r="16">
      <c r="A16" t="inlineStr">
        <is>
          <t>CC Thiérache Sambre et Oise</t>
        </is>
      </c>
      <c r="B16" t="inlineStr">
        <is>
          <t>Communauté de communes</t>
        </is>
      </c>
      <c r="C16" t="inlineStr">
        <is>
          <t>200071983</t>
        </is>
      </c>
      <c r="D16" t="inlineStr">
        <is>
          <t>02</t>
        </is>
      </c>
      <c r="E16" t="inlineStr">
        <is>
          <t>Aisne</t>
        </is>
      </c>
      <c r="F16" t="inlineStr">
        <is>
          <t>Hauts-de-France</t>
        </is>
      </c>
      <c r="G16" s="3" t="n">
        <v>16396</v>
      </c>
      <c r="H16" t="n">
        <v>36</v>
      </c>
      <c r="I16" t="inlineStr">
        <is>
          <t>469 rue Sadi-Carnot</t>
        </is>
      </c>
      <c r="J16" t="inlineStr">
        <is>
          <t>02120</t>
        </is>
      </c>
      <c r="K16" t="inlineStr">
        <is>
          <t>Guise</t>
        </is>
      </c>
      <c r="L16" t="inlineStr">
        <is>
          <t>03 23 61 12 17</t>
        </is>
      </c>
      <c r="M16" s="4" t="inlineStr">
        <is>
          <t>contact@cctso.fr</t>
        </is>
      </c>
      <c r="N16" s="4" t="inlineStr">
        <is>
          <t>https://www.cctso.fr/</t>
        </is>
      </c>
      <c r="O16" s="4" t="inlineStr">
        <is>
          <t>https://www.cctso.fr/contact/</t>
        </is>
      </c>
      <c r="P16" s="4" t="inlineStr">
        <is>
          <t>https://lannuaire.service-public.gouv.fr/hauts-de-france/aisne/5576b748-5d51-41a2-8dc6-aa17041c0379</t>
        </is>
      </c>
      <c r="Q16" t="inlineStr">
        <is>
          <t>Annuaire Service-public.fr</t>
        </is>
      </c>
      <c r="R16" t="inlineStr"/>
      <c r="S16" t="inlineStr"/>
      <c r="T16" t="inlineStr"/>
    </row>
    <row r="17">
      <c r="A17" t="inlineStr">
        <is>
          <t>CC de l'Est de la Somme</t>
        </is>
      </c>
      <c r="B17" t="inlineStr">
        <is>
          <t>Communauté de communes</t>
        </is>
      </c>
      <c r="C17" t="inlineStr">
        <is>
          <t>200070985</t>
        </is>
      </c>
      <c r="D17" t="inlineStr">
        <is>
          <t>02, 80</t>
        </is>
      </c>
      <c r="E17" t="inlineStr">
        <is>
          <t>Aisne, Somme</t>
        </is>
      </c>
      <c r="F17" t="inlineStr">
        <is>
          <t>Hauts-de-France</t>
        </is>
      </c>
      <c r="G17" s="3" t="n">
        <v>19688</v>
      </c>
      <c r="H17" t="n">
        <v>41</v>
      </c>
      <c r="I17" t="inlineStr">
        <is>
          <t>106 rue du Marechal-Leclerc</t>
        </is>
      </c>
      <c r="J17" t="inlineStr">
        <is>
          <t>80400</t>
        </is>
      </c>
      <c r="K17" t="inlineStr">
        <is>
          <t>Eppeville</t>
        </is>
      </c>
      <c r="L17" t="inlineStr">
        <is>
          <t>03 23 81 33 21</t>
        </is>
      </c>
      <c r="M17" s="4" t="inlineStr">
        <is>
          <t>contact@estdelasomme.fr</t>
        </is>
      </c>
      <c r="N17" s="4" t="inlineStr">
        <is>
          <t>https://estdelasomme.fr/</t>
        </is>
      </c>
      <c r="O17" t="inlineStr"/>
      <c r="P17" s="4" t="inlineStr">
        <is>
          <t>https://lannuaire.service-public.gouv.fr/hauts-de-france/somme/889262fe-2f8f-4ed7-aae0-82633096bad4</t>
        </is>
      </c>
      <c r="Q17" t="inlineStr">
        <is>
          <t>Annuaire Service-public.fr</t>
        </is>
      </c>
      <c r="R17" t="inlineStr"/>
      <c r="S17" t="inlineStr"/>
      <c r="T17" t="inlineStr"/>
    </row>
    <row r="18">
      <c r="A18" t="inlineStr">
        <is>
          <t>CC de la Champagne Picarde</t>
        </is>
      </c>
      <c r="B18" t="inlineStr">
        <is>
          <t>Communauté de communes</t>
        </is>
      </c>
      <c r="C18" t="inlineStr">
        <is>
          <t>240200576</t>
        </is>
      </c>
      <c r="D18" t="inlineStr">
        <is>
          <t>02</t>
        </is>
      </c>
      <c r="E18" t="inlineStr">
        <is>
          <t>Aisne</t>
        </is>
      </c>
      <c r="F18" t="inlineStr">
        <is>
          <t>Hauts-de-France</t>
        </is>
      </c>
      <c r="G18" s="3" t="n">
        <v>20858</v>
      </c>
      <c r="H18" t="n">
        <v>46</v>
      </c>
      <c r="I18" t="inlineStr">
        <is>
          <t>2 route de Montaigu</t>
        </is>
      </c>
      <c r="J18" t="inlineStr">
        <is>
          <t>02820</t>
        </is>
      </c>
      <c r="K18" t="inlineStr">
        <is>
          <t>Saint-Erme-Outre-et-Ramecourt</t>
        </is>
      </c>
      <c r="L18" t="inlineStr">
        <is>
          <t>03 23 22 36 80</t>
        </is>
      </c>
      <c r="M18" s="4" t="inlineStr">
        <is>
          <t>info@cc-champagnepicarde.fr</t>
        </is>
      </c>
      <c r="N18" s="4" t="inlineStr">
        <is>
          <t>https://www.cc-champagnepicarde.fr/</t>
        </is>
      </c>
      <c r="O18" s="4" t="inlineStr">
        <is>
          <t>https://www.cc-champagnepicarde.fr/contact</t>
        </is>
      </c>
      <c r="P18" s="4" t="inlineStr">
        <is>
          <t>https://lannuaire.service-public.gouv.fr/hauts-de-france/aisne/7f98afca-1ab2-44f6-9b11-ac66219b723c</t>
        </is>
      </c>
      <c r="Q18" t="inlineStr">
        <is>
          <t>Annuaire Service-public.fr</t>
        </is>
      </c>
      <c r="R18" t="inlineStr"/>
      <c r="S18" t="inlineStr"/>
      <c r="T18" t="inlineStr"/>
    </row>
    <row r="19">
      <c r="A19" t="inlineStr">
        <is>
          <t>CC de la Thiérache du Centre</t>
        </is>
      </c>
      <c r="B19" t="inlineStr">
        <is>
          <t>Communauté de communes</t>
        </is>
      </c>
      <c r="C19" t="inlineStr">
        <is>
          <t>240200444</t>
        </is>
      </c>
      <c r="D19" t="inlineStr">
        <is>
          <t>02</t>
        </is>
      </c>
      <c r="E19" t="inlineStr">
        <is>
          <t>Aisne</t>
        </is>
      </c>
      <c r="F19" t="inlineStr">
        <is>
          <t>Hauts-de-France</t>
        </is>
      </c>
      <c r="G19" s="3" t="n">
        <v>25752</v>
      </c>
      <c r="H19" t="n">
        <v>68</v>
      </c>
      <c r="I19" t="inlineStr">
        <is>
          <t>Villa Pasques, 13 rue de l'Armistice</t>
        </is>
      </c>
      <c r="J19" t="inlineStr">
        <is>
          <t>02260</t>
        </is>
      </c>
      <c r="K19" t="inlineStr">
        <is>
          <t>La Capelle</t>
        </is>
      </c>
      <c r="L19" t="inlineStr">
        <is>
          <t>03 23 97 36 00</t>
        </is>
      </c>
      <c r="M19" s="4" t="inlineStr">
        <is>
          <t>contact@thieracheducentre.fr</t>
        </is>
      </c>
      <c r="N19" t="inlineStr"/>
      <c r="O19" t="inlineStr"/>
      <c r="P19" s="4" t="inlineStr">
        <is>
          <t>https://lannuaire.service-public.gouv.fr/hauts-de-france/aisne/25f43a15-0a87-4620-8849-29b690c94af2</t>
        </is>
      </c>
      <c r="Q19" t="inlineStr">
        <is>
          <t>Annuaire Service-public.fr</t>
        </is>
      </c>
      <c r="R19" t="inlineStr"/>
      <c r="S19" t="inlineStr"/>
      <c r="T19" t="inlineStr"/>
    </row>
    <row r="20">
      <c r="A20" t="inlineStr">
        <is>
          <t>CC des Portes de la Thiérache</t>
        </is>
      </c>
      <c r="B20" t="inlineStr">
        <is>
          <t>Communauté de communes</t>
        </is>
      </c>
      <c r="C20" t="inlineStr">
        <is>
          <t>240200634</t>
        </is>
      </c>
      <c r="D20" t="inlineStr">
        <is>
          <t>02</t>
        </is>
      </c>
      <c r="E20" t="inlineStr">
        <is>
          <t>Aisne</t>
        </is>
      </c>
      <c r="F20" t="inlineStr">
        <is>
          <t>Hauts-de-France</t>
        </is>
      </c>
      <c r="G20" s="3" t="n">
        <v>6651</v>
      </c>
      <c r="H20" t="n">
        <v>30</v>
      </c>
      <c r="I20" t="inlineStr">
        <is>
          <t>320 rue des Verseaux</t>
        </is>
      </c>
      <c r="J20" t="inlineStr">
        <is>
          <t>02360</t>
        </is>
      </c>
      <c r="K20" t="inlineStr">
        <is>
          <t>Rozoy-sur-Serre</t>
        </is>
      </c>
      <c r="L20" t="inlineStr">
        <is>
          <t>03 23 98 04 54</t>
        </is>
      </c>
      <c r="M20" s="4" t="inlineStr">
        <is>
          <t>contact@portes-de-thierache.fr</t>
        </is>
      </c>
      <c r="N20" s="4" t="inlineStr">
        <is>
          <t>https://www.portes-de-thierache.fr/</t>
        </is>
      </c>
      <c r="O20" s="4" t="inlineStr">
        <is>
          <t>https://www.portes-de-thierache.fr/</t>
        </is>
      </c>
      <c r="P20" s="4" t="inlineStr">
        <is>
          <t>https://lannuaire.service-public.gouv.fr/hauts-de-france/aisne/aaf459a6-2f1c-43f1-957e-0a766cccb1c9</t>
        </is>
      </c>
      <c r="Q20" t="inlineStr">
        <is>
          <t>Annuaire Service-public.fr</t>
        </is>
      </c>
      <c r="R20" t="inlineStr"/>
      <c r="S20" t="inlineStr"/>
      <c r="T20" t="inlineStr"/>
    </row>
    <row r="21">
      <c r="A21" t="inlineStr">
        <is>
          <t>CC des Trois Rivières</t>
        </is>
      </c>
      <c r="B21" t="inlineStr">
        <is>
          <t>Communauté de communes</t>
        </is>
      </c>
      <c r="C21" t="inlineStr">
        <is>
          <t>240200600</t>
        </is>
      </c>
      <c r="D21" t="inlineStr">
        <is>
          <t>02</t>
        </is>
      </c>
      <c r="E21" t="inlineStr">
        <is>
          <t>Aisne</t>
        </is>
      </c>
      <c r="F21" t="inlineStr">
        <is>
          <t>Hauts-de-France</t>
        </is>
      </c>
      <c r="G21" s="3" t="n">
        <v>20540</v>
      </c>
      <c r="H21" t="n">
        <v>26</v>
      </c>
      <c r="I21" t="inlineStr">
        <is>
          <t>Espace Rotonde-Florentine, Bâtiment C, Le Sémaphore</t>
        </is>
      </c>
      <c r="J21" t="inlineStr">
        <is>
          <t>02500</t>
        </is>
      </c>
      <c r="K21" t="inlineStr">
        <is>
          <t>Buire</t>
        </is>
      </c>
      <c r="L21" t="inlineStr">
        <is>
          <t>03 23 99 35 35</t>
        </is>
      </c>
      <c r="M21" s="4" t="inlineStr">
        <is>
          <t>administratif@cc3r.fr</t>
        </is>
      </c>
      <c r="N21" s="4" t="inlineStr">
        <is>
          <t>https://cc3r.fr/</t>
        </is>
      </c>
      <c r="O21" s="4" t="inlineStr">
        <is>
          <t>http://www.cc3r.fr/contact.html</t>
        </is>
      </c>
      <c r="P21" s="4" t="inlineStr">
        <is>
          <t>https://lannuaire.service-public.gouv.fr/hauts-de-france/aisne/afc0adbf-171d-40f4-b571-dd21bdc49032</t>
        </is>
      </c>
      <c r="Q21" t="inlineStr">
        <is>
          <t>Annuaire Service-public.fr</t>
        </is>
      </c>
      <c r="R21" t="inlineStr"/>
      <c r="S21" t="inlineStr"/>
      <c r="T21" t="inlineStr"/>
    </row>
    <row r="22">
      <c r="A22" t="inlineStr">
        <is>
          <t>CC du Canton d'Oulchy-le-Château</t>
        </is>
      </c>
      <c r="B22" t="inlineStr">
        <is>
          <t>Communauté de communes</t>
        </is>
      </c>
      <c r="C22" t="inlineStr">
        <is>
          <t>240200519</t>
        </is>
      </c>
      <c r="D22" t="inlineStr">
        <is>
          <t>02</t>
        </is>
      </c>
      <c r="E22" t="inlineStr">
        <is>
          <t>Aisne</t>
        </is>
      </c>
      <c r="F22" t="inlineStr">
        <is>
          <t>Hauts-de-France</t>
        </is>
      </c>
      <c r="G22" s="3" t="n">
        <v>5536</v>
      </c>
      <c r="H22" t="n">
        <v>26</v>
      </c>
      <c r="I22" t="inlineStr">
        <is>
          <t>17 rue Potel</t>
        </is>
      </c>
      <c r="J22" t="inlineStr">
        <is>
          <t>02210</t>
        </is>
      </c>
      <c r="K22" t="inlineStr">
        <is>
          <t>Oulchy-le-Château</t>
        </is>
      </c>
      <c r="L22" t="inlineStr">
        <is>
          <t>03 23 55 65 20</t>
        </is>
      </c>
      <c r="M22" s="4" t="inlineStr">
        <is>
          <t>contact@cc-oulchylechateau.fr</t>
        </is>
      </c>
      <c r="N22" s="4" t="inlineStr">
        <is>
          <t>https://www.cc-oulchylechateau.fr/</t>
        </is>
      </c>
      <c r="O22" s="4" t="inlineStr">
        <is>
          <t>https://www.cc-oulchylechateau.fr/contact/</t>
        </is>
      </c>
      <c r="P22" s="4" t="inlineStr">
        <is>
          <t>https://lannuaire.service-public.gouv.fr/hauts-de-france/aisne/21e42e96-f87f-484a-ae22-3992807abb25</t>
        </is>
      </c>
      <c r="Q22" t="inlineStr">
        <is>
          <t>Annuaire Service-public.fr</t>
        </is>
      </c>
      <c r="R22" t="inlineStr"/>
      <c r="S22" t="inlineStr"/>
      <c r="T22" t="inlineStr"/>
    </row>
    <row r="23">
      <c r="A23" t="inlineStr">
        <is>
          <t>CC du Canton de Charly-sur-Marne</t>
        </is>
      </c>
      <c r="B23" t="inlineStr">
        <is>
          <t>Communauté de communes</t>
        </is>
      </c>
      <c r="C23" t="inlineStr">
        <is>
          <t>240200584</t>
        </is>
      </c>
      <c r="D23" t="inlineStr">
        <is>
          <t>02</t>
        </is>
      </c>
      <c r="E23" t="inlineStr">
        <is>
          <t>Aisne</t>
        </is>
      </c>
      <c r="F23" t="inlineStr">
        <is>
          <t>Hauts-de-France</t>
        </is>
      </c>
      <c r="G23" s="3" t="n">
        <v>15339</v>
      </c>
      <c r="H23" t="n">
        <v>21</v>
      </c>
      <c r="I23" t="inlineStr">
        <is>
          <t>2 voie André-Rossi</t>
        </is>
      </c>
      <c r="J23" t="inlineStr">
        <is>
          <t>02310</t>
        </is>
      </c>
      <c r="K23" t="inlineStr">
        <is>
          <t>Charly-sur-Marne</t>
        </is>
      </c>
      <c r="L23" t="inlineStr">
        <is>
          <t>03 23 82 24 69</t>
        </is>
      </c>
      <c r="M23" s="4" t="inlineStr">
        <is>
          <t>accueil.c4@c4charly.fr</t>
        </is>
      </c>
      <c r="N23" s="4" t="inlineStr">
        <is>
          <t>https://www.c4-charlysurmarne.fr/</t>
        </is>
      </c>
      <c r="O23" t="inlineStr"/>
      <c r="P23" s="4" t="inlineStr">
        <is>
          <t>https://lannuaire.service-public.gouv.fr/hauts-de-france/aisne/d5dc72fc-9c23-4f46-a904-dc15bfea30b6</t>
        </is>
      </c>
      <c r="Q23" t="inlineStr">
        <is>
          <t>Annuaire Service-public.fr</t>
        </is>
      </c>
      <c r="R23" t="inlineStr"/>
      <c r="S23" t="inlineStr"/>
      <c r="T23" t="inlineStr"/>
    </row>
    <row r="24">
      <c r="A24" t="inlineStr">
        <is>
          <t>CC du Chemin des Dames</t>
        </is>
      </c>
      <c r="B24" t="inlineStr">
        <is>
          <t>Communauté de communes</t>
        </is>
      </c>
      <c r="C24" t="inlineStr">
        <is>
          <t>240200592</t>
        </is>
      </c>
      <c r="D24" t="inlineStr">
        <is>
          <t>02</t>
        </is>
      </c>
      <c r="E24" t="inlineStr">
        <is>
          <t>Aisne</t>
        </is>
      </c>
      <c r="F24" t="inlineStr">
        <is>
          <t>Hauts-de-France</t>
        </is>
      </c>
      <c r="G24" s="3" t="n">
        <v>5501</v>
      </c>
      <c r="H24" t="n">
        <v>30</v>
      </c>
      <c r="I24" t="inlineStr">
        <is>
          <t>1 rue de l'Église</t>
        </is>
      </c>
      <c r="J24" t="inlineStr">
        <is>
          <t>02160</t>
        </is>
      </c>
      <c r="K24" t="inlineStr">
        <is>
          <t>Craonne</t>
        </is>
      </c>
      <c r="L24" t="inlineStr">
        <is>
          <t>03 23 22 69 72</t>
        </is>
      </c>
      <c r="M24" s="4" t="inlineStr">
        <is>
          <t>administration@cc-cheminsdesdames.fr</t>
        </is>
      </c>
      <c r="N24" s="4" t="inlineStr">
        <is>
          <t>https://www.cc-chemindesdames.fr</t>
        </is>
      </c>
      <c r="O24" s="4" t="inlineStr">
        <is>
          <t>https://www.cc-chemindesdames.fr/contact</t>
        </is>
      </c>
      <c r="P24" s="4" t="inlineStr">
        <is>
          <t>https://lannuaire.service-public.gouv.fr/hauts-de-france/aisne/8c046bd4-3033-4345-8450-65f23b9f3c24</t>
        </is>
      </c>
      <c r="Q24" t="inlineStr">
        <is>
          <t>Annuaire Service-public.fr</t>
        </is>
      </c>
      <c r="R24" t="inlineStr"/>
      <c r="S24" t="inlineStr"/>
      <c r="T24" t="inlineStr"/>
    </row>
    <row r="25">
      <c r="A25" t="inlineStr">
        <is>
          <t>CC du Pays de la Serre</t>
        </is>
      </c>
      <c r="B25" t="inlineStr">
        <is>
          <t>Communauté de communes</t>
        </is>
      </c>
      <c r="C25" t="inlineStr">
        <is>
          <t>240200469</t>
        </is>
      </c>
      <c r="D25" t="inlineStr">
        <is>
          <t>02</t>
        </is>
      </c>
      <c r="E25" t="inlineStr">
        <is>
          <t>Aisne</t>
        </is>
      </c>
      <c r="F25" t="inlineStr">
        <is>
          <t>Hauts-de-France</t>
        </is>
      </c>
      <c r="G25" s="3" t="n">
        <v>14372</v>
      </c>
      <c r="H25" t="n">
        <v>42</v>
      </c>
      <c r="I25" t="inlineStr">
        <is>
          <t>1 rue des Telliers</t>
        </is>
      </c>
      <c r="J25" t="inlineStr">
        <is>
          <t>02270</t>
        </is>
      </c>
      <c r="K25" t="inlineStr">
        <is>
          <t>Crécy-sur-Serre</t>
        </is>
      </c>
      <c r="L25" t="inlineStr">
        <is>
          <t>03 23 80 77 22</t>
        </is>
      </c>
      <c r="M25" s="4" t="inlineStr">
        <is>
          <t>contact@paysdelaserre.fr</t>
        </is>
      </c>
      <c r="N25" s="4" t="inlineStr">
        <is>
          <t>https://paysdelaserre.fr/</t>
        </is>
      </c>
      <c r="O25" s="4" t="inlineStr">
        <is>
          <t>https://paysdelaserre.fr/informations-utiles/nous-contacter/</t>
        </is>
      </c>
      <c r="P25" s="4" t="inlineStr">
        <is>
          <t>https://lannuaire.service-public.gouv.fr/hauts-de-france/aisne/5cb550d9-0183-4531-9094-a293f5bfe7dc</t>
        </is>
      </c>
      <c r="Q25" t="inlineStr">
        <is>
          <t>Annuaire Service-public.fr</t>
        </is>
      </c>
      <c r="R25" t="inlineStr"/>
      <c r="S25" t="inlineStr"/>
      <c r="T25" t="inlineStr"/>
    </row>
    <row r="26">
      <c r="A26" t="inlineStr">
        <is>
          <t>CC du Pays du Vermandois</t>
        </is>
      </c>
      <c r="B26" t="inlineStr">
        <is>
          <t>Communauté de communes</t>
        </is>
      </c>
      <c r="C26" t="inlineStr">
        <is>
          <t>240200493</t>
        </is>
      </c>
      <c r="D26" t="inlineStr">
        <is>
          <t>02</t>
        </is>
      </c>
      <c r="E26" t="inlineStr">
        <is>
          <t>Aisne</t>
        </is>
      </c>
      <c r="F26" t="inlineStr">
        <is>
          <t>Hauts-de-France</t>
        </is>
      </c>
      <c r="G26" s="3" t="n">
        <v>30859</v>
      </c>
      <c r="H26" t="n">
        <v>54</v>
      </c>
      <c r="I26" t="inlineStr">
        <is>
          <t>Hameau de Riqueval</t>
        </is>
      </c>
      <c r="J26" t="inlineStr">
        <is>
          <t>02420</t>
        </is>
      </c>
      <c r="K26" t="inlineStr">
        <is>
          <t>Bellicourt</t>
        </is>
      </c>
      <c r="L26" t="inlineStr">
        <is>
          <t>03 23 09 50 51</t>
        </is>
      </c>
      <c r="M26" s="4" t="inlineStr">
        <is>
          <t>contact@cc-vermandois.com</t>
        </is>
      </c>
      <c r="N26" s="4" t="inlineStr">
        <is>
          <t>https://www.cc-vermandois.com/</t>
        </is>
      </c>
      <c r="O26" s="4" t="inlineStr">
        <is>
          <t>https://www.cc-vermandois.com/nous-contacter</t>
        </is>
      </c>
      <c r="P26" s="4" t="inlineStr">
        <is>
          <t>https://lannuaire.service-public.gouv.fr/hauts-de-france/aisne/3e99c6f3-b886-476e-8687-89195cb252be</t>
        </is>
      </c>
      <c r="Q26" t="inlineStr">
        <is>
          <t>Annuaire Service-public.fr</t>
        </is>
      </c>
      <c r="R26" t="inlineStr"/>
      <c r="S26" t="inlineStr"/>
      <c r="T26" t="inlineStr"/>
    </row>
    <row r="27">
      <c r="A27" t="inlineStr">
        <is>
          <t>CC du Val de l'Aisne</t>
        </is>
      </c>
      <c r="B27" t="inlineStr">
        <is>
          <t>Communauté de communes</t>
        </is>
      </c>
      <c r="C27" t="inlineStr">
        <is>
          <t>240200501</t>
        </is>
      </c>
      <c r="D27" t="inlineStr">
        <is>
          <t>02</t>
        </is>
      </c>
      <c r="E27" t="inlineStr">
        <is>
          <t>Aisne</t>
        </is>
      </c>
      <c r="F27" t="inlineStr">
        <is>
          <t>Hauts-de-France</t>
        </is>
      </c>
      <c r="G27" s="3" t="n">
        <v>20284</v>
      </c>
      <c r="H27" t="n">
        <v>56</v>
      </c>
      <c r="I27" t="inlineStr">
        <is>
          <t>20 ter rue du Bois-Morin</t>
        </is>
      </c>
      <c r="J27" t="inlineStr">
        <is>
          <t>02370</t>
        </is>
      </c>
      <c r="K27" t="inlineStr">
        <is>
          <t>Presles-et-Boves</t>
        </is>
      </c>
      <c r="L27" t="inlineStr">
        <is>
          <t>03 23 54 05 81</t>
        </is>
      </c>
      <c r="M27" s="4" t="inlineStr">
        <is>
          <t>accueil@cc-valdeaisne.fr</t>
        </is>
      </c>
      <c r="N27" s="4" t="inlineStr">
        <is>
          <t>http://www.cc-valdeaisne.fr</t>
        </is>
      </c>
      <c r="O27" t="inlineStr"/>
      <c r="P27" s="4" t="inlineStr">
        <is>
          <t>https://lannuaire.service-public.gouv.fr/hauts-de-france/aisne/1a4ba3af-b3c2-4409-8804-6809875c1502</t>
        </is>
      </c>
      <c r="Q27" t="inlineStr">
        <is>
          <t>Annuaire Service-public.fr</t>
        </is>
      </c>
      <c r="R27" t="inlineStr"/>
      <c r="S27" t="inlineStr"/>
      <c r="T27" t="inlineStr"/>
    </row>
    <row r="28">
      <c r="A28" t="inlineStr">
        <is>
          <t>CC du Val de l'Oise</t>
        </is>
      </c>
      <c r="B28" t="inlineStr">
        <is>
          <t>Communauté de communes</t>
        </is>
      </c>
      <c r="C28" t="inlineStr">
        <is>
          <t>200040426</t>
        </is>
      </c>
      <c r="D28" t="inlineStr">
        <is>
          <t>02</t>
        </is>
      </c>
      <c r="E28" t="inlineStr">
        <is>
          <t>Aisne</t>
        </is>
      </c>
      <c r="F28" t="inlineStr">
        <is>
          <t>Hauts-de-France</t>
        </is>
      </c>
      <c r="G28" s="3" t="n">
        <v>15838</v>
      </c>
      <c r="H28" t="n">
        <v>32</v>
      </c>
      <c r="I28" t="inlineStr">
        <is>
          <t>1 route d'Itancourt</t>
        </is>
      </c>
      <c r="J28" t="inlineStr">
        <is>
          <t>02240</t>
        </is>
      </c>
      <c r="K28" t="inlineStr">
        <is>
          <t>Mézières-sur-Oise</t>
        </is>
      </c>
      <c r="L28" t="inlineStr">
        <is>
          <t>03 23 66 73 17</t>
        </is>
      </c>
      <c r="M28" s="4" t="inlineStr">
        <is>
          <t>contact@ccvo.fr</t>
        </is>
      </c>
      <c r="N28" s="4" t="inlineStr">
        <is>
          <t>https://www.ccvo.fr/</t>
        </is>
      </c>
      <c r="O28" t="inlineStr"/>
      <c r="P28" s="4" t="inlineStr">
        <is>
          <t>https://lannuaire.service-public.gouv.fr/hauts-de-france/aisne/0e647563-373e-41fa-b670-06f79ca36401</t>
        </is>
      </c>
      <c r="Q28" t="inlineStr">
        <is>
          <t>Annuaire Service-public.fr</t>
        </is>
      </c>
      <c r="R28" t="inlineStr"/>
      <c r="S28" t="inlineStr"/>
      <c r="T28" t="inlineStr"/>
    </row>
    <row r="29">
      <c r="A29" t="inlineStr">
        <is>
          <t>CC Commentry Montmarault Néris Communauté</t>
        </is>
      </c>
      <c r="B29" t="inlineStr">
        <is>
          <t>Communauté de communes</t>
        </is>
      </c>
      <c r="C29" t="inlineStr">
        <is>
          <t>200071512</t>
        </is>
      </c>
      <c r="D29" t="inlineStr">
        <is>
          <t>03</t>
        </is>
      </c>
      <c r="E29" t="inlineStr">
        <is>
          <t>Allier</t>
        </is>
      </c>
      <c r="F29" t="inlineStr">
        <is>
          <t>Auvergne-Rhône-Alpes</t>
        </is>
      </c>
      <c r="G29" s="3" t="n">
        <v>25346</v>
      </c>
      <c r="H29" t="n">
        <v>33</v>
      </c>
      <c r="I29" t="inlineStr"/>
      <c r="J29" t="inlineStr">
        <is>
          <t>03600</t>
        </is>
      </c>
      <c r="K29" t="inlineStr">
        <is>
          <t>Commentry</t>
        </is>
      </c>
      <c r="L29" t="inlineStr">
        <is>
          <t>04 70 34 39 03</t>
        </is>
      </c>
      <c r="M29" s="4" t="inlineStr">
        <is>
          <t>cmnc@cmnc03.fr</t>
        </is>
      </c>
      <c r="N29" s="4" t="inlineStr">
        <is>
          <t>https://www.cmnc03.fr/</t>
        </is>
      </c>
      <c r="O29" t="inlineStr"/>
      <c r="P29" s="4" t="inlineStr">
        <is>
          <t>https://lannuaire.service-public.gouv.fr/auvergne-rhone-alpes/allier/8d068ead-d162-4dc1-a0f3-0438d5e0279a</t>
        </is>
      </c>
      <c r="Q29" t="inlineStr">
        <is>
          <t>Annuaire Service-public.fr</t>
        </is>
      </c>
      <c r="R29" t="inlineStr"/>
      <c r="S29" t="inlineStr"/>
      <c r="T29" t="inlineStr"/>
    </row>
    <row r="30">
      <c r="A30" t="inlineStr">
        <is>
          <t>CC Entr'Allier Besbre et Loire</t>
        </is>
      </c>
      <c r="B30" t="inlineStr">
        <is>
          <t>Communauté de communes</t>
        </is>
      </c>
      <c r="C30" t="inlineStr">
        <is>
          <t>200071470</t>
        </is>
      </c>
      <c r="D30" t="inlineStr">
        <is>
          <t>03</t>
        </is>
      </c>
      <c r="E30" t="inlineStr">
        <is>
          <t>Allier</t>
        </is>
      </c>
      <c r="F30" t="inlineStr">
        <is>
          <t>Auvergne-Rhône-Alpes</t>
        </is>
      </c>
      <c r="G30" s="3" t="n">
        <v>24322</v>
      </c>
      <c r="H30" t="n">
        <v>44</v>
      </c>
      <c r="I30" t="inlineStr">
        <is>
          <t>18 rue de Vouroux</t>
        </is>
      </c>
      <c r="J30" t="inlineStr">
        <is>
          <t>03150</t>
        </is>
      </c>
      <c r="K30" t="inlineStr">
        <is>
          <t>Varennes-sur-Allier</t>
        </is>
      </c>
      <c r="L30" t="inlineStr">
        <is>
          <t>04 70 45 00 99</t>
        </is>
      </c>
      <c r="M30" s="4" t="inlineStr">
        <is>
          <t>contact@interco-abl.fr</t>
        </is>
      </c>
      <c r="N30" s="4" t="inlineStr">
        <is>
          <t>https://www.interco-abl.fr/</t>
        </is>
      </c>
      <c r="O30" s="4" t="inlineStr">
        <is>
          <t>https://www.interco-abl.fr/index.php/territoire/contact</t>
        </is>
      </c>
      <c r="P30" s="4" t="inlineStr">
        <is>
          <t>https://lannuaire.service-public.gouv.fr/auvergne-rhone-alpes/allier/4ca3cd61-cb44-4afb-857e-6ca95f90d60c</t>
        </is>
      </c>
      <c r="Q30" t="inlineStr">
        <is>
          <t>Annuaire Service-public.fr</t>
        </is>
      </c>
      <c r="R30" t="inlineStr"/>
      <c r="S30" t="inlineStr"/>
      <c r="T30" t="inlineStr"/>
    </row>
    <row r="31">
      <c r="A31" t="inlineStr">
        <is>
          <t>CC Le Grand Charolais</t>
        </is>
      </c>
      <c r="B31" t="inlineStr">
        <is>
          <t>Communauté de communes</t>
        </is>
      </c>
      <c r="C31" t="inlineStr">
        <is>
          <t>200071884</t>
        </is>
      </c>
      <c r="D31" t="inlineStr">
        <is>
          <t>03, 71</t>
        </is>
      </c>
      <c r="E31" t="inlineStr">
        <is>
          <t>Allier, Saône-et-Loire</t>
        </is>
      </c>
      <c r="F31" t="inlineStr">
        <is>
          <t>Bourgogne-Franche-Comté, Auvergne-Rhône-Alpes</t>
        </is>
      </c>
      <c r="G31" s="3" t="n">
        <v>39454</v>
      </c>
      <c r="H31" t="n">
        <v>44</v>
      </c>
      <c r="I31" t="inlineStr">
        <is>
          <t>32 rue Louis-Desrichard</t>
        </is>
      </c>
      <c r="J31" t="inlineStr">
        <is>
          <t>71600</t>
        </is>
      </c>
      <c r="K31" t="inlineStr">
        <is>
          <t>Paray-le-Monial</t>
        </is>
      </c>
      <c r="L31" t="inlineStr">
        <is>
          <t>09 71 16 95 95</t>
        </is>
      </c>
      <c r="M31" s="4" t="inlineStr">
        <is>
          <t>contact@legrandcharolais.fr</t>
        </is>
      </c>
      <c r="N31" s="4" t="inlineStr">
        <is>
          <t>https://www.legrandcharolais.fr</t>
        </is>
      </c>
      <c r="O31" s="4" t="inlineStr">
        <is>
          <t>https://www.legrandcharolais.fr/contact.html</t>
        </is>
      </c>
      <c r="P31" s="4" t="inlineStr">
        <is>
          <t>https://lannuaire.service-public.gouv.fr/bourgogne-franche-comte/saone-et-loire/b2002776-dd3e-4db2-a0b2-7b3884b70ff4</t>
        </is>
      </c>
      <c r="Q31" t="inlineStr">
        <is>
          <t>Annuaire Service-public.fr</t>
        </is>
      </c>
      <c r="R31" t="inlineStr"/>
      <c r="S31" t="inlineStr"/>
      <c r="T31" t="inlineStr"/>
    </row>
    <row r="32">
      <c r="A32" t="inlineStr">
        <is>
          <t>CC Saint-Pourçain Sioule Limagne</t>
        </is>
      </c>
      <c r="B32" t="inlineStr">
        <is>
          <t>Communauté de communes</t>
        </is>
      </c>
      <c r="C32" t="inlineStr">
        <is>
          <t>200071389</t>
        </is>
      </c>
      <c r="D32" t="inlineStr">
        <is>
          <t>03</t>
        </is>
      </c>
      <c r="E32" t="inlineStr">
        <is>
          <t>Allier</t>
        </is>
      </c>
      <c r="F32" t="inlineStr">
        <is>
          <t>Auvergne-Rhône-Alpes</t>
        </is>
      </c>
      <c r="G32" s="3" t="n">
        <v>33672</v>
      </c>
      <c r="H32" t="n">
        <v>60</v>
      </c>
      <c r="I32" t="inlineStr">
        <is>
          <t>29 rue Marcelin-Berthelot</t>
        </is>
      </c>
      <c r="J32" t="inlineStr">
        <is>
          <t>03500</t>
        </is>
      </c>
      <c r="K32" t="inlineStr">
        <is>
          <t>Saint-Pourçain-sur-Sioule</t>
        </is>
      </c>
      <c r="L32" t="inlineStr">
        <is>
          <t>04 70 47 67 20</t>
        </is>
      </c>
      <c r="M32" s="4" t="inlineStr">
        <is>
          <t>accueil@ccspsl.fr</t>
        </is>
      </c>
      <c r="N32" s="4" t="inlineStr">
        <is>
          <t>https://www.comcom-ccspsl.fr/</t>
        </is>
      </c>
      <c r="O32" s="4" t="inlineStr">
        <is>
          <t>https://www.comcom-ccspsl.fr/nous-contacter/</t>
        </is>
      </c>
      <c r="P32" s="4" t="inlineStr">
        <is>
          <t>https://lannuaire.service-public.gouv.fr/auvergne-rhone-alpes/allier/85039543-6ba3-464f-944e-7b24507e2e3c</t>
        </is>
      </c>
      <c r="Q32" t="inlineStr">
        <is>
          <t>Annuaire Service-public.fr</t>
        </is>
      </c>
      <c r="R32" t="inlineStr"/>
      <c r="S32" t="inlineStr"/>
      <c r="T32" t="inlineStr"/>
    </row>
    <row r="33">
      <c r="A33" t="inlineStr">
        <is>
          <t>CC du Bocage Bourbonnais</t>
        </is>
      </c>
      <c r="B33" t="inlineStr">
        <is>
          <t>Communauté de communes</t>
        </is>
      </c>
      <c r="C33" t="inlineStr">
        <is>
          <t>200071496</t>
        </is>
      </c>
      <c r="D33" t="inlineStr">
        <is>
          <t>03</t>
        </is>
      </c>
      <c r="E33" t="inlineStr">
        <is>
          <t>Allier</t>
        </is>
      </c>
      <c r="F33" t="inlineStr">
        <is>
          <t>Auvergne-Rhône-Alpes</t>
        </is>
      </c>
      <c r="G33" s="3" t="n">
        <v>13654</v>
      </c>
      <c r="H33" t="n">
        <v>25</v>
      </c>
      <c r="I33" t="inlineStr">
        <is>
          <t>1 place de l'Hôtel-de-Ville</t>
        </is>
      </c>
      <c r="J33" t="inlineStr">
        <is>
          <t>03160</t>
        </is>
      </c>
      <c r="K33" t="inlineStr">
        <is>
          <t>Bourbon-l'Archambault</t>
        </is>
      </c>
      <c r="L33" t="inlineStr">
        <is>
          <t>04 70 67 11 89</t>
        </is>
      </c>
      <c r="M33" s="4" t="inlineStr">
        <is>
          <t>contact@ccbb.fr</t>
        </is>
      </c>
      <c r="N33" s="4" t="inlineStr">
        <is>
          <t>https://www.cc-bocage-bourbonnais.com/</t>
        </is>
      </c>
      <c r="O33" s="4" t="inlineStr">
        <is>
          <t>https://www.cc-bocage-bourbonnais.com/contacter-ma-comcom.html</t>
        </is>
      </c>
      <c r="P33" s="4" t="inlineStr">
        <is>
          <t>https://lannuaire.service-public.gouv.fr/auvergne-rhone-alpes/allier/1a06c556-12c6-470d-bc74-3929fc79193f</t>
        </is>
      </c>
      <c r="Q33" t="inlineStr">
        <is>
          <t>Annuaire Service-public.fr</t>
        </is>
      </c>
      <c r="R33" t="inlineStr"/>
      <c r="S33" t="inlineStr"/>
      <c r="T33" t="inlineStr"/>
    </row>
    <row r="34">
      <c r="A34" t="inlineStr">
        <is>
          <t>CC du Pays d'Huriel</t>
        </is>
      </c>
      <c r="B34" t="inlineStr">
        <is>
          <t>Communauté de communes</t>
        </is>
      </c>
      <c r="C34" t="inlineStr">
        <is>
          <t>240300657</t>
        </is>
      </c>
      <c r="D34" t="inlineStr">
        <is>
          <t>03</t>
        </is>
      </c>
      <c r="E34" t="inlineStr">
        <is>
          <t>Allier</t>
        </is>
      </c>
      <c r="F34" t="inlineStr">
        <is>
          <t>Auvergne-Rhône-Alpes</t>
        </is>
      </c>
      <c r="G34" s="3" t="n">
        <v>7332</v>
      </c>
      <c r="H34" t="n">
        <v>14</v>
      </c>
      <c r="I34" t="inlineStr">
        <is>
          <t>6 rue des Calaubys</t>
        </is>
      </c>
      <c r="J34" t="inlineStr">
        <is>
          <t>03380</t>
        </is>
      </c>
      <c r="K34" t="inlineStr">
        <is>
          <t>Huriel</t>
        </is>
      </c>
      <c r="L34" t="inlineStr">
        <is>
          <t>04 70 28 60 22</t>
        </is>
      </c>
      <c r="M34" s="4" t="inlineStr">
        <is>
          <t>contact@cc-pays-huriel.com</t>
        </is>
      </c>
      <c r="N34" s="4" t="inlineStr">
        <is>
          <t>https://www.cc-pays-huriel.com/</t>
        </is>
      </c>
      <c r="O34" s="4" t="inlineStr">
        <is>
          <t>https://www.cc-pays-huriel.com/contact/</t>
        </is>
      </c>
      <c r="P34" s="4" t="inlineStr">
        <is>
          <t>https://lannuaire.service-public.gouv.fr/auvergne-rhone-alpes/allier/4ced9a02-3ba4-4d1b-a392-25e6a5448093</t>
        </is>
      </c>
      <c r="Q34" t="inlineStr">
        <is>
          <t>Annuaire Service-public.fr</t>
        </is>
      </c>
      <c r="R34" t="inlineStr"/>
      <c r="S34" t="inlineStr"/>
      <c r="T34" t="inlineStr"/>
    </row>
    <row r="35">
      <c r="A35" t="inlineStr">
        <is>
          <t>CC du Pays de Lapalisse</t>
        </is>
      </c>
      <c r="B35" t="inlineStr">
        <is>
          <t>Communauté de communes</t>
        </is>
      </c>
      <c r="C35" t="inlineStr">
        <is>
          <t>240300491</t>
        </is>
      </c>
      <c r="D35" t="inlineStr">
        <is>
          <t>03</t>
        </is>
      </c>
      <c r="E35" t="inlineStr">
        <is>
          <t>Allier</t>
        </is>
      </c>
      <c r="F35" t="inlineStr">
        <is>
          <t>Auvergne-Rhône-Alpes</t>
        </is>
      </c>
      <c r="G35" s="3" t="n">
        <v>8460</v>
      </c>
      <c r="H35" t="n">
        <v>14</v>
      </c>
      <c r="I35" t="inlineStr">
        <is>
          <t>Place du 14-Juillet, BP 63</t>
        </is>
      </c>
      <c r="J35" t="inlineStr">
        <is>
          <t>03120</t>
        </is>
      </c>
      <c r="K35" t="inlineStr">
        <is>
          <t>Lapalisse</t>
        </is>
      </c>
      <c r="L35" t="inlineStr">
        <is>
          <t>04 70 99 76 29</t>
        </is>
      </c>
      <c r="M35" s="4" t="inlineStr">
        <is>
          <t>contact@cc-paysdelapalisse.fr</t>
        </is>
      </c>
      <c r="N35" s="4" t="inlineStr">
        <is>
          <t>https://www.cc-paysdelapalisse.fr/fr/</t>
        </is>
      </c>
      <c r="O35" s="4" t="inlineStr">
        <is>
          <t>https://www.cc-paysdelapalisse.fr/fr/nous-contacter.html</t>
        </is>
      </c>
      <c r="P35" s="4" t="inlineStr">
        <is>
          <t>https://lannuaire.service-public.gouv.fr/auvergne-rhone-alpes/allier/333ca82c-626a-4f05-a46c-74e79e0abe7e</t>
        </is>
      </c>
      <c r="Q35" t="inlineStr">
        <is>
          <t>Annuaire Service-public.fr</t>
        </is>
      </c>
      <c r="R35" t="inlineStr"/>
      <c r="S35" t="inlineStr"/>
      <c r="T35" t="inlineStr"/>
    </row>
    <row r="36">
      <c r="A36" t="inlineStr">
        <is>
          <t>CC du Pays de Tronçais</t>
        </is>
      </c>
      <c r="B36" t="inlineStr">
        <is>
          <t>Communauté de communes</t>
        </is>
      </c>
      <c r="C36" t="inlineStr">
        <is>
          <t>240300558</t>
        </is>
      </c>
      <c r="D36" t="inlineStr">
        <is>
          <t>03</t>
        </is>
      </c>
      <c r="E36" t="inlineStr">
        <is>
          <t>Allier</t>
        </is>
      </c>
      <c r="F36" t="inlineStr">
        <is>
          <t>Auvergne-Rhône-Alpes</t>
        </is>
      </c>
      <c r="G36" s="3" t="n">
        <v>7431</v>
      </c>
      <c r="H36" t="n">
        <v>15</v>
      </c>
      <c r="I36" t="inlineStr">
        <is>
          <t>1 rue Nicolas Baudin</t>
        </is>
      </c>
      <c r="J36" t="inlineStr">
        <is>
          <t>03350</t>
        </is>
      </c>
      <c r="K36" t="inlineStr">
        <is>
          <t>Cerilly</t>
        </is>
      </c>
      <c r="L36" t="inlineStr">
        <is>
          <t>04 70 67 59 43</t>
        </is>
      </c>
      <c r="M36" s="4" t="inlineStr">
        <is>
          <t>comcom@paysdetroncais.fr</t>
        </is>
      </c>
      <c r="N36" s="4" t="inlineStr">
        <is>
          <t>https://www.paysdetroncais.fr/</t>
        </is>
      </c>
      <c r="O36" s="4" t="inlineStr">
        <is>
          <t>https://www.paysdetroncais.fr/</t>
        </is>
      </c>
      <c r="P36" s="4" t="inlineStr">
        <is>
          <t>https://lannuaire.service-public.gouv.fr/auvergne-rhone-alpes/allier/5e727590-45d0-45e2-85e2-50ababa7c440</t>
        </is>
      </c>
      <c r="Q36" t="inlineStr">
        <is>
          <t>Annuaire Service-public.fr</t>
        </is>
      </c>
      <c r="R36" t="inlineStr"/>
      <c r="S36" t="inlineStr"/>
      <c r="T36" t="inlineStr"/>
    </row>
    <row r="37">
      <c r="A37" t="inlineStr">
        <is>
          <t>CC du Val de Cher</t>
        </is>
      </c>
      <c r="B37" t="inlineStr">
        <is>
          <t>Communauté de communes</t>
        </is>
      </c>
      <c r="C37" t="inlineStr">
        <is>
          <t>240300566</t>
        </is>
      </c>
      <c r="D37" t="inlineStr">
        <is>
          <t>03</t>
        </is>
      </c>
      <c r="E37" t="inlineStr">
        <is>
          <t>Allier</t>
        </is>
      </c>
      <c r="F37" t="inlineStr">
        <is>
          <t>Auvergne-Rhône-Alpes</t>
        </is>
      </c>
      <c r="G37" s="3" t="n">
        <v>5461</v>
      </c>
      <c r="H37" t="n">
        <v>7</v>
      </c>
      <c r="I37" t="inlineStr">
        <is>
          <t>Magnette</t>
        </is>
      </c>
      <c r="J37" t="inlineStr">
        <is>
          <t>03190</t>
        </is>
      </c>
      <c r="K37" t="inlineStr">
        <is>
          <t>Audes</t>
        </is>
      </c>
      <c r="L37" t="inlineStr">
        <is>
          <t>04 70 06 63 72</t>
        </is>
      </c>
      <c r="M37" s="4" t="inlineStr">
        <is>
          <t>contact@valdecher.fr</t>
        </is>
      </c>
      <c r="N37" s="4" t="inlineStr">
        <is>
          <t>https://www.valdecher.fr/</t>
        </is>
      </c>
      <c r="O37" s="4" t="inlineStr">
        <is>
          <t>https://www.valdecher.fr/contactez-nous/</t>
        </is>
      </c>
      <c r="P37" s="4" t="inlineStr">
        <is>
          <t>https://lannuaire.service-public.gouv.fr/auvergne-rhone-alpes/allier/6ad0d449-cd8a-4bb7-9073-8a0ab825263a</t>
        </is>
      </c>
      <c r="Q37" t="inlineStr">
        <is>
          <t>Annuaire Service-public.fr</t>
        </is>
      </c>
      <c r="R37" t="inlineStr"/>
      <c r="S37" t="inlineStr"/>
      <c r="T37" t="inlineStr"/>
    </row>
    <row r="38">
      <c r="A38" t="inlineStr">
        <is>
          <t>CC Alpes-Provence-Verdon "Sources de lumière"</t>
        </is>
      </c>
      <c r="B38" t="inlineStr">
        <is>
          <t>Communauté de communes</t>
        </is>
      </c>
      <c r="C38" t="inlineStr">
        <is>
          <t>200068625</t>
        </is>
      </c>
      <c r="D38" t="inlineStr">
        <is>
          <t>04</t>
        </is>
      </c>
      <c r="E38" t="inlineStr">
        <is>
          <t>Alpes-de-Haute-Provence</t>
        </is>
      </c>
      <c r="F38" t="inlineStr">
        <is>
          <t>Provence-Alpes-Côte d'Azur</t>
        </is>
      </c>
      <c r="G38" s="3" t="n">
        <v>11417</v>
      </c>
      <c r="H38" t="n">
        <v>41</v>
      </c>
      <c r="I38" t="inlineStr">
        <is>
          <t>ZA Les Iscles</t>
        </is>
      </c>
      <c r="J38" t="inlineStr">
        <is>
          <t>04170</t>
        </is>
      </c>
      <c r="K38" t="inlineStr">
        <is>
          <t>Saint-André-les-Alpes</t>
        </is>
      </c>
      <c r="L38" t="inlineStr">
        <is>
          <t>04 92 83 68 99</t>
        </is>
      </c>
      <c r="M38" s="4" t="inlineStr">
        <is>
          <t>contact@ccapv.fr</t>
        </is>
      </c>
      <c r="N38" s="4" t="inlineStr">
        <is>
          <t>https://ccapv.fr/</t>
        </is>
      </c>
      <c r="O38" s="4" t="inlineStr">
        <is>
          <t>https://ccapv.fr/alpes-provence-verdon/contact-acces</t>
        </is>
      </c>
      <c r="P38" s="4" t="inlineStr">
        <is>
          <t>https://lannuaire.service-public.gouv.fr/provence-alpes-cote-d-azur/alpes-de-haute-provence/69dca1ee-7bca-4c4b-80b8-41be260d4a92</t>
        </is>
      </c>
      <c r="Q38" t="inlineStr">
        <is>
          <t>Annuaire Service-public.fr</t>
        </is>
      </c>
      <c r="R38" t="inlineStr"/>
      <c r="S38" t="inlineStr"/>
      <c r="T38" t="inlineStr"/>
    </row>
    <row r="39">
      <c r="A39" t="inlineStr">
        <is>
          <t>CC Haute-Provence - Pays de Banon</t>
        </is>
      </c>
      <c r="B39" t="inlineStr">
        <is>
          <t>Communauté de communes</t>
        </is>
      </c>
      <c r="C39" t="inlineStr">
        <is>
          <t>200071025</t>
        </is>
      </c>
      <c r="D39" t="inlineStr">
        <is>
          <t>04</t>
        </is>
      </c>
      <c r="E39" t="inlineStr">
        <is>
          <t>Alpes-de-Haute-Provence</t>
        </is>
      </c>
      <c r="F39" t="inlineStr">
        <is>
          <t>Provence-Alpes-Côte d'Azur</t>
        </is>
      </c>
      <c r="G39" s="3" t="n">
        <v>10059</v>
      </c>
      <c r="H39" t="n">
        <v>21</v>
      </c>
      <c r="I39" t="inlineStr">
        <is>
          <t>Place de l'Église</t>
        </is>
      </c>
      <c r="J39" t="inlineStr">
        <is>
          <t>04300</t>
        </is>
      </c>
      <c r="K39" t="inlineStr">
        <is>
          <t>Mane</t>
        </is>
      </c>
      <c r="L39" t="inlineStr">
        <is>
          <t>04 92 75 04 13</t>
        </is>
      </c>
      <c r="M39" s="4" t="inlineStr">
        <is>
          <t>mairie@mane-en-provence.com</t>
        </is>
      </c>
      <c r="N39" s="4" t="inlineStr">
        <is>
          <t>https://www.cchppb.fr/</t>
        </is>
      </c>
      <c r="O39" s="4" t="inlineStr">
        <is>
          <t>https://www.cchppb.fr/</t>
        </is>
      </c>
      <c r="P39" s="4" t="inlineStr">
        <is>
          <t>https://lannuaire.service-public.gouv.fr/provence-alpes-cote-d-azur/alpes-de-haute-provence/edffaf94-792b-49ae-ab47-02c0f7b68200</t>
        </is>
      </c>
      <c r="Q39" t="inlineStr">
        <is>
          <t>Annuaire Service-public.fr</t>
        </is>
      </c>
      <c r="R39" t="inlineStr"/>
      <c r="S39" t="inlineStr"/>
      <c r="T39" t="inlineStr"/>
    </row>
    <row r="40">
      <c r="A40" t="inlineStr">
        <is>
          <t>CC Jabron-Lure-Vançon-Durance</t>
        </is>
      </c>
      <c r="B40" t="inlineStr">
        <is>
          <t>Communauté de communes</t>
        </is>
      </c>
      <c r="C40" t="inlineStr">
        <is>
          <t>200071033</t>
        </is>
      </c>
      <c r="D40" t="inlineStr">
        <is>
          <t>04, 26</t>
        </is>
      </c>
      <c r="E40" t="inlineStr">
        <is>
          <t>Alpes-de-Haute-Provence, Drôme</t>
        </is>
      </c>
      <c r="F40" t="inlineStr">
        <is>
          <t>Auvergne-Rhône-Alpes, Provence-Alpes-Côte d'Azur</t>
        </is>
      </c>
      <c r="G40" s="3" t="n">
        <v>5393</v>
      </c>
      <c r="H40" t="n">
        <v>14</v>
      </c>
      <c r="I40" t="inlineStr">
        <is>
          <t>110 rue de l'École</t>
        </is>
      </c>
      <c r="J40" t="inlineStr">
        <is>
          <t>04290</t>
        </is>
      </c>
      <c r="K40" t="inlineStr">
        <is>
          <t>Salignac</t>
        </is>
      </c>
      <c r="L40" t="inlineStr">
        <is>
          <t>04 92 34 46 75</t>
        </is>
      </c>
      <c r="M40" s="4" t="inlineStr">
        <is>
          <t>secretariat@ccjlvd.fr</t>
        </is>
      </c>
      <c r="N40" s="4" t="inlineStr">
        <is>
          <t>https://ccjlvd.fr</t>
        </is>
      </c>
      <c r="O40" t="inlineStr"/>
      <c r="P40" s="4" t="inlineStr">
        <is>
          <t>https://lannuaire.service-public.gouv.fr/provence-alpes-cote-d-azur/alpes-de-haute-provence/d9e5c89f-2bbb-4190-ae16-9793846e3e59</t>
        </is>
      </c>
      <c r="Q40" t="inlineStr">
        <is>
          <t>Annuaire Service-public.fr</t>
        </is>
      </c>
      <c r="R40" t="inlineStr"/>
      <c r="S40" t="inlineStr"/>
      <c r="T40" t="inlineStr"/>
    </row>
    <row r="41">
      <c r="A41" t="inlineStr">
        <is>
          <t>CC Pays Forcalquier et Montagne de Lure</t>
        </is>
      </c>
      <c r="B41" t="inlineStr">
        <is>
          <t>Communauté de communes</t>
        </is>
      </c>
      <c r="C41" t="inlineStr">
        <is>
          <t>240400440</t>
        </is>
      </c>
      <c r="D41" t="inlineStr">
        <is>
          <t>04</t>
        </is>
      </c>
      <c r="E41" t="inlineStr">
        <is>
          <t>Alpes-de-Haute-Provence</t>
        </is>
      </c>
      <c r="F41" t="inlineStr">
        <is>
          <t>Provence-Alpes-Côte d'Azur</t>
        </is>
      </c>
      <c r="G41" s="3" t="n">
        <v>9996</v>
      </c>
      <c r="H41" t="n">
        <v>13</v>
      </c>
      <c r="I41" t="inlineStr">
        <is>
          <t>1 place du Bourguet</t>
        </is>
      </c>
      <c r="J41" t="inlineStr">
        <is>
          <t>04301</t>
        </is>
      </c>
      <c r="K41" t="inlineStr">
        <is>
          <t>Forcalquier</t>
        </is>
      </c>
      <c r="L41" t="inlineStr">
        <is>
          <t>04 92 75 33 21</t>
        </is>
      </c>
      <c r="M41" s="4" t="inlineStr">
        <is>
          <t>accueil@ville-forcalquier.fr</t>
        </is>
      </c>
      <c r="N41" s="4" t="inlineStr">
        <is>
          <t>https://www.forcalquier-lure.com/</t>
        </is>
      </c>
      <c r="O41" s="4" t="inlineStr">
        <is>
          <t>https://www.forcalquier-lure.com/contact/</t>
        </is>
      </c>
      <c r="P41" s="4" t="inlineStr">
        <is>
          <t>https://lannuaire.service-public.gouv.fr/provence-alpes-cote-d-azur/alpes-de-haute-provence/70794785-6c3e-4a49-844c-c9f52a8d9aca</t>
        </is>
      </c>
      <c r="Q41" t="inlineStr">
        <is>
          <t>Annuaire Service-public.fr</t>
        </is>
      </c>
      <c r="R41" t="inlineStr"/>
      <c r="S41" t="inlineStr"/>
      <c r="T41" t="inlineStr"/>
    </row>
    <row r="42">
      <c r="A42" t="inlineStr">
        <is>
          <t>CC Pays d'Apt-Luberon</t>
        </is>
      </c>
      <c r="B42" t="inlineStr">
        <is>
          <t>Communauté de communes</t>
        </is>
      </c>
      <c r="C42" t="inlineStr">
        <is>
          <t>200040624</t>
        </is>
      </c>
      <c r="D42" t="inlineStr">
        <is>
          <t>04, 84</t>
        </is>
      </c>
      <c r="E42" t="inlineStr">
        <is>
          <t>Alpes-de-Haute-Provence, Vaucluse</t>
        </is>
      </c>
      <c r="F42" t="inlineStr">
        <is>
          <t>Provence-Alpes-Côte d'Azur</t>
        </is>
      </c>
      <c r="G42" s="3" t="n">
        <v>28347</v>
      </c>
      <c r="H42" t="n">
        <v>25</v>
      </c>
      <c r="I42" t="inlineStr">
        <is>
          <t>Avenue Frédéric-Mistral</t>
        </is>
      </c>
      <c r="J42" t="inlineStr">
        <is>
          <t>84400</t>
        </is>
      </c>
      <c r="K42" t="inlineStr">
        <is>
          <t>Apt</t>
        </is>
      </c>
      <c r="L42" t="inlineStr">
        <is>
          <t>04 90 04 49 70</t>
        </is>
      </c>
      <c r="M42" s="4" t="inlineStr">
        <is>
          <t>contact@paysapt-luberon.fr</t>
        </is>
      </c>
      <c r="N42" s="4" t="inlineStr">
        <is>
          <t>https://www.paysapt-luberon.fr/</t>
        </is>
      </c>
      <c r="O42" s="4" t="inlineStr">
        <is>
          <t>https://www.paysapt-luberon.fr/contactez-nous/</t>
        </is>
      </c>
      <c r="P42" s="4" t="inlineStr">
        <is>
          <t>https://lannuaire.service-public.gouv.fr/provence-alpes-cote-d-azur/vaucluse/6061a275-82d8-4f0f-9c13-cff637ad4437</t>
        </is>
      </c>
      <c r="Q42" t="inlineStr">
        <is>
          <t>Annuaire Service-public.fr</t>
        </is>
      </c>
      <c r="R42" t="inlineStr"/>
      <c r="S42" t="inlineStr"/>
      <c r="T42" t="inlineStr"/>
    </row>
    <row r="43">
      <c r="A43" t="inlineStr">
        <is>
          <t>CC Serre-Ponçon</t>
        </is>
      </c>
      <c r="B43" t="inlineStr">
        <is>
          <t>Communauté de communes</t>
        </is>
      </c>
      <c r="C43" t="inlineStr">
        <is>
          <t>200067742</t>
        </is>
      </c>
      <c r="D43" t="inlineStr">
        <is>
          <t>04, 05</t>
        </is>
      </c>
      <c r="E43" t="inlineStr">
        <is>
          <t>Alpes-de-Haute-Provence, Hautes-Alpes</t>
        </is>
      </c>
      <c r="F43" t="inlineStr">
        <is>
          <t>Provence-Alpes-Côte d'Azur</t>
        </is>
      </c>
      <c r="G43" s="3" t="n">
        <v>16945</v>
      </c>
      <c r="H43" t="n">
        <v>17</v>
      </c>
      <c r="I43" t="inlineStr">
        <is>
          <t>6 impasse de l'Observatoire</t>
        </is>
      </c>
      <c r="J43" t="inlineStr">
        <is>
          <t>05200</t>
        </is>
      </c>
      <c r="K43" t="inlineStr">
        <is>
          <t>Embrun</t>
        </is>
      </c>
      <c r="L43" t="inlineStr">
        <is>
          <t>04 92 43 22 78</t>
        </is>
      </c>
      <c r="M43" s="4" t="inlineStr">
        <is>
          <t>contact@ccserreponcon.com</t>
        </is>
      </c>
      <c r="N43" s="4" t="inlineStr">
        <is>
          <t>https://www.ccserreponcon.com/</t>
        </is>
      </c>
      <c r="O43" s="4" t="inlineStr">
        <is>
          <t>https://www.ccserreponcon.com/contacter/contacter</t>
        </is>
      </c>
      <c r="P43" s="4" t="inlineStr">
        <is>
          <t>https://lannuaire.service-public.gouv.fr/provence-alpes-cote-d-azur/hautes-alpes/65d93037-e3ac-4261-ab71-ec6fbec5794a</t>
        </is>
      </c>
      <c r="Q43" t="inlineStr">
        <is>
          <t>Annuaire Service-public.fr</t>
        </is>
      </c>
      <c r="R43" t="inlineStr"/>
      <c r="S43" t="inlineStr"/>
      <c r="T43" t="inlineStr"/>
    </row>
    <row r="44">
      <c r="A44" t="inlineStr">
        <is>
          <t>CC Serre-Ponçon Val d'Avance</t>
        </is>
      </c>
      <c r="B44" t="inlineStr">
        <is>
          <t>Communauté de communes</t>
        </is>
      </c>
      <c r="C44" t="inlineStr">
        <is>
          <t>200067320</t>
        </is>
      </c>
      <c r="D44" t="inlineStr">
        <is>
          <t>04, 05</t>
        </is>
      </c>
      <c r="E44" t="inlineStr">
        <is>
          <t>Alpes-de-Haute-Provence, Hautes-Alpes</t>
        </is>
      </c>
      <c r="F44" t="inlineStr">
        <is>
          <t>Provence-Alpes-Côte d'Azur</t>
        </is>
      </c>
      <c r="G44" s="3" t="n">
        <v>7859</v>
      </c>
      <c r="H44" t="n">
        <v>16</v>
      </c>
      <c r="I44" t="inlineStr">
        <is>
          <t>33 rue de la Lauzière</t>
        </is>
      </c>
      <c r="J44" t="inlineStr">
        <is>
          <t>05230</t>
        </is>
      </c>
      <c r="K44" t="inlineStr">
        <is>
          <t>La Bâtie-Neuve</t>
        </is>
      </c>
      <c r="L44" t="inlineStr">
        <is>
          <t>04 92 50 20 50</t>
        </is>
      </c>
      <c r="M44" s="4" t="inlineStr">
        <is>
          <t>secretariat@ccspva.com</t>
        </is>
      </c>
      <c r="N44" s="4" t="inlineStr">
        <is>
          <t>https://www.cc-serreponconvaldavance.com/</t>
        </is>
      </c>
      <c r="O44" s="4" t="inlineStr">
        <is>
          <t>https://www.cc-serreponconvaldavance.com/fr/nous-connaitre/nous-contacter.html</t>
        </is>
      </c>
      <c r="P44" s="4" t="inlineStr">
        <is>
          <t>https://lannuaire.service-public.gouv.fr/provence-alpes-cote-d-azur/hautes-alpes/89c4d6e8-8c05-4ef0-9779-f150f71ae27d</t>
        </is>
      </c>
      <c r="Q44" t="inlineStr">
        <is>
          <t>Annuaire Service-public.fr</t>
        </is>
      </c>
      <c r="R44" t="inlineStr"/>
      <c r="S44" t="inlineStr"/>
      <c r="T44" t="inlineStr"/>
    </row>
    <row r="45">
      <c r="A45" t="inlineStr">
        <is>
          <t>CC Vallée de l'Ubaye - Serre-Ponçon</t>
        </is>
      </c>
      <c r="B45" t="inlineStr">
        <is>
          <t>Communauté de communes</t>
        </is>
      </c>
      <c r="C45" t="inlineStr">
        <is>
          <t>200072304</t>
        </is>
      </c>
      <c r="D45" t="inlineStr">
        <is>
          <t>04</t>
        </is>
      </c>
      <c r="E45" t="inlineStr">
        <is>
          <t>Alpes-de-Haute-Provence</t>
        </is>
      </c>
      <c r="F45" t="inlineStr">
        <is>
          <t>Provence-Alpes-Côte d'Azur</t>
        </is>
      </c>
      <c r="G45" s="3" t="n">
        <v>7620</v>
      </c>
      <c r="H45" t="n">
        <v>13</v>
      </c>
      <c r="I45" t="inlineStr">
        <is>
          <t>4 avenue des Trois-Frères-Arnaud</t>
        </is>
      </c>
      <c r="J45" t="inlineStr">
        <is>
          <t>04400</t>
        </is>
      </c>
      <c r="K45" t="inlineStr">
        <is>
          <t>Barcelonnette</t>
        </is>
      </c>
      <c r="L45" t="inlineStr">
        <is>
          <t>04 92 81 28 23</t>
        </is>
      </c>
      <c r="M45" s="4" t="inlineStr">
        <is>
          <t>info@ccvusp.fr</t>
        </is>
      </c>
      <c r="N45" s="4" t="inlineStr">
        <is>
          <t>https://www.ccvusp.fr/</t>
        </is>
      </c>
      <c r="O45" s="4" t="inlineStr">
        <is>
          <t>https://www.ccvusp.fr/contact.html</t>
        </is>
      </c>
      <c r="P45" s="4" t="inlineStr">
        <is>
          <t>https://lannuaire.service-public.gouv.fr/provence-alpes-cote-d-azur/alpes-de-haute-provence/b880471d-42b0-4fa1-814a-7d628b895c15</t>
        </is>
      </c>
      <c r="Q45" t="inlineStr">
        <is>
          <t>Annuaire Service-public.fr</t>
        </is>
      </c>
      <c r="R45" t="inlineStr"/>
      <c r="S45" t="inlineStr"/>
      <c r="T45" t="inlineStr"/>
    </row>
    <row r="46">
      <c r="A46" t="inlineStr">
        <is>
          <t>CC du Sisteronais-Buëch</t>
        </is>
      </c>
      <c r="B46" t="inlineStr">
        <is>
          <t>Communauté de communes</t>
        </is>
      </c>
      <c r="C46" t="inlineStr">
        <is>
          <t>200068765</t>
        </is>
      </c>
      <c r="D46" t="inlineStr">
        <is>
          <t>04, 05, 26</t>
        </is>
      </c>
      <c r="E46" t="inlineStr">
        <is>
          <t>Alpes-de-Haute-Provence, Hautes-Alpes, Drôme</t>
        </is>
      </c>
      <c r="F46" t="inlineStr">
        <is>
          <t>Auvergne-Rhône-Alpes, Provence-Alpes-Côte d'Azur</t>
        </is>
      </c>
      <c r="G46" s="3" t="n">
        <v>25482</v>
      </c>
      <c r="H46" t="n">
        <v>60</v>
      </c>
      <c r="I46" t="inlineStr">
        <is>
          <t>1 place de la République</t>
        </is>
      </c>
      <c r="J46" t="inlineStr">
        <is>
          <t>04200</t>
        </is>
      </c>
      <c r="K46" t="inlineStr">
        <is>
          <t>Sisteron</t>
        </is>
      </c>
      <c r="L46" t="inlineStr">
        <is>
          <t>04 92 31 27 52</t>
        </is>
      </c>
      <c r="M46" s="4" t="inlineStr">
        <is>
          <t>contact.ccsb@sisteronais-buech.fr</t>
        </is>
      </c>
      <c r="N46" s="4" t="inlineStr">
        <is>
          <t>https://www.sisteronais-buech.fr/</t>
        </is>
      </c>
      <c r="O46" s="4" t="inlineStr">
        <is>
          <t>https://www.sisteronais-buech.fr/nous-contacter/</t>
        </is>
      </c>
      <c r="P46" s="4" t="inlineStr">
        <is>
          <t>https://lannuaire.service-public.gouv.fr/provence-alpes-cote-d-azur/alpes-de-haute-provence/1db16ee5-afe7-40e7-bbf2-196ccc4de931</t>
        </is>
      </c>
      <c r="Q46" t="inlineStr">
        <is>
          <t>Annuaire Service-public.fr</t>
        </is>
      </c>
      <c r="R46" t="inlineStr"/>
      <c r="S46" t="inlineStr"/>
      <c r="T46" t="inlineStr"/>
    </row>
    <row r="47">
      <c r="A47" t="inlineStr">
        <is>
          <t>CC Buëch-Dévoluy</t>
        </is>
      </c>
      <c r="B47" t="inlineStr">
        <is>
          <t>Communauté de communes</t>
        </is>
      </c>
      <c r="C47" t="inlineStr">
        <is>
          <t>200067445</t>
        </is>
      </c>
      <c r="D47" t="inlineStr">
        <is>
          <t>05</t>
        </is>
      </c>
      <c r="E47" t="inlineStr">
        <is>
          <t>Hautes-Alpes</t>
        </is>
      </c>
      <c r="F47" t="inlineStr">
        <is>
          <t>Provence-Alpes-Côte d'Azur</t>
        </is>
      </c>
      <c r="G47" s="3" t="n">
        <v>9597</v>
      </c>
      <c r="H47" t="n">
        <v>20</v>
      </c>
      <c r="I47" t="inlineStr">
        <is>
          <t>7 rue de la Tuilerie, Communauté de communes Buëch-Dévoluy</t>
        </is>
      </c>
      <c r="J47" t="inlineStr">
        <is>
          <t>05400</t>
        </is>
      </c>
      <c r="K47" t="inlineStr">
        <is>
          <t>Veynes</t>
        </is>
      </c>
      <c r="L47" t="inlineStr">
        <is>
          <t>04 92 58 02 42</t>
        </is>
      </c>
      <c r="M47" s="4" t="inlineStr">
        <is>
          <t>accueil@ccbd.fr</t>
        </is>
      </c>
      <c r="N47" s="4" t="inlineStr">
        <is>
          <t>https://www.ccbuechdevoluy.fr/</t>
        </is>
      </c>
      <c r="O47" s="4" t="inlineStr">
        <is>
          <t>https://www.ccbuechdevoluy.fr/contact.html</t>
        </is>
      </c>
      <c r="P47" s="4" t="inlineStr">
        <is>
          <t>https://lannuaire.service-public.gouv.fr/provence-alpes-cote-d-azur/hautes-alpes/79ef0a90-0e1e-45d3-9d0c-45cd81a50715</t>
        </is>
      </c>
      <c r="Q47" t="inlineStr">
        <is>
          <t>Annuaire Service-public.fr</t>
        </is>
      </c>
      <c r="R47" t="inlineStr"/>
      <c r="S47" t="inlineStr"/>
      <c r="T47" t="inlineStr"/>
    </row>
    <row r="48">
      <c r="A48" t="inlineStr">
        <is>
          <t>CC Champsaur-Valgaudemar</t>
        </is>
      </c>
      <c r="B48" t="inlineStr">
        <is>
          <t>Communauté de communes</t>
        </is>
      </c>
      <c r="C48" t="inlineStr">
        <is>
          <t>200068096</t>
        </is>
      </c>
      <c r="D48" t="inlineStr">
        <is>
          <t>05</t>
        </is>
      </c>
      <c r="E48" t="inlineStr">
        <is>
          <t>Hautes-Alpes</t>
        </is>
      </c>
      <c r="F48" t="inlineStr">
        <is>
          <t>Provence-Alpes-Côte d'Azur</t>
        </is>
      </c>
      <c r="G48" s="3" t="n">
        <v>11528</v>
      </c>
      <c r="H48" t="n">
        <v>25</v>
      </c>
      <c r="I48" t="inlineStr">
        <is>
          <t>5 rue des Lagerons</t>
        </is>
      </c>
      <c r="J48" t="inlineStr">
        <is>
          <t>05500</t>
        </is>
      </c>
      <c r="K48" t="inlineStr">
        <is>
          <t>Saint-Bonnet-en-Champsaur</t>
        </is>
      </c>
      <c r="L48" t="inlineStr">
        <is>
          <t>04 92 50 00 20</t>
        </is>
      </c>
      <c r="M48" s="4" t="inlineStr">
        <is>
          <t>contact@champsaur-valgaudemar.fr</t>
        </is>
      </c>
      <c r="N48" s="4" t="inlineStr">
        <is>
          <t>https://www.champsaur-valgaudemar.com/accueil-cccv/</t>
        </is>
      </c>
      <c r="O48" s="4" t="inlineStr">
        <is>
          <t>https://www.champsaur-valgaudemar.com/accueil-cccv/contact/</t>
        </is>
      </c>
      <c r="P48" s="4" t="inlineStr">
        <is>
          <t>https://lannuaire.service-public.gouv.fr/provence-alpes-cote-d-azur/hautes-alpes/cf887aee-b16d-4396-bb14-2da57a842ac0</t>
        </is>
      </c>
      <c r="Q48" t="inlineStr">
        <is>
          <t>Annuaire Service-public.fr</t>
        </is>
      </c>
      <c r="R48" t="inlineStr"/>
      <c r="S48" t="inlineStr"/>
      <c r="T48" t="inlineStr"/>
    </row>
    <row r="49">
      <c r="A49" t="inlineStr">
        <is>
          <t>CC du Briançonnais</t>
        </is>
      </c>
      <c r="B49" t="inlineStr">
        <is>
          <t>Communauté de communes</t>
        </is>
      </c>
      <c r="C49" t="inlineStr">
        <is>
          <t>240500439</t>
        </is>
      </c>
      <c r="D49" t="inlineStr">
        <is>
          <t>05</t>
        </is>
      </c>
      <c r="E49" t="inlineStr">
        <is>
          <t>Hautes-Alpes</t>
        </is>
      </c>
      <c r="F49" t="inlineStr">
        <is>
          <t>Provence-Alpes-Côte d'Azur</t>
        </is>
      </c>
      <c r="G49" s="3" t="n">
        <v>18947</v>
      </c>
      <c r="H49" t="n">
        <v>13</v>
      </c>
      <c r="I49" t="inlineStr">
        <is>
          <t>1 rue Aspirant-Jan</t>
        </is>
      </c>
      <c r="J49" t="inlineStr">
        <is>
          <t>05100</t>
        </is>
      </c>
      <c r="K49" t="inlineStr">
        <is>
          <t>Briançon</t>
        </is>
      </c>
      <c r="L49" t="inlineStr">
        <is>
          <t>04 92 21 35 97</t>
        </is>
      </c>
      <c r="M49" s="4" t="inlineStr">
        <is>
          <t>accueil@ccbrianconnais.fr</t>
        </is>
      </c>
      <c r="N49" s="4" t="inlineStr">
        <is>
          <t>https://www.ccbrianconnais.fr/</t>
        </is>
      </c>
      <c r="O49" s="4" t="inlineStr">
        <is>
          <t>https://www.ccbrianconnais.fr/nous-contacter</t>
        </is>
      </c>
      <c r="P49" s="4" t="inlineStr">
        <is>
          <t>https://lannuaire.service-public.gouv.fr/provence-alpes-cote-d-azur/hautes-alpes/6fa46dec-65d7-463f-b5aa-946752287124</t>
        </is>
      </c>
      <c r="Q49" t="inlineStr">
        <is>
          <t>Annuaire Service-public.fr</t>
        </is>
      </c>
      <c r="R49" t="inlineStr"/>
      <c r="S49" t="inlineStr"/>
      <c r="T49" t="inlineStr"/>
    </row>
    <row r="50">
      <c r="A50" t="inlineStr">
        <is>
          <t>CC du Guillestrois et du Queyras</t>
        </is>
      </c>
      <c r="B50" t="inlineStr">
        <is>
          <t>Communauté de communes</t>
        </is>
      </c>
      <c r="C50" t="inlineStr">
        <is>
          <t>200067452</t>
        </is>
      </c>
      <c r="D50" t="inlineStr">
        <is>
          <t>05</t>
        </is>
      </c>
      <c r="E50" t="inlineStr">
        <is>
          <t>Hautes-Alpes</t>
        </is>
      </c>
      <c r="F50" t="inlineStr">
        <is>
          <t>Provence-Alpes-Côte d'Azur</t>
        </is>
      </c>
      <c r="G50" s="3" t="n">
        <v>7955</v>
      </c>
      <c r="H50" t="n">
        <v>15</v>
      </c>
      <c r="I50" t="inlineStr">
        <is>
          <t>Passage des Écoles, BP 12</t>
        </is>
      </c>
      <c r="J50" t="inlineStr">
        <is>
          <t>05600</t>
        </is>
      </c>
      <c r="K50" t="inlineStr">
        <is>
          <t>Guillestre</t>
        </is>
      </c>
      <c r="L50" t="inlineStr">
        <is>
          <t>04 92 45 04 62</t>
        </is>
      </c>
      <c r="M50" s="4" t="inlineStr">
        <is>
          <t>contact@comcomgq.com</t>
        </is>
      </c>
      <c r="N50" s="4" t="inlineStr">
        <is>
          <t>https://www.ccguillestroisqueyras.fr/</t>
        </is>
      </c>
      <c r="O50" s="4" t="inlineStr">
        <is>
          <t>https://demarches.collectivites.hautes-alpes.fr/contacter-une-collectivite/saisine-par-voie-electronique-du-territoire/</t>
        </is>
      </c>
      <c r="P50" s="4" t="inlineStr">
        <is>
          <t>https://lannuaire.service-public.gouv.fr/provence-alpes-cote-d-azur/hautes-alpes/f1a383e3-8ad9-4073-8fd3-3c6bf61041c0</t>
        </is>
      </c>
      <c r="Q50" t="inlineStr">
        <is>
          <t>Annuaire Service-public.fr</t>
        </is>
      </c>
      <c r="R50" t="inlineStr"/>
      <c r="S50" t="inlineStr"/>
      <c r="T50" t="inlineStr"/>
    </row>
    <row r="51">
      <c r="A51" t="inlineStr">
        <is>
          <t>CC du Pays des Ecrins</t>
        </is>
      </c>
      <c r="B51" t="inlineStr">
        <is>
          <t>Communauté de communes</t>
        </is>
      </c>
      <c r="C51" t="inlineStr">
        <is>
          <t>240500462</t>
        </is>
      </c>
      <c r="D51" t="inlineStr">
        <is>
          <t>05</t>
        </is>
      </c>
      <c r="E51" t="inlineStr">
        <is>
          <t>Hautes-Alpes</t>
        </is>
      </c>
      <c r="F51" t="inlineStr">
        <is>
          <t>Provence-Alpes-Côte d'Azur</t>
        </is>
      </c>
      <c r="G51" s="3" t="n">
        <v>6582</v>
      </c>
      <c r="H51" t="n">
        <v>8</v>
      </c>
      <c r="I51" t="inlineStr">
        <is>
          <t>1 Rue du Dispensaire</t>
        </is>
      </c>
      <c r="J51" t="inlineStr">
        <is>
          <t>05120</t>
        </is>
      </c>
      <c r="K51" t="inlineStr">
        <is>
          <t>L'Argentière-la-Bessée</t>
        </is>
      </c>
      <c r="L51" t="inlineStr">
        <is>
          <t>04 92 23 11 17</t>
        </is>
      </c>
      <c r="M51" s="4" t="inlineStr">
        <is>
          <t>info@cc-paysdesecrins.com</t>
        </is>
      </c>
      <c r="N51" s="4" t="inlineStr">
        <is>
          <t>https://www.cc-paysdesecrins.fr/</t>
        </is>
      </c>
      <c r="O51" s="4" t="inlineStr">
        <is>
          <t>https://www.cc-paysdesecrins.fr/formulaire-de-contact</t>
        </is>
      </c>
      <c r="P51" s="4" t="inlineStr">
        <is>
          <t>https://lannuaire.service-public.gouv.fr/provence-alpes-cote-d-azur/hautes-alpes/b86879a2-252c-4810-88b3-b95922755984</t>
        </is>
      </c>
      <c r="Q51" t="inlineStr">
        <is>
          <t>Annuaire Service-public.fr</t>
        </is>
      </c>
      <c r="R51" t="inlineStr"/>
      <c r="S51" t="inlineStr"/>
      <c r="T51" t="inlineStr"/>
    </row>
    <row r="52">
      <c r="A52" t="inlineStr">
        <is>
          <t>CC Alpes d'Azur</t>
        </is>
      </c>
      <c r="B52" t="inlineStr">
        <is>
          <t>Communauté de communes</t>
        </is>
      </c>
      <c r="C52" t="inlineStr">
        <is>
          <t>200039931</t>
        </is>
      </c>
      <c r="D52" t="inlineStr">
        <is>
          <t>06</t>
        </is>
      </c>
      <c r="E52" t="inlineStr">
        <is>
          <t>Alpes-Maritimes</t>
        </is>
      </c>
      <c r="F52" t="inlineStr">
        <is>
          <t>Provence-Alpes-Côte d'Azur</t>
        </is>
      </c>
      <c r="G52" s="3" t="n">
        <v>10015</v>
      </c>
      <c r="H52" t="n">
        <v>34</v>
      </c>
      <c r="I52" t="inlineStr">
        <is>
          <t>Place Conil</t>
        </is>
      </c>
      <c r="J52" t="inlineStr">
        <is>
          <t>06260</t>
        </is>
      </c>
      <c r="K52" t="inlineStr">
        <is>
          <t>Puget-Théniers</t>
        </is>
      </c>
      <c r="L52" t="inlineStr">
        <is>
          <t>04 93 05 02 81</t>
        </is>
      </c>
      <c r="M52" s="4" t="inlineStr">
        <is>
          <t>secretariat@alpesdazur.fr</t>
        </is>
      </c>
      <c r="N52" t="inlineStr"/>
      <c r="O52" t="inlineStr"/>
      <c r="P52" s="4" t="inlineStr">
        <is>
          <t>https://lannuaire.service-public.gouv.fr/provence-alpes-cote-d-azur/alpes-maritimes/cc6cd85a-0aa5-46df-b303-e8fdc3eb3349</t>
        </is>
      </c>
      <c r="Q52" t="inlineStr">
        <is>
          <t>Annuaire Service-public.fr</t>
        </is>
      </c>
      <c r="R52" t="inlineStr"/>
      <c r="S52" t="inlineStr"/>
      <c r="T52" t="inlineStr"/>
    </row>
    <row r="53">
      <c r="A53" t="inlineStr">
        <is>
          <t>CC du Pays des Paillons</t>
        </is>
      </c>
      <c r="B53" t="inlineStr">
        <is>
          <t>Communauté de communes</t>
        </is>
      </c>
      <c r="C53" t="inlineStr">
        <is>
          <t>240600593</t>
        </is>
      </c>
      <c r="D53" t="inlineStr">
        <is>
          <t>06</t>
        </is>
      </c>
      <c r="E53" t="inlineStr">
        <is>
          <t>Alpes-Maritimes</t>
        </is>
      </c>
      <c r="F53" t="inlineStr">
        <is>
          <t>Provence-Alpes-Côte d'Azur</t>
        </is>
      </c>
      <c r="G53" s="3" t="n">
        <v>21426</v>
      </c>
      <c r="H53" t="n">
        <v>11</v>
      </c>
      <c r="I53" t="inlineStr">
        <is>
          <t>55 bis route départementale 2204</t>
        </is>
      </c>
      <c r="J53" t="inlineStr">
        <is>
          <t>06440</t>
        </is>
      </c>
      <c r="K53" t="inlineStr">
        <is>
          <t>Blausasc</t>
        </is>
      </c>
      <c r="L53" t="inlineStr">
        <is>
          <t>04 92 00 75 80</t>
        </is>
      </c>
      <c r="M53" s="4" t="inlineStr">
        <is>
          <t>info@ccpp06.fr</t>
        </is>
      </c>
      <c r="N53" s="4" t="inlineStr">
        <is>
          <t>https://ccpp06.fr/</t>
        </is>
      </c>
      <c r="O53" t="inlineStr"/>
      <c r="P53" s="4" t="inlineStr">
        <is>
          <t>https://lannuaire.service-public.gouv.fr/provence-alpes-cote-d-azur/alpes-maritimes/86e12e8e-2004-41b6-b131-b76ee96330bd</t>
        </is>
      </c>
      <c r="Q53" t="inlineStr">
        <is>
          <t>Annuaire Service-public.fr</t>
        </is>
      </c>
      <c r="R53" t="inlineStr"/>
      <c r="S53" t="inlineStr"/>
      <c r="T53" t="inlineStr"/>
    </row>
    <row r="54">
      <c r="A54" t="inlineStr">
        <is>
          <t>CC Ardèche Rhône Coiron</t>
        </is>
      </c>
      <c r="B54" t="inlineStr">
        <is>
          <t>Communauté de communes</t>
        </is>
      </c>
      <c r="C54" t="inlineStr">
        <is>
          <t>200071405</t>
        </is>
      </c>
      <c r="D54" t="inlineStr">
        <is>
          <t>07</t>
        </is>
      </c>
      <c r="E54" t="inlineStr">
        <is>
          <t>Ardèche</t>
        </is>
      </c>
      <c r="F54" t="inlineStr">
        <is>
          <t>Auvergne-Rhône-Alpes</t>
        </is>
      </c>
      <c r="G54" s="3" t="n">
        <v>23067</v>
      </c>
      <c r="H54" t="n">
        <v>15</v>
      </c>
      <c r="I54" t="inlineStr">
        <is>
          <t>10 avenue de la Résistance</t>
        </is>
      </c>
      <c r="J54" t="inlineStr">
        <is>
          <t>07350</t>
        </is>
      </c>
      <c r="K54" t="inlineStr">
        <is>
          <t>Cruas</t>
        </is>
      </c>
      <c r="L54" t="inlineStr">
        <is>
          <t>04 75 00 04 11</t>
        </is>
      </c>
      <c r="M54" s="4" t="inlineStr">
        <is>
          <t>accueil@ardecherhonecoiron.fr</t>
        </is>
      </c>
      <c r="N54" s="4" t="inlineStr">
        <is>
          <t>https://www.ardecherhonecoiron.fr</t>
        </is>
      </c>
      <c r="O54" s="4" t="inlineStr">
        <is>
          <t>https://ardecherhonecoiron.fr/arcpratique/nous-contacter/</t>
        </is>
      </c>
      <c r="P54" s="4" t="inlineStr">
        <is>
          <t>https://lannuaire.service-public.gouv.fr/auvergne-rhone-alpes/ardeche/4fce06f8-3da5-4757-9b93-87bdb10057ef</t>
        </is>
      </c>
      <c r="Q54" t="inlineStr">
        <is>
          <t>Annuaire Service-public.fr</t>
        </is>
      </c>
      <c r="R54" t="inlineStr"/>
      <c r="S54" t="inlineStr"/>
      <c r="T54" t="inlineStr"/>
    </row>
    <row r="55">
      <c r="A55" t="inlineStr">
        <is>
          <t>CC Ardèche des Sources et Volcans</t>
        </is>
      </c>
      <c r="B55" t="inlineStr">
        <is>
          <t>Communauté de communes</t>
        </is>
      </c>
      <c r="C55" t="inlineStr">
        <is>
          <t>200039824</t>
        </is>
      </c>
      <c r="D55" t="inlineStr">
        <is>
          <t>07</t>
        </is>
      </c>
      <c r="E55" t="inlineStr">
        <is>
          <t>Ardèche</t>
        </is>
      </c>
      <c r="F55" t="inlineStr">
        <is>
          <t>Auvergne-Rhône-Alpes</t>
        </is>
      </c>
      <c r="G55" s="3" t="n">
        <v>9752</v>
      </c>
      <c r="H55" t="n">
        <v>16</v>
      </c>
      <c r="I55" t="inlineStr">
        <is>
          <t>12 rue Pouget</t>
        </is>
      </c>
      <c r="J55" t="inlineStr">
        <is>
          <t>07330</t>
        </is>
      </c>
      <c r="K55" t="inlineStr">
        <is>
          <t>Thueyts</t>
        </is>
      </c>
      <c r="L55" t="inlineStr">
        <is>
          <t>04 75 89 01 48</t>
        </is>
      </c>
      <c r="M55" s="4" t="inlineStr">
        <is>
          <t>cdc@asv-cdc.fr</t>
        </is>
      </c>
      <c r="N55" s="4" t="inlineStr">
        <is>
          <t>https://www.asv-cdc.fr/</t>
        </is>
      </c>
      <c r="O55" t="inlineStr"/>
      <c r="P55" s="4" t="inlineStr">
        <is>
          <t>https://lannuaire.service-public.gouv.fr/auvergne-rhone-alpes/ardeche/6c4315a8-3d18-4506-aa15-d739552f47b7</t>
        </is>
      </c>
      <c r="Q55" t="inlineStr">
        <is>
          <t>Annuaire Service-public.fr</t>
        </is>
      </c>
      <c r="R55" t="inlineStr"/>
      <c r="S55" t="inlineStr"/>
      <c r="T55" t="inlineStr"/>
    </row>
    <row r="56">
      <c r="A56" t="inlineStr">
        <is>
          <t>CC Berg et Coiron</t>
        </is>
      </c>
      <c r="B56" t="inlineStr">
        <is>
          <t>Communauté de communes</t>
        </is>
      </c>
      <c r="C56" t="inlineStr">
        <is>
          <t>240700815</t>
        </is>
      </c>
      <c r="D56" t="inlineStr">
        <is>
          <t>07</t>
        </is>
      </c>
      <c r="E56" t="inlineStr">
        <is>
          <t>Ardèche</t>
        </is>
      </c>
      <c r="F56" t="inlineStr">
        <is>
          <t>Auvergne-Rhône-Alpes</t>
        </is>
      </c>
      <c r="G56" s="3" t="n">
        <v>7981</v>
      </c>
      <c r="H56" t="n">
        <v>13</v>
      </c>
      <c r="I56" t="inlineStr">
        <is>
          <t>33 Grande rue, Hôtel Malmazet</t>
        </is>
      </c>
      <c r="J56" t="inlineStr">
        <is>
          <t>07170</t>
        </is>
      </c>
      <c r="K56" t="inlineStr">
        <is>
          <t>Villeneuve-de-Berg</t>
        </is>
      </c>
      <c r="L56" t="inlineStr">
        <is>
          <t>04 75 94 07 95</t>
        </is>
      </c>
      <c r="M56" s="4" t="inlineStr">
        <is>
          <t>contact@bergetcoiron.fr</t>
        </is>
      </c>
      <c r="N56" s="4" t="inlineStr">
        <is>
          <t>https://www.bergetcoiron.fr/</t>
        </is>
      </c>
      <c r="O56" s="4" t="inlineStr">
        <is>
          <t>https://www.bergetcoiron.fr/contact/</t>
        </is>
      </c>
      <c r="P56" s="4" t="inlineStr">
        <is>
          <t>https://lannuaire.service-public.gouv.fr/auvergne-rhone-alpes/ardeche/43372912-993d-4d5e-92e0-2ff3d4ecfe66</t>
        </is>
      </c>
      <c r="Q56" t="inlineStr">
        <is>
          <t>Annuaire Service-public.fr</t>
        </is>
      </c>
      <c r="R56" t="inlineStr"/>
      <c r="S56" t="inlineStr"/>
      <c r="T56" t="inlineStr"/>
    </row>
    <row r="57">
      <c r="A57" t="inlineStr">
        <is>
          <t>CC Montagne d'Ardèche</t>
        </is>
      </c>
      <c r="B57" t="inlineStr">
        <is>
          <t>Communauté de communes</t>
        </is>
      </c>
      <c r="C57" t="inlineStr">
        <is>
          <t>200072007</t>
        </is>
      </c>
      <c r="D57" t="inlineStr">
        <is>
          <t>07</t>
        </is>
      </c>
      <c r="E57" t="inlineStr">
        <is>
          <t>Ardèche</t>
        </is>
      </c>
      <c r="F57" t="inlineStr">
        <is>
          <t>Auvergne-Rhône-Alpes</t>
        </is>
      </c>
      <c r="G57" s="3" t="n">
        <v>4819</v>
      </c>
      <c r="H57" t="n">
        <v>28</v>
      </c>
      <c r="I57" t="inlineStr">
        <is>
          <t>620 rue de la zone artisanale Les Eygades</t>
        </is>
      </c>
      <c r="J57" t="inlineStr">
        <is>
          <t>07470</t>
        </is>
      </c>
      <c r="K57" t="inlineStr">
        <is>
          <t>Coucouron</t>
        </is>
      </c>
      <c r="L57" t="inlineStr">
        <is>
          <t>04 66 46 59 80</t>
        </is>
      </c>
      <c r="M57" s="4" t="inlineStr">
        <is>
          <t>accueil@montagne-ardeche.fr</t>
        </is>
      </c>
      <c r="N57" s="4" t="inlineStr">
        <is>
          <t>https://cc-montagne-ardeche.fr/</t>
        </is>
      </c>
      <c r="O57" s="4" t="inlineStr">
        <is>
          <t>https://cc-montagne-ardeche.fr/nous-contacter/</t>
        </is>
      </c>
      <c r="P57" s="4" t="inlineStr">
        <is>
          <t>https://lannuaire.service-public.gouv.fr/auvergne-rhone-alpes/ardeche/2d6f6313-26f9-415e-b96c-f461c18859d7</t>
        </is>
      </c>
      <c r="Q57" t="inlineStr">
        <is>
          <t>Annuaire Service-public.fr</t>
        </is>
      </c>
      <c r="R57" t="inlineStr"/>
      <c r="S57" t="inlineStr"/>
      <c r="T57" t="inlineStr"/>
    </row>
    <row r="58">
      <c r="A58" t="inlineStr">
        <is>
          <t>CC Pays des Vans en Cévennes</t>
        </is>
      </c>
      <c r="B58" t="inlineStr">
        <is>
          <t>Communauté de communes</t>
        </is>
      </c>
      <c r="C58" t="inlineStr">
        <is>
          <t>200039832</t>
        </is>
      </c>
      <c r="D58" t="inlineStr">
        <is>
          <t>07</t>
        </is>
      </c>
      <c r="E58" t="inlineStr">
        <is>
          <t>Ardèche</t>
        </is>
      </c>
      <c r="F58" t="inlineStr">
        <is>
          <t>Auvergne-Rhône-Alpes</t>
        </is>
      </c>
      <c r="G58" s="3" t="n">
        <v>9536</v>
      </c>
      <c r="H58" t="n">
        <v>15</v>
      </c>
      <c r="I58" t="inlineStr">
        <is>
          <t>110 place Fernand-Aubert</t>
        </is>
      </c>
      <c r="J58" t="inlineStr">
        <is>
          <t>07140</t>
        </is>
      </c>
      <c r="K58" t="inlineStr">
        <is>
          <t>Les Vans</t>
        </is>
      </c>
      <c r="L58" t="inlineStr">
        <is>
          <t>04 75 37 41 22</t>
        </is>
      </c>
      <c r="M58" s="4" t="inlineStr">
        <is>
          <t>accueil@cdc-vansencevennes.fr</t>
        </is>
      </c>
      <c r="N58" s="4" t="inlineStr">
        <is>
          <t>https://www.cdc-vansencevennes.fr/</t>
        </is>
      </c>
      <c r="O58" s="4" t="inlineStr">
        <is>
          <t>https://www.cdc-vansencevennes.fr/contact/</t>
        </is>
      </c>
      <c r="P58" s="4" t="inlineStr">
        <is>
          <t>https://lannuaire.service-public.gouv.fr/auvergne-rhone-alpes/ardeche/8764b263-cb33-4251-b329-cc11a820316d</t>
        </is>
      </c>
      <c r="Q58" t="inlineStr">
        <is>
          <t>Annuaire Service-public.fr</t>
        </is>
      </c>
      <c r="R58" t="inlineStr"/>
      <c r="S58" t="inlineStr"/>
      <c r="T58" t="inlineStr"/>
    </row>
    <row r="59">
      <c r="A59" t="inlineStr">
        <is>
          <t>CC Porte de Dromardèche</t>
        </is>
      </c>
      <c r="B59" t="inlineStr">
        <is>
          <t>Communauté de communes</t>
        </is>
      </c>
      <c r="C59" t="inlineStr">
        <is>
          <t>200040491</t>
        </is>
      </c>
      <c r="D59" t="inlineStr">
        <is>
          <t>07, 26</t>
        </is>
      </c>
      <c r="E59" t="inlineStr">
        <is>
          <t>Ardèche, Drôme</t>
        </is>
      </c>
      <c r="F59" t="inlineStr">
        <is>
          <t>Auvergne-Rhône-Alpes</t>
        </is>
      </c>
      <c r="G59" s="3" t="n">
        <v>47996</v>
      </c>
      <c r="H59" t="n">
        <v>34</v>
      </c>
      <c r="I59" t="inlineStr">
        <is>
          <t>2 rue Françoise-Barré-Sinoussi, BP 4</t>
        </is>
      </c>
      <c r="J59" t="inlineStr">
        <is>
          <t>26241</t>
        </is>
      </c>
      <c r="K59" t="inlineStr">
        <is>
          <t>Saint-Vallier</t>
        </is>
      </c>
      <c r="L59" t="inlineStr">
        <is>
          <t>04 75 23 45 65</t>
        </is>
      </c>
      <c r="M59" s="4" t="inlineStr">
        <is>
          <t>contact@portededromardeche.fr</t>
        </is>
      </c>
      <c r="N59" s="4" t="inlineStr">
        <is>
          <t>https://www.portededromardeche.fr/</t>
        </is>
      </c>
      <c r="O59" s="4" t="inlineStr">
        <is>
          <t>https://www.portededromardeche.fr/contact/</t>
        </is>
      </c>
      <c r="P59" s="4" t="inlineStr">
        <is>
          <t>https://lannuaire.service-public.gouv.fr/auvergne-rhone-alpes/drome/6a25920f-2424-411a-b1c9-659963aacf39</t>
        </is>
      </c>
      <c r="Q59" t="inlineStr">
        <is>
          <t>Annuaire Service-public.fr</t>
        </is>
      </c>
      <c r="R59" t="inlineStr"/>
      <c r="S59" t="inlineStr"/>
      <c r="T59" t="inlineStr"/>
    </row>
    <row r="60">
      <c r="A60" t="inlineStr">
        <is>
          <t>CC Rhône Crussol</t>
        </is>
      </c>
      <c r="B60" t="inlineStr">
        <is>
          <t>Communauté de communes</t>
        </is>
      </c>
      <c r="C60" t="inlineStr">
        <is>
          <t>200041366</t>
        </is>
      </c>
      <c r="D60" t="inlineStr">
        <is>
          <t>07</t>
        </is>
      </c>
      <c r="E60" t="inlineStr">
        <is>
          <t>Ardèche</t>
        </is>
      </c>
      <c r="F60" t="inlineStr">
        <is>
          <t>Auvergne-Rhône-Alpes</t>
        </is>
      </c>
      <c r="G60" s="3" t="n">
        <v>34874</v>
      </c>
      <c r="H60" t="n">
        <v>13</v>
      </c>
      <c r="I60" t="inlineStr">
        <is>
          <t>1278 rue Henri-Dunant, BP 249</t>
        </is>
      </c>
      <c r="J60" t="inlineStr">
        <is>
          <t>07502</t>
        </is>
      </c>
      <c r="K60" t="inlineStr">
        <is>
          <t>Guilherand-Granges</t>
        </is>
      </c>
      <c r="L60" t="inlineStr">
        <is>
          <t>04 75 41 99 19</t>
        </is>
      </c>
      <c r="M60" s="4" t="inlineStr">
        <is>
          <t>contact@rhone-crussol.fr</t>
        </is>
      </c>
      <c r="N60" s="4" t="inlineStr">
        <is>
          <t>https://www.rhone-crussol.fr/contact/</t>
        </is>
      </c>
      <c r="O60" t="inlineStr"/>
      <c r="P60" s="4" t="inlineStr">
        <is>
          <t>https://lannuaire.service-public.gouv.fr/auvergne-rhone-alpes/ardeche/38b1041a-0102-4317-8e47-20608dffa8c6</t>
        </is>
      </c>
      <c r="Q60" t="inlineStr">
        <is>
          <t>Annuaire Service-public.fr</t>
        </is>
      </c>
      <c r="R60" t="inlineStr"/>
      <c r="S60" t="inlineStr"/>
      <c r="T60" t="inlineStr"/>
    </row>
    <row r="61">
      <c r="A61" t="inlineStr">
        <is>
          <t>CC Val Eyrieux</t>
        </is>
      </c>
      <c r="B61" t="inlineStr">
        <is>
          <t>Communauté de communes</t>
        </is>
      </c>
      <c r="C61" t="inlineStr">
        <is>
          <t>200041465</t>
        </is>
      </c>
      <c r="D61" t="inlineStr">
        <is>
          <t>07</t>
        </is>
      </c>
      <c r="E61" t="inlineStr">
        <is>
          <t>Ardèche</t>
        </is>
      </c>
      <c r="F61" t="inlineStr">
        <is>
          <t>Auvergne-Rhône-Alpes</t>
        </is>
      </c>
      <c r="G61" s="3" t="n">
        <v>12291</v>
      </c>
      <c r="H61" t="n">
        <v>29</v>
      </c>
      <c r="I61" t="inlineStr">
        <is>
          <t>21 avenue de Saunier</t>
        </is>
      </c>
      <c r="J61" t="inlineStr">
        <is>
          <t>07160</t>
        </is>
      </c>
      <c r="K61" t="inlineStr">
        <is>
          <t>Le Cheylard</t>
        </is>
      </c>
      <c r="L61" t="inlineStr">
        <is>
          <t>04 75 29 19 49</t>
        </is>
      </c>
      <c r="M61" s="4" t="inlineStr">
        <is>
          <t>accueil@valeyrieux.fr</t>
        </is>
      </c>
      <c r="N61" s="4" t="inlineStr">
        <is>
          <t>https://www.valeyrieux.fr/</t>
        </is>
      </c>
      <c r="O61" s="4" t="inlineStr">
        <is>
          <t>https://www.valeyrieux.fr/acc%C3%A8s/contact/</t>
        </is>
      </c>
      <c r="P61" s="4" t="inlineStr">
        <is>
          <t>https://lannuaire.service-public.gouv.fr/auvergne-rhone-alpes/ardeche/43e86c0e-8bca-4cfa-9d23-cdf3eea71026</t>
        </is>
      </c>
      <c r="Q61" t="inlineStr">
        <is>
          <t>Annuaire Service-public.fr</t>
        </is>
      </c>
      <c r="R61" t="inlineStr"/>
      <c r="S61" t="inlineStr"/>
      <c r="T61" t="inlineStr"/>
    </row>
    <row r="62">
      <c r="A62" t="inlineStr">
        <is>
          <t>CC Val de Ligne</t>
        </is>
      </c>
      <c r="B62" t="inlineStr">
        <is>
          <t>Communauté de communes</t>
        </is>
      </c>
      <c r="C62" t="inlineStr">
        <is>
          <t>240700617</t>
        </is>
      </c>
      <c r="D62" t="inlineStr">
        <is>
          <t>07</t>
        </is>
      </c>
      <c r="E62" t="inlineStr">
        <is>
          <t>Ardèche</t>
        </is>
      </c>
      <c r="F62" t="inlineStr">
        <is>
          <t>Auvergne-Rhône-Alpes</t>
        </is>
      </c>
      <c r="G62" s="3" t="n">
        <v>6048</v>
      </c>
      <c r="H62" t="n">
        <v>11</v>
      </c>
      <c r="I62" t="inlineStr">
        <is>
          <t>54 avenue de la République</t>
        </is>
      </c>
      <c r="J62" t="inlineStr">
        <is>
          <t>07110</t>
        </is>
      </c>
      <c r="K62" t="inlineStr">
        <is>
          <t>Largentière</t>
        </is>
      </c>
      <c r="L62" t="inlineStr">
        <is>
          <t>04 75 89 28 35</t>
        </is>
      </c>
      <c r="M62" s="4" t="inlineStr">
        <is>
          <t>secretariat@cc-valdeligne.fr</t>
        </is>
      </c>
      <c r="N62" s="4" t="inlineStr">
        <is>
          <t>https://cc-valdeligne.fr/</t>
        </is>
      </c>
      <c r="O62" t="inlineStr"/>
      <c r="P62" s="4" t="inlineStr">
        <is>
          <t>https://lannuaire.service-public.gouv.fr/auvergne-rhone-alpes/ardeche/b09fb200-1dfa-4b18-a988-a644e92938fd</t>
        </is>
      </c>
      <c r="Q62" t="inlineStr">
        <is>
          <t>Annuaire Service-public.fr</t>
        </is>
      </c>
      <c r="R62" t="inlineStr"/>
      <c r="S62" t="inlineStr"/>
      <c r="T62" t="inlineStr"/>
    </row>
    <row r="63">
      <c r="A63" t="inlineStr">
        <is>
          <t>CC de Cèze Cévennes</t>
        </is>
      </c>
      <c r="B63" t="inlineStr">
        <is>
          <t>Communauté de communes</t>
        </is>
      </c>
      <c r="C63" t="inlineStr">
        <is>
          <t>200035129</t>
        </is>
      </c>
      <c r="D63" t="inlineStr">
        <is>
          <t>07, 30</t>
        </is>
      </c>
      <c r="E63" t="inlineStr">
        <is>
          <t>Ardèche, Gard</t>
        </is>
      </c>
      <c r="F63" t="inlineStr">
        <is>
          <t>Occitanie, Auvergne-Rhône-Alpes</t>
        </is>
      </c>
      <c r="G63" s="3" t="n">
        <v>19141</v>
      </c>
      <c r="H63" t="n">
        <v>23</v>
      </c>
      <c r="I63" t="inlineStr">
        <is>
          <t>120 route d'Uzès-Prolongée</t>
        </is>
      </c>
      <c r="J63" t="inlineStr">
        <is>
          <t>30500</t>
        </is>
      </c>
      <c r="K63" t="inlineStr">
        <is>
          <t>Saint-Ambroix</t>
        </is>
      </c>
      <c r="L63" t="inlineStr">
        <is>
          <t>04 66 83 77 87</t>
        </is>
      </c>
      <c r="M63" s="4" t="inlineStr">
        <is>
          <t>info@ceze-cevennes.fr</t>
        </is>
      </c>
      <c r="N63" s="4" t="inlineStr">
        <is>
          <t>http://www.ceze-cevennes.fr</t>
        </is>
      </c>
      <c r="O63" s="4" t="inlineStr">
        <is>
          <t>http://www.ceze-cevennes.fr/fr/contact</t>
        </is>
      </c>
      <c r="P63" s="4" t="inlineStr">
        <is>
          <t>https://lannuaire.service-public.gouv.fr/occitanie/gard/f90ba09c-b30a-4323-ac10-573ec38c78e8</t>
        </is>
      </c>
      <c r="Q63" t="inlineStr">
        <is>
          <t>Annuaire Service-public.fr</t>
        </is>
      </c>
      <c r="R63" t="inlineStr"/>
      <c r="S63" t="inlineStr"/>
      <c r="T63" t="inlineStr"/>
    </row>
    <row r="64">
      <c r="A64" t="inlineStr">
        <is>
          <t>CC des Gorges de l'Ardèche</t>
        </is>
      </c>
      <c r="B64" t="inlineStr">
        <is>
          <t>Communauté de communes</t>
        </is>
      </c>
      <c r="C64" t="inlineStr">
        <is>
          <t>200039808</t>
        </is>
      </c>
      <c r="D64" t="inlineStr">
        <is>
          <t>07</t>
        </is>
      </c>
      <c r="E64" t="inlineStr">
        <is>
          <t>Ardèche</t>
        </is>
      </c>
      <c r="F64" t="inlineStr">
        <is>
          <t>Auvergne-Rhône-Alpes</t>
        </is>
      </c>
      <c r="G64" s="3" t="n">
        <v>15681</v>
      </c>
      <c r="H64" t="n">
        <v>20</v>
      </c>
      <c r="I64" t="inlineStr">
        <is>
          <t>16 rue des Abeilles</t>
        </is>
      </c>
      <c r="J64" t="inlineStr">
        <is>
          <t>07150</t>
        </is>
      </c>
      <c r="K64" t="inlineStr">
        <is>
          <t>Vallon-Pont-d'Arc</t>
        </is>
      </c>
      <c r="L64" t="inlineStr">
        <is>
          <t>04 75 37 61 13</t>
        </is>
      </c>
      <c r="M64" s="4" t="inlineStr">
        <is>
          <t>info@cc-gorgesardeche.fr</t>
        </is>
      </c>
      <c r="N64" s="4" t="inlineStr">
        <is>
          <t>https://www.cc-gorgesardeche.fr/</t>
        </is>
      </c>
      <c r="O64" s="4" t="inlineStr">
        <is>
          <t>https://www.cc-gorgesardeche.fr/contact</t>
        </is>
      </c>
      <c r="P64" s="4" t="inlineStr">
        <is>
          <t>https://lannuaire.service-public.gouv.fr/auvergne-rhone-alpes/ardeche/b66cbf4d-bee5-4049-ae84-4230ca75b716</t>
        </is>
      </c>
      <c r="Q64" t="inlineStr">
        <is>
          <t>Annuaire Service-public.fr</t>
        </is>
      </c>
      <c r="R64" t="inlineStr"/>
      <c r="S64" t="inlineStr"/>
      <c r="T64" t="inlineStr"/>
    </row>
    <row r="65">
      <c r="A65" t="inlineStr">
        <is>
          <t>CC du Bassin d'Aubenas</t>
        </is>
      </c>
      <c r="B65" t="inlineStr">
        <is>
          <t>Communauté de communes</t>
        </is>
      </c>
      <c r="C65" t="inlineStr">
        <is>
          <t>200073245</t>
        </is>
      </c>
      <c r="D65" t="inlineStr">
        <is>
          <t>07</t>
        </is>
      </c>
      <c r="E65" t="inlineStr">
        <is>
          <t>Ardèche</t>
        </is>
      </c>
      <c r="F65" t="inlineStr">
        <is>
          <t>Auvergne-Rhône-Alpes</t>
        </is>
      </c>
      <c r="G65" s="3" t="n">
        <v>40748</v>
      </c>
      <c r="H65" t="n">
        <v>28</v>
      </c>
      <c r="I65" t="inlineStr">
        <is>
          <t>16 route de la Manufacture-Royale</t>
        </is>
      </c>
      <c r="J65" t="inlineStr">
        <is>
          <t>07200</t>
        </is>
      </c>
      <c r="K65" t="inlineStr">
        <is>
          <t>Ucel</t>
        </is>
      </c>
      <c r="L65" t="inlineStr">
        <is>
          <t>04 75 94 61 12</t>
        </is>
      </c>
      <c r="M65" s="4" t="inlineStr">
        <is>
          <t>contact@cdcba.fr</t>
        </is>
      </c>
      <c r="N65" s="4" t="inlineStr">
        <is>
          <t>https://www.bassin-aubenas.fr/</t>
        </is>
      </c>
      <c r="O65" s="4" t="inlineStr">
        <is>
          <t>https://www.bassin-aubenas.fr/en-un-clic/contact/</t>
        </is>
      </c>
      <c r="P65" s="4" t="inlineStr">
        <is>
          <t>https://lannuaire.service-public.gouv.fr/auvergne-rhone-alpes/ardeche/dfe75db7-153f-4726-b87f-ad01db701ca2</t>
        </is>
      </c>
      <c r="Q65" t="inlineStr">
        <is>
          <t>Annuaire Service-public.fr</t>
        </is>
      </c>
      <c r="R65" t="inlineStr"/>
      <c r="S65" t="inlineStr"/>
      <c r="T65" t="inlineStr"/>
    </row>
    <row r="66">
      <c r="A66" t="inlineStr">
        <is>
          <t>CC du Pays Beaume-Drobie</t>
        </is>
      </c>
      <c r="B66" t="inlineStr">
        <is>
          <t>Communauté de communes</t>
        </is>
      </c>
      <c r="C66" t="inlineStr">
        <is>
          <t>240700302</t>
        </is>
      </c>
      <c r="D66" t="inlineStr">
        <is>
          <t>07</t>
        </is>
      </c>
      <c r="E66" t="inlineStr">
        <is>
          <t>Ardèche</t>
        </is>
      </c>
      <c r="F66" t="inlineStr">
        <is>
          <t>Auvergne-Rhône-Alpes</t>
        </is>
      </c>
      <c r="G66" s="3" t="n">
        <v>9170</v>
      </c>
      <c r="H66" t="n">
        <v>19</v>
      </c>
      <c r="I66" t="inlineStr">
        <is>
          <t>134 montée de la Chastelanne</t>
        </is>
      </c>
      <c r="J66" t="inlineStr">
        <is>
          <t>07260</t>
        </is>
      </c>
      <c r="K66" t="inlineStr">
        <is>
          <t>Joyeuse</t>
        </is>
      </c>
      <c r="L66" t="inlineStr">
        <is>
          <t>04 75 89 80 80</t>
        </is>
      </c>
      <c r="M66" s="4" t="inlineStr">
        <is>
          <t>comcom@pays-beaumedrobie.com</t>
        </is>
      </c>
      <c r="N66" s="4" t="inlineStr">
        <is>
          <t>https://www.pays-beaumedrobie.com/</t>
        </is>
      </c>
      <c r="O66" s="4" t="inlineStr">
        <is>
          <t>https://www.pays-beaumedrobie.com/contact-horaires-ouverture/</t>
        </is>
      </c>
      <c r="P66" s="4" t="inlineStr">
        <is>
          <t>https://lannuaire.service-public.gouv.fr/auvergne-rhone-alpes/ardeche/25967d35-8b32-4719-8dfd-3399c4306b5a</t>
        </is>
      </c>
      <c r="Q66" t="inlineStr">
        <is>
          <t>Annuaire Service-public.fr</t>
        </is>
      </c>
      <c r="R66" t="inlineStr"/>
      <c r="S66" t="inlineStr"/>
      <c r="T66" t="inlineStr"/>
    </row>
    <row r="67">
      <c r="A67" t="inlineStr">
        <is>
          <t>CC du Pays de Lamastre</t>
        </is>
      </c>
      <c r="B67" t="inlineStr">
        <is>
          <t>Communauté de communes</t>
        </is>
      </c>
      <c r="C67" t="inlineStr">
        <is>
          <t>200016905</t>
        </is>
      </c>
      <c r="D67" t="inlineStr">
        <is>
          <t>07</t>
        </is>
      </c>
      <c r="E67" t="inlineStr">
        <is>
          <t>Ardèche</t>
        </is>
      </c>
      <c r="F67" t="inlineStr">
        <is>
          <t>Auvergne-Rhône-Alpes</t>
        </is>
      </c>
      <c r="G67" s="3" t="n">
        <v>6678</v>
      </c>
      <c r="H67" t="n">
        <v>11</v>
      </c>
      <c r="I67" t="inlineStr">
        <is>
          <t>26 avenue Boissy-d'Anglas</t>
        </is>
      </c>
      <c r="J67" t="inlineStr">
        <is>
          <t>07270</t>
        </is>
      </c>
      <c r="K67" t="inlineStr">
        <is>
          <t>Lamastre</t>
        </is>
      </c>
      <c r="L67" t="inlineStr">
        <is>
          <t>04 75 06 52 86</t>
        </is>
      </c>
      <c r="M67" s="4" t="inlineStr">
        <is>
          <t>cdclamastre@gmail.com</t>
        </is>
      </c>
      <c r="N67" s="4" t="inlineStr">
        <is>
          <t>https://comcompaysdelamastre.fr/</t>
        </is>
      </c>
      <c r="O67" s="4" t="inlineStr">
        <is>
          <t>https://comcompaysdelamastre.fr/contact</t>
        </is>
      </c>
      <c r="P67" s="4" t="inlineStr">
        <is>
          <t>https://lannuaire.service-public.gouv.fr/auvergne-rhone-alpes/ardeche/743f3c34-ac7b-4793-aa56-9c05ec6c1a99</t>
        </is>
      </c>
      <c r="Q67" t="inlineStr">
        <is>
          <t>Annuaire Service-public.fr</t>
        </is>
      </c>
      <c r="R67" t="inlineStr"/>
      <c r="S67" t="inlineStr"/>
      <c r="T67" t="inlineStr"/>
    </row>
    <row r="68">
      <c r="A68" t="inlineStr">
        <is>
          <t>CC du Rhône aux Gorges de l'Ardèche</t>
        </is>
      </c>
      <c r="B68" t="inlineStr">
        <is>
          <t>Communauté de communes</t>
        </is>
      </c>
      <c r="C68" t="inlineStr">
        <is>
          <t>240700864</t>
        </is>
      </c>
      <c r="D68" t="inlineStr">
        <is>
          <t>07</t>
        </is>
      </c>
      <c r="E68" t="inlineStr">
        <is>
          <t>Ardèche</t>
        </is>
      </c>
      <c r="F68" t="inlineStr">
        <is>
          <t>Auvergne-Rhône-Alpes</t>
        </is>
      </c>
      <c r="G68" s="3" t="n">
        <v>19145</v>
      </c>
      <c r="H68" t="n">
        <v>9</v>
      </c>
      <c r="I68" t="inlineStr">
        <is>
          <t>2 avenue Maréchal-Leclerc</t>
        </is>
      </c>
      <c r="J68" t="inlineStr">
        <is>
          <t>07700</t>
        </is>
      </c>
      <c r="K68" t="inlineStr">
        <is>
          <t>Bourg-Saint-Andéol</t>
        </is>
      </c>
      <c r="L68" t="inlineStr">
        <is>
          <t>04 75 54 57 05</t>
        </is>
      </c>
      <c r="M68" s="4" t="inlineStr">
        <is>
          <t>contact@ccdraga.fr</t>
        </is>
      </c>
      <c r="N68" s="4" t="inlineStr">
        <is>
          <t>https://www.ccdraga.fr/</t>
        </is>
      </c>
      <c r="O68" s="4" t="inlineStr">
        <is>
          <t>https://www.ccdraga.fr/contact</t>
        </is>
      </c>
      <c r="P68" s="4" t="inlineStr">
        <is>
          <t>https://lannuaire.service-public.gouv.fr/auvergne-rhone-alpes/ardeche/dbacef72-03b4-4e52-aec7-ad17767b71a9</t>
        </is>
      </c>
      <c r="Q68" t="inlineStr">
        <is>
          <t>Annuaire Service-public.fr</t>
        </is>
      </c>
      <c r="R68" t="inlineStr"/>
      <c r="S68" t="inlineStr"/>
      <c r="T68" t="inlineStr"/>
    </row>
    <row r="69">
      <c r="A69" t="inlineStr">
        <is>
          <t>CC du Val d'Ay</t>
        </is>
      </c>
      <c r="B69" t="inlineStr">
        <is>
          <t>Communauté de communes</t>
        </is>
      </c>
      <c r="C69" t="inlineStr">
        <is>
          <t>240700716</t>
        </is>
      </c>
      <c r="D69" t="inlineStr">
        <is>
          <t>07</t>
        </is>
      </c>
      <c r="E69" t="inlineStr">
        <is>
          <t>Ardèche</t>
        </is>
      </c>
      <c r="F69" t="inlineStr">
        <is>
          <t>Auvergne-Rhône-Alpes</t>
        </is>
      </c>
      <c r="G69" s="3" t="n">
        <v>5879</v>
      </c>
      <c r="H69" t="n">
        <v>8</v>
      </c>
      <c r="I69" t="inlineStr">
        <is>
          <t>380 route de Jaloine, Espace Jaloine</t>
        </is>
      </c>
      <c r="J69" t="inlineStr">
        <is>
          <t>07290</t>
        </is>
      </c>
      <c r="K69" t="inlineStr">
        <is>
          <t>Saint-Romain-d'Ay</t>
        </is>
      </c>
      <c r="L69" t="inlineStr">
        <is>
          <t>04 75 34 91 83</t>
        </is>
      </c>
      <c r="M69" s="4" t="inlineStr">
        <is>
          <t>secretariat@val-d-ay.fr</t>
        </is>
      </c>
      <c r="N69" s="4" t="inlineStr">
        <is>
          <t>https://www.val-d-ay.fr/</t>
        </is>
      </c>
      <c r="O69" t="inlineStr"/>
      <c r="P69" s="4" t="inlineStr">
        <is>
          <t>https://lannuaire.service-public.gouv.fr/auvergne-rhone-alpes/ardeche/d38ee1a0-474d-4333-b3d5-207d3b9f7d71</t>
        </is>
      </c>
      <c r="Q69" t="inlineStr">
        <is>
          <t>Annuaire Service-public.fr</t>
        </is>
      </c>
      <c r="R69" t="inlineStr"/>
      <c r="S69" t="inlineStr"/>
      <c r="T69" t="inlineStr"/>
    </row>
    <row r="70">
      <c r="A70" t="inlineStr">
        <is>
          <t>CC Ardenne, Rives de Meuse</t>
        </is>
      </c>
      <c r="B70" t="inlineStr">
        <is>
          <t>Communauté de communes</t>
        </is>
      </c>
      <c r="C70" t="inlineStr">
        <is>
          <t>240800821</t>
        </is>
      </c>
      <c r="D70" t="inlineStr">
        <is>
          <t>08</t>
        </is>
      </c>
      <c r="E70" t="inlineStr">
        <is>
          <t>Ardennes</t>
        </is>
      </c>
      <c r="F70" t="inlineStr">
        <is>
          <t>Grand Est</t>
        </is>
      </c>
      <c r="G70" s="3" t="n">
        <v>25753</v>
      </c>
      <c r="H70" t="n">
        <v>19</v>
      </c>
      <c r="I70" t="inlineStr">
        <is>
          <t>29 rue Méhul</t>
        </is>
      </c>
      <c r="J70" t="inlineStr">
        <is>
          <t>08600</t>
        </is>
      </c>
      <c r="K70" t="inlineStr">
        <is>
          <t>Givet</t>
        </is>
      </c>
      <c r="L70" t="inlineStr">
        <is>
          <t>03 24 41 50 90</t>
        </is>
      </c>
      <c r="M70" s="4" t="inlineStr">
        <is>
          <t>president@ardennerivesdemeuse.com</t>
        </is>
      </c>
      <c r="N70" s="4" t="inlineStr">
        <is>
          <t>https://www.ccarm.fr/</t>
        </is>
      </c>
      <c r="O70" t="inlineStr"/>
      <c r="P70" s="4" t="inlineStr">
        <is>
          <t>https://lannuaire.service-public.gouv.fr/grand-est/ardennes/77cee0dc-45af-4325-b11e-bbd31ab41804</t>
        </is>
      </c>
      <c r="Q70" t="inlineStr">
        <is>
          <t>Annuaire Service-public.fr</t>
        </is>
      </c>
      <c r="R70" t="inlineStr"/>
      <c r="S70" t="inlineStr"/>
      <c r="T70" t="inlineStr"/>
    </row>
    <row r="71">
      <c r="A71" t="inlineStr">
        <is>
          <t>CC Ardennes Thiérache</t>
        </is>
      </c>
      <c r="B71" t="inlineStr">
        <is>
          <t>Communauté de communes</t>
        </is>
      </c>
      <c r="C71" t="inlineStr">
        <is>
          <t>200041622</t>
        </is>
      </c>
      <c r="D71" t="inlineStr">
        <is>
          <t>08</t>
        </is>
      </c>
      <c r="E71" t="inlineStr">
        <is>
          <t>Ardennes</t>
        </is>
      </c>
      <c r="F71" t="inlineStr">
        <is>
          <t>Grand Est</t>
        </is>
      </c>
      <c r="G71" s="3" t="n">
        <v>9464</v>
      </c>
      <c r="H71" t="n">
        <v>37</v>
      </c>
      <c r="I71" t="inlineStr">
        <is>
          <t>6 impasse de la Fontaine, BP15</t>
        </is>
      </c>
      <c r="J71" t="inlineStr">
        <is>
          <t>08260</t>
        </is>
      </c>
      <c r="K71" t="inlineStr">
        <is>
          <t>Maubert-Fontaine</t>
        </is>
      </c>
      <c r="L71" t="inlineStr">
        <is>
          <t>03 24 26 13 31</t>
        </is>
      </c>
      <c r="M71" s="4" t="inlineStr">
        <is>
          <t>contact@ardennesthierache.fr</t>
        </is>
      </c>
      <c r="N71" s="4" t="inlineStr">
        <is>
          <t>https://www.ardennes-thierache.com/fr/</t>
        </is>
      </c>
      <c r="O71" t="inlineStr"/>
      <c r="P71" s="4" t="inlineStr">
        <is>
          <t>https://lannuaire.service-public.gouv.fr/grand-est/ardennes/7e2db839-ccc4-4d2d-a904-3f6d1bd8d7fb</t>
        </is>
      </c>
      <c r="Q71" t="inlineStr">
        <is>
          <t>Annuaire Service-public.fr</t>
        </is>
      </c>
      <c r="R71" t="inlineStr"/>
      <c r="S71" t="inlineStr"/>
      <c r="T71" t="inlineStr"/>
    </row>
    <row r="72">
      <c r="A72" t="inlineStr">
        <is>
          <t>CC Vallées et Plateau d'Ardenne</t>
        </is>
      </c>
      <c r="B72" t="inlineStr">
        <is>
          <t>Communauté de communes</t>
        </is>
      </c>
      <c r="C72" t="inlineStr">
        <is>
          <t>200067759</t>
        </is>
      </c>
      <c r="D72" t="inlineStr">
        <is>
          <t>08</t>
        </is>
      </c>
      <c r="E72" t="inlineStr">
        <is>
          <t>Ardennes</t>
        </is>
      </c>
      <c r="F72" t="inlineStr">
        <is>
          <t>Grand Est</t>
        </is>
      </c>
      <c r="G72" s="3" t="n">
        <v>23974</v>
      </c>
      <c r="H72" t="n">
        <v>31</v>
      </c>
      <c r="I72" t="inlineStr">
        <is>
          <t>6-8 rue de Montmorency, BP 41</t>
        </is>
      </c>
      <c r="J72" t="inlineStr">
        <is>
          <t>08230</t>
        </is>
      </c>
      <c r="K72" t="inlineStr">
        <is>
          <t>Rocroi</t>
        </is>
      </c>
      <c r="L72" t="inlineStr">
        <is>
          <t>03 24 54 59 12</t>
        </is>
      </c>
      <c r="M72" s="4" t="inlineStr">
        <is>
          <t>contact@ccvpa.fr</t>
        </is>
      </c>
      <c r="N72" s="4" t="inlineStr">
        <is>
          <t>https://www.cc-valleesetplateaudardenne.fr/</t>
        </is>
      </c>
      <c r="O72" s="4" t="inlineStr">
        <is>
          <t>https://www.cc-valleesetplateaudardenne.fr/contact/</t>
        </is>
      </c>
      <c r="P72" s="4" t="inlineStr">
        <is>
          <t>https://lannuaire.service-public.gouv.fr/grand-est/ardennes/9104cefb-5e49-442d-b7c8-e9442d61b37c</t>
        </is>
      </c>
      <c r="Q72" t="inlineStr">
        <is>
          <t>Annuaire Service-public.fr</t>
        </is>
      </c>
      <c r="R72" t="inlineStr"/>
      <c r="S72" t="inlineStr"/>
      <c r="T72" t="inlineStr"/>
    </row>
    <row r="73">
      <c r="A73" t="inlineStr">
        <is>
          <t>CC de l'Argonne Ardennaise</t>
        </is>
      </c>
      <c r="B73" t="inlineStr">
        <is>
          <t>Communauté de communes</t>
        </is>
      </c>
      <c r="C73" t="inlineStr">
        <is>
          <t>240800920</t>
        </is>
      </c>
      <c r="D73" t="inlineStr">
        <is>
          <t>08</t>
        </is>
      </c>
      <c r="E73" t="inlineStr">
        <is>
          <t>Ardennes</t>
        </is>
      </c>
      <c r="F73" t="inlineStr">
        <is>
          <t>Grand Est</t>
        </is>
      </c>
      <c r="G73" s="3" t="n">
        <v>16486</v>
      </c>
      <c r="H73" t="n">
        <v>95</v>
      </c>
      <c r="I73" t="inlineStr">
        <is>
          <t>44-46 rue du Chemin-Salé</t>
        </is>
      </c>
      <c r="J73" t="inlineStr">
        <is>
          <t>08400</t>
        </is>
      </c>
      <c r="K73" t="inlineStr">
        <is>
          <t>Vouziers</t>
        </is>
      </c>
      <c r="L73" t="inlineStr">
        <is>
          <t>03 24 30 23 94</t>
        </is>
      </c>
      <c r="M73" s="4" t="inlineStr">
        <is>
          <t>secretariat@argonne-ardennaise.fr</t>
        </is>
      </c>
      <c r="N73" s="4" t="inlineStr">
        <is>
          <t>https://www.argonne-ardennaise.fr/</t>
        </is>
      </c>
      <c r="O73" s="4" t="inlineStr">
        <is>
          <t>https://www.argonne-ardennaise.fr/contact</t>
        </is>
      </c>
      <c r="P73" s="4" t="inlineStr">
        <is>
          <t>https://lannuaire.service-public.gouv.fr/grand-est/ardennes/8985942b-ac12-4984-8602-da95a5422777</t>
        </is>
      </c>
      <c r="Q73" t="inlineStr">
        <is>
          <t>Annuaire Service-public.fr</t>
        </is>
      </c>
      <c r="R73" t="inlineStr"/>
      <c r="S73" t="inlineStr"/>
      <c r="T73" t="inlineStr"/>
    </row>
    <row r="74">
      <c r="A74" t="inlineStr">
        <is>
          <t>CC des Crêtes Préardennaises</t>
        </is>
      </c>
      <c r="B74" t="inlineStr">
        <is>
          <t>Communauté de communes</t>
        </is>
      </c>
      <c r="C74" t="inlineStr">
        <is>
          <t>240800862</t>
        </is>
      </c>
      <c r="D74" t="inlineStr">
        <is>
          <t>08</t>
        </is>
      </c>
      <c r="E74" t="inlineStr">
        <is>
          <t>Ardennes</t>
        </is>
      </c>
      <c r="F74" t="inlineStr">
        <is>
          <t>Grand Est</t>
        </is>
      </c>
      <c r="G74" s="3" t="n">
        <v>21654</v>
      </c>
      <c r="H74" t="n">
        <v>94</v>
      </c>
      <c r="I74" t="inlineStr">
        <is>
          <t>Rue de la Prairie</t>
        </is>
      </c>
      <c r="J74" t="inlineStr">
        <is>
          <t>08430</t>
        </is>
      </c>
      <c r="K74" t="inlineStr">
        <is>
          <t>Poix-Terron</t>
        </is>
      </c>
      <c r="L74" t="inlineStr">
        <is>
          <t>03 24 35 22 22</t>
        </is>
      </c>
      <c r="M74" s="4" t="inlineStr">
        <is>
          <t>communaute@lescretes.fr</t>
        </is>
      </c>
      <c r="N74" s="4" t="inlineStr">
        <is>
          <t>https://www.cretespreardennaises.fr/</t>
        </is>
      </c>
      <c r="O74" s="4" t="inlineStr">
        <is>
          <t>https://www.cretespreardennaises.fr/contact</t>
        </is>
      </c>
      <c r="P74" s="4" t="inlineStr">
        <is>
          <t>https://lannuaire.service-public.gouv.fr/grand-est/ardennes/dfd9b999-0d68-4512-a263-74a0d1c55606</t>
        </is>
      </c>
      <c r="Q74" t="inlineStr">
        <is>
          <t>Annuaire Service-public.fr</t>
        </is>
      </c>
      <c r="R74" t="inlineStr"/>
      <c r="S74" t="inlineStr"/>
      <c r="T74" t="inlineStr"/>
    </row>
    <row r="75">
      <c r="A75" t="inlineStr">
        <is>
          <t>CC des Portes du Luxembourg</t>
        </is>
      </c>
      <c r="B75" t="inlineStr">
        <is>
          <t>Communauté de communes</t>
        </is>
      </c>
      <c r="C75" t="inlineStr">
        <is>
          <t>240800847</t>
        </is>
      </c>
      <c r="D75" t="inlineStr">
        <is>
          <t>08</t>
        </is>
      </c>
      <c r="E75" t="inlineStr">
        <is>
          <t>Ardennes</t>
        </is>
      </c>
      <c r="F75" t="inlineStr">
        <is>
          <t>Grand Est</t>
        </is>
      </c>
      <c r="G75" s="3" t="n">
        <v>19472</v>
      </c>
      <c r="H75" t="n">
        <v>49</v>
      </c>
      <c r="I75" t="inlineStr">
        <is>
          <t>37 ter avenue du Général-de-Gaulle</t>
        </is>
      </c>
      <c r="J75" t="inlineStr">
        <is>
          <t>08110</t>
        </is>
      </c>
      <c r="K75" t="inlineStr">
        <is>
          <t>Carignan</t>
        </is>
      </c>
      <c r="L75" t="inlineStr">
        <is>
          <t>03 24 27 90 98</t>
        </is>
      </c>
      <c r="M75" s="4" t="inlineStr">
        <is>
          <t>contact@portesduluxembourg.fr</t>
        </is>
      </c>
      <c r="N75" s="4" t="inlineStr">
        <is>
          <t>https://www.portesduluxembourg.fr/</t>
        </is>
      </c>
      <c r="O75" s="4" t="inlineStr">
        <is>
          <t>https://www.portesduluxembourg.fr/contact</t>
        </is>
      </c>
      <c r="P75" s="4" t="inlineStr">
        <is>
          <t>https://lannuaire.service-public.gouv.fr/grand-est/ardennes/68883a3a-2f54-4ad1-841c-7c57294e4e4a</t>
        </is>
      </c>
      <c r="Q75" t="inlineStr">
        <is>
          <t>Annuaire Service-public.fr</t>
        </is>
      </c>
      <c r="R75" t="inlineStr"/>
      <c r="S75" t="inlineStr"/>
      <c r="T75" t="inlineStr"/>
    </row>
    <row r="76">
      <c r="A76" t="inlineStr">
        <is>
          <t>CC du Pays Rethélois</t>
        </is>
      </c>
      <c r="B76" t="inlineStr">
        <is>
          <t>Communauté de communes</t>
        </is>
      </c>
      <c r="C76" t="inlineStr">
        <is>
          <t>200043156</t>
        </is>
      </c>
      <c r="D76" t="inlineStr">
        <is>
          <t>08</t>
        </is>
      </c>
      <c r="E76" t="inlineStr">
        <is>
          <t>Ardennes</t>
        </is>
      </c>
      <c r="F76" t="inlineStr">
        <is>
          <t>Grand Est</t>
        </is>
      </c>
      <c r="G76" s="3" t="n">
        <v>30021</v>
      </c>
      <c r="H76" t="n">
        <v>65</v>
      </c>
      <c r="I76" t="inlineStr">
        <is>
          <t>30 avenue de Bourgoin</t>
        </is>
      </c>
      <c r="J76" t="inlineStr">
        <is>
          <t>08300</t>
        </is>
      </c>
      <c r="K76" t="inlineStr">
        <is>
          <t>Sault-les-Rethel</t>
        </is>
      </c>
      <c r="L76" t="inlineStr">
        <is>
          <t>03 52 10 01 00</t>
        </is>
      </c>
      <c r="M76" s="4" t="inlineStr">
        <is>
          <t>accueil@cc-paysrethelois.fr</t>
        </is>
      </c>
      <c r="N76" s="4" t="inlineStr">
        <is>
          <t>https://www.paysrethelois.fr/</t>
        </is>
      </c>
      <c r="O76" s="4" t="inlineStr">
        <is>
          <t>https://www.paysrethelois.fr/fr/contact.html</t>
        </is>
      </c>
      <c r="P76" s="4" t="inlineStr">
        <is>
          <t>https://lannuaire.service-public.gouv.fr/grand-est/ardennes/68db4071-884a-4992-8208-53648b268775</t>
        </is>
      </c>
      <c r="Q76" t="inlineStr">
        <is>
          <t>Annuaire Service-public.fr</t>
        </is>
      </c>
      <c r="R76" t="inlineStr"/>
      <c r="S76" t="inlineStr"/>
      <c r="T76" t="inlineStr"/>
    </row>
    <row r="77">
      <c r="A77" t="inlineStr">
        <is>
          <t>CC Arize Lèze</t>
        </is>
      </c>
      <c r="B77" t="inlineStr">
        <is>
          <t>Communauté de communes</t>
        </is>
      </c>
      <c r="C77" t="inlineStr">
        <is>
          <t>200066223</t>
        </is>
      </c>
      <c r="D77" t="inlineStr">
        <is>
          <t>09</t>
        </is>
      </c>
      <c r="E77" t="inlineStr">
        <is>
          <t>Ariège</t>
        </is>
      </c>
      <c r="F77" t="inlineStr">
        <is>
          <t>Occitanie</t>
        </is>
      </c>
      <c r="G77" s="3" t="n">
        <v>11064</v>
      </c>
      <c r="H77" t="n">
        <v>27</v>
      </c>
      <c r="I77" t="inlineStr">
        <is>
          <t>Route de Foix</t>
        </is>
      </c>
      <c r="J77" t="inlineStr">
        <is>
          <t>09130</t>
        </is>
      </c>
      <c r="K77" t="inlineStr">
        <is>
          <t>Le Fossat</t>
        </is>
      </c>
      <c r="L77" t="inlineStr">
        <is>
          <t>05 61 68 55 90</t>
        </is>
      </c>
      <c r="M77" s="4" t="inlineStr">
        <is>
          <t>accueil@arize-leze.fr</t>
        </is>
      </c>
      <c r="N77" s="4" t="inlineStr">
        <is>
          <t>https://www.arize-leze.fr/</t>
        </is>
      </c>
      <c r="O77" t="inlineStr"/>
      <c r="P77" s="4" t="inlineStr">
        <is>
          <t>https://lannuaire.service-public.gouv.fr/occitanie/ariege/2287290a-bed6-4da4-b92a-977289c5c76b</t>
        </is>
      </c>
      <c r="Q77" t="inlineStr">
        <is>
          <t>Annuaire Service-public.fr</t>
        </is>
      </c>
      <c r="R77" t="inlineStr"/>
      <c r="S77" t="inlineStr"/>
      <c r="T77" t="inlineStr"/>
    </row>
    <row r="78">
      <c r="A78" t="inlineStr">
        <is>
          <t>CC Couserans-Pyrénées</t>
        </is>
      </c>
      <c r="B78" t="inlineStr">
        <is>
          <t>Communauté de communes</t>
        </is>
      </c>
      <c r="C78" t="inlineStr">
        <is>
          <t>200067940</t>
        </is>
      </c>
      <c r="D78" t="inlineStr">
        <is>
          <t>09</t>
        </is>
      </c>
      <c r="E78" t="inlineStr">
        <is>
          <t>Ariège</t>
        </is>
      </c>
      <c r="F78" t="inlineStr">
        <is>
          <t>Occitanie</t>
        </is>
      </c>
      <c r="G78" s="3" t="n">
        <v>30003</v>
      </c>
      <c r="H78" t="n">
        <v>94</v>
      </c>
      <c r="I78" t="inlineStr">
        <is>
          <t>1 rue de l'Hôtel-Dieu</t>
        </is>
      </c>
      <c r="J78" t="inlineStr">
        <is>
          <t>09190</t>
        </is>
      </c>
      <c r="K78" t="inlineStr">
        <is>
          <t>Saint-Lizier</t>
        </is>
      </c>
      <c r="L78" t="inlineStr">
        <is>
          <t>05 61 66 71 62</t>
        </is>
      </c>
      <c r="M78" s="4" t="inlineStr">
        <is>
          <t>communaute.communes@couserans-pyrenees.fr</t>
        </is>
      </c>
      <c r="N78" s="4" t="inlineStr">
        <is>
          <t>https://couserans-pyrenees.fr</t>
        </is>
      </c>
      <c r="O78" s="4" t="inlineStr">
        <is>
          <t>https://couserans-pyrenees.fr/</t>
        </is>
      </c>
      <c r="P78" s="4" t="inlineStr">
        <is>
          <t>https://lannuaire.service-public.gouv.fr/occitanie/ariege/e35d3104-4882-4ce9-838e-081903db8cae</t>
        </is>
      </c>
      <c r="Q78" t="inlineStr">
        <is>
          <t>Annuaire Service-public.fr</t>
        </is>
      </c>
      <c r="R78" t="inlineStr"/>
      <c r="S78" t="inlineStr"/>
      <c r="T78" t="inlineStr"/>
    </row>
    <row r="79">
      <c r="A79" t="inlineStr">
        <is>
          <t>CC de la Haute Ariège</t>
        </is>
      </c>
      <c r="B79" t="inlineStr">
        <is>
          <t>Communauté de communes</t>
        </is>
      </c>
      <c r="C79" t="inlineStr">
        <is>
          <t>200066363</t>
        </is>
      </c>
      <c r="D79" t="inlineStr">
        <is>
          <t>09</t>
        </is>
      </c>
      <c r="E79" t="inlineStr">
        <is>
          <t>Ariège</t>
        </is>
      </c>
      <c r="F79" t="inlineStr">
        <is>
          <t>Occitanie</t>
        </is>
      </c>
      <c r="G79" s="3" t="n">
        <v>7149</v>
      </c>
      <c r="H79" t="n">
        <v>51</v>
      </c>
      <c r="I79" t="inlineStr">
        <is>
          <t>13 route nationale 20</t>
        </is>
      </c>
      <c r="J79" t="inlineStr">
        <is>
          <t>09250</t>
        </is>
      </c>
      <c r="K79" t="inlineStr">
        <is>
          <t>Luzenac</t>
        </is>
      </c>
      <c r="L79" t="inlineStr">
        <is>
          <t>05 61 64 68 00</t>
        </is>
      </c>
      <c r="M79" s="4" t="inlineStr">
        <is>
          <t>administration.generale@cc-hauteariege.fr</t>
        </is>
      </c>
      <c r="N79" s="4" t="inlineStr">
        <is>
          <t>https://cc-hauteariege.fr/</t>
        </is>
      </c>
      <c r="O79" s="4" t="inlineStr">
        <is>
          <t>https://cc-hauteariege.fr/@@contact</t>
        </is>
      </c>
      <c r="P79" s="4" t="inlineStr">
        <is>
          <t>https://lannuaire.service-public.gouv.fr/occitanie/ariege/856f3b71-e25a-4475-ba32-0d2e1156bf4e</t>
        </is>
      </c>
      <c r="Q79" t="inlineStr">
        <is>
          <t>Annuaire Service-public.fr</t>
        </is>
      </c>
      <c r="R79" t="inlineStr"/>
      <c r="S79" t="inlineStr"/>
      <c r="T79" t="inlineStr"/>
    </row>
    <row r="80">
      <c r="A80" t="inlineStr">
        <is>
          <t>CC des Portes d'Ariège Pyrénées</t>
        </is>
      </c>
      <c r="B80" t="inlineStr">
        <is>
          <t>Communauté de communes</t>
        </is>
      </c>
      <c r="C80" t="inlineStr">
        <is>
          <t>200066231</t>
        </is>
      </c>
      <c r="D80" t="inlineStr">
        <is>
          <t>09</t>
        </is>
      </c>
      <c r="E80" t="inlineStr">
        <is>
          <t>Ariège</t>
        </is>
      </c>
      <c r="F80" t="inlineStr">
        <is>
          <t>Occitanie</t>
        </is>
      </c>
      <c r="G80" s="3" t="n">
        <v>40642</v>
      </c>
      <c r="H80" t="n">
        <v>34</v>
      </c>
      <c r="I80" t="inlineStr">
        <is>
          <t>26 bis Boulevard Delcassé</t>
        </is>
      </c>
      <c r="J80" t="inlineStr">
        <is>
          <t>09100</t>
        </is>
      </c>
      <c r="K80" t="inlineStr">
        <is>
          <t>Pamiers</t>
        </is>
      </c>
      <c r="L80" t="inlineStr">
        <is>
          <t>05 34 01 21 73</t>
        </is>
      </c>
      <c r="M80" s="4" t="inlineStr">
        <is>
          <t>contact@ccpap.fr</t>
        </is>
      </c>
      <c r="N80" s="4" t="inlineStr">
        <is>
          <t>https://ccpap.fr/</t>
        </is>
      </c>
      <c r="O80" s="4" t="inlineStr">
        <is>
          <t>https://ccpap.fr/contactez-nous/</t>
        </is>
      </c>
      <c r="P80" s="4" t="inlineStr">
        <is>
          <t>https://lannuaire.service-public.gouv.fr/occitanie/ariege/f4533902-27a9-462f-a272-2926a5a11289</t>
        </is>
      </c>
      <c r="Q80" t="inlineStr">
        <is>
          <t>Annuaire Service-public.fr</t>
        </is>
      </c>
      <c r="R80" t="inlineStr"/>
      <c r="S80" t="inlineStr"/>
      <c r="T80" t="inlineStr"/>
    </row>
    <row r="81">
      <c r="A81" t="inlineStr">
        <is>
          <t>CC du Pays d'Olmes</t>
        </is>
      </c>
      <c r="B81" t="inlineStr">
        <is>
          <t>Communauté de communes</t>
        </is>
      </c>
      <c r="C81" t="inlineStr">
        <is>
          <t>240900464</t>
        </is>
      </c>
      <c r="D81" t="inlineStr">
        <is>
          <t>09</t>
        </is>
      </c>
      <c r="E81" t="inlineStr">
        <is>
          <t>Ariège</t>
        </is>
      </c>
      <c r="F81" t="inlineStr">
        <is>
          <t>Occitanie</t>
        </is>
      </c>
      <c r="G81" s="3" t="n">
        <v>14774</v>
      </c>
      <c r="H81" t="n">
        <v>24</v>
      </c>
      <c r="I81" t="inlineStr">
        <is>
          <t>1 chemin de la Coume, Hôtel d'entreprise</t>
        </is>
      </c>
      <c r="J81" t="inlineStr">
        <is>
          <t>09300</t>
        </is>
      </c>
      <c r="K81" t="inlineStr">
        <is>
          <t>Lavelanet</t>
        </is>
      </c>
      <c r="L81" t="inlineStr">
        <is>
          <t>05 34 09 33 80</t>
        </is>
      </c>
      <c r="M81" s="4" t="inlineStr">
        <is>
          <t>a.chacon@paysdolmes.org</t>
        </is>
      </c>
      <c r="N81" s="4" t="inlineStr">
        <is>
          <t>https://paysdolmes.org/fr/</t>
        </is>
      </c>
      <c r="O81" t="inlineStr"/>
      <c r="P81" s="4" t="inlineStr">
        <is>
          <t>https://lannuaire.service-public.gouv.fr/occitanie/ariege/5cdee43c-e61a-42c9-8038-658952fed55e</t>
        </is>
      </c>
      <c r="Q81" t="inlineStr">
        <is>
          <t>Annuaire Service-public.fr</t>
        </is>
      </c>
      <c r="R81" t="inlineStr"/>
      <c r="S81" t="inlineStr"/>
      <c r="T81" t="inlineStr"/>
    </row>
    <row r="82">
      <c r="A82" t="inlineStr">
        <is>
          <t>CC du Pays de Mirepoix</t>
        </is>
      </c>
      <c r="B82" t="inlineStr">
        <is>
          <t>Communauté de communes</t>
        </is>
      </c>
      <c r="C82" t="inlineStr">
        <is>
          <t>200044469</t>
        </is>
      </c>
      <c r="D82" t="inlineStr">
        <is>
          <t>09</t>
        </is>
      </c>
      <c r="E82" t="inlineStr">
        <is>
          <t>Ariège</t>
        </is>
      </c>
      <c r="F82" t="inlineStr">
        <is>
          <t>Occitanie</t>
        </is>
      </c>
      <c r="G82" s="3" t="n">
        <v>10584</v>
      </c>
      <c r="H82" t="n">
        <v>33</v>
      </c>
      <c r="I82" t="inlineStr">
        <is>
          <t>1 chemin de la Mestrise</t>
        </is>
      </c>
      <c r="J82" t="inlineStr">
        <is>
          <t>09500</t>
        </is>
      </c>
      <c r="K82" t="inlineStr">
        <is>
          <t>Mirepoix</t>
        </is>
      </c>
      <c r="L82" t="inlineStr">
        <is>
          <t>05 61 68 13 02</t>
        </is>
      </c>
      <c r="M82" s="4" t="inlineStr">
        <is>
          <t>contact@cc-paysdemirepoix.fr</t>
        </is>
      </c>
      <c r="N82" s="4" t="inlineStr">
        <is>
          <t>https://www.cc-paysdemirepoix.fr/</t>
        </is>
      </c>
      <c r="O82" s="4" t="inlineStr">
        <is>
          <t>https://www.cc-paysdemirepoix.fr/systeme/nous-contacter/</t>
        </is>
      </c>
      <c r="P82" s="4" t="inlineStr">
        <is>
          <t>https://lannuaire.service-public.gouv.fr/occitanie/ariege/2e58671c-5f19-4796-9c0b-415965e3f4fe</t>
        </is>
      </c>
      <c r="Q82" t="inlineStr">
        <is>
          <t>Annuaire Service-public.fr</t>
        </is>
      </c>
      <c r="R82" t="inlineStr"/>
      <c r="S82" t="inlineStr"/>
      <c r="T82" t="inlineStr"/>
    </row>
    <row r="83">
      <c r="A83" t="inlineStr">
        <is>
          <t>CC du Pays de Tarascon</t>
        </is>
      </c>
      <c r="B83" t="inlineStr">
        <is>
          <t>Communauté de communes</t>
        </is>
      </c>
      <c r="C83" t="inlineStr">
        <is>
          <t>240900431</t>
        </is>
      </c>
      <c r="D83" t="inlineStr">
        <is>
          <t>09</t>
        </is>
      </c>
      <c r="E83" t="inlineStr">
        <is>
          <t>Ariège</t>
        </is>
      </c>
      <c r="F83" t="inlineStr">
        <is>
          <t>Occitanie</t>
        </is>
      </c>
      <c r="G83" s="3" t="n">
        <v>8581</v>
      </c>
      <c r="H83" t="n">
        <v>20</v>
      </c>
      <c r="I83" t="inlineStr">
        <is>
          <t>19 avenue de Sabart, BP 30133</t>
        </is>
      </c>
      <c r="J83" t="inlineStr">
        <is>
          <t>09401</t>
        </is>
      </c>
      <c r="K83" t="inlineStr">
        <is>
          <t>Tarascon-sur-Ariège</t>
        </is>
      </c>
      <c r="L83" t="inlineStr">
        <is>
          <t>05 34 09 86 30</t>
        </is>
      </c>
      <c r="M83" s="4" t="inlineStr">
        <is>
          <t>contact@cc-paysdetarascon.fr</t>
        </is>
      </c>
      <c r="N83" s="4" t="inlineStr">
        <is>
          <t>https://www.cc-paysdetarascon.fr/</t>
        </is>
      </c>
      <c r="O83" s="4" t="inlineStr">
        <is>
          <t>https://www.cc-paysdetarascon.fr/contact/</t>
        </is>
      </c>
      <c r="P83" s="4" t="inlineStr">
        <is>
          <t>https://lannuaire.service-public.gouv.fr/occitanie/ariege/96a070e2-b832-435b-b43f-e01d9742073b</t>
        </is>
      </c>
      <c r="Q83" t="inlineStr">
        <is>
          <t>Annuaire Service-public.fr</t>
        </is>
      </c>
      <c r="R83" t="inlineStr"/>
      <c r="S83" t="inlineStr"/>
      <c r="T83" t="inlineStr"/>
    </row>
    <row r="84">
      <c r="A84" t="inlineStr">
        <is>
          <t>CC Forêts, Lacs, Terres en Champagne</t>
        </is>
      </c>
      <c r="B84" t="inlineStr">
        <is>
          <t>Communauté de communes</t>
        </is>
      </c>
      <c r="C84" t="inlineStr">
        <is>
          <t>241000223</t>
        </is>
      </c>
      <c r="D84" t="inlineStr">
        <is>
          <t>10</t>
        </is>
      </c>
      <c r="E84" t="inlineStr">
        <is>
          <t>Aube</t>
        </is>
      </c>
      <c r="F84" t="inlineStr">
        <is>
          <t>Grand Est</t>
        </is>
      </c>
      <c r="G84" s="3" t="n">
        <v>6811</v>
      </c>
      <c r="H84" t="n">
        <v>15</v>
      </c>
      <c r="I84" t="inlineStr">
        <is>
          <t>2 bis rue Louis-Husson</t>
        </is>
      </c>
      <c r="J84" t="inlineStr">
        <is>
          <t>10220</t>
        </is>
      </c>
      <c r="K84" t="inlineStr">
        <is>
          <t>Piney</t>
        </is>
      </c>
      <c r="L84" t="inlineStr">
        <is>
          <t>03 25 73 65 81</t>
        </is>
      </c>
      <c r="M84" s="4" t="inlineStr">
        <is>
          <t>cdc.piney@ccpiney.fr</t>
        </is>
      </c>
      <c r="N84" s="4" t="inlineStr">
        <is>
          <t>https://www.foretslacsterresenchampagne.fr/index.php/fr/</t>
        </is>
      </c>
      <c r="O84" s="4" t="inlineStr">
        <is>
          <t>https://www.foretslacsterresenchampagne.fr/index.php/fr/</t>
        </is>
      </c>
      <c r="P84" s="4" t="inlineStr">
        <is>
          <t>https://lannuaire.service-public.gouv.fr/grand-est/aube/2e65c2cd-39a2-48e1-810b-ef10b649df14</t>
        </is>
      </c>
      <c r="Q84" t="inlineStr">
        <is>
          <t>Annuaire Service-public.fr</t>
        </is>
      </c>
      <c r="R84" t="inlineStr"/>
      <c r="S84" t="inlineStr"/>
      <c r="T84" t="inlineStr"/>
    </row>
    <row r="85">
      <c r="A85" t="inlineStr">
        <is>
          <t>CC Seine et Aube</t>
        </is>
      </c>
      <c r="B85" t="inlineStr">
        <is>
          <t>Communauté de communes</t>
        </is>
      </c>
      <c r="C85" t="inlineStr">
        <is>
          <t>200070126</t>
        </is>
      </c>
      <c r="D85" t="inlineStr">
        <is>
          <t>10</t>
        </is>
      </c>
      <c r="E85" t="inlineStr">
        <is>
          <t>Aube</t>
        </is>
      </c>
      <c r="F85" t="inlineStr">
        <is>
          <t>Grand Est</t>
        </is>
      </c>
      <c r="G85" s="3" t="n">
        <v>10213</v>
      </c>
      <c r="H85" t="n">
        <v>25</v>
      </c>
      <c r="I85" t="inlineStr">
        <is>
          <t>11 rue Delaitre</t>
        </is>
      </c>
      <c r="J85" t="inlineStr">
        <is>
          <t>10170</t>
        </is>
      </c>
      <c r="K85" t="inlineStr">
        <is>
          <t>Méry-sur-Seine</t>
        </is>
      </c>
      <c r="L85" t="inlineStr">
        <is>
          <t>03 25 25 25 15</t>
        </is>
      </c>
      <c r="M85" s="4" t="inlineStr">
        <is>
          <t>contact@comcomsa.fr</t>
        </is>
      </c>
      <c r="N85" s="4" t="inlineStr">
        <is>
          <t>https://www.ccseineetaube.fr/</t>
        </is>
      </c>
      <c r="O85" s="4" t="inlineStr">
        <is>
          <t>https://www.ccseineetaube.fr/contactez-nous</t>
        </is>
      </c>
      <c r="P85" s="4" t="inlineStr">
        <is>
          <t>https://lannuaire.service-public.gouv.fr/grand-est/aube/3b4f9e82-7efd-4770-ab96-3e3cbfa03eb3</t>
        </is>
      </c>
      <c r="Q85" t="inlineStr">
        <is>
          <t>Annuaire Service-public.fr</t>
        </is>
      </c>
      <c r="R85" t="inlineStr"/>
      <c r="S85" t="inlineStr"/>
      <c r="T85" t="inlineStr"/>
    </row>
    <row r="86">
      <c r="A86" t="inlineStr">
        <is>
          <t>CC d'Arcis, Mailly, Ramerupt</t>
        </is>
      </c>
      <c r="B86" t="inlineStr">
        <is>
          <t>Communauté de communes</t>
        </is>
      </c>
      <c r="C86" t="inlineStr">
        <is>
          <t>200071777</t>
        </is>
      </c>
      <c r="D86" t="inlineStr">
        <is>
          <t>10</t>
        </is>
      </c>
      <c r="E86" t="inlineStr">
        <is>
          <t>Aube</t>
        </is>
      </c>
      <c r="F86" t="inlineStr">
        <is>
          <t>Grand Est</t>
        </is>
      </c>
      <c r="G86" s="3" t="n">
        <v>11802</v>
      </c>
      <c r="H86" t="n">
        <v>39</v>
      </c>
      <c r="I86" t="inlineStr">
        <is>
          <t>5 rue Aristide-Briand</t>
        </is>
      </c>
      <c r="J86" t="inlineStr">
        <is>
          <t>10700</t>
        </is>
      </c>
      <c r="K86" t="inlineStr">
        <is>
          <t>Arcis-sur-Aube</t>
        </is>
      </c>
      <c r="L86" t="inlineStr">
        <is>
          <t>03 25 37 69 42</t>
        </is>
      </c>
      <c r="M86" s="4" t="inlineStr">
        <is>
          <t>contact@ccamr.fr</t>
        </is>
      </c>
      <c r="N86" s="4" t="inlineStr">
        <is>
          <t>https://www.arcismaillyramerupt.fr/</t>
        </is>
      </c>
      <c r="O86" s="4" t="inlineStr">
        <is>
          <t>https://www.arcismaillyramerupt.fr/contact/</t>
        </is>
      </c>
      <c r="P86" s="4" t="inlineStr">
        <is>
          <t>https://lannuaire.service-public.gouv.fr/grand-est/aube/0620de02-57a9-48f3-9794-dc71f660d2a6</t>
        </is>
      </c>
      <c r="Q86" t="inlineStr">
        <is>
          <t>Annuaire Service-public.fr</t>
        </is>
      </c>
      <c r="R86" t="inlineStr"/>
      <c r="S86" t="inlineStr"/>
      <c r="T86" t="inlineStr"/>
    </row>
    <row r="87">
      <c r="A87" t="inlineStr">
        <is>
          <t>CC de Vendeuvre-Soulaines</t>
        </is>
      </c>
      <c r="B87" t="inlineStr">
        <is>
          <t>Communauté de communes</t>
        </is>
      </c>
      <c r="C87" t="inlineStr">
        <is>
          <t>200066892</t>
        </is>
      </c>
      <c r="D87" t="inlineStr">
        <is>
          <t>10</t>
        </is>
      </c>
      <c r="E87" t="inlineStr">
        <is>
          <t>Aube</t>
        </is>
      </c>
      <c r="F87" t="inlineStr">
        <is>
          <t>Grand Est</t>
        </is>
      </c>
      <c r="G87" s="3" t="n">
        <v>7359</v>
      </c>
      <c r="H87" t="n">
        <v>38</v>
      </c>
      <c r="I87" t="inlineStr">
        <is>
          <t>Domaine Saint-Victor</t>
        </is>
      </c>
      <c r="J87" t="inlineStr">
        <is>
          <t>10200</t>
        </is>
      </c>
      <c r="K87" t="inlineStr">
        <is>
          <t>Soulaines-Dhuys</t>
        </is>
      </c>
      <c r="L87" t="inlineStr">
        <is>
          <t>03 25 92 59 40</t>
        </is>
      </c>
      <c r="M87" s="4" t="inlineStr">
        <is>
          <t>secretariat@ccvendeuvresoulaines.fr</t>
        </is>
      </c>
      <c r="N87" s="4" t="inlineStr">
        <is>
          <t>https://www.ccvendeuvresoulaines.fr/</t>
        </is>
      </c>
      <c r="O87" t="inlineStr"/>
      <c r="P87" s="4" t="inlineStr">
        <is>
          <t>https://lannuaire.service-public.gouv.fr/grand-est/aube/0dd59bdb-9349-4b46-b934-1c7ff8995942</t>
        </is>
      </c>
      <c r="Q87" t="inlineStr">
        <is>
          <t>Annuaire Service-public.fr</t>
        </is>
      </c>
      <c r="R87" t="inlineStr"/>
      <c r="S87" t="inlineStr"/>
      <c r="T87" t="inlineStr"/>
    </row>
    <row r="88">
      <c r="A88" t="inlineStr">
        <is>
          <t>CC de l'Orvin et de l'Ardusson</t>
        </is>
      </c>
      <c r="B88" t="inlineStr">
        <is>
          <t>Communauté de communes</t>
        </is>
      </c>
      <c r="C88" t="inlineStr">
        <is>
          <t>241000488</t>
        </is>
      </c>
      <c r="D88" t="inlineStr">
        <is>
          <t>10</t>
        </is>
      </c>
      <c r="E88" t="inlineStr">
        <is>
          <t>Aube</t>
        </is>
      </c>
      <c r="F88" t="inlineStr">
        <is>
          <t>Grand Est</t>
        </is>
      </c>
      <c r="G88" s="3" t="n">
        <v>8459</v>
      </c>
      <c r="H88" t="n">
        <v>25</v>
      </c>
      <c r="I88" t="inlineStr">
        <is>
          <t>3 rue Georges-Clemenceau</t>
        </is>
      </c>
      <c r="J88" t="inlineStr">
        <is>
          <t>10350</t>
        </is>
      </c>
      <c r="K88" t="inlineStr">
        <is>
          <t>Marigny-le-Châtel</t>
        </is>
      </c>
      <c r="L88" t="inlineStr">
        <is>
          <t>03 25 21 52 32</t>
        </is>
      </c>
      <c r="M88" s="4" t="inlineStr">
        <is>
          <t>secretariat@ccoa-aube.fr</t>
        </is>
      </c>
      <c r="N88" t="inlineStr"/>
      <c r="O88" t="inlineStr"/>
      <c r="P88" s="4" t="inlineStr">
        <is>
          <t>https://lannuaire.service-public.gouv.fr/grand-est/aube/f18d345c-6e9c-4e77-a86d-b2fef65e7fae</t>
        </is>
      </c>
      <c r="Q88" t="inlineStr">
        <is>
          <t>Annuaire Service-public.fr</t>
        </is>
      </c>
      <c r="R88" t="inlineStr"/>
      <c r="S88" t="inlineStr"/>
      <c r="T88" t="inlineStr"/>
    </row>
    <row r="89">
      <c r="A89" t="inlineStr">
        <is>
          <t>CC de la Région de Bar sur Aube</t>
        </is>
      </c>
      <c r="B89" t="inlineStr">
        <is>
          <t>Communauté de communes</t>
        </is>
      </c>
      <c r="C89" t="inlineStr">
        <is>
          <t>241000405</t>
        </is>
      </c>
      <c r="D89" t="inlineStr">
        <is>
          <t>10</t>
        </is>
      </c>
      <c r="E89" t="inlineStr">
        <is>
          <t>Aube</t>
        </is>
      </c>
      <c r="F89" t="inlineStr">
        <is>
          <t>Grand Est</t>
        </is>
      </c>
      <c r="G89" s="3" t="n">
        <v>10543</v>
      </c>
      <c r="H89" t="n">
        <v>27</v>
      </c>
      <c r="I89" t="inlineStr">
        <is>
          <t>4 boulevard du 14-Juillet</t>
        </is>
      </c>
      <c r="J89" t="inlineStr">
        <is>
          <t>10200</t>
        </is>
      </c>
      <c r="K89" t="inlineStr">
        <is>
          <t>Bar-sur-Aube</t>
        </is>
      </c>
      <c r="L89" t="inlineStr">
        <is>
          <t>03 25 27 81 24</t>
        </is>
      </c>
      <c r="M89" s="4" t="inlineStr">
        <is>
          <t>contact.ccrb@barsuraube.org</t>
        </is>
      </c>
      <c r="N89" s="4" t="inlineStr">
        <is>
          <t>https://www.barsuraube.org/</t>
        </is>
      </c>
      <c r="O89" s="4" t="inlineStr">
        <is>
          <t>https://www.barsuraube.org/contact</t>
        </is>
      </c>
      <c r="P89" s="4" t="inlineStr">
        <is>
          <t>https://lannuaire.service-public.gouv.fr/grand-est/aube/343b8090-2b8a-40e7-97ac-63f7a2740b61</t>
        </is>
      </c>
      <c r="Q89" t="inlineStr">
        <is>
          <t>Annuaire Service-public.fr</t>
        </is>
      </c>
      <c r="R89" t="inlineStr"/>
      <c r="S89" t="inlineStr"/>
      <c r="T89" t="inlineStr"/>
    </row>
    <row r="90">
      <c r="A90" t="inlineStr">
        <is>
          <t>CC des Lacs de Champagne</t>
        </is>
      </c>
      <c r="B90" t="inlineStr">
        <is>
          <t>Communauté de communes</t>
        </is>
      </c>
      <c r="C90" t="inlineStr">
        <is>
          <t>200040137</t>
        </is>
      </c>
      <c r="D90" t="inlineStr">
        <is>
          <t>10</t>
        </is>
      </c>
      <c r="E90" t="inlineStr">
        <is>
          <t>Aube</t>
        </is>
      </c>
      <c r="F90" t="inlineStr">
        <is>
          <t>Grand Est</t>
        </is>
      </c>
      <c r="G90" s="3" t="n">
        <v>8976</v>
      </c>
      <c r="H90" t="n">
        <v>43</v>
      </c>
      <c r="I90" t="inlineStr">
        <is>
          <t>3 rue Henri-Becquerel</t>
        </is>
      </c>
      <c r="J90" t="inlineStr">
        <is>
          <t>10500</t>
        </is>
      </c>
      <c r="K90" t="inlineStr">
        <is>
          <t>Brienne-le-Château</t>
        </is>
      </c>
      <c r="L90" t="inlineStr">
        <is>
          <t>03 25 27 91 93</t>
        </is>
      </c>
      <c r="M90" s="4" t="inlineStr">
        <is>
          <t>secretariat@cclacsdechampagne.fr</t>
        </is>
      </c>
      <c r="N90" s="4" t="inlineStr">
        <is>
          <t>https://www.cclacsdechampagne.fr</t>
        </is>
      </c>
      <c r="O90" t="inlineStr"/>
      <c r="P90" s="4" t="inlineStr">
        <is>
          <t>https://lannuaire.service-public.gouv.fr/grand-est/aube/08b1af14-18a6-4c52-800d-3fd76b369775</t>
        </is>
      </c>
      <c r="Q90" t="inlineStr">
        <is>
          <t>Annuaire Service-public.fr</t>
        </is>
      </c>
      <c r="R90" t="inlineStr"/>
      <c r="S90" t="inlineStr"/>
      <c r="T90" t="inlineStr"/>
    </row>
    <row r="91">
      <c r="A91" t="inlineStr">
        <is>
          <t>CC des Portes de Romilly sur Seine</t>
        </is>
      </c>
      <c r="B91" t="inlineStr">
        <is>
          <t>Communauté de communes</t>
        </is>
      </c>
      <c r="C91" t="inlineStr">
        <is>
          <t>200000545</t>
        </is>
      </c>
      <c r="D91" t="inlineStr">
        <is>
          <t>10</t>
        </is>
      </c>
      <c r="E91" t="inlineStr">
        <is>
          <t>Aube</t>
        </is>
      </c>
      <c r="F91" t="inlineStr">
        <is>
          <t>Grand Est</t>
        </is>
      </c>
      <c r="G91" s="3" t="n">
        <v>18846</v>
      </c>
      <c r="H91" t="n">
        <v>6</v>
      </c>
      <c r="I91" t="inlineStr">
        <is>
          <t>9 bis place des Martyrs-pour-la-Libération</t>
        </is>
      </c>
      <c r="J91" t="inlineStr">
        <is>
          <t>10100</t>
        </is>
      </c>
      <c r="K91" t="inlineStr">
        <is>
          <t>Romilly-sur-Seine</t>
        </is>
      </c>
      <c r="L91" t="inlineStr">
        <is>
          <t>03 25 39 53 56</t>
        </is>
      </c>
      <c r="M91" s="4" t="inlineStr">
        <is>
          <t>cc.portesderomilly@ccprs.fr</t>
        </is>
      </c>
      <c r="N91" s="4" t="inlineStr">
        <is>
          <t>https://ccprs.fr/</t>
        </is>
      </c>
      <c r="O91" s="4" t="inlineStr">
        <is>
          <t>https://ccprs.fr/contact</t>
        </is>
      </c>
      <c r="P91" s="4" t="inlineStr">
        <is>
          <t>https://lannuaire.service-public.gouv.fr/grand-est/aube/417c9f91-99bf-4e17-add4-18d8c1729f97</t>
        </is>
      </c>
      <c r="Q91" t="inlineStr">
        <is>
          <t>Annuaire Service-public.fr</t>
        </is>
      </c>
      <c r="R91" t="inlineStr"/>
      <c r="S91" t="inlineStr"/>
      <c r="T91" t="inlineStr"/>
    </row>
    <row r="92">
      <c r="A92" t="inlineStr">
        <is>
          <t>CC du Barséquanais en Champagne</t>
        </is>
      </c>
      <c r="B92" t="inlineStr">
        <is>
          <t>Communauté de communes</t>
        </is>
      </c>
      <c r="C92" t="inlineStr">
        <is>
          <t>200069003</t>
        </is>
      </c>
      <c r="D92" t="inlineStr">
        <is>
          <t>10</t>
        </is>
      </c>
      <c r="E92" t="inlineStr">
        <is>
          <t>Aube</t>
        </is>
      </c>
      <c r="F92" t="inlineStr">
        <is>
          <t>Grand Est</t>
        </is>
      </c>
      <c r="G92" s="3" t="n">
        <v>18320</v>
      </c>
      <c r="H92" t="n">
        <v>53</v>
      </c>
      <c r="I92" t="inlineStr">
        <is>
          <t>Espace Jean-Weinling</t>
        </is>
      </c>
      <c r="J92" t="inlineStr">
        <is>
          <t>10110</t>
        </is>
      </c>
      <c r="K92" t="inlineStr">
        <is>
          <t>Bar-sur-Seine</t>
        </is>
      </c>
      <c r="L92" t="inlineStr">
        <is>
          <t>03 25 38 26 74</t>
        </is>
      </c>
      <c r="M92" s="4" t="inlineStr">
        <is>
          <t>contact@cc-barsequanais.fr</t>
        </is>
      </c>
      <c r="N92" s="4" t="inlineStr">
        <is>
          <t>https://www.cc-barsequanais.fr</t>
        </is>
      </c>
      <c r="O92" s="4" t="inlineStr">
        <is>
          <t>https://www.cc-barsequanais.fr/contact/</t>
        </is>
      </c>
      <c r="P92" s="4" t="inlineStr">
        <is>
          <t>https://lannuaire.service-public.gouv.fr/grand-est/aube/9e3c0e6b-34a2-45be-b283-f9559a02c128</t>
        </is>
      </c>
      <c r="Q92" t="inlineStr">
        <is>
          <t>Annuaire Service-public.fr</t>
        </is>
      </c>
      <c r="R92" t="inlineStr"/>
      <c r="S92" t="inlineStr"/>
      <c r="T92" t="inlineStr"/>
    </row>
    <row r="93">
      <c r="A93" t="inlineStr">
        <is>
          <t>CC du Chaourçois et du Val d'Armance</t>
        </is>
      </c>
      <c r="B93" t="inlineStr">
        <is>
          <t>Communauté de communes</t>
        </is>
      </c>
      <c r="C93" t="inlineStr">
        <is>
          <t>200071041</t>
        </is>
      </c>
      <c r="D93" t="inlineStr">
        <is>
          <t>10</t>
        </is>
      </c>
      <c r="E93" t="inlineStr">
        <is>
          <t>Aube</t>
        </is>
      </c>
      <c r="F93" t="inlineStr">
        <is>
          <t>Grand Est</t>
        </is>
      </c>
      <c r="G93" s="3" t="n">
        <v>10293</v>
      </c>
      <c r="H93" t="n">
        <v>42</v>
      </c>
      <c r="I93" t="inlineStr">
        <is>
          <t>5 boulevard des Grands-Fossés, BP 1</t>
        </is>
      </c>
      <c r="J93" t="inlineStr">
        <is>
          <t>10130</t>
        </is>
      </c>
      <c r="K93" t="inlineStr">
        <is>
          <t>Ervy-le-Châtel</t>
        </is>
      </c>
      <c r="L93" t="inlineStr">
        <is>
          <t>03 25 70 63 34</t>
        </is>
      </c>
      <c r="M93" s="4" t="inlineStr">
        <is>
          <t>contact@cccva10.fr</t>
        </is>
      </c>
      <c r="N93" s="4" t="inlineStr">
        <is>
          <t>https://cc-chaourcois-val-armance.fr/</t>
        </is>
      </c>
      <c r="O93" s="4" t="inlineStr">
        <is>
          <t>https://cc-chaourcois-val-armance.fr/nous-contacter/</t>
        </is>
      </c>
      <c r="P93" s="4" t="inlineStr">
        <is>
          <t>https://lannuaire.service-public.gouv.fr/grand-est/aube/f3c75f31-d1aa-4d9e-9a87-6ae1259af2b6</t>
        </is>
      </c>
      <c r="Q93" t="inlineStr">
        <is>
          <t>Annuaire Service-public.fr</t>
        </is>
      </c>
      <c r="R93" t="inlineStr"/>
      <c r="S93" t="inlineStr"/>
      <c r="T93" t="inlineStr"/>
    </row>
    <row r="94">
      <c r="A94" t="inlineStr">
        <is>
          <t>CC du Nogentais</t>
        </is>
      </c>
      <c r="B94" t="inlineStr">
        <is>
          <t>Communauté de communes</t>
        </is>
      </c>
      <c r="C94" t="inlineStr">
        <is>
          <t>200006716</t>
        </is>
      </c>
      <c r="D94" t="inlineStr">
        <is>
          <t>10</t>
        </is>
      </c>
      <c r="E94" t="inlineStr">
        <is>
          <t>Aube</t>
        </is>
      </c>
      <c r="F94" t="inlineStr">
        <is>
          <t>Grand Est</t>
        </is>
      </c>
      <c r="G94" s="3" t="n">
        <v>16366</v>
      </c>
      <c r="H94" t="n">
        <v>23</v>
      </c>
      <c r="I94" t="inlineStr">
        <is>
          <t>9 rue de l'Étape-au-Vin</t>
        </is>
      </c>
      <c r="J94" t="inlineStr">
        <is>
          <t>10400</t>
        </is>
      </c>
      <c r="K94" t="inlineStr">
        <is>
          <t>Nogent-sur-Seine</t>
        </is>
      </c>
      <c r="L94" t="inlineStr">
        <is>
          <t>03 25 21 69 76</t>
        </is>
      </c>
      <c r="M94" s="4" t="inlineStr">
        <is>
          <t>contact@ccdunogentais.fr</t>
        </is>
      </c>
      <c r="N94" s="4" t="inlineStr">
        <is>
          <t>http://www.ccdunogentais.fr</t>
        </is>
      </c>
      <c r="O94" s="4" t="inlineStr">
        <is>
          <t>http://www.ccdunogentais.fr/contact</t>
        </is>
      </c>
      <c r="P94" s="4" t="inlineStr">
        <is>
          <t>https://lannuaire.service-public.gouv.fr/grand-est/aube/20e5ad00-c053-4514-a0af-3210bf4d1b5c</t>
        </is>
      </c>
      <c r="Q94" t="inlineStr">
        <is>
          <t>Annuaire Service-public.fr</t>
        </is>
      </c>
      <c r="R94" t="inlineStr"/>
      <c r="S94" t="inlineStr"/>
      <c r="T94" t="inlineStr"/>
    </row>
    <row r="95">
      <c r="A95" t="inlineStr">
        <is>
          <t>CC du Pays d'Othe</t>
        </is>
      </c>
      <c r="B95" t="inlineStr">
        <is>
          <t>Communauté de communes</t>
        </is>
      </c>
      <c r="C95" t="inlineStr">
        <is>
          <t>241000447</t>
        </is>
      </c>
      <c r="D95" t="inlineStr">
        <is>
          <t>10</t>
        </is>
      </c>
      <c r="E95" t="inlineStr">
        <is>
          <t>Aube</t>
        </is>
      </c>
      <c r="F95" t="inlineStr">
        <is>
          <t>Grand Est</t>
        </is>
      </c>
      <c r="G95" s="3" t="n">
        <v>7548</v>
      </c>
      <c r="H95" t="n">
        <v>14</v>
      </c>
      <c r="I95" t="inlineStr">
        <is>
          <t>27 avenue Tricoche-Maillard</t>
        </is>
      </c>
      <c r="J95" t="inlineStr">
        <is>
          <t>10160</t>
        </is>
      </c>
      <c r="K95" t="inlineStr">
        <is>
          <t>Aix-Villemaur-Pâlis</t>
        </is>
      </c>
      <c r="L95" t="inlineStr">
        <is>
          <t>03 25 46 70 63</t>
        </is>
      </c>
      <c r="M95" s="4" t="inlineStr">
        <is>
          <t>contact@cc-po.fr</t>
        </is>
      </c>
      <c r="N95" s="4" t="inlineStr">
        <is>
          <t>https://www.cdc-pays-othe.fr</t>
        </is>
      </c>
      <c r="O95" t="inlineStr"/>
      <c r="P95" s="4" t="inlineStr">
        <is>
          <t>https://lannuaire.service-public.gouv.fr/grand-est/aube/ab35d5db-7ddc-49a6-819b-8a69dc5e9e6a</t>
        </is>
      </c>
      <c r="Q95" t="inlineStr">
        <is>
          <t>Annuaire Service-public.fr</t>
        </is>
      </c>
      <c r="R95" t="inlineStr"/>
      <c r="S95" t="inlineStr"/>
      <c r="T95" t="inlineStr"/>
    </row>
    <row r="96">
      <c r="A96" t="inlineStr">
        <is>
          <t>CC Aux sources du Canal du Midi</t>
        </is>
      </c>
      <c r="B96" t="inlineStr">
        <is>
          <t>Communauté de communes</t>
        </is>
      </c>
      <c r="C96" t="inlineStr">
        <is>
          <t>243100567</t>
        </is>
      </c>
      <c r="D96" t="inlineStr">
        <is>
          <t>11, 31, 81</t>
        </is>
      </c>
      <c r="E96" t="inlineStr">
        <is>
          <t>Aude, Haute-Garonne, Tarn</t>
        </is>
      </c>
      <c r="F96" t="inlineStr">
        <is>
          <t>Occitanie</t>
        </is>
      </c>
      <c r="G96" s="3" t="n">
        <v>21764</v>
      </c>
      <c r="H96" t="n">
        <v>28</v>
      </c>
      <c r="I96" t="inlineStr">
        <is>
          <t>20 rue Jean-Moulin</t>
        </is>
      </c>
      <c r="J96" t="inlineStr">
        <is>
          <t>31250</t>
        </is>
      </c>
      <c r="K96" t="inlineStr">
        <is>
          <t>Revel</t>
        </is>
      </c>
      <c r="L96" t="inlineStr">
        <is>
          <t>05 62 71 23 33</t>
        </is>
      </c>
      <c r="M96" s="4" t="inlineStr">
        <is>
          <t>accueil@revel-lauragais.com</t>
        </is>
      </c>
      <c r="N96" s="4" t="inlineStr">
        <is>
          <t>https://www.revel-lauragais.com/</t>
        </is>
      </c>
      <c r="O96" s="4" t="inlineStr">
        <is>
          <t>https://www.revel-lauragais.com/contactez-nous/</t>
        </is>
      </c>
      <c r="P96" s="4" t="inlineStr">
        <is>
          <t>https://lannuaire.service-public.gouv.fr/occitanie/haute-garonne/ee1cd0d2-3ba1-4b8b-824c-6a56373f9929</t>
        </is>
      </c>
      <c r="Q96" t="inlineStr">
        <is>
          <t>Annuaire Service-public.fr</t>
        </is>
      </c>
      <c r="R96" t="inlineStr"/>
      <c r="S96" t="inlineStr"/>
      <c r="T96" t="inlineStr"/>
    </row>
    <row r="97">
      <c r="A97" t="inlineStr">
        <is>
          <t>CC Castelnaudary Lauragais Audois</t>
        </is>
      </c>
      <c r="B97" t="inlineStr">
        <is>
          <t>Communauté de communes</t>
        </is>
      </c>
      <c r="C97" t="inlineStr">
        <is>
          <t>200035855</t>
        </is>
      </c>
      <c r="D97" t="inlineStr">
        <is>
          <t>11</t>
        </is>
      </c>
      <c r="E97" t="inlineStr">
        <is>
          <t>Aude</t>
        </is>
      </c>
      <c r="F97" t="inlineStr">
        <is>
          <t>Occitanie</t>
        </is>
      </c>
      <c r="G97" s="3" t="n">
        <v>27777</v>
      </c>
      <c r="H97" t="n">
        <v>43</v>
      </c>
      <c r="I97" t="inlineStr">
        <is>
          <t>280 Avenue Gérard-Rouvière</t>
        </is>
      </c>
      <c r="J97" t="inlineStr">
        <is>
          <t>11490</t>
        </is>
      </c>
      <c r="K97" t="inlineStr">
        <is>
          <t>Castelnaudary</t>
        </is>
      </c>
      <c r="L97" t="inlineStr">
        <is>
          <t>04 68 23 68 43</t>
        </is>
      </c>
      <c r="M97" s="4" t="inlineStr">
        <is>
          <t>contact@cccla.fr</t>
        </is>
      </c>
      <c r="N97" s="4" t="inlineStr">
        <is>
          <t>https://www.cccla.fr/</t>
        </is>
      </c>
      <c r="O97" s="4" t="inlineStr">
        <is>
          <t>https://www.cccla.fr/contactez-la-cccla/page-6-accueil</t>
        </is>
      </c>
      <c r="P97" s="4" t="inlineStr">
        <is>
          <t>https://lannuaire.service-public.gouv.fr/occitanie/aude/726d47fb-7ab9-4ca8-abbf-3923b6e73242</t>
        </is>
      </c>
      <c r="Q97" t="inlineStr">
        <is>
          <t>Annuaire Service-public.fr</t>
        </is>
      </c>
      <c r="R97" t="inlineStr"/>
      <c r="S97" t="inlineStr"/>
      <c r="T97" t="inlineStr"/>
    </row>
    <row r="98">
      <c r="A98" t="inlineStr">
        <is>
          <t>CC Corbières Salanque Méditerranée</t>
        </is>
      </c>
      <c r="B98" t="inlineStr">
        <is>
          <t>Communauté de communes</t>
        </is>
      </c>
      <c r="C98" t="inlineStr">
        <is>
          <t>200070365</t>
        </is>
      </c>
      <c r="D98" t="inlineStr">
        <is>
          <t>11, 66</t>
        </is>
      </c>
      <c r="E98" t="inlineStr">
        <is>
          <t>Aude, Pyrénées-Orientales</t>
        </is>
      </c>
      <c r="F98" t="inlineStr">
        <is>
          <t>Occitanie</t>
        </is>
      </c>
      <c r="G98" s="3" t="n">
        <v>25195</v>
      </c>
      <c r="H98" t="n">
        <v>21</v>
      </c>
      <c r="I98" t="inlineStr">
        <is>
          <t>41 chemin du Mas-Bordas</t>
        </is>
      </c>
      <c r="J98" t="inlineStr">
        <is>
          <t>66530</t>
        </is>
      </c>
      <c r="K98" t="inlineStr">
        <is>
          <t>Claira</t>
        </is>
      </c>
      <c r="L98" t="inlineStr">
        <is>
          <t>04 68 28 10 37</t>
        </is>
      </c>
      <c r="M98" s="4" t="inlineStr">
        <is>
          <t>accueil@c3sm.fr</t>
        </is>
      </c>
      <c r="N98" s="4" t="inlineStr">
        <is>
          <t>https://www.c3sm.fr/</t>
        </is>
      </c>
      <c r="O98" t="inlineStr"/>
      <c r="P98" s="4" t="inlineStr">
        <is>
          <t>https://lannuaire.service-public.gouv.fr/occitanie/pyrenees-orientales/69c22875-1407-4377-b729-ba132253e010</t>
        </is>
      </c>
      <c r="Q98" t="inlineStr">
        <is>
          <t>Annuaire Service-public.fr</t>
        </is>
      </c>
      <c r="R98" t="inlineStr"/>
      <c r="S98" t="inlineStr"/>
      <c r="T98" t="inlineStr"/>
    </row>
    <row r="99">
      <c r="A99" t="inlineStr">
        <is>
          <t>CC Piège Lauragais Malepère</t>
        </is>
      </c>
      <c r="B99" t="inlineStr">
        <is>
          <t>Communauté de communes</t>
        </is>
      </c>
      <c r="C99" t="inlineStr">
        <is>
          <t>200035707</t>
        </is>
      </c>
      <c r="D99" t="inlineStr">
        <is>
          <t>11</t>
        </is>
      </c>
      <c r="E99" t="inlineStr">
        <is>
          <t>Aude</t>
        </is>
      </c>
      <c r="F99" t="inlineStr">
        <is>
          <t>Occitanie</t>
        </is>
      </c>
      <c r="G99" s="3" t="n">
        <v>16299</v>
      </c>
      <c r="H99" t="n">
        <v>38</v>
      </c>
      <c r="I99" t="inlineStr">
        <is>
          <t>62 rue Bonrepos</t>
        </is>
      </c>
      <c r="J99" t="inlineStr">
        <is>
          <t>11150</t>
        </is>
      </c>
      <c r="K99" t="inlineStr">
        <is>
          <t>Bram</t>
        </is>
      </c>
      <c r="L99" t="inlineStr">
        <is>
          <t>04 68 76 69 40</t>
        </is>
      </c>
      <c r="M99" s="4" t="inlineStr">
        <is>
          <t>contact@ccplm.fr</t>
        </is>
      </c>
      <c r="N99" s="4" t="inlineStr">
        <is>
          <t>https://ccplm.fr/</t>
        </is>
      </c>
      <c r="O99" t="inlineStr"/>
      <c r="P99" s="4" t="inlineStr">
        <is>
          <t>https://lannuaire.service-public.gouv.fr/occitanie/aude/3d50fc89-0d1d-4f82-a010-c1ce31f5e6e0</t>
        </is>
      </c>
      <c r="Q99" t="inlineStr">
        <is>
          <t>Annuaire Service-public.fr</t>
        </is>
      </c>
      <c r="R99" t="inlineStr"/>
      <c r="S99" t="inlineStr"/>
      <c r="T99" t="inlineStr"/>
    </row>
    <row r="100">
      <c r="A100" t="inlineStr">
        <is>
          <t>CC Pyrénées audoises</t>
        </is>
      </c>
      <c r="B100" t="inlineStr">
        <is>
          <t>Communauté de communes</t>
        </is>
      </c>
      <c r="C100" t="inlineStr">
        <is>
          <t>200043776</t>
        </is>
      </c>
      <c r="D100" t="inlineStr">
        <is>
          <t>11</t>
        </is>
      </c>
      <c r="E100" t="inlineStr">
        <is>
          <t>Aude</t>
        </is>
      </c>
      <c r="F100" t="inlineStr">
        <is>
          <t>Occitanie</t>
        </is>
      </c>
      <c r="G100" s="3" t="n">
        <v>13522</v>
      </c>
      <c r="H100" t="n">
        <v>61</v>
      </c>
      <c r="I100" t="inlineStr">
        <is>
          <t>1 avenue François-Mitterrand</t>
        </is>
      </c>
      <c r="J100" t="inlineStr">
        <is>
          <t>11500</t>
        </is>
      </c>
      <c r="K100" t="inlineStr">
        <is>
          <t>Quillan</t>
        </is>
      </c>
      <c r="L100" t="inlineStr">
        <is>
          <t>04 68 20 00 10</t>
        </is>
      </c>
      <c r="M100" s="4" t="inlineStr">
        <is>
          <t>accueil@pyreneesaudoises.fr</t>
        </is>
      </c>
      <c r="N100" s="4" t="inlineStr">
        <is>
          <t>https://www.pyreneesaudoises.fr/</t>
        </is>
      </c>
      <c r="O100" s="4" t="inlineStr">
        <is>
          <t>https://www.pyreneesaudoises.fr/contacts/</t>
        </is>
      </c>
      <c r="P100" s="4" t="inlineStr">
        <is>
          <t>https://lannuaire.service-public.gouv.fr/occitanie/aude/5ec4fde1-7eff-45a0-a36e-6174050f917a</t>
        </is>
      </c>
      <c r="Q100" t="inlineStr">
        <is>
          <t>Annuaire Service-public.fr</t>
        </is>
      </c>
      <c r="R100" t="inlineStr"/>
      <c r="S100" t="inlineStr"/>
      <c r="T100" t="inlineStr"/>
    </row>
    <row r="101">
      <c r="A101" t="inlineStr">
        <is>
          <t>CC Région Lézignanaise, Corbières et Minervois</t>
        </is>
      </c>
      <c r="B101" t="inlineStr">
        <is>
          <t>Communauté de communes</t>
        </is>
      </c>
      <c r="C101" t="inlineStr">
        <is>
          <t>200035863</t>
        </is>
      </c>
      <c r="D101" t="inlineStr">
        <is>
          <t>11</t>
        </is>
      </c>
      <c r="E101" t="inlineStr">
        <is>
          <t>Aude</t>
        </is>
      </c>
      <c r="F101" t="inlineStr">
        <is>
          <t>Occitanie</t>
        </is>
      </c>
      <c r="G101" s="3" t="n">
        <v>33313</v>
      </c>
      <c r="H101" t="n">
        <v>54</v>
      </c>
      <c r="I101" t="inlineStr">
        <is>
          <t>48 avenue Charles-Cros</t>
        </is>
      </c>
      <c r="J101" t="inlineStr">
        <is>
          <t>11200</t>
        </is>
      </c>
      <c r="K101" t="inlineStr">
        <is>
          <t>Lézignan</t>
        </is>
      </c>
      <c r="L101" t="inlineStr">
        <is>
          <t>04 68 27 03 35</t>
        </is>
      </c>
      <c r="M101" s="4" t="inlineStr">
        <is>
          <t>contact@ccrlcm.fr</t>
        </is>
      </c>
      <c r="N101" s="4" t="inlineStr">
        <is>
          <t>https://www.ccrlcm.fr/</t>
        </is>
      </c>
      <c r="O101" s="4" t="inlineStr">
        <is>
          <t>https://www.ccrlcm.fr/nous-contacter</t>
        </is>
      </c>
      <c r="P101" s="4" t="inlineStr">
        <is>
          <t>https://lannuaire.service-public.gouv.fr/occitanie/aude/b4e864ba-3f03-4c67-ac0f-218c26760981</t>
        </is>
      </c>
      <c r="Q101" t="inlineStr">
        <is>
          <t>Annuaire Service-public.fr</t>
        </is>
      </c>
      <c r="R101" t="inlineStr"/>
      <c r="S101" t="inlineStr"/>
      <c r="T101" t="inlineStr"/>
    </row>
    <row r="102">
      <c r="A102" t="inlineStr">
        <is>
          <t>CC de la Montagne Noire</t>
        </is>
      </c>
      <c r="B102" t="inlineStr">
        <is>
          <t>Communauté de communes</t>
        </is>
      </c>
      <c r="C102" t="inlineStr">
        <is>
          <t>200042463</t>
        </is>
      </c>
      <c r="D102" t="inlineStr">
        <is>
          <t>11</t>
        </is>
      </c>
      <c r="E102" t="inlineStr">
        <is>
          <t>Aude</t>
        </is>
      </c>
      <c r="F102" t="inlineStr">
        <is>
          <t>Occitanie</t>
        </is>
      </c>
      <c r="G102" s="3" t="n">
        <v>5972</v>
      </c>
      <c r="H102" t="n">
        <v>22</v>
      </c>
      <c r="I102" t="inlineStr">
        <is>
          <t>Route de Mas-Cabardès</t>
        </is>
      </c>
      <c r="J102" t="inlineStr">
        <is>
          <t>11380</t>
        </is>
      </c>
      <c r="K102" t="inlineStr">
        <is>
          <t>Les Ilhes</t>
        </is>
      </c>
      <c r="L102" t="inlineStr">
        <is>
          <t>04 68 11 12 40</t>
        </is>
      </c>
      <c r="M102" s="4" t="inlineStr">
        <is>
          <t>contact@cdcmontagnenoire.fr</t>
        </is>
      </c>
      <c r="N102" s="4" t="inlineStr">
        <is>
          <t>https://www.cdcmontagnenoire.fr/</t>
        </is>
      </c>
      <c r="O102" s="4" t="inlineStr">
        <is>
          <t>https://www.cdcmontagnenoire.fr/contactez-nous</t>
        </is>
      </c>
      <c r="P102" s="4" t="inlineStr">
        <is>
          <t>https://lannuaire.service-public.gouv.fr/occitanie/aude/78174971-4645-4030-9f8e-4ca4ec35d49d</t>
        </is>
      </c>
      <c r="Q102" t="inlineStr">
        <is>
          <t>Annuaire Service-public.fr</t>
        </is>
      </c>
      <c r="R102" t="inlineStr"/>
      <c r="S102" t="inlineStr"/>
      <c r="T102" t="inlineStr"/>
    </row>
    <row r="103">
      <c r="A103" t="inlineStr">
        <is>
          <t>CC du Limouxin</t>
        </is>
      </c>
      <c r="B103" t="inlineStr">
        <is>
          <t>Communauté de communes</t>
        </is>
      </c>
      <c r="C103" t="inlineStr">
        <is>
          <t>200071926</t>
        </is>
      </c>
      <c r="D103" t="inlineStr">
        <is>
          <t>11</t>
        </is>
      </c>
      <c r="E103" t="inlineStr">
        <is>
          <t>Aude</t>
        </is>
      </c>
      <c r="F103" t="inlineStr">
        <is>
          <t>Occitanie</t>
        </is>
      </c>
      <c r="G103" s="3" t="n">
        <v>27873</v>
      </c>
      <c r="H103" t="n">
        <v>76</v>
      </c>
      <c r="I103" t="inlineStr">
        <is>
          <t>2 place Alcantara</t>
        </is>
      </c>
      <c r="J103" t="inlineStr">
        <is>
          <t>11300</t>
        </is>
      </c>
      <c r="K103" t="inlineStr">
        <is>
          <t>Limoux</t>
        </is>
      </c>
      <c r="L103" t="inlineStr">
        <is>
          <t>04 68 31 40 78</t>
        </is>
      </c>
      <c r="M103" s="4" t="inlineStr">
        <is>
          <t>accueil@cc-limouxin.fr</t>
        </is>
      </c>
      <c r="N103" s="4" t="inlineStr">
        <is>
          <t>https://cc-limouxin.com/</t>
        </is>
      </c>
      <c r="O103" t="inlineStr"/>
      <c r="P103" s="4" t="inlineStr">
        <is>
          <t>https://lannuaire.service-public.gouv.fr/occitanie/aude/141a61ee-960e-4f72-82ed-28666a94277f</t>
        </is>
      </c>
      <c r="Q103" t="inlineStr">
        <is>
          <t>Annuaire Service-public.fr</t>
        </is>
      </c>
      <c r="R103" t="inlineStr"/>
      <c r="S103" t="inlineStr"/>
      <c r="T103" t="inlineStr"/>
    </row>
    <row r="104">
      <c r="A104" t="inlineStr">
        <is>
          <t>CC Aubrac, Carladez et Viadène</t>
        </is>
      </c>
      <c r="B104" t="inlineStr">
        <is>
          <t>Communauté de communes</t>
        </is>
      </c>
      <c r="C104" t="inlineStr">
        <is>
          <t>200067171</t>
        </is>
      </c>
      <c r="D104" t="inlineStr">
        <is>
          <t>12</t>
        </is>
      </c>
      <c r="E104" t="inlineStr">
        <is>
          <t>Aveyron</t>
        </is>
      </c>
      <c r="F104" t="inlineStr">
        <is>
          <t>Occitanie</t>
        </is>
      </c>
      <c r="G104" s="3" t="n">
        <v>9928</v>
      </c>
      <c r="H104" t="n">
        <v>21</v>
      </c>
      <c r="I104" t="inlineStr">
        <is>
          <t>1 rue du Faubourg</t>
        </is>
      </c>
      <c r="J104" t="inlineStr">
        <is>
          <t>12210</t>
        </is>
      </c>
      <c r="K104" t="inlineStr">
        <is>
          <t>Laguiole</t>
        </is>
      </c>
      <c r="L104" t="inlineStr">
        <is>
          <t>05 65 51 52 30</t>
        </is>
      </c>
      <c r="M104" s="4" t="inlineStr">
        <is>
          <t>contact@ccacv.fr</t>
        </is>
      </c>
      <c r="N104" s="4" t="inlineStr">
        <is>
          <t>https://www.ccacv.fr/</t>
        </is>
      </c>
      <c r="O104" s="4" t="inlineStr">
        <is>
          <t>https://www.ccacv.fr/contact/</t>
        </is>
      </c>
      <c r="P104" s="4" t="inlineStr">
        <is>
          <t>https://lannuaire.service-public.gouv.fr/occitanie/aveyron/a52840bc-48ac-455f-bba0-e1dd5632dca7</t>
        </is>
      </c>
      <c r="Q104" t="inlineStr">
        <is>
          <t>Annuaire Service-public.fr</t>
        </is>
      </c>
      <c r="R104" t="inlineStr"/>
      <c r="S104" t="inlineStr"/>
      <c r="T104" t="inlineStr"/>
    </row>
    <row r="105">
      <c r="A105" t="inlineStr">
        <is>
          <t>CC Aveyron Bas Ségala Viaur</t>
        </is>
      </c>
      <c r="B105" t="inlineStr">
        <is>
          <t>Communauté de communes</t>
        </is>
      </c>
      <c r="C105" t="inlineStr">
        <is>
          <t>241200807</t>
        </is>
      </c>
      <c r="D105" t="inlineStr">
        <is>
          <t>12</t>
        </is>
      </c>
      <c r="E105" t="inlineStr">
        <is>
          <t>Aveyron</t>
        </is>
      </c>
      <c r="F105" t="inlineStr">
        <is>
          <t>Occitanie</t>
        </is>
      </c>
      <c r="G105" s="3" t="n">
        <v>5573</v>
      </c>
      <c r="H105" t="n">
        <v>7</v>
      </c>
      <c r="I105" t="inlineStr">
        <is>
          <t>3 rue du Balat</t>
        </is>
      </c>
      <c r="J105" t="inlineStr">
        <is>
          <t>12240</t>
        </is>
      </c>
      <c r="K105" t="inlineStr">
        <is>
          <t>Rieupeyroux</t>
        </is>
      </c>
      <c r="L105" t="inlineStr">
        <is>
          <t>05 65 65 67 38</t>
        </is>
      </c>
      <c r="M105" s="4" t="inlineStr">
        <is>
          <t>administration@ccabsv.fr</t>
        </is>
      </c>
      <c r="N105" s="4" t="inlineStr">
        <is>
          <t>https://aveyronbassegalaviaur.fr</t>
        </is>
      </c>
      <c r="O105" s="4" t="inlineStr">
        <is>
          <t>https://aveyronbassegalaviaur.fr/contact-ccabsv</t>
        </is>
      </c>
      <c r="P105" s="4" t="inlineStr">
        <is>
          <t>https://lannuaire.service-public.gouv.fr/occitanie/aveyron/9dd2bd6d-3237-4fc2-b287-660a30e60dd7</t>
        </is>
      </c>
      <c r="Q105" t="inlineStr">
        <is>
          <t>Annuaire Service-public.fr</t>
        </is>
      </c>
      <c r="R105" t="inlineStr"/>
      <c r="S105" t="inlineStr"/>
      <c r="T105" t="inlineStr"/>
    </row>
    <row r="106">
      <c r="A106" t="inlineStr">
        <is>
          <t>CC Comtal Lot et Truyère</t>
        </is>
      </c>
      <c r="B106" t="inlineStr">
        <is>
          <t>Communauté de communes</t>
        </is>
      </c>
      <c r="C106" t="inlineStr">
        <is>
          <t>200067478</t>
        </is>
      </c>
      <c r="D106" t="inlineStr">
        <is>
          <t>12</t>
        </is>
      </c>
      <c r="E106" t="inlineStr">
        <is>
          <t>Aveyron</t>
        </is>
      </c>
      <c r="F106" t="inlineStr">
        <is>
          <t>Occitanie</t>
        </is>
      </c>
      <c r="G106" s="3" t="n">
        <v>19930</v>
      </c>
      <c r="H106" t="n">
        <v>21</v>
      </c>
      <c r="I106" t="inlineStr">
        <is>
          <t>18 bis avenue Marcel-Lautard</t>
        </is>
      </c>
      <c r="J106" t="inlineStr">
        <is>
          <t>12500</t>
        </is>
      </c>
      <c r="K106" t="inlineStr">
        <is>
          <t>Espalion</t>
        </is>
      </c>
      <c r="L106" t="inlineStr">
        <is>
          <t>05 65 48 29 02</t>
        </is>
      </c>
      <c r="M106" s="4" t="inlineStr">
        <is>
          <t>secretariat@3clt.fr</t>
        </is>
      </c>
      <c r="N106" s="4" t="inlineStr">
        <is>
          <t>https://comtal-lot-truyere.fr/</t>
        </is>
      </c>
      <c r="O106" s="4" t="inlineStr">
        <is>
          <t>https://comtal-lot-truyere.fr/contact</t>
        </is>
      </c>
      <c r="P106" s="4" t="inlineStr">
        <is>
          <t>https://lannuaire.service-public.gouv.fr/occitanie/aveyron/2bbbfc9b-931d-4ae1-a49b-ecfd245f29eb</t>
        </is>
      </c>
      <c r="Q106" t="inlineStr">
        <is>
          <t>Annuaire Service-public.fr</t>
        </is>
      </c>
      <c r="R106" t="inlineStr"/>
      <c r="S106" t="inlineStr"/>
      <c r="T106" t="inlineStr"/>
    </row>
    <row r="107">
      <c r="A107" t="inlineStr">
        <is>
          <t>CC Conques-Marcillac</t>
        </is>
      </c>
      <c r="B107" t="inlineStr">
        <is>
          <t>Communauté de communes</t>
        </is>
      </c>
      <c r="C107" t="inlineStr">
        <is>
          <t>241200641</t>
        </is>
      </c>
      <c r="D107" t="inlineStr">
        <is>
          <t>12</t>
        </is>
      </c>
      <c r="E107" t="inlineStr">
        <is>
          <t>Aveyron</t>
        </is>
      </c>
      <c r="F107" t="inlineStr">
        <is>
          <t>Occitanie</t>
        </is>
      </c>
      <c r="G107" s="3" t="n">
        <v>12143</v>
      </c>
      <c r="H107" t="n">
        <v>12</v>
      </c>
      <c r="I107" t="inlineStr">
        <is>
          <t>28 avenue Gustave-Bessiere, Maison du territoire</t>
        </is>
      </c>
      <c r="J107" t="inlineStr">
        <is>
          <t>12330</t>
        </is>
      </c>
      <c r="K107" t="inlineStr">
        <is>
          <t>Marcillac-Vallon</t>
        </is>
      </c>
      <c r="L107" t="inlineStr">
        <is>
          <t>05 65 71 86 20</t>
        </is>
      </c>
      <c r="M107" s="4" t="inlineStr">
        <is>
          <t>contact@cc-conques-marcillac.fr</t>
        </is>
      </c>
      <c r="N107" s="4" t="inlineStr">
        <is>
          <t>https://cc-conques-marcillac.fr/</t>
        </is>
      </c>
      <c r="O107" t="inlineStr"/>
      <c r="P107" s="4" t="inlineStr">
        <is>
          <t>https://lannuaire.service-public.gouv.fr/occitanie/aveyron/138d9e89-3bd7-470b-9fab-ec5a560db4ee</t>
        </is>
      </c>
      <c r="Q107" t="inlineStr">
        <is>
          <t>Annuaire Service-public.fr</t>
        </is>
      </c>
      <c r="R107" t="inlineStr"/>
      <c r="S107" t="inlineStr"/>
      <c r="T107" t="inlineStr"/>
    </row>
    <row r="108">
      <c r="A108" t="inlineStr">
        <is>
          <t>CC Decazeville Communauté</t>
        </is>
      </c>
      <c r="B108" t="inlineStr">
        <is>
          <t>Communauté de communes</t>
        </is>
      </c>
      <c r="C108" t="inlineStr">
        <is>
          <t>200067064</t>
        </is>
      </c>
      <c r="D108" t="inlineStr">
        <is>
          <t>12</t>
        </is>
      </c>
      <c r="E108" t="inlineStr">
        <is>
          <t>Aveyron</t>
        </is>
      </c>
      <c r="F108" t="inlineStr">
        <is>
          <t>Occitanie</t>
        </is>
      </c>
      <c r="G108" s="3" t="n">
        <v>17928</v>
      </c>
      <c r="H108" t="n">
        <v>12</v>
      </c>
      <c r="I108" t="inlineStr">
        <is>
          <t>103 faubourg-desselligny-Fontvergnes, centre technique Decazeville communauté</t>
        </is>
      </c>
      <c r="J108" t="inlineStr">
        <is>
          <t>12300</t>
        </is>
      </c>
      <c r="K108" t="inlineStr">
        <is>
          <t>Decazeville</t>
        </is>
      </c>
      <c r="L108" t="inlineStr">
        <is>
          <t>05 65 43 95 00</t>
        </is>
      </c>
      <c r="M108" s="4" t="inlineStr">
        <is>
          <t>contact@decazeville-communaute.fr</t>
        </is>
      </c>
      <c r="N108" s="4" t="inlineStr">
        <is>
          <t>https://www.decazeville-communaute.fr</t>
        </is>
      </c>
      <c r="O108" s="4" t="inlineStr">
        <is>
          <t>https://www.decazeville-communaute.fr/systeme/contact/</t>
        </is>
      </c>
      <c r="P108" s="4" t="inlineStr">
        <is>
          <t>https://lannuaire.service-public.gouv.fr/occitanie/aveyron/51d2b461-3cf1-4dc1-90cf-3d5a9056154e</t>
        </is>
      </c>
      <c r="Q108" t="inlineStr">
        <is>
          <t>Annuaire Service-public.fr</t>
        </is>
      </c>
      <c r="R108" t="inlineStr"/>
      <c r="S108" t="inlineStr"/>
      <c r="T108" t="inlineStr"/>
    </row>
    <row r="109">
      <c r="A109" t="inlineStr">
        <is>
          <t>CC Grand-Figeac</t>
        </is>
      </c>
      <c r="B109" t="inlineStr">
        <is>
          <t>Communauté de communes</t>
        </is>
      </c>
      <c r="C109" t="inlineStr">
        <is>
          <t>200067361</t>
        </is>
      </c>
      <c r="D109" t="inlineStr">
        <is>
          <t>12, 46</t>
        </is>
      </c>
      <c r="E109" t="inlineStr">
        <is>
          <t>Aveyron, Lot</t>
        </is>
      </c>
      <c r="F109" t="inlineStr">
        <is>
          <t>Occitanie</t>
        </is>
      </c>
      <c r="G109" s="3" t="n">
        <v>43924</v>
      </c>
      <c r="H109" t="n">
        <v>92</v>
      </c>
      <c r="I109" t="inlineStr">
        <is>
          <t>2 rue Germain-Petitjean</t>
        </is>
      </c>
      <c r="J109" t="inlineStr">
        <is>
          <t>46100</t>
        </is>
      </c>
      <c r="K109" t="inlineStr">
        <is>
          <t>Figeac</t>
        </is>
      </c>
      <c r="L109" t="inlineStr">
        <is>
          <t>05 65 11 22 76</t>
        </is>
      </c>
      <c r="M109" s="4" t="inlineStr">
        <is>
          <t>secretariat.general@grand-figeac.fr</t>
        </is>
      </c>
      <c r="N109" s="4" t="inlineStr">
        <is>
          <t>https://www.grand-figeac.fr/</t>
        </is>
      </c>
      <c r="O109" s="4" t="inlineStr">
        <is>
          <t>https://www.grand-figeac.fr/formulaire-de-contact/</t>
        </is>
      </c>
      <c r="P109" s="4" t="inlineStr">
        <is>
          <t>https://lannuaire.service-public.gouv.fr/occitanie/lot/741673e5-20b9-4b45-9fcf-8df07e2bc25e</t>
        </is>
      </c>
      <c r="Q109" t="inlineStr">
        <is>
          <t>Annuaire Service-public.fr</t>
        </is>
      </c>
      <c r="R109" t="inlineStr"/>
      <c r="S109" t="inlineStr"/>
      <c r="T109" t="inlineStr"/>
    </row>
    <row r="110">
      <c r="A110" t="inlineStr">
        <is>
          <t>CC Larzac et Vallées</t>
        </is>
      </c>
      <c r="B110" t="inlineStr">
        <is>
          <t>Communauté de communes</t>
        </is>
      </c>
      <c r="C110" t="inlineStr">
        <is>
          <t>241200906</t>
        </is>
      </c>
      <c r="D110" t="inlineStr">
        <is>
          <t>12</t>
        </is>
      </c>
      <c r="E110" t="inlineStr">
        <is>
          <t>Aveyron</t>
        </is>
      </c>
      <c r="F110" t="inlineStr">
        <is>
          <t>Occitanie</t>
        </is>
      </c>
      <c r="G110" s="3" t="n">
        <v>6730</v>
      </c>
      <c r="H110" t="n">
        <v>16</v>
      </c>
      <c r="I110" t="inlineStr">
        <is>
          <t>28 avenue Charles-Andrieu</t>
        </is>
      </c>
      <c r="J110" t="inlineStr">
        <is>
          <t>12540</t>
        </is>
      </c>
      <c r="K110" t="inlineStr">
        <is>
          <t>Cornus</t>
        </is>
      </c>
      <c r="L110" t="inlineStr">
        <is>
          <t>05 65 99 33 00</t>
        </is>
      </c>
      <c r="M110" s="4" t="inlineStr">
        <is>
          <t>contact@cc-larzacvallees.fr</t>
        </is>
      </c>
      <c r="N110" s="4" t="inlineStr">
        <is>
          <t>https://www.cc-larzacvallees.fr</t>
        </is>
      </c>
      <c r="O110" s="4" t="inlineStr">
        <is>
          <t>https://www.cc-larzacvallees.fr/fr/contactez-nous</t>
        </is>
      </c>
      <c r="P110" s="4" t="inlineStr">
        <is>
          <t>https://lannuaire.service-public.gouv.fr/occitanie/aveyron/2c1813e4-52f6-4b92-bbf7-a3ac7208bf2d</t>
        </is>
      </c>
      <c r="Q110" t="inlineStr">
        <is>
          <t>Annuaire Service-public.fr</t>
        </is>
      </c>
      <c r="R110" t="inlineStr"/>
      <c r="S110" t="inlineStr"/>
      <c r="T110" t="inlineStr"/>
    </row>
    <row r="111">
      <c r="A111" t="inlineStr">
        <is>
          <t>CC Monts, Rance et Rougier</t>
        </is>
      </c>
      <c r="B111" t="inlineStr">
        <is>
          <t>Communauté de communes</t>
        </is>
      </c>
      <c r="C111" t="inlineStr">
        <is>
          <t>200067163</t>
        </is>
      </c>
      <c r="D111" t="inlineStr">
        <is>
          <t>12</t>
        </is>
      </c>
      <c r="E111" t="inlineStr">
        <is>
          <t>Aveyron</t>
        </is>
      </c>
      <c r="F111" t="inlineStr">
        <is>
          <t>Occitanie</t>
        </is>
      </c>
      <c r="G111" s="3" t="n">
        <v>6323</v>
      </c>
      <c r="H111" t="n">
        <v>23</v>
      </c>
      <c r="I111" t="inlineStr">
        <is>
          <t>80 chemin du Sériguet, Les Hauts de Sériguet</t>
        </is>
      </c>
      <c r="J111" t="inlineStr">
        <is>
          <t>12370</t>
        </is>
      </c>
      <c r="K111" t="inlineStr">
        <is>
          <t>Belmont-sur-Rance</t>
        </is>
      </c>
      <c r="L111" t="inlineStr">
        <is>
          <t>05 65 49 37 80</t>
        </is>
      </c>
      <c r="M111" s="4" t="inlineStr">
        <is>
          <t>contact@ccmrr.fr</t>
        </is>
      </c>
      <c r="N111" s="4" t="inlineStr">
        <is>
          <t>https://www.ccmrr.fr/</t>
        </is>
      </c>
      <c r="O111" t="inlineStr"/>
      <c r="P111" s="4" t="inlineStr">
        <is>
          <t>https://lannuaire.service-public.gouv.fr/occitanie/aveyron/768501d1-236f-4178-9d10-95938f6c9082</t>
        </is>
      </c>
      <c r="Q111" t="inlineStr">
        <is>
          <t>Annuaire Service-public.fr</t>
        </is>
      </c>
      <c r="R111" t="inlineStr"/>
      <c r="S111" t="inlineStr"/>
      <c r="T111" t="inlineStr"/>
    </row>
    <row r="112">
      <c r="A112" t="inlineStr">
        <is>
          <t>CC Ouest Aveyron Communauté</t>
        </is>
      </c>
      <c r="B112" t="inlineStr">
        <is>
          <t>Communauté de communes</t>
        </is>
      </c>
      <c r="C112" t="inlineStr">
        <is>
          <t>200069383</t>
        </is>
      </c>
      <c r="D112" t="inlineStr">
        <is>
          <t>12, 46</t>
        </is>
      </c>
      <c r="E112" t="inlineStr">
        <is>
          <t>Aveyron, Lot</t>
        </is>
      </c>
      <c r="F112" t="inlineStr">
        <is>
          <t>Occitanie</t>
        </is>
      </c>
      <c r="G112" s="3" t="n">
        <v>27244</v>
      </c>
      <c r="H112" t="n">
        <v>29</v>
      </c>
      <c r="I112" t="inlineStr">
        <is>
          <t>Chemin de Treize-Pierres, Bâtiment Interactis, BP 421</t>
        </is>
      </c>
      <c r="J112" t="inlineStr">
        <is>
          <t>12200</t>
        </is>
      </c>
      <c r="K112" t="inlineStr">
        <is>
          <t>Villefranche-de-Rouergue</t>
        </is>
      </c>
      <c r="L112" t="inlineStr">
        <is>
          <t>05 65 65 08 01</t>
        </is>
      </c>
      <c r="M112" s="4" t="inlineStr">
        <is>
          <t>contact@ouestaveyron.fr</t>
        </is>
      </c>
      <c r="N112" s="4" t="inlineStr">
        <is>
          <t>https://www.ouestaveyron.fr/</t>
        </is>
      </c>
      <c r="O112" s="4" t="inlineStr">
        <is>
          <t>https://www.ouestaveyron.fr/nous-contacter/</t>
        </is>
      </c>
      <c r="P112" s="4" t="inlineStr">
        <is>
          <t>https://lannuaire.service-public.gouv.fr/occitanie/aveyron/be748184-7a4f-40a9-859f-16b6c21bf84e</t>
        </is>
      </c>
      <c r="Q112" t="inlineStr">
        <is>
          <t>Annuaire Service-public.fr</t>
        </is>
      </c>
      <c r="R112" t="inlineStr"/>
      <c r="S112" t="inlineStr"/>
      <c r="T112" t="inlineStr"/>
    </row>
    <row r="113">
      <c r="A113" t="inlineStr">
        <is>
          <t>CC Pays Ségali Communauté</t>
        </is>
      </c>
      <c r="B113" t="inlineStr">
        <is>
          <t>Communauté de communes</t>
        </is>
      </c>
      <c r="C113" t="inlineStr">
        <is>
          <t>200068831</t>
        </is>
      </c>
      <c r="D113" t="inlineStr">
        <is>
          <t>12</t>
        </is>
      </c>
      <c r="E113" t="inlineStr">
        <is>
          <t>Aveyron</t>
        </is>
      </c>
      <c r="F113" t="inlineStr">
        <is>
          <t>Occitanie</t>
        </is>
      </c>
      <c r="G113" s="3" t="n">
        <v>18318</v>
      </c>
      <c r="H113" t="n">
        <v>23</v>
      </c>
      <c r="I113" t="inlineStr">
        <is>
          <t>100 place René-Cassin</t>
        </is>
      </c>
      <c r="J113" t="inlineStr">
        <is>
          <t>12160</t>
        </is>
      </c>
      <c r="K113" t="inlineStr">
        <is>
          <t>Baraqueville</t>
        </is>
      </c>
      <c r="L113" t="inlineStr">
        <is>
          <t>05 65 69 27 43</t>
        </is>
      </c>
      <c r="M113" s="4" t="inlineStr">
        <is>
          <t>accueil@payssegali.fr</t>
        </is>
      </c>
      <c r="N113" s="4" t="inlineStr">
        <is>
          <t>https://www.payssegali.fr</t>
        </is>
      </c>
      <c r="O113" s="4" t="inlineStr">
        <is>
          <t>https://www.payssegali.fr/contact/</t>
        </is>
      </c>
      <c r="P113" s="4" t="inlineStr">
        <is>
          <t>https://lannuaire.service-public.gouv.fr/occitanie/aveyron/7277d212-d6d3-44bf-b1b5-75385ff3e0e5</t>
        </is>
      </c>
      <c r="Q113" t="inlineStr">
        <is>
          <t>Annuaire Service-public.fr</t>
        </is>
      </c>
      <c r="R113" t="inlineStr"/>
      <c r="S113" t="inlineStr"/>
      <c r="T113" t="inlineStr"/>
    </row>
    <row r="114">
      <c r="A114" t="inlineStr">
        <is>
          <t>CC Saint Affricain, Roquefort, Sept Vallons</t>
        </is>
      </c>
      <c r="B114" t="inlineStr">
        <is>
          <t>Communauté de communes</t>
        </is>
      </c>
      <c r="C114" t="inlineStr">
        <is>
          <t>200067155</t>
        </is>
      </c>
      <c r="D114" t="inlineStr">
        <is>
          <t>12</t>
        </is>
      </c>
      <c r="E114" t="inlineStr">
        <is>
          <t>Aveyron</t>
        </is>
      </c>
      <c r="F114" t="inlineStr">
        <is>
          <t>Occitanie</t>
        </is>
      </c>
      <c r="G114" s="3" t="n">
        <v>13444</v>
      </c>
      <c r="H114" t="n">
        <v>14</v>
      </c>
      <c r="I114" t="inlineStr">
        <is>
          <t>1 rue Henri-Michel, Bâtiment Occitan, entrée Coupole, Site hôtel d'entreprises</t>
        </is>
      </c>
      <c r="J114" t="inlineStr">
        <is>
          <t>12400</t>
        </is>
      </c>
      <c r="K114" t="inlineStr">
        <is>
          <t>Saint-Affrique</t>
        </is>
      </c>
      <c r="L114" t="inlineStr">
        <is>
          <t>05 65 99 49 56</t>
        </is>
      </c>
      <c r="M114" s="4" t="inlineStr">
        <is>
          <t>accueil@cc-saintaffricain.fr</t>
        </is>
      </c>
      <c r="N114" s="4" t="inlineStr">
        <is>
          <t>https://www.comcom-sar7v.fr/</t>
        </is>
      </c>
      <c r="O114" s="4" t="inlineStr">
        <is>
          <t>https://www.comcom-sar7v.fr/?th=6801</t>
        </is>
      </c>
      <c r="P114" s="4" t="inlineStr">
        <is>
          <t>https://lannuaire.service-public.gouv.fr/occitanie/aveyron/5f4de389-cdb5-4bd9-b16e-202ce2c626c8</t>
        </is>
      </c>
      <c r="Q114" t="inlineStr">
        <is>
          <t>Annuaire Service-public.fr</t>
        </is>
      </c>
      <c r="R114" t="inlineStr"/>
      <c r="S114" t="inlineStr"/>
      <c r="T114" t="inlineStr"/>
    </row>
    <row r="115">
      <c r="A115" t="inlineStr">
        <is>
          <t>CC de Lévézou Pareloup</t>
        </is>
      </c>
      <c r="B115" t="inlineStr">
        <is>
          <t>Communauté de communes</t>
        </is>
      </c>
      <c r="C115" t="inlineStr">
        <is>
          <t>241200765</t>
        </is>
      </c>
      <c r="D115" t="inlineStr">
        <is>
          <t>12</t>
        </is>
      </c>
      <c r="E115" t="inlineStr">
        <is>
          <t>Aveyron</t>
        </is>
      </c>
      <c r="F115" t="inlineStr">
        <is>
          <t>Occitanie</t>
        </is>
      </c>
      <c r="G115" s="3" t="n">
        <v>5332</v>
      </c>
      <c r="H115" t="n">
        <v>10</v>
      </c>
      <c r="I115" t="inlineStr">
        <is>
          <t>Place De La Mairie</t>
        </is>
      </c>
      <c r="J115" t="inlineStr">
        <is>
          <t>12410</t>
        </is>
      </c>
      <c r="K115" t="inlineStr">
        <is>
          <t>Salles-Curan</t>
        </is>
      </c>
      <c r="L115" t="inlineStr"/>
      <c r="M115" t="inlineStr"/>
      <c r="N115" t="inlineStr"/>
      <c r="O115" t="inlineStr"/>
      <c r="P115" t="inlineStr"/>
      <c r="Q115" t="inlineStr">
        <is>
          <t>SIRENE (siège) : pas de fiche dans l’annuaire</t>
        </is>
      </c>
      <c r="R115" t="inlineStr"/>
      <c r="S115" t="inlineStr"/>
      <c r="T115" t="inlineStr"/>
    </row>
    <row r="116">
      <c r="A116" t="inlineStr">
        <is>
          <t>CC de Millau Grands Causses</t>
        </is>
      </c>
      <c r="B116" t="inlineStr">
        <is>
          <t>Communauté de communes</t>
        </is>
      </c>
      <c r="C116" t="inlineStr">
        <is>
          <t>241200567</t>
        </is>
      </c>
      <c r="D116" t="inlineStr">
        <is>
          <t>12, 48</t>
        </is>
      </c>
      <c r="E116" t="inlineStr">
        <is>
          <t>Aveyron, Lozère</t>
        </is>
      </c>
      <c r="F116" t="inlineStr">
        <is>
          <t>Occitanie</t>
        </is>
      </c>
      <c r="G116" s="3" t="n">
        <v>29374</v>
      </c>
      <c r="H116" t="n">
        <v>15</v>
      </c>
      <c r="I116" t="inlineStr">
        <is>
          <t>1 place du Beffroi, CS 80432</t>
        </is>
      </c>
      <c r="J116" t="inlineStr">
        <is>
          <t>12104</t>
        </is>
      </c>
      <c r="K116" t="inlineStr">
        <is>
          <t>Millau Cedex</t>
        </is>
      </c>
      <c r="L116" t="inlineStr">
        <is>
          <t>05 65 61 40 20</t>
        </is>
      </c>
      <c r="M116" s="4" t="inlineStr">
        <is>
          <t>contact@cc-millaugrandscausses.fr</t>
        </is>
      </c>
      <c r="N116" s="4" t="inlineStr">
        <is>
          <t>https://www.cc-millaugrandscausses.fr/</t>
        </is>
      </c>
      <c r="O116" s="4" t="inlineStr">
        <is>
          <t>https://www.cc-millaugrandscausses.fr/pages-pratiques/contact</t>
        </is>
      </c>
      <c r="P116" s="4" t="inlineStr">
        <is>
          <t>https://lannuaire.service-public.gouv.fr/occitanie/aveyron/d36fd525-141c-44fc-81f5-5842a1bff2a7</t>
        </is>
      </c>
      <c r="Q116" t="inlineStr">
        <is>
          <t>Annuaire Service-public.fr</t>
        </is>
      </c>
      <c r="R116" t="inlineStr"/>
      <c r="S116" t="inlineStr"/>
      <c r="T116" t="inlineStr"/>
    </row>
    <row r="117">
      <c r="A117" t="inlineStr">
        <is>
          <t>CC de la Muse et des Raspes du Tarn</t>
        </is>
      </c>
      <c r="B117" t="inlineStr">
        <is>
          <t>Communauté de communes</t>
        </is>
      </c>
      <c r="C117" t="inlineStr">
        <is>
          <t>241200914</t>
        </is>
      </c>
      <c r="D117" t="inlineStr">
        <is>
          <t>12</t>
        </is>
      </c>
      <c r="E117" t="inlineStr">
        <is>
          <t>Aveyron</t>
        </is>
      </c>
      <c r="F117" t="inlineStr">
        <is>
          <t>Occitanie</t>
        </is>
      </c>
      <c r="G117" s="3" t="n">
        <v>5413</v>
      </c>
      <c r="H117" t="n">
        <v>13</v>
      </c>
      <c r="I117" t="inlineStr">
        <is>
          <t>70 avenue Saint-Ferréols</t>
        </is>
      </c>
      <c r="J117" t="inlineStr">
        <is>
          <t>12490</t>
        </is>
      </c>
      <c r="K117" t="inlineStr">
        <is>
          <t>Saint-Rome-de-Tarn</t>
        </is>
      </c>
      <c r="L117" t="inlineStr">
        <is>
          <t>05 65 59 12 64</t>
        </is>
      </c>
      <c r="M117" s="4" t="inlineStr">
        <is>
          <t>cc.museetraspesdutarn@orange.fr</t>
        </is>
      </c>
      <c r="N117" s="4" t="inlineStr">
        <is>
          <t>https://www.cc-museetraspesdutarn.fr/</t>
        </is>
      </c>
      <c r="O117" t="inlineStr"/>
      <c r="P117" s="4" t="inlineStr">
        <is>
          <t>https://lannuaire.service-public.gouv.fr/occitanie/aveyron/741bd574-1707-4aca-b9d6-f110597db96a</t>
        </is>
      </c>
      <c r="Q117" t="inlineStr">
        <is>
          <t>Annuaire Service-public.fr</t>
        </is>
      </c>
      <c r="R117" t="inlineStr"/>
      <c r="S117" t="inlineStr"/>
      <c r="T117" t="inlineStr"/>
    </row>
    <row r="118">
      <c r="A118" t="inlineStr">
        <is>
          <t>CC des Causses à l'Aubrac</t>
        </is>
      </c>
      <c r="B118" t="inlineStr">
        <is>
          <t>Communauté de communes</t>
        </is>
      </c>
      <c r="C118" t="inlineStr">
        <is>
          <t>200068484</t>
        </is>
      </c>
      <c r="D118" t="inlineStr">
        <is>
          <t>12</t>
        </is>
      </c>
      <c r="E118" t="inlineStr">
        <is>
          <t>Aveyron</t>
        </is>
      </c>
      <c r="F118" t="inlineStr">
        <is>
          <t>Occitanie</t>
        </is>
      </c>
      <c r="G118" s="3" t="n">
        <v>14487</v>
      </c>
      <c r="H118" t="n">
        <v>17</v>
      </c>
      <c r="I118" t="inlineStr">
        <is>
          <t>3 place de la Fontaine</t>
        </is>
      </c>
      <c r="J118" t="inlineStr">
        <is>
          <t>12310</t>
        </is>
      </c>
      <c r="K118" t="inlineStr">
        <is>
          <t>Palmas d'Aveyron</t>
        </is>
      </c>
      <c r="L118" t="inlineStr">
        <is>
          <t>05 65 70 69 60</t>
        </is>
      </c>
      <c r="M118" s="4" t="inlineStr">
        <is>
          <t>contact@caussesaubrac.fr</t>
        </is>
      </c>
      <c r="N118" s="4" t="inlineStr">
        <is>
          <t>http://www.caussesaubrac.fr</t>
        </is>
      </c>
      <c r="O118" t="inlineStr"/>
      <c r="P118" s="4" t="inlineStr">
        <is>
          <t>https://lannuaire.service-public.gouv.fr/occitanie/aveyron/4245cf90-5df1-49fb-9ff8-97d4398d6fc1</t>
        </is>
      </c>
      <c r="Q118" t="inlineStr">
        <is>
          <t>Annuaire Service-public.fr</t>
        </is>
      </c>
      <c r="R118" t="inlineStr"/>
      <c r="S118" t="inlineStr"/>
      <c r="T118" t="inlineStr"/>
    </row>
    <row r="119">
      <c r="A119" t="inlineStr">
        <is>
          <t>CC du Pays Rignacois</t>
        </is>
      </c>
      <c r="B119" t="inlineStr">
        <is>
          <t>Communauté de communes</t>
        </is>
      </c>
      <c r="C119" t="inlineStr">
        <is>
          <t>241200625</t>
        </is>
      </c>
      <c r="D119" t="inlineStr">
        <is>
          <t>12</t>
        </is>
      </c>
      <c r="E119" t="inlineStr">
        <is>
          <t>Aveyron</t>
        </is>
      </c>
      <c r="F119" t="inlineStr">
        <is>
          <t>Occitanie</t>
        </is>
      </c>
      <c r="G119" s="3" t="n">
        <v>5579</v>
      </c>
      <c r="H119" t="n">
        <v>8</v>
      </c>
      <c r="I119" t="inlineStr">
        <is>
          <t>1 place du Portail-Haut</t>
        </is>
      </c>
      <c r="J119" t="inlineStr">
        <is>
          <t>12390</t>
        </is>
      </c>
      <c r="K119" t="inlineStr">
        <is>
          <t>Rignac</t>
        </is>
      </c>
      <c r="L119" t="inlineStr">
        <is>
          <t>05 65 80 20 80</t>
        </is>
      </c>
      <c r="M119" s="4" t="inlineStr">
        <is>
          <t>communautedecommunes@pays-rignacois.fr</t>
        </is>
      </c>
      <c r="N119" s="4" t="inlineStr">
        <is>
          <t>https://www.pays-rignacois.fr/</t>
        </is>
      </c>
      <c r="O119" s="4" t="inlineStr">
        <is>
          <t>https://www.pays-rignacois.fr/contact/</t>
        </is>
      </c>
      <c r="P119" s="4" t="inlineStr">
        <is>
          <t>https://lannuaire.service-public.gouv.fr/occitanie/aveyron/cdb9521d-42ef-48c4-83d8-81a97f91f96d</t>
        </is>
      </c>
      <c r="Q119" t="inlineStr">
        <is>
          <t>Annuaire Service-public.fr</t>
        </is>
      </c>
      <c r="R119" t="inlineStr"/>
      <c r="S119" t="inlineStr"/>
      <c r="T119" t="inlineStr"/>
    </row>
    <row r="120">
      <c r="A120" t="inlineStr">
        <is>
          <t>CC du Pays de Salars</t>
        </is>
      </c>
      <c r="B120" t="inlineStr">
        <is>
          <t>Communauté de communes</t>
        </is>
      </c>
      <c r="C120" t="inlineStr">
        <is>
          <t>241200658</t>
        </is>
      </c>
      <c r="D120" t="inlineStr">
        <is>
          <t>12</t>
        </is>
      </c>
      <c r="E120" t="inlineStr">
        <is>
          <t>Aveyron</t>
        </is>
      </c>
      <c r="F120" t="inlineStr">
        <is>
          <t>Occitanie</t>
        </is>
      </c>
      <c r="G120" s="3" t="n">
        <v>8004</v>
      </c>
      <c r="H120" t="n">
        <v>9</v>
      </c>
      <c r="I120" t="inlineStr">
        <is>
          <t>60 Pl De L'Hotel De Ville</t>
        </is>
      </c>
      <c r="J120" t="inlineStr">
        <is>
          <t>12290</t>
        </is>
      </c>
      <c r="K120" t="inlineStr">
        <is>
          <t>Pont-De-Salars</t>
        </is>
      </c>
      <c r="L120" t="inlineStr"/>
      <c r="M120" t="inlineStr"/>
      <c r="N120" t="inlineStr"/>
      <c r="O120" t="inlineStr"/>
      <c r="P120" t="inlineStr"/>
      <c r="Q120" t="inlineStr">
        <is>
          <t>SIRENE (siège) : pas de fiche dans l’annuaire</t>
        </is>
      </c>
      <c r="R120" t="inlineStr"/>
      <c r="S120" t="inlineStr"/>
      <c r="T120" t="inlineStr"/>
    </row>
    <row r="121">
      <c r="A121" t="inlineStr">
        <is>
          <t>CC du Plateau de Montbazens</t>
        </is>
      </c>
      <c r="B121" t="inlineStr">
        <is>
          <t>Communauté de communes</t>
        </is>
      </c>
      <c r="C121" t="inlineStr">
        <is>
          <t>241200674</t>
        </is>
      </c>
      <c r="D121" t="inlineStr">
        <is>
          <t>12</t>
        </is>
      </c>
      <c r="E121" t="inlineStr">
        <is>
          <t>Aveyron</t>
        </is>
      </c>
      <c r="F121" t="inlineStr">
        <is>
          <t>Occitanie</t>
        </is>
      </c>
      <c r="G121" s="3" t="n">
        <v>6206</v>
      </c>
      <c r="H121" t="n">
        <v>13</v>
      </c>
      <c r="I121" t="inlineStr">
        <is>
          <t>20 place de l'Église</t>
        </is>
      </c>
      <c r="J121" t="inlineStr">
        <is>
          <t>12220</t>
        </is>
      </c>
      <c r="K121" t="inlineStr">
        <is>
          <t>Montbazens</t>
        </is>
      </c>
      <c r="L121" t="inlineStr">
        <is>
          <t>05 65 63 76 07</t>
        </is>
      </c>
      <c r="M121" s="4" t="inlineStr">
        <is>
          <t>com.cnes.montbazens@wanadoo.fr</t>
        </is>
      </c>
      <c r="N121" s="4" t="inlineStr">
        <is>
          <t>https://plateau-de-montbazens.com/</t>
        </is>
      </c>
      <c r="O121" s="4" t="inlineStr">
        <is>
          <t>https://plateau-de-montbazens.com/accueil-comunaute-de-communes/contact/</t>
        </is>
      </c>
      <c r="P121" s="4" t="inlineStr">
        <is>
          <t>https://lannuaire.service-public.gouv.fr/occitanie/aveyron/a60c65ee-2dea-4797-ad64-afe713acef61</t>
        </is>
      </c>
      <c r="Q121" t="inlineStr">
        <is>
          <t>Annuaire Service-public.fr</t>
        </is>
      </c>
      <c r="R121" t="inlineStr"/>
      <c r="S121" t="inlineStr"/>
      <c r="T121" t="inlineStr"/>
    </row>
    <row r="122">
      <c r="A122" t="inlineStr">
        <is>
          <t>CC du Réquistanais</t>
        </is>
      </c>
      <c r="B122" t="inlineStr">
        <is>
          <t>Communauté de communes</t>
        </is>
      </c>
      <c r="C122" t="inlineStr">
        <is>
          <t>241200542</t>
        </is>
      </c>
      <c r="D122" t="inlineStr">
        <is>
          <t>12</t>
        </is>
      </c>
      <c r="E122" t="inlineStr">
        <is>
          <t>Aveyron</t>
        </is>
      </c>
      <c r="F122" t="inlineStr">
        <is>
          <t>Occitanie</t>
        </is>
      </c>
      <c r="G122" s="3" t="n">
        <v>5187</v>
      </c>
      <c r="H122" t="n">
        <v>11</v>
      </c>
      <c r="I122" t="inlineStr">
        <is>
          <t>2 place Prosper-Boissonnade</t>
        </is>
      </c>
      <c r="J122" t="inlineStr">
        <is>
          <t>12170</t>
        </is>
      </c>
      <c r="K122" t="inlineStr">
        <is>
          <t>Réquista</t>
        </is>
      </c>
      <c r="L122" t="inlineStr">
        <is>
          <t>05 65 74 57 00</t>
        </is>
      </c>
      <c r="M122" s="4" t="inlineStr">
        <is>
          <t>secretariat@requistanais.fr</t>
        </is>
      </c>
      <c r="N122" s="4" t="inlineStr">
        <is>
          <t>https://requistanais.fr/</t>
        </is>
      </c>
      <c r="O122" s="4" t="inlineStr">
        <is>
          <t>https://formulaires.mesdemarches.cap-atlantique.fr/une-infos-une-remarque-une-idee/contact/</t>
        </is>
      </c>
      <c r="P122" s="4" t="inlineStr">
        <is>
          <t>https://lannuaire.service-public.gouv.fr/occitanie/aveyron/5aa9b1a2-cedc-4f12-8440-159662a3cb5c</t>
        </is>
      </c>
      <c r="Q122" t="inlineStr">
        <is>
          <t>Annuaire Service-public.fr</t>
        </is>
      </c>
      <c r="R122" t="inlineStr"/>
      <c r="S122" t="inlineStr"/>
      <c r="T122" t="inlineStr"/>
    </row>
    <row r="123">
      <c r="A123" t="inlineStr">
        <is>
          <t>CC Vallée des Baux-Alpilles (CC VBA)</t>
        </is>
      </c>
      <c r="B123" t="inlineStr">
        <is>
          <t>Communauté de communes</t>
        </is>
      </c>
      <c r="C123" t="inlineStr">
        <is>
          <t>241300375</t>
        </is>
      </c>
      <c r="D123" t="inlineStr">
        <is>
          <t>13</t>
        </is>
      </c>
      <c r="E123" t="inlineStr">
        <is>
          <t>Bouches-du-Rhône</t>
        </is>
      </c>
      <c r="F123" t="inlineStr">
        <is>
          <t>Provence-Alpes-Côte d'Azur</t>
        </is>
      </c>
      <c r="G123" s="3" t="n">
        <v>27706</v>
      </c>
      <c r="H123" t="n">
        <v>10</v>
      </c>
      <c r="I123" t="inlineStr">
        <is>
          <t>23 avenue des Joncades-Basses</t>
        </is>
      </c>
      <c r="J123" t="inlineStr">
        <is>
          <t>13210</t>
        </is>
      </c>
      <c r="K123" t="inlineStr">
        <is>
          <t>Saint-Remy-de-Provence</t>
        </is>
      </c>
      <c r="L123" t="inlineStr">
        <is>
          <t>04 90 54 54 20</t>
        </is>
      </c>
      <c r="M123" s="4" t="inlineStr">
        <is>
          <t>bienvenue@ccvba.fr</t>
        </is>
      </c>
      <c r="N123" s="4" t="inlineStr">
        <is>
          <t>https://www.vallee-des-baux-alpilles.fr/</t>
        </is>
      </c>
      <c r="O123" s="4" t="inlineStr">
        <is>
          <t>https://www.vallee-des-baux-alpilles.fr/contactez-nous/</t>
        </is>
      </c>
      <c r="P123" s="4" t="inlineStr">
        <is>
          <t>https://lannuaire.service-public.gouv.fr/provence-alpes-cote-d-azur/bouches-du-rhone/73f09749-0063-4339-8369-ee180e77ed85</t>
        </is>
      </c>
      <c r="Q123" t="inlineStr">
        <is>
          <t>Annuaire Service-public.fr</t>
        </is>
      </c>
      <c r="R123" t="inlineStr"/>
      <c r="S123" t="inlineStr"/>
      <c r="T123" t="inlineStr"/>
    </row>
    <row r="124">
      <c r="A124" t="inlineStr">
        <is>
          <t>CC Cingal-Suisse Normande</t>
        </is>
      </c>
      <c r="B124" t="inlineStr">
        <is>
          <t>Communauté de communes</t>
        </is>
      </c>
      <c r="C124" t="inlineStr">
        <is>
          <t>200066710</t>
        </is>
      </c>
      <c r="D124" t="inlineStr">
        <is>
          <t>14</t>
        </is>
      </c>
      <c r="E124" t="inlineStr">
        <is>
          <t>Calvados</t>
        </is>
      </c>
      <c r="F124" t="inlineStr">
        <is>
          <t>Normandie</t>
        </is>
      </c>
      <c r="G124" s="3" t="n">
        <v>23506</v>
      </c>
      <c r="H124" t="n">
        <v>41</v>
      </c>
      <c r="I124" t="inlineStr">
        <is>
          <t>4 rue Docteur-Gourdin</t>
        </is>
      </c>
      <c r="J124" t="inlineStr">
        <is>
          <t>14220</t>
        </is>
      </c>
      <c r="K124" t="inlineStr">
        <is>
          <t>Thury-Harcourt-le-Hom</t>
        </is>
      </c>
      <c r="L124" t="inlineStr">
        <is>
          <t>02 31 79 61 61</t>
        </is>
      </c>
      <c r="M124" s="4" t="inlineStr">
        <is>
          <t>cdc@cingal-suissenormande.fr</t>
        </is>
      </c>
      <c r="N124" s="4" t="inlineStr">
        <is>
          <t>https://www.suisse-normande.com/</t>
        </is>
      </c>
      <c r="O124" s="4" t="inlineStr">
        <is>
          <t>https://www.suisse-normande.com/contactez-nous/</t>
        </is>
      </c>
      <c r="P124" s="4" t="inlineStr">
        <is>
          <t>https://lannuaire.service-public.gouv.fr/normandie/calvados/301a9d4a-3b3c-4f7e-ad6c-a48c018f76fe</t>
        </is>
      </c>
      <c r="Q124" t="inlineStr">
        <is>
          <t>Annuaire Service-public.fr</t>
        </is>
      </c>
      <c r="R124" t="inlineStr"/>
      <c r="S124" t="inlineStr"/>
      <c r="T124" t="inlineStr"/>
    </row>
    <row r="125">
      <c r="A125" t="inlineStr">
        <is>
          <t>CC Coeur Côte Fleurie</t>
        </is>
      </c>
      <c r="B125" t="inlineStr">
        <is>
          <t>Communauté de communes</t>
        </is>
      </c>
      <c r="C125" t="inlineStr">
        <is>
          <t>241400415</t>
        </is>
      </c>
      <c r="D125" t="inlineStr">
        <is>
          <t>14</t>
        </is>
      </c>
      <c r="E125" t="inlineStr">
        <is>
          <t>Calvados</t>
        </is>
      </c>
      <c r="F125" t="inlineStr">
        <is>
          <t>Normandie</t>
        </is>
      </c>
      <c r="G125" s="3" t="n">
        <v>20687</v>
      </c>
      <c r="H125" t="n">
        <v>12</v>
      </c>
      <c r="I125" t="inlineStr">
        <is>
          <t>12 rue Robert-Fossorier</t>
        </is>
      </c>
      <c r="J125" t="inlineStr">
        <is>
          <t>14803</t>
        </is>
      </c>
      <c r="K125" t="inlineStr">
        <is>
          <t>Deauville Cedex</t>
        </is>
      </c>
      <c r="L125" t="inlineStr">
        <is>
          <t>02 31 88 54 49</t>
        </is>
      </c>
      <c r="M125" s="4" t="inlineStr">
        <is>
          <t>info@coeurcotefleurie.org</t>
        </is>
      </c>
      <c r="N125" s="4" t="inlineStr">
        <is>
          <t>https://www.coeurcotefleurie.org/</t>
        </is>
      </c>
      <c r="O125" s="4" t="inlineStr">
        <is>
          <t>https://www.coeurcotefleurie.org/contact/</t>
        </is>
      </c>
      <c r="P125" s="4" t="inlineStr">
        <is>
          <t>https://lannuaire.service-public.gouv.fr/normandie/calvados/4dd72523-f656-4b6b-82e6-7693dd451106</t>
        </is>
      </c>
      <c r="Q125" t="inlineStr">
        <is>
          <t>Annuaire Service-public.fr</t>
        </is>
      </c>
      <c r="R125" t="inlineStr"/>
      <c r="S125" t="inlineStr"/>
      <c r="T125" t="inlineStr"/>
    </row>
    <row r="126">
      <c r="A126" t="inlineStr">
        <is>
          <t>CC Coeur de Nacre</t>
        </is>
      </c>
      <c r="B126" t="inlineStr">
        <is>
          <t>Communauté de communes</t>
        </is>
      </c>
      <c r="C126" t="inlineStr">
        <is>
          <t>241400860</t>
        </is>
      </c>
      <c r="D126" t="inlineStr">
        <is>
          <t>14</t>
        </is>
      </c>
      <c r="E126" t="inlineStr">
        <is>
          <t>Calvados</t>
        </is>
      </c>
      <c r="F126" t="inlineStr">
        <is>
          <t>Normandie</t>
        </is>
      </c>
      <c r="G126" s="3" t="n">
        <v>24161</v>
      </c>
      <c r="H126" t="n">
        <v>12</v>
      </c>
      <c r="I126" t="inlineStr">
        <is>
          <t>7 rue de l'Église</t>
        </is>
      </c>
      <c r="J126" t="inlineStr">
        <is>
          <t>14440</t>
        </is>
      </c>
      <c r="K126" t="inlineStr">
        <is>
          <t>Douvres-la-Délivrande</t>
        </is>
      </c>
      <c r="L126" t="inlineStr">
        <is>
          <t>02 31 97 43 32</t>
        </is>
      </c>
      <c r="M126" s="4" t="inlineStr">
        <is>
          <t>contact@coeurdenacre.fr</t>
        </is>
      </c>
      <c r="N126" s="4" t="inlineStr">
        <is>
          <t>https://www.coeurdenacre.fr/web/index.php</t>
        </is>
      </c>
      <c r="O126" s="4" t="inlineStr">
        <is>
          <t>https://www.coeurdenacre.fr/contact.html</t>
        </is>
      </c>
      <c r="P126" s="4" t="inlineStr">
        <is>
          <t>https://lannuaire.service-public.gouv.fr/normandie/calvados/2d6b02bd-b9fc-467b-a94b-a737596fa647</t>
        </is>
      </c>
      <c r="Q126" t="inlineStr">
        <is>
          <t>Annuaire Service-public.fr</t>
        </is>
      </c>
      <c r="R126" t="inlineStr"/>
      <c r="S126" t="inlineStr"/>
      <c r="T126" t="inlineStr"/>
    </row>
    <row r="127">
      <c r="A127" t="inlineStr">
        <is>
          <t>CC Intercom de la Vire au Noireau</t>
        </is>
      </c>
      <c r="B127" t="inlineStr">
        <is>
          <t>Communauté de communes</t>
        </is>
      </c>
      <c r="C127" t="inlineStr">
        <is>
          <t>200068799</t>
        </is>
      </c>
      <c r="D127" t="inlineStr">
        <is>
          <t>14</t>
        </is>
      </c>
      <c r="E127" t="inlineStr">
        <is>
          <t>Calvados</t>
        </is>
      </c>
      <c r="F127" t="inlineStr">
        <is>
          <t>Normandie</t>
        </is>
      </c>
      <c r="G127" s="3" t="n">
        <v>46187</v>
      </c>
      <c r="H127" t="n">
        <v>17</v>
      </c>
      <c r="I127" t="inlineStr">
        <is>
          <t>20 rue d'Aignaux</t>
        </is>
      </c>
      <c r="J127" t="inlineStr">
        <is>
          <t>14500</t>
        </is>
      </c>
      <c r="K127" t="inlineStr">
        <is>
          <t>Vire</t>
        </is>
      </c>
      <c r="L127" t="inlineStr">
        <is>
          <t>02 31 66 66 55</t>
        </is>
      </c>
      <c r="M127" s="4" t="inlineStr">
        <is>
          <t>accueil.ivn@vireaunoireau.fr</t>
        </is>
      </c>
      <c r="N127" s="4" t="inlineStr">
        <is>
          <t>https://www.vireaunoireau.fr/</t>
        </is>
      </c>
      <c r="O127" t="inlineStr"/>
      <c r="P127" s="4" t="inlineStr">
        <is>
          <t>https://lannuaire.service-public.gouv.fr/normandie/calvados/7d836e95-d9fa-49c3-b60d-d4efc9d33203</t>
        </is>
      </c>
      <c r="Q127" t="inlineStr">
        <is>
          <t>Annuaire Service-public.fr</t>
        </is>
      </c>
      <c r="R127" t="inlineStr"/>
      <c r="S127" t="inlineStr"/>
      <c r="T127" t="inlineStr"/>
    </row>
    <row r="128">
      <c r="A128" t="inlineStr">
        <is>
          <t>CC Isigny-Omaha Intercom</t>
        </is>
      </c>
      <c r="B128" t="inlineStr">
        <is>
          <t>Communauté de communes</t>
        </is>
      </c>
      <c r="C128" t="inlineStr">
        <is>
          <t>200066801</t>
        </is>
      </c>
      <c r="D128" t="inlineStr">
        <is>
          <t>14</t>
        </is>
      </c>
      <c r="E128" t="inlineStr">
        <is>
          <t>Calvados</t>
        </is>
      </c>
      <c r="F128" t="inlineStr">
        <is>
          <t>Normandie</t>
        </is>
      </c>
      <c r="G128" s="3" t="n">
        <v>26420</v>
      </c>
      <c r="H128" t="n">
        <v>59</v>
      </c>
      <c r="I128" t="inlineStr">
        <is>
          <t>1336 route de Balleroy</t>
        </is>
      </c>
      <c r="J128" t="inlineStr">
        <is>
          <t>14330</t>
        </is>
      </c>
      <c r="K128" t="inlineStr">
        <is>
          <t>Le Molay-Littry</t>
        </is>
      </c>
      <c r="L128" t="inlineStr">
        <is>
          <t>02 31 21 42 27</t>
        </is>
      </c>
      <c r="M128" s="4" t="inlineStr">
        <is>
          <t>accueil@isigny-omaha-intercom.fr</t>
        </is>
      </c>
      <c r="N128" s="4" t="inlineStr">
        <is>
          <t>https://isigny-omaha-intercom.fr/</t>
        </is>
      </c>
      <c r="O128" s="4" t="inlineStr">
        <is>
          <t>https://isigny-omaha-intercom.fr/contact/</t>
        </is>
      </c>
      <c r="P128" s="4" t="inlineStr">
        <is>
          <t>https://lannuaire.service-public.gouv.fr/normandie/calvados/d6f33c2e-5f65-482f-8bed-9393253d3da0</t>
        </is>
      </c>
      <c r="Q128" t="inlineStr">
        <is>
          <t>Annuaire Service-public.fr</t>
        </is>
      </c>
      <c r="R128" t="inlineStr"/>
      <c r="S128" t="inlineStr"/>
      <c r="T128" t="inlineStr"/>
    </row>
    <row r="129">
      <c r="A129" t="inlineStr">
        <is>
          <t>CC Normandie-Cabourg-Pays d'Auge</t>
        </is>
      </c>
      <c r="B129" t="inlineStr">
        <is>
          <t>Communauté de communes</t>
        </is>
      </c>
      <c r="C129" t="inlineStr">
        <is>
          <t>200065563</t>
        </is>
      </c>
      <c r="D129" t="inlineStr">
        <is>
          <t>14</t>
        </is>
      </c>
      <c r="E129" t="inlineStr">
        <is>
          <t>Calvados</t>
        </is>
      </c>
      <c r="F129" t="inlineStr">
        <is>
          <t>Normandie</t>
        </is>
      </c>
      <c r="G129" s="3" t="n">
        <v>31566</v>
      </c>
      <c r="H129" t="n">
        <v>38</v>
      </c>
      <c r="I129" t="inlineStr">
        <is>
          <t>Rue des Entreprises, ZAC de la Vignerie, CS 10056</t>
        </is>
      </c>
      <c r="J129" t="inlineStr">
        <is>
          <t>14160</t>
        </is>
      </c>
      <c r="K129" t="inlineStr">
        <is>
          <t>Dives-sur-Mer</t>
        </is>
      </c>
      <c r="L129" t="inlineStr">
        <is>
          <t>02 31 28 39 97</t>
        </is>
      </c>
      <c r="M129" s="4" t="inlineStr">
        <is>
          <t>accueil@normandiecabourgpaysdauge.fr</t>
        </is>
      </c>
      <c r="N129" s="4" t="inlineStr">
        <is>
          <t>https://www.normandiecabourgpaysdauge.fr/#modal</t>
        </is>
      </c>
      <c r="O129" s="4" t="inlineStr">
        <is>
          <t>https://www.normandiecabourgpaysdauge.fr/contact/</t>
        </is>
      </c>
      <c r="P129" s="4" t="inlineStr">
        <is>
          <t>https://lannuaire.service-public.gouv.fr/normandie/calvados/b09f9e02-def0-46c3-919b-2b5e37aebbd5</t>
        </is>
      </c>
      <c r="Q129" t="inlineStr">
        <is>
          <t>Annuaire Service-public.fr</t>
        </is>
      </c>
      <c r="R129" t="inlineStr"/>
      <c r="S129" t="inlineStr"/>
      <c r="T129" t="inlineStr"/>
    </row>
    <row r="130">
      <c r="A130" t="inlineStr">
        <is>
          <t>CC Pré-Bocage Intercom</t>
        </is>
      </c>
      <c r="B130" t="inlineStr">
        <is>
          <t>Communauté de communes</t>
        </is>
      </c>
      <c r="C130" t="inlineStr">
        <is>
          <t>200069524</t>
        </is>
      </c>
      <c r="D130" t="inlineStr">
        <is>
          <t>14</t>
        </is>
      </c>
      <c r="E130" t="inlineStr">
        <is>
          <t>Calvados</t>
        </is>
      </c>
      <c r="F130" t="inlineStr">
        <is>
          <t>Normandie</t>
        </is>
      </c>
      <c r="G130" s="3" t="n">
        <v>24984</v>
      </c>
      <c r="H130" t="n">
        <v>27</v>
      </c>
      <c r="I130" t="inlineStr">
        <is>
          <t>31 rue de Vire, Aunay-sur-Odon</t>
        </is>
      </c>
      <c r="J130" t="inlineStr">
        <is>
          <t>14260</t>
        </is>
      </c>
      <c r="K130" t="inlineStr">
        <is>
          <t>Les-Monts-d'Aunay</t>
        </is>
      </c>
      <c r="L130" t="inlineStr">
        <is>
          <t>02 31 77 57 48</t>
        </is>
      </c>
      <c r="M130" s="4" t="inlineStr">
        <is>
          <t>contact@pbi14.fr</t>
        </is>
      </c>
      <c r="N130" s="4" t="inlineStr">
        <is>
          <t>https://prebocageintercom.fr</t>
        </is>
      </c>
      <c r="O130" t="inlineStr"/>
      <c r="P130" s="4" t="inlineStr">
        <is>
          <t>https://lannuaire.service-public.gouv.fr/normandie/calvados/14d1674b-92d5-44c2-8f22-6c07c0406f7c</t>
        </is>
      </c>
      <c r="Q130" t="inlineStr">
        <is>
          <t>Annuaire Service-public.fr</t>
        </is>
      </c>
      <c r="R130" t="inlineStr"/>
      <c r="S130" t="inlineStr"/>
      <c r="T130" t="inlineStr"/>
    </row>
    <row r="131">
      <c r="A131" t="inlineStr">
        <is>
          <t>CC Seulles Terre et Mer</t>
        </is>
      </c>
      <c r="B131" t="inlineStr">
        <is>
          <t>Communauté de communes</t>
        </is>
      </c>
      <c r="C131" t="inlineStr">
        <is>
          <t>200069516</t>
        </is>
      </c>
      <c r="D131" t="inlineStr">
        <is>
          <t>14</t>
        </is>
      </c>
      <c r="E131" t="inlineStr">
        <is>
          <t>Calvados</t>
        </is>
      </c>
      <c r="F131" t="inlineStr">
        <is>
          <t>Normandie</t>
        </is>
      </c>
      <c r="G131" s="3" t="n">
        <v>17577</v>
      </c>
      <c r="H131" t="n">
        <v>28</v>
      </c>
      <c r="I131" t="inlineStr">
        <is>
          <t>10 place Edmond-Paillaud</t>
        </is>
      </c>
      <c r="J131" t="inlineStr">
        <is>
          <t>14480</t>
        </is>
      </c>
      <c r="K131" t="inlineStr">
        <is>
          <t>Creully-sur-Seulles</t>
        </is>
      </c>
      <c r="L131" t="inlineStr">
        <is>
          <t>02 31 77 72 77</t>
        </is>
      </c>
      <c r="M131" s="4" t="inlineStr">
        <is>
          <t>contact@cdc-stm.fr</t>
        </is>
      </c>
      <c r="N131" s="4" t="inlineStr">
        <is>
          <t>https://www.seulles-terre-mer.fr</t>
        </is>
      </c>
      <c r="O131" s="4" t="inlineStr">
        <is>
          <t>https://seulles-terre-mer.fr/contact/</t>
        </is>
      </c>
      <c r="P131" s="4" t="inlineStr">
        <is>
          <t>https://lannuaire.service-public.gouv.fr/normandie/calvados/87b7a1ae-638a-45a1-8d98-d14488371d14</t>
        </is>
      </c>
      <c r="Q131" t="inlineStr">
        <is>
          <t>Annuaire Service-public.fr</t>
        </is>
      </c>
      <c r="R131" t="inlineStr"/>
      <c r="S131" t="inlineStr"/>
      <c r="T131" t="inlineStr"/>
    </row>
    <row r="132">
      <c r="A132" t="inlineStr">
        <is>
          <t>CC Terre d'Auge</t>
        </is>
      </c>
      <c r="B132" t="inlineStr">
        <is>
          <t>Communauté de communes</t>
        </is>
      </c>
      <c r="C132" t="inlineStr">
        <is>
          <t>241400878</t>
        </is>
      </c>
      <c r="D132" t="inlineStr">
        <is>
          <t>14</t>
        </is>
      </c>
      <c r="E132" t="inlineStr">
        <is>
          <t>Calvados</t>
        </is>
      </c>
      <c r="F132" t="inlineStr">
        <is>
          <t>Normandie</t>
        </is>
      </c>
      <c r="G132" s="3" t="n">
        <v>19801</v>
      </c>
      <c r="H132" t="n">
        <v>44</v>
      </c>
      <c r="I132" t="inlineStr">
        <is>
          <t>9 rue de l'Hippodrome</t>
        </is>
      </c>
      <c r="J132" t="inlineStr">
        <is>
          <t>14130</t>
        </is>
      </c>
      <c r="K132" t="inlineStr">
        <is>
          <t>Pont-l'Évêque</t>
        </is>
      </c>
      <c r="L132" t="inlineStr">
        <is>
          <t>02 31 65 04 75</t>
        </is>
      </c>
      <c r="M132" s="4" t="inlineStr">
        <is>
          <t>accueil@terredauge.fr</t>
        </is>
      </c>
      <c r="N132" s="4" t="inlineStr">
        <is>
          <t>https://www.terredauge.fr/</t>
        </is>
      </c>
      <c r="O132" s="4" t="inlineStr">
        <is>
          <t>https://www.terredauge.fr/contact/</t>
        </is>
      </c>
      <c r="P132" s="4" t="inlineStr">
        <is>
          <t>https://lannuaire.service-public.gouv.fr/normandie/calvados/f7754cf2-bbe4-4e33-bd3d-f89c723b9877</t>
        </is>
      </c>
      <c r="Q132" t="inlineStr">
        <is>
          <t>Annuaire Service-public.fr</t>
        </is>
      </c>
      <c r="R132" t="inlineStr"/>
      <c r="S132" t="inlineStr"/>
      <c r="T132" t="inlineStr"/>
    </row>
    <row r="133">
      <c r="A133" t="inlineStr">
        <is>
          <t>CC Val ès Dunes</t>
        </is>
      </c>
      <c r="B133" t="inlineStr">
        <is>
          <t>Communauté de communes</t>
        </is>
      </c>
      <c r="C133" t="inlineStr">
        <is>
          <t>200065589</t>
        </is>
      </c>
      <c r="D133" t="inlineStr">
        <is>
          <t>14</t>
        </is>
      </c>
      <c r="E133" t="inlineStr">
        <is>
          <t>Calvados</t>
        </is>
      </c>
      <c r="F133" t="inlineStr">
        <is>
          <t>Normandie</t>
        </is>
      </c>
      <c r="G133" s="3" t="n">
        <v>20565</v>
      </c>
      <c r="H133" t="n">
        <v>19</v>
      </c>
      <c r="I133" t="inlineStr">
        <is>
          <t>1 rue de Guéritot</t>
        </is>
      </c>
      <c r="J133" t="inlineStr">
        <is>
          <t>14370</t>
        </is>
      </c>
      <c r="K133" t="inlineStr">
        <is>
          <t>Argences</t>
        </is>
      </c>
      <c r="L133" t="inlineStr">
        <is>
          <t>02 31 15 63 70</t>
        </is>
      </c>
      <c r="M133" s="4" t="inlineStr">
        <is>
          <t>cdc@valesdunes.fr</t>
        </is>
      </c>
      <c r="N133" s="4" t="inlineStr">
        <is>
          <t>https://www.valesdunes.fr/</t>
        </is>
      </c>
      <c r="O133" s="4" t="inlineStr">
        <is>
          <t>https://www.valesdunes.fr/contact/</t>
        </is>
      </c>
      <c r="P133" s="4" t="inlineStr">
        <is>
          <t>https://lannuaire.service-public.gouv.fr/normandie/calvados/37f77977-5027-4527-8ff1-d27d53bfdce7</t>
        </is>
      </c>
      <c r="Q133" t="inlineStr">
        <is>
          <t>Annuaire Service-public.fr</t>
        </is>
      </c>
      <c r="R133" t="inlineStr"/>
      <c r="S133" t="inlineStr"/>
      <c r="T133" t="inlineStr"/>
    </row>
    <row r="134">
      <c r="A134" t="inlineStr">
        <is>
          <t>CC Vallées de l'Orne et de l'Odon</t>
        </is>
      </c>
      <c r="B134" t="inlineStr">
        <is>
          <t>Communauté de communes</t>
        </is>
      </c>
      <c r="C134" t="inlineStr">
        <is>
          <t>200066728</t>
        </is>
      </c>
      <c r="D134" t="inlineStr">
        <is>
          <t>14</t>
        </is>
      </c>
      <c r="E134" t="inlineStr">
        <is>
          <t>Calvados</t>
        </is>
      </c>
      <c r="F134" t="inlineStr">
        <is>
          <t>Normandie</t>
        </is>
      </c>
      <c r="G134" s="3" t="n">
        <v>26436</v>
      </c>
      <c r="H134" t="n">
        <v>22</v>
      </c>
      <c r="I134" t="inlineStr">
        <is>
          <t>4 Rue du Colonel Arnaud Beltrame</t>
        </is>
      </c>
      <c r="J134" t="inlineStr">
        <is>
          <t>14210</t>
        </is>
      </c>
      <c r="K134" t="inlineStr">
        <is>
          <t>Évrecy</t>
        </is>
      </c>
      <c r="L134" t="inlineStr">
        <is>
          <t>02 31 73 11 98</t>
        </is>
      </c>
      <c r="M134" s="4" t="inlineStr">
        <is>
          <t>contact@vallees-orne-odon.fr</t>
        </is>
      </c>
      <c r="N134" s="4" t="inlineStr">
        <is>
          <t>https://cdc.vallees-orne-odon.fr/</t>
        </is>
      </c>
      <c r="O134" s="4" t="inlineStr">
        <is>
          <t>https://cdc.vallees-orne-odon.fr/contacts/</t>
        </is>
      </c>
      <c r="P134" s="4" t="inlineStr">
        <is>
          <t>https://lannuaire.service-public.gouv.fr/normandie/calvados/42b1e277-6e97-4327-9b01-77e72570390a</t>
        </is>
      </c>
      <c r="Q134" t="inlineStr">
        <is>
          <t>Annuaire Service-public.fr</t>
        </is>
      </c>
      <c r="R134" t="inlineStr"/>
      <c r="S134" t="inlineStr"/>
      <c r="T134" t="inlineStr"/>
    </row>
    <row r="135">
      <c r="A135" t="inlineStr">
        <is>
          <t>CC de Bayeux Intercom</t>
        </is>
      </c>
      <c r="B135" t="inlineStr">
        <is>
          <t>Communauté de communes</t>
        </is>
      </c>
      <c r="C135" t="inlineStr">
        <is>
          <t>241400555</t>
        </is>
      </c>
      <c r="D135" t="inlineStr">
        <is>
          <t>14</t>
        </is>
      </c>
      <c r="E135" t="inlineStr">
        <is>
          <t>Calvados</t>
        </is>
      </c>
      <c r="F135" t="inlineStr">
        <is>
          <t>Normandie</t>
        </is>
      </c>
      <c r="G135" s="3" t="n">
        <v>29939</v>
      </c>
      <c r="H135" t="n">
        <v>36</v>
      </c>
      <c r="I135" t="inlineStr">
        <is>
          <t>4 place Gauquelin-des-Pallières</t>
        </is>
      </c>
      <c r="J135" t="inlineStr">
        <is>
          <t>14400</t>
        </is>
      </c>
      <c r="K135" t="inlineStr">
        <is>
          <t>Bayeux</t>
        </is>
      </c>
      <c r="L135" t="inlineStr">
        <is>
          <t>02 31 51 63 00</t>
        </is>
      </c>
      <c r="M135" s="4" t="inlineStr">
        <is>
          <t>siege@bayeux-intercom.fr</t>
        </is>
      </c>
      <c r="N135" s="4" t="inlineStr">
        <is>
          <t>https://www.bayeux-intercom.fr/</t>
        </is>
      </c>
      <c r="O135" s="4" t="inlineStr">
        <is>
          <t>https://www.bayeux-intercom.fr/infos/contact/</t>
        </is>
      </c>
      <c r="P135" s="4" t="inlineStr">
        <is>
          <t>https://lannuaire.service-public.gouv.fr/normandie/calvados/8687d9bd-03c6-44ba-a679-fe8c86ce8717</t>
        </is>
      </c>
      <c r="Q135" t="inlineStr">
        <is>
          <t>Annuaire Service-public.fr</t>
        </is>
      </c>
      <c r="R135" t="inlineStr"/>
      <c r="S135" t="inlineStr"/>
      <c r="T135" t="inlineStr"/>
    </row>
    <row r="136">
      <c r="A136" t="inlineStr">
        <is>
          <t>CC du Pays de Falaise</t>
        </is>
      </c>
      <c r="B136" t="inlineStr">
        <is>
          <t>Communauté de communes</t>
        </is>
      </c>
      <c r="C136" t="inlineStr">
        <is>
          <t>241400514</t>
        </is>
      </c>
      <c r="D136" t="inlineStr">
        <is>
          <t>14</t>
        </is>
      </c>
      <c r="E136" t="inlineStr">
        <is>
          <t>Calvados</t>
        </is>
      </c>
      <c r="F136" t="inlineStr">
        <is>
          <t>Normandie</t>
        </is>
      </c>
      <c r="G136" s="3" t="n">
        <v>27374</v>
      </c>
      <c r="H136" t="n">
        <v>58</v>
      </c>
      <c r="I136" t="inlineStr">
        <is>
          <t>Rue de l'Industrie</t>
        </is>
      </c>
      <c r="J136" t="inlineStr">
        <is>
          <t>14700</t>
        </is>
      </c>
      <c r="K136" t="inlineStr">
        <is>
          <t>Falaise</t>
        </is>
      </c>
      <c r="L136" t="inlineStr">
        <is>
          <t>02 31 90 42 18</t>
        </is>
      </c>
      <c r="M136" s="4" t="inlineStr">
        <is>
          <t>accueil@paysdefalaise.fr</t>
        </is>
      </c>
      <c r="N136" s="4" t="inlineStr">
        <is>
          <t>https://www.paysdefalaise.fr/</t>
        </is>
      </c>
      <c r="O136" s="4" t="inlineStr">
        <is>
          <t>https://www.paysdefalaise.fr/communaute-de-communes/notre-fonctionnement/contact/</t>
        </is>
      </c>
      <c r="P136" s="4" t="inlineStr">
        <is>
          <t>https://lannuaire.service-public.gouv.fr/normandie/calvados/96e52221-71b0-4e5f-b25f-f7beed394447</t>
        </is>
      </c>
      <c r="Q136" t="inlineStr">
        <is>
          <t>Annuaire Service-public.fr</t>
        </is>
      </c>
      <c r="R136" t="inlineStr"/>
      <c r="S136" t="inlineStr"/>
      <c r="T136" t="inlineStr"/>
    </row>
    <row r="137">
      <c r="A137" t="inlineStr">
        <is>
          <t>CC du Pays de Honfleur-Beuzeville</t>
        </is>
      </c>
      <c r="B137" t="inlineStr">
        <is>
          <t>Communauté de communes</t>
        </is>
      </c>
      <c r="C137" t="inlineStr">
        <is>
          <t>200066827</t>
        </is>
      </c>
      <c r="D137" t="inlineStr">
        <is>
          <t>14, 27</t>
        </is>
      </c>
      <c r="E137" t="inlineStr">
        <is>
          <t>Calvados, Eure</t>
        </is>
      </c>
      <c r="F137" t="inlineStr">
        <is>
          <t>Normandie</t>
        </is>
      </c>
      <c r="G137" s="3" t="n">
        <v>27103</v>
      </c>
      <c r="H137" t="n">
        <v>23</v>
      </c>
      <c r="I137" t="inlineStr">
        <is>
          <t>33 cours des Fossés</t>
        </is>
      </c>
      <c r="J137" t="inlineStr">
        <is>
          <t>14600</t>
        </is>
      </c>
      <c r="K137" t="inlineStr">
        <is>
          <t>Honfleur</t>
        </is>
      </c>
      <c r="L137" t="inlineStr">
        <is>
          <t>02 31 14 29 30</t>
        </is>
      </c>
      <c r="M137" s="4" t="inlineStr">
        <is>
          <t>contact@ccphb.fr</t>
        </is>
      </c>
      <c r="N137" s="4" t="inlineStr">
        <is>
          <t>https://www.ccphb.fr/</t>
        </is>
      </c>
      <c r="O137" s="4" t="inlineStr">
        <is>
          <t>https://www.ccphb.fr/contact/</t>
        </is>
      </c>
      <c r="P137" s="4" t="inlineStr">
        <is>
          <t>https://lannuaire.service-public.gouv.fr/normandie/calvados/bd821f66-9c8a-47b5-bc80-1c72331aaf45</t>
        </is>
      </c>
      <c r="Q137" t="inlineStr">
        <is>
          <t>Annuaire Service-public.fr</t>
        </is>
      </c>
      <c r="R137" t="inlineStr"/>
      <c r="S137" t="inlineStr"/>
      <c r="T137" t="inlineStr"/>
    </row>
    <row r="138">
      <c r="A138" t="inlineStr">
        <is>
          <t>CC Cère et Goul en Carladès</t>
        </is>
      </c>
      <c r="B138" t="inlineStr">
        <is>
          <t>Communauté de communes</t>
        </is>
      </c>
      <c r="C138" t="inlineStr">
        <is>
          <t>241501089</t>
        </is>
      </c>
      <c r="D138" t="inlineStr">
        <is>
          <t>15</t>
        </is>
      </c>
      <c r="E138" t="inlineStr">
        <is>
          <t>Cantal</t>
        </is>
      </c>
      <c r="F138" t="inlineStr">
        <is>
          <t>Auvergne-Rhône-Alpes</t>
        </is>
      </c>
      <c r="G138" s="3" t="n">
        <v>4997</v>
      </c>
      <c r="H138" t="n">
        <v>11</v>
      </c>
      <c r="I138" t="inlineStr">
        <is>
          <t>6 rue de l'Elancèze</t>
        </is>
      </c>
      <c r="J138" t="inlineStr">
        <is>
          <t>15800</t>
        </is>
      </c>
      <c r="K138" t="inlineStr">
        <is>
          <t>Vic-sur-Cère</t>
        </is>
      </c>
      <c r="L138" t="inlineStr">
        <is>
          <t>04 71 47 89 00</t>
        </is>
      </c>
      <c r="M138" s="4" t="inlineStr">
        <is>
          <t>secretariat@carlades.fr</t>
        </is>
      </c>
      <c r="N138" s="4" t="inlineStr">
        <is>
          <t>https://www.carlades.com/</t>
        </is>
      </c>
      <c r="O138" s="4" t="inlineStr">
        <is>
          <t>https://www.carlades.com/nous-joindre/</t>
        </is>
      </c>
      <c r="P138" s="4" t="inlineStr">
        <is>
          <t>https://lannuaire.service-public.gouv.fr/auvergne-rhone-alpes/cantal/4b15dd65-2ec4-4f19-9780-5a318eabaf9d</t>
        </is>
      </c>
      <c r="Q138" t="inlineStr">
        <is>
          <t>Annuaire Service-public.fr</t>
        </is>
      </c>
      <c r="R138" t="inlineStr"/>
      <c r="S138" t="inlineStr"/>
      <c r="T138" t="inlineStr"/>
    </row>
    <row r="139">
      <c r="A139" t="inlineStr">
        <is>
          <t>CC Hautes Terres</t>
        </is>
      </c>
      <c r="B139" t="inlineStr">
        <is>
          <t>Communauté de communes</t>
        </is>
      </c>
      <c r="C139" t="inlineStr">
        <is>
          <t>200066637</t>
        </is>
      </c>
      <c r="D139" t="inlineStr">
        <is>
          <t>15</t>
        </is>
      </c>
      <c r="E139" t="inlineStr">
        <is>
          <t>Cantal</t>
        </is>
      </c>
      <c r="F139" t="inlineStr">
        <is>
          <t>Auvergne-Rhône-Alpes</t>
        </is>
      </c>
      <c r="G139" s="3" t="n">
        <v>11118</v>
      </c>
      <c r="H139" t="n">
        <v>39</v>
      </c>
      <c r="I139" t="inlineStr">
        <is>
          <t>4 rue du Faubourg-Notre-Dame</t>
        </is>
      </c>
      <c r="J139" t="inlineStr">
        <is>
          <t>15300</t>
        </is>
      </c>
      <c r="K139" t="inlineStr">
        <is>
          <t>Murat</t>
        </is>
      </c>
      <c r="L139" t="inlineStr">
        <is>
          <t>04 71 20 22 62</t>
        </is>
      </c>
      <c r="M139" s="4" t="inlineStr">
        <is>
          <t>contact@hautesterres.fr</t>
        </is>
      </c>
      <c r="N139" s="4" t="inlineStr">
        <is>
          <t>https://www.hautesterres.fr/</t>
        </is>
      </c>
      <c r="O139" t="inlineStr"/>
      <c r="P139" s="4" t="inlineStr">
        <is>
          <t>https://lannuaire.service-public.gouv.fr/auvergne-rhone-alpes/cantal/13bb3803-022e-4d86-85b7-016b0c2e98a0</t>
        </is>
      </c>
      <c r="Q139" t="inlineStr">
        <is>
          <t>Annuaire Service-public.fr</t>
        </is>
      </c>
      <c r="R139" t="inlineStr"/>
      <c r="S139" t="inlineStr"/>
      <c r="T139" t="inlineStr"/>
    </row>
    <row r="140">
      <c r="A140" t="inlineStr">
        <is>
          <t>CC Sumène - Artense</t>
        </is>
      </c>
      <c r="B140" t="inlineStr">
        <is>
          <t>Communauté de communes</t>
        </is>
      </c>
      <c r="C140" t="inlineStr">
        <is>
          <t>241501055</t>
        </is>
      </c>
      <c r="D140" t="inlineStr">
        <is>
          <t>15</t>
        </is>
      </c>
      <c r="E140" t="inlineStr">
        <is>
          <t>Cantal</t>
        </is>
      </c>
      <c r="F140" t="inlineStr">
        <is>
          <t>Auvergne-Rhône-Alpes</t>
        </is>
      </c>
      <c r="G140" s="3" t="n">
        <v>8201</v>
      </c>
      <c r="H140" t="n">
        <v>16</v>
      </c>
      <c r="I140" t="inlineStr">
        <is>
          <t>21 rue du Calalet</t>
        </is>
      </c>
      <c r="J140" t="inlineStr">
        <is>
          <t>15240</t>
        </is>
      </c>
      <c r="K140" t="inlineStr">
        <is>
          <t>Saignes</t>
        </is>
      </c>
      <c r="L140" t="inlineStr">
        <is>
          <t>04 71 40 62 66</t>
        </is>
      </c>
      <c r="M140" s="4" t="inlineStr">
        <is>
          <t>contact@sumene-artense.com</t>
        </is>
      </c>
      <c r="N140" s="4" t="inlineStr">
        <is>
          <t>https://www.sumene-artense.com/</t>
        </is>
      </c>
      <c r="O140" s="4" t="inlineStr">
        <is>
          <t>https://www.sumene-artense.com/contact-communaute-communes-sumene-artense_fr.html</t>
        </is>
      </c>
      <c r="P140" s="4" t="inlineStr">
        <is>
          <t>https://lannuaire.service-public.gouv.fr/auvergne-rhone-alpes/cantal/d8fcef57-aee0-485c-bd42-d49fee79f5c1</t>
        </is>
      </c>
      <c r="Q140" t="inlineStr">
        <is>
          <t>Annuaire Service-public.fr</t>
        </is>
      </c>
      <c r="R140" t="inlineStr"/>
      <c r="S140" t="inlineStr"/>
      <c r="T140" t="inlineStr"/>
    </row>
    <row r="141">
      <c r="A141" t="inlineStr">
        <is>
          <t>CC de Saint-Flour</t>
        </is>
      </c>
      <c r="B141" t="inlineStr">
        <is>
          <t>Communauté de communes</t>
        </is>
      </c>
      <c r="C141" t="inlineStr">
        <is>
          <t>200066660</t>
        </is>
      </c>
      <c r="D141" t="inlineStr">
        <is>
          <t>15</t>
        </is>
      </c>
      <c r="E141" t="inlineStr">
        <is>
          <t>Cantal</t>
        </is>
      </c>
      <c r="F141" t="inlineStr">
        <is>
          <t>Auvergne-Rhône-Alpes</t>
        </is>
      </c>
      <c r="G141" s="3" t="n">
        <v>23264</v>
      </c>
      <c r="H141" t="n">
        <v>53</v>
      </c>
      <c r="I141" t="inlineStr">
        <is>
          <t>ZA du Rozier-Coren</t>
        </is>
      </c>
      <c r="J141" t="inlineStr">
        <is>
          <t>15100</t>
        </is>
      </c>
      <c r="K141" t="inlineStr">
        <is>
          <t>Saint-Flour</t>
        </is>
      </c>
      <c r="L141" t="inlineStr">
        <is>
          <t>04 71 60 56 80</t>
        </is>
      </c>
      <c r="M141" s="4" t="inlineStr">
        <is>
          <t>contact@saintflourco.fr</t>
        </is>
      </c>
      <c r="N141" s="4" t="inlineStr">
        <is>
          <t>https://saint-flour-communaute.fr/</t>
        </is>
      </c>
      <c r="O141" t="inlineStr"/>
      <c r="P141" s="4" t="inlineStr">
        <is>
          <t>https://lannuaire.service-public.gouv.fr/auvergne-rhone-alpes/cantal/d2c6efd3-5c1b-4bc1-b82c-117d04be7e0c</t>
        </is>
      </c>
      <c r="Q141" t="inlineStr">
        <is>
          <t>Annuaire Service-public.fr</t>
        </is>
      </c>
      <c r="R141" t="inlineStr"/>
      <c r="S141" t="inlineStr"/>
      <c r="T141" t="inlineStr"/>
    </row>
    <row r="142">
      <c r="A142" t="inlineStr">
        <is>
          <t>CC de la Châtaigneraie Cantalienne</t>
        </is>
      </c>
      <c r="B142" t="inlineStr">
        <is>
          <t>Communauté de communes</t>
        </is>
      </c>
      <c r="C142" t="inlineStr">
        <is>
          <t>200066678</t>
        </is>
      </c>
      <c r="D142" t="inlineStr">
        <is>
          <t>15</t>
        </is>
      </c>
      <c r="E142" t="inlineStr">
        <is>
          <t>Cantal</t>
        </is>
      </c>
      <c r="F142" t="inlineStr">
        <is>
          <t>Auvergne-Rhône-Alpes</t>
        </is>
      </c>
      <c r="G142" s="3" t="n">
        <v>21099</v>
      </c>
      <c r="H142" t="n">
        <v>50</v>
      </c>
      <c r="I142" t="inlineStr">
        <is>
          <t>5 rue des Placettes, Maison des services</t>
        </is>
      </c>
      <c r="J142" t="inlineStr">
        <is>
          <t>15220</t>
        </is>
      </c>
      <c r="K142" t="inlineStr">
        <is>
          <t>Saint-Mamet-la-Salvetat</t>
        </is>
      </c>
      <c r="L142" t="inlineStr">
        <is>
          <t>04 71 49 33 30</t>
        </is>
      </c>
      <c r="M142" s="4" t="inlineStr">
        <is>
          <t>accueil@chataigneraie15.fr</t>
        </is>
      </c>
      <c r="N142" s="4" t="inlineStr">
        <is>
          <t>https://www.chataigneraie15.fr/</t>
        </is>
      </c>
      <c r="O142" s="4" t="inlineStr">
        <is>
          <t>https://www.chataigneraie15.fr/rdv-contact-communaute-communes-cantalienne-cantal_fr.html</t>
        </is>
      </c>
      <c r="P142" s="4" t="inlineStr">
        <is>
          <t>https://lannuaire.service-public.gouv.fr/auvergne-rhone-alpes/cantal/54e352a3-71d2-40f8-8001-ed3bd723b35d</t>
        </is>
      </c>
      <c r="Q142" t="inlineStr">
        <is>
          <t>Annuaire Service-public.fr</t>
        </is>
      </c>
      <c r="R142" t="inlineStr"/>
      <c r="S142" t="inlineStr"/>
      <c r="T142" t="inlineStr"/>
    </row>
    <row r="143">
      <c r="A143" t="inlineStr">
        <is>
          <t>CC du Massif du Sancy</t>
        </is>
      </c>
      <c r="B143" t="inlineStr">
        <is>
          <t>Communauté de communes</t>
        </is>
      </c>
      <c r="C143" t="inlineStr">
        <is>
          <t>246300966</t>
        </is>
      </c>
      <c r="D143" t="inlineStr">
        <is>
          <t>15, 63</t>
        </is>
      </c>
      <c r="E143" t="inlineStr">
        <is>
          <t>Cantal, Puy-de-Dôme</t>
        </is>
      </c>
      <c r="F143" t="inlineStr">
        <is>
          <t>Auvergne-Rhône-Alpes</t>
        </is>
      </c>
      <c r="G143" s="3" t="n">
        <v>9576</v>
      </c>
      <c r="H143" t="n">
        <v>20</v>
      </c>
      <c r="I143" t="inlineStr">
        <is>
          <t>4 boulevard Mirabeau</t>
        </is>
      </c>
      <c r="J143" t="inlineStr">
        <is>
          <t>63240</t>
        </is>
      </c>
      <c r="K143" t="inlineStr">
        <is>
          <t>Mont-Dore</t>
        </is>
      </c>
      <c r="L143" t="inlineStr">
        <is>
          <t>04 73 65 24 48</t>
        </is>
      </c>
      <c r="M143" s="4" t="inlineStr">
        <is>
          <t>ccms@cc-massifdusancy.fr</t>
        </is>
      </c>
      <c r="N143" s="4" t="inlineStr">
        <is>
          <t>https://www.cc-massifdusancy.fr/</t>
        </is>
      </c>
      <c r="O143" s="4" t="inlineStr">
        <is>
          <t>https://www.cc-massifdusancy.fr/contact/</t>
        </is>
      </c>
      <c r="P143" s="4" t="inlineStr">
        <is>
          <t>https://lannuaire.service-public.gouv.fr/auvergne-rhone-alpes/puy-de-dome/c53b0361-48b2-4b2b-a982-14d65c55a646</t>
        </is>
      </c>
      <c r="Q143" t="inlineStr">
        <is>
          <t>Annuaire Service-public.fr</t>
        </is>
      </c>
      <c r="R143" t="inlineStr"/>
      <c r="S143" t="inlineStr"/>
      <c r="T143" t="inlineStr"/>
    </row>
    <row r="144">
      <c r="A144" t="inlineStr">
        <is>
          <t>CC du Pays Gentiane</t>
        </is>
      </c>
      <c r="B144" t="inlineStr">
        <is>
          <t>Communauté de communes</t>
        </is>
      </c>
      <c r="C144" t="inlineStr">
        <is>
          <t>241500255</t>
        </is>
      </c>
      <c r="D144" t="inlineStr">
        <is>
          <t>15</t>
        </is>
      </c>
      <c r="E144" t="inlineStr">
        <is>
          <t>Cantal</t>
        </is>
      </c>
      <c r="F144" t="inlineStr">
        <is>
          <t>Auvergne-Rhône-Alpes</t>
        </is>
      </c>
      <c r="G144" s="3" t="n">
        <v>6495</v>
      </c>
      <c r="H144" t="n">
        <v>17</v>
      </c>
      <c r="I144" t="inlineStr">
        <is>
          <t>Place de la Gare</t>
        </is>
      </c>
      <c r="J144" t="inlineStr">
        <is>
          <t>15400</t>
        </is>
      </c>
      <c r="K144" t="inlineStr">
        <is>
          <t>Riom-ès-Montagnes</t>
        </is>
      </c>
      <c r="L144" t="inlineStr">
        <is>
          <t>04 71 78 29 50</t>
        </is>
      </c>
      <c r="M144" s="4" t="inlineStr">
        <is>
          <t>efs@pays-gentiane.com;secretariat@pays-gentiane.com</t>
        </is>
      </c>
      <c r="N144" s="4" t="inlineStr">
        <is>
          <t>https://www.pays-gentiane.fr</t>
        </is>
      </c>
      <c r="O144" t="inlineStr"/>
      <c r="P144" s="4" t="inlineStr">
        <is>
          <t>https://lannuaire.service-public.gouv.fr/auvergne-rhone-alpes/cantal/7c1f734d-d6da-4502-b0df-53a9ca4a6fd4</t>
        </is>
      </c>
      <c r="Q144" t="inlineStr">
        <is>
          <t>Annuaire Service-public.fr</t>
        </is>
      </c>
      <c r="R144" t="inlineStr"/>
      <c r="S144" t="inlineStr"/>
      <c r="T144" t="inlineStr"/>
    </row>
    <row r="145">
      <c r="A145" t="inlineStr">
        <is>
          <t>CC du Pays de Mauriac</t>
        </is>
      </c>
      <c r="B145" t="inlineStr">
        <is>
          <t>Communauté de communes</t>
        </is>
      </c>
      <c r="C145" t="inlineStr">
        <is>
          <t>241500271</t>
        </is>
      </c>
      <c r="D145" t="inlineStr">
        <is>
          <t>15</t>
        </is>
      </c>
      <c r="E145" t="inlineStr">
        <is>
          <t>Cantal</t>
        </is>
      </c>
      <c r="F145" t="inlineStr">
        <is>
          <t>Auvergne-Rhône-Alpes</t>
        </is>
      </c>
      <c r="G145" s="3" t="n">
        <v>6552</v>
      </c>
      <c r="H145" t="n">
        <v>11</v>
      </c>
      <c r="I145" t="inlineStr">
        <is>
          <t>1 avenue du Commandant-Gabon</t>
        </is>
      </c>
      <c r="J145" t="inlineStr">
        <is>
          <t>15200</t>
        </is>
      </c>
      <c r="K145" t="inlineStr">
        <is>
          <t>Mauriac</t>
        </is>
      </c>
      <c r="L145" t="inlineStr">
        <is>
          <t>04 71 68 27 32</t>
        </is>
      </c>
      <c r="M145" s="4" t="inlineStr">
        <is>
          <t>administration@paysdemauriac.fr</t>
        </is>
      </c>
      <c r="N145" s="4" t="inlineStr">
        <is>
          <t>http://www.paysdemauriac.fr/</t>
        </is>
      </c>
      <c r="O145" t="inlineStr"/>
      <c r="P145" s="4" t="inlineStr">
        <is>
          <t>https://lannuaire.service-public.gouv.fr/auvergne-rhone-alpes/cantal/958767ad-6a4a-4cb3-9c83-df08035bb9be</t>
        </is>
      </c>
      <c r="Q145" t="inlineStr">
        <is>
          <t>Annuaire Service-public.fr</t>
        </is>
      </c>
      <c r="R145" t="inlineStr"/>
      <c r="S145" t="inlineStr"/>
      <c r="T145" t="inlineStr"/>
    </row>
    <row r="146">
      <c r="A146" t="inlineStr">
        <is>
          <t>CC du Pays de Salers</t>
        </is>
      </c>
      <c r="B146" t="inlineStr">
        <is>
          <t>Communauté de communes</t>
        </is>
      </c>
      <c r="C146" t="inlineStr">
        <is>
          <t>241501139</t>
        </is>
      </c>
      <c r="D146" t="inlineStr">
        <is>
          <t>15</t>
        </is>
      </c>
      <c r="E146" t="inlineStr">
        <is>
          <t>Cantal</t>
        </is>
      </c>
      <c r="F146" t="inlineStr">
        <is>
          <t>Auvergne-Rhône-Alpes</t>
        </is>
      </c>
      <c r="G146" s="3" t="n">
        <v>8416</v>
      </c>
      <c r="H146" t="n">
        <v>27</v>
      </c>
      <c r="I146" t="inlineStr">
        <is>
          <t>1 rue des feuilles, espace d'activité 360°</t>
        </is>
      </c>
      <c r="J146" t="inlineStr">
        <is>
          <t>15140</t>
        </is>
      </c>
      <c r="K146" t="inlineStr">
        <is>
          <t>Sainte-Eulalie</t>
        </is>
      </c>
      <c r="L146" t="inlineStr">
        <is>
          <t>04 71 40 72 09</t>
        </is>
      </c>
      <c r="M146" s="4" t="inlineStr">
        <is>
          <t>contact@pays-salers.fr</t>
        </is>
      </c>
      <c r="N146" s="4" t="inlineStr">
        <is>
          <t>https://www.pays-salers.fr/</t>
        </is>
      </c>
      <c r="O146" s="4" t="inlineStr">
        <is>
          <t>https://www.pays-salers.fr/contact</t>
        </is>
      </c>
      <c r="P146" s="4" t="inlineStr">
        <is>
          <t>https://lannuaire.service-public.gouv.fr/auvergne-rhone-alpes/cantal/d3fff799-32bd-4422-a7a5-418a3ef1584f</t>
        </is>
      </c>
      <c r="Q146" t="inlineStr">
        <is>
          <t>Annuaire Service-public.fr</t>
        </is>
      </c>
      <c r="R146" t="inlineStr"/>
      <c r="S146" t="inlineStr"/>
      <c r="T146" t="inlineStr"/>
    </row>
    <row r="147">
      <c r="A147" t="inlineStr">
        <is>
          <t>CC Coeur de Charente</t>
        </is>
      </c>
      <c r="B147" t="inlineStr">
        <is>
          <t>Communauté de communes</t>
        </is>
      </c>
      <c r="C147" t="inlineStr">
        <is>
          <t>200072023</t>
        </is>
      </c>
      <c r="D147" t="inlineStr">
        <is>
          <t>16</t>
        </is>
      </c>
      <c r="E147" t="inlineStr">
        <is>
          <t>Charente</t>
        </is>
      </c>
      <c r="F147" t="inlineStr">
        <is>
          <t>Nouvelle-Aquitaine</t>
        </is>
      </c>
      <c r="G147" s="3" t="n">
        <v>22006</v>
      </c>
      <c r="H147" t="n">
        <v>48</v>
      </c>
      <c r="I147" t="inlineStr">
        <is>
          <t>10 route de Paris</t>
        </is>
      </c>
      <c r="J147" t="inlineStr">
        <is>
          <t>16560</t>
        </is>
      </c>
      <c r="K147" t="inlineStr">
        <is>
          <t>Tourriers</t>
        </is>
      </c>
      <c r="L147" t="inlineStr">
        <is>
          <t>05 45 20 68 46</t>
        </is>
      </c>
      <c r="M147" s="4" t="inlineStr">
        <is>
          <t>secretariat@coeurdecharente.fr</t>
        </is>
      </c>
      <c r="N147" s="4" t="inlineStr">
        <is>
          <t>https://www.coeurdecharente.fr/</t>
        </is>
      </c>
      <c r="O147" s="4" t="inlineStr">
        <is>
          <t>https://www.coeurdecharente.fr/contact/</t>
        </is>
      </c>
      <c r="P147" s="4" t="inlineStr">
        <is>
          <t>https://lannuaire.service-public.gouv.fr/nouvelle-aquitaine/charente/db456363-6ebe-4e0b-990c-160746cc1885</t>
        </is>
      </c>
      <c r="Q147" t="inlineStr">
        <is>
          <t>Annuaire Service-public.fr</t>
        </is>
      </c>
      <c r="R147" t="inlineStr"/>
      <c r="S147" t="inlineStr"/>
      <c r="T147" t="inlineStr"/>
    </row>
    <row r="148">
      <c r="A148" t="inlineStr">
        <is>
          <t>CC La Rochefoucauld Porte du Périgord</t>
        </is>
      </c>
      <c r="B148" t="inlineStr">
        <is>
          <t>Communauté de communes</t>
        </is>
      </c>
      <c r="C148" t="inlineStr">
        <is>
          <t>200068914</t>
        </is>
      </c>
      <c r="D148" t="inlineStr">
        <is>
          <t>16</t>
        </is>
      </c>
      <c r="E148" t="inlineStr">
        <is>
          <t>Charente</t>
        </is>
      </c>
      <c r="F148" t="inlineStr">
        <is>
          <t>Nouvelle-Aquitaine</t>
        </is>
      </c>
      <c r="G148" s="3" t="n">
        <v>21882</v>
      </c>
      <c r="H148" t="n">
        <v>27</v>
      </c>
      <c r="I148" t="inlineStr">
        <is>
          <t>2 rue des Vieilles-Écoles</t>
        </is>
      </c>
      <c r="J148" t="inlineStr">
        <is>
          <t>16220</t>
        </is>
      </c>
      <c r="K148" t="inlineStr">
        <is>
          <t>Montbron</t>
        </is>
      </c>
      <c r="L148" t="inlineStr">
        <is>
          <t>05 45 63 00 52</t>
        </is>
      </c>
      <c r="M148" s="4" t="inlineStr">
        <is>
          <t>accueil@rochefoucauld-perigord.fr</t>
        </is>
      </c>
      <c r="N148" s="4" t="inlineStr">
        <is>
          <t>https://www.rochefoucauld-perigord.fr/</t>
        </is>
      </c>
      <c r="O148" t="inlineStr"/>
      <c r="P148" s="4" t="inlineStr">
        <is>
          <t>https://lannuaire.service-public.gouv.fr/nouvelle-aquitaine/charente/cfef3744-484d-425b-bc79-69ab23b19c18</t>
        </is>
      </c>
      <c r="Q148" t="inlineStr">
        <is>
          <t>Annuaire Service-public.fr</t>
        </is>
      </c>
      <c r="R148" t="inlineStr"/>
      <c r="S148" t="inlineStr"/>
      <c r="T148" t="inlineStr"/>
    </row>
    <row r="149">
      <c r="A149" t="inlineStr">
        <is>
          <t>CC Lavalette Tude Dronne</t>
        </is>
      </c>
      <c r="B149" t="inlineStr">
        <is>
          <t>Communauté de communes</t>
        </is>
      </c>
      <c r="C149" t="inlineStr">
        <is>
          <t>200070282</t>
        </is>
      </c>
      <c r="D149" t="inlineStr">
        <is>
          <t>16</t>
        </is>
      </c>
      <c r="E149" t="inlineStr">
        <is>
          <t>Charente</t>
        </is>
      </c>
      <c r="F149" t="inlineStr">
        <is>
          <t>Nouvelle-Aquitaine</t>
        </is>
      </c>
      <c r="G149" s="3" t="n">
        <v>17477</v>
      </c>
      <c r="H149" t="n">
        <v>49</v>
      </c>
      <c r="I149" t="inlineStr">
        <is>
          <t>35 avenue de l'Aquitaine</t>
        </is>
      </c>
      <c r="J149" t="inlineStr">
        <is>
          <t>16190</t>
        </is>
      </c>
      <c r="K149" t="inlineStr">
        <is>
          <t>Montmoreau</t>
        </is>
      </c>
      <c r="L149" t="inlineStr">
        <is>
          <t>05 45 24 08 79</t>
        </is>
      </c>
      <c r="M149" s="4" t="inlineStr">
        <is>
          <t>accueil@ccltd.fr</t>
        </is>
      </c>
      <c r="N149" s="4" t="inlineStr">
        <is>
          <t>https://www.lavalette-tude-dronne.fr/</t>
        </is>
      </c>
      <c r="O149" s="4" t="inlineStr">
        <is>
          <t>https://www.lavalette-tude-dronne.fr/contact/</t>
        </is>
      </c>
      <c r="P149" s="4" t="inlineStr">
        <is>
          <t>https://lannuaire.service-public.gouv.fr/nouvelle-aquitaine/charente/ca3c3e66-3c7c-48db-b44d-ec727300aac5</t>
        </is>
      </c>
      <c r="Q149" t="inlineStr">
        <is>
          <t>Annuaire Service-public.fr</t>
        </is>
      </c>
      <c r="R149" t="inlineStr"/>
      <c r="S149" t="inlineStr"/>
      <c r="T149" t="inlineStr"/>
    </row>
    <row r="150">
      <c r="A150" t="inlineStr">
        <is>
          <t>CC Val de Charente</t>
        </is>
      </c>
      <c r="B150" t="inlineStr">
        <is>
          <t>Communauté de communes</t>
        </is>
      </c>
      <c r="C150" t="inlineStr">
        <is>
          <t>200043016</t>
        </is>
      </c>
      <c r="D150" t="inlineStr">
        <is>
          <t>16</t>
        </is>
      </c>
      <c r="E150" t="inlineStr">
        <is>
          <t>Charente</t>
        </is>
      </c>
      <c r="F150" t="inlineStr">
        <is>
          <t>Nouvelle-Aquitaine</t>
        </is>
      </c>
      <c r="G150" s="3" t="n">
        <v>13776</v>
      </c>
      <c r="H150" t="n">
        <v>32</v>
      </c>
      <c r="I150" t="inlineStr">
        <is>
          <t>9 boulevard des Grands-Rocs</t>
        </is>
      </c>
      <c r="J150" t="inlineStr">
        <is>
          <t>16700</t>
        </is>
      </c>
      <c r="K150" t="inlineStr">
        <is>
          <t>Ruffec</t>
        </is>
      </c>
      <c r="L150" t="inlineStr">
        <is>
          <t>05 45 31 07 14</t>
        </is>
      </c>
      <c r="M150" s="4" t="inlineStr">
        <is>
          <t>president@ccvaldecharente.fr</t>
        </is>
      </c>
      <c r="N150" s="4" t="inlineStr">
        <is>
          <t>https://www.ccvaldecharente.fr/</t>
        </is>
      </c>
      <c r="O150" s="4" t="inlineStr">
        <is>
          <t>https://www.ccvaldecharente.fr/intercommunalite/cc-val-de-charente/nous-contacter</t>
        </is>
      </c>
      <c r="P150" s="4" t="inlineStr">
        <is>
          <t>https://lannuaire.service-public.gouv.fr/nouvelle-aquitaine/charente/9aa3d0c6-94a0-4545-84c0-31075edbb81b</t>
        </is>
      </c>
      <c r="Q150" t="inlineStr">
        <is>
          <t>Annuaire Service-public.fr</t>
        </is>
      </c>
      <c r="R150" t="inlineStr"/>
      <c r="S150" t="inlineStr"/>
      <c r="T150" t="inlineStr"/>
    </row>
    <row r="151">
      <c r="A151" t="inlineStr">
        <is>
          <t>CC de Charente Limousine</t>
        </is>
      </c>
      <c r="B151" t="inlineStr">
        <is>
          <t>Communauté de communes</t>
        </is>
      </c>
      <c r="C151" t="inlineStr">
        <is>
          <t>200072049</t>
        </is>
      </c>
      <c r="D151" t="inlineStr">
        <is>
          <t>16</t>
        </is>
      </c>
      <c r="E151" t="inlineStr">
        <is>
          <t>Charente</t>
        </is>
      </c>
      <c r="F151" t="inlineStr">
        <is>
          <t>Nouvelle-Aquitaine</t>
        </is>
      </c>
      <c r="G151" s="3" t="n">
        <v>35187</v>
      </c>
      <c r="H151" t="n">
        <v>58</v>
      </c>
      <c r="I151" t="inlineStr">
        <is>
          <t>8 rue Fontaine-des-Jardins</t>
        </is>
      </c>
      <c r="J151" t="inlineStr">
        <is>
          <t>16500</t>
        </is>
      </c>
      <c r="K151" t="inlineStr">
        <is>
          <t>Confolens</t>
        </is>
      </c>
      <c r="L151" t="inlineStr">
        <is>
          <t>05 45 84 14 08</t>
        </is>
      </c>
      <c r="M151" s="4" t="inlineStr">
        <is>
          <t>contact@charente-limousine.fr</t>
        </is>
      </c>
      <c r="N151" s="4" t="inlineStr">
        <is>
          <t>https://charente-limousine.fr/</t>
        </is>
      </c>
      <c r="O151" s="4" t="inlineStr">
        <is>
          <t>https://charente-limousine.fr/contact/</t>
        </is>
      </c>
      <c r="P151" s="4" t="inlineStr">
        <is>
          <t>https://lannuaire.service-public.gouv.fr/nouvelle-aquitaine/charente/284acdc4-c744-4631-a458-c1383236aa1b</t>
        </is>
      </c>
      <c r="Q151" t="inlineStr">
        <is>
          <t>Annuaire Service-public.fr</t>
        </is>
      </c>
      <c r="R151" t="inlineStr"/>
      <c r="S151" t="inlineStr"/>
      <c r="T151" t="inlineStr"/>
    </row>
    <row r="152">
      <c r="A152" t="inlineStr">
        <is>
          <t>CC des 4B Sud Charente</t>
        </is>
      </c>
      <c r="B152" t="inlineStr">
        <is>
          <t>Communauté de communes</t>
        </is>
      </c>
      <c r="C152" t="inlineStr">
        <is>
          <t>200029734</t>
        </is>
      </c>
      <c r="D152" t="inlineStr">
        <is>
          <t>16</t>
        </is>
      </c>
      <c r="E152" t="inlineStr">
        <is>
          <t>Charente</t>
        </is>
      </c>
      <c r="F152" t="inlineStr">
        <is>
          <t>Nouvelle-Aquitaine</t>
        </is>
      </c>
      <c r="G152" s="3" t="n">
        <v>19940</v>
      </c>
      <c r="H152" t="n">
        <v>40</v>
      </c>
      <c r="I152" t="inlineStr">
        <is>
          <t>1 route de l'Ancienne-Gare</t>
        </is>
      </c>
      <c r="J152" t="inlineStr">
        <is>
          <t>16360</t>
        </is>
      </c>
      <c r="K152" t="inlineStr">
        <is>
          <t>Touvérac</t>
        </is>
      </c>
      <c r="L152" t="inlineStr">
        <is>
          <t>05 45 78 89 09</t>
        </is>
      </c>
      <c r="M152" s="4" t="inlineStr">
        <is>
          <t>accueil@cdc4b.com</t>
        </is>
      </c>
      <c r="N152" s="4" t="inlineStr">
        <is>
          <t>https://www.cdc4b.com/</t>
        </is>
      </c>
      <c r="O152" s="4" t="inlineStr">
        <is>
          <t>https://www.cdc4b.com/systeme/nous-contacter/</t>
        </is>
      </c>
      <c r="P152" s="4" t="inlineStr">
        <is>
          <t>https://lannuaire.service-public.gouv.fr/nouvelle-aquitaine/charente/80c37675-5942-488e-8fb7-a1a8ad62ae25</t>
        </is>
      </c>
      <c r="Q152" t="inlineStr">
        <is>
          <t>Annuaire Service-public.fr</t>
        </is>
      </c>
      <c r="R152" t="inlineStr"/>
      <c r="S152" t="inlineStr"/>
      <c r="T152" t="inlineStr"/>
    </row>
    <row r="153">
      <c r="A153" t="inlineStr">
        <is>
          <t>CC du Rouillacais</t>
        </is>
      </c>
      <c r="B153" t="inlineStr">
        <is>
          <t>Communauté de communes</t>
        </is>
      </c>
      <c r="C153" t="inlineStr">
        <is>
          <t>241600303</t>
        </is>
      </c>
      <c r="D153" t="inlineStr">
        <is>
          <t>16</t>
        </is>
      </c>
      <c r="E153" t="inlineStr">
        <is>
          <t>Charente</t>
        </is>
      </c>
      <c r="F153" t="inlineStr">
        <is>
          <t>Nouvelle-Aquitaine</t>
        </is>
      </c>
      <c r="G153" s="3" t="n">
        <v>9812</v>
      </c>
      <c r="H153" t="n">
        <v>13</v>
      </c>
      <c r="I153" t="inlineStr">
        <is>
          <t>314 avenue Jean-Monnet</t>
        </is>
      </c>
      <c r="J153" t="inlineStr">
        <is>
          <t>16170</t>
        </is>
      </c>
      <c r="K153" t="inlineStr">
        <is>
          <t>Rouillac</t>
        </is>
      </c>
      <c r="L153" t="inlineStr">
        <is>
          <t>05 45 96 83 24</t>
        </is>
      </c>
      <c r="M153" s="4" t="inlineStr">
        <is>
          <t>administration@ccrouillacais.fr</t>
        </is>
      </c>
      <c r="N153" s="4" t="inlineStr">
        <is>
          <t>https://www.lerouillacais.fr/</t>
        </is>
      </c>
      <c r="O153" s="4" t="inlineStr">
        <is>
          <t>https://www.lerouillacais.fr/</t>
        </is>
      </c>
      <c r="P153" s="4" t="inlineStr">
        <is>
          <t>https://lannuaire.service-public.gouv.fr/nouvelle-aquitaine/charente/462a446d-1e0d-461c-b707-8952dcce090d</t>
        </is>
      </c>
      <c r="Q153" t="inlineStr">
        <is>
          <t>Annuaire Service-public.fr</t>
        </is>
      </c>
      <c r="R153" t="inlineStr"/>
      <c r="S153" t="inlineStr"/>
      <c r="T153" t="inlineStr"/>
    </row>
    <row r="154">
      <c r="A154" t="inlineStr">
        <is>
          <t>CC Aunis Atlantique</t>
        </is>
      </c>
      <c r="B154" t="inlineStr">
        <is>
          <t>Communauté de communes</t>
        </is>
      </c>
      <c r="C154" t="inlineStr">
        <is>
          <t>200041499</t>
        </is>
      </c>
      <c r="D154" t="inlineStr">
        <is>
          <t>17</t>
        </is>
      </c>
      <c r="E154" t="inlineStr">
        <is>
          <t>Charente-Maritime</t>
        </is>
      </c>
      <c r="F154" t="inlineStr">
        <is>
          <t>Nouvelle-Aquitaine</t>
        </is>
      </c>
      <c r="G154" s="3" t="n">
        <v>32371</v>
      </c>
      <c r="H154" t="n">
        <v>20</v>
      </c>
      <c r="I154" t="inlineStr">
        <is>
          <t>200 rue de la Juillerie</t>
        </is>
      </c>
      <c r="J154" t="inlineStr">
        <is>
          <t>17170</t>
        </is>
      </c>
      <c r="K154" t="inlineStr">
        <is>
          <t>Ferrières</t>
        </is>
      </c>
      <c r="L154" t="inlineStr">
        <is>
          <t>05 46 68 92 93</t>
        </is>
      </c>
      <c r="M154" s="4" t="inlineStr">
        <is>
          <t>contact@aunisatlantique.fr</t>
        </is>
      </c>
      <c r="N154" s="4" t="inlineStr">
        <is>
          <t>https://www.aunisatlantique.fr/</t>
        </is>
      </c>
      <c r="O154" t="inlineStr"/>
      <c r="P154" s="4" t="inlineStr">
        <is>
          <t>https://lannuaire.service-public.gouv.fr/nouvelle-aquitaine/charente-maritime/c79e4812-43e2-4dc5-b38e-5f98fac78595</t>
        </is>
      </c>
      <c r="Q154" t="inlineStr">
        <is>
          <t>Annuaire Service-public.fr</t>
        </is>
      </c>
      <c r="R154" t="inlineStr"/>
      <c r="S154" t="inlineStr"/>
      <c r="T154" t="inlineStr"/>
    </row>
    <row r="155">
      <c r="A155" t="inlineStr">
        <is>
          <t>CC Aunis Sud</t>
        </is>
      </c>
      <c r="B155" t="inlineStr">
        <is>
          <t>Communauté de communes</t>
        </is>
      </c>
      <c r="C155" t="inlineStr">
        <is>
          <t>200041614</t>
        </is>
      </c>
      <c r="D155" t="inlineStr">
        <is>
          <t>17</t>
        </is>
      </c>
      <c r="E155" t="inlineStr">
        <is>
          <t>Charente-Maritime</t>
        </is>
      </c>
      <c r="F155" t="inlineStr">
        <is>
          <t>Nouvelle-Aquitaine</t>
        </is>
      </c>
      <c r="G155" s="3" t="n">
        <v>33181</v>
      </c>
      <c r="H155" t="n">
        <v>24</v>
      </c>
      <c r="I155" t="inlineStr">
        <is>
          <t>45 avenue Martin-Luther-King</t>
        </is>
      </c>
      <c r="J155" t="inlineStr">
        <is>
          <t>17700</t>
        </is>
      </c>
      <c r="K155" t="inlineStr">
        <is>
          <t>Surgères</t>
        </is>
      </c>
      <c r="L155" t="inlineStr">
        <is>
          <t>05 46 07 22 33</t>
        </is>
      </c>
      <c r="M155" s="4" t="inlineStr">
        <is>
          <t>contact@aunis-sud.fr</t>
        </is>
      </c>
      <c r="N155" s="4" t="inlineStr">
        <is>
          <t>https://aunis-sud.fr/</t>
        </is>
      </c>
      <c r="O155" s="4" t="inlineStr">
        <is>
          <t>https://aunis-sud.fr/contactez-nous/</t>
        </is>
      </c>
      <c r="P155" s="4" t="inlineStr">
        <is>
          <t>https://lannuaire.service-public.gouv.fr/nouvelle-aquitaine/charente-maritime/f6ee470a-4309-4f69-8027-94fbf56e60c8</t>
        </is>
      </c>
      <c r="Q155" t="inlineStr">
        <is>
          <t>Annuaire Service-public.fr</t>
        </is>
      </c>
      <c r="R155" t="inlineStr"/>
      <c r="S155" t="inlineStr"/>
      <c r="T155" t="inlineStr"/>
    </row>
    <row r="156">
      <c r="A156" t="inlineStr">
        <is>
          <t>CC Coeur de Saintonge</t>
        </is>
      </c>
      <c r="B156" t="inlineStr">
        <is>
          <t>Communauté de communes</t>
        </is>
      </c>
      <c r="C156" t="inlineStr">
        <is>
          <t>241700517</t>
        </is>
      </c>
      <c r="D156" t="inlineStr">
        <is>
          <t>17</t>
        </is>
      </c>
      <c r="E156" t="inlineStr">
        <is>
          <t>Charente-Maritime</t>
        </is>
      </c>
      <c r="F156" t="inlineStr">
        <is>
          <t>Nouvelle-Aquitaine</t>
        </is>
      </c>
      <c r="G156" s="3" t="n">
        <v>17765</v>
      </c>
      <c r="H156" t="n">
        <v>18</v>
      </c>
      <c r="I156" t="inlineStr">
        <is>
          <t>Place Eugène-Bézier</t>
        </is>
      </c>
      <c r="J156" t="inlineStr">
        <is>
          <t>17250</t>
        </is>
      </c>
      <c r="K156" t="inlineStr">
        <is>
          <t>Saint-Porchaire</t>
        </is>
      </c>
      <c r="L156" t="inlineStr">
        <is>
          <t>05 46 95 35 83</t>
        </is>
      </c>
      <c r="M156" s="4" t="inlineStr">
        <is>
          <t>accueil@coeurdesaintonge.fr</t>
        </is>
      </c>
      <c r="N156" s="4" t="inlineStr">
        <is>
          <t>https://www.coeurdesaintonge.fr/</t>
        </is>
      </c>
      <c r="O156" s="4" t="inlineStr">
        <is>
          <t>https://www.coeurdesaintonge.fr/index.php/contact-cdc-coeur-de-saintonge</t>
        </is>
      </c>
      <c r="P156" s="4" t="inlineStr">
        <is>
          <t>https://lannuaire.service-public.gouv.fr/nouvelle-aquitaine/charente-maritime/5319df97-61e3-4769-97fb-519ba9f2a174</t>
        </is>
      </c>
      <c r="Q156" t="inlineStr">
        <is>
          <t>Annuaire Service-public.fr</t>
        </is>
      </c>
      <c r="R156" t="inlineStr"/>
      <c r="S156" t="inlineStr"/>
      <c r="T156" t="inlineStr"/>
    </row>
    <row r="157">
      <c r="A157" t="inlineStr">
        <is>
          <t>CC Vals de Saintonge Communauté</t>
        </is>
      </c>
      <c r="B157" t="inlineStr">
        <is>
          <t>Communauté de communes</t>
        </is>
      </c>
      <c r="C157" t="inlineStr">
        <is>
          <t>200041689</t>
        </is>
      </c>
      <c r="D157" t="inlineStr">
        <is>
          <t>17</t>
        </is>
      </c>
      <c r="E157" t="inlineStr">
        <is>
          <t>Charente-Maritime</t>
        </is>
      </c>
      <c r="F157" t="inlineStr">
        <is>
          <t>Nouvelle-Aquitaine</t>
        </is>
      </c>
      <c r="G157" s="3" t="n">
        <v>52430</v>
      </c>
      <c r="H157" t="n">
        <v>109</v>
      </c>
      <c r="I157" t="inlineStr">
        <is>
          <t>55 rue Michel-Texier, BP 50052</t>
        </is>
      </c>
      <c r="J157" t="inlineStr">
        <is>
          <t>17413</t>
        </is>
      </c>
      <c r="K157" t="inlineStr">
        <is>
          <t>Saint-Jean-d'Angely Cedex</t>
        </is>
      </c>
      <c r="L157" t="inlineStr">
        <is>
          <t>05 46 33 24 77</t>
        </is>
      </c>
      <c r="M157" s="4" t="inlineStr">
        <is>
          <t>info@valsdesaintonge.fr</t>
        </is>
      </c>
      <c r="N157" s="4" t="inlineStr">
        <is>
          <t>https://www.valsdesaintonge.fr/</t>
        </is>
      </c>
      <c r="O157" s="4" t="inlineStr">
        <is>
          <t>https://www.valsdesaintonge.fr/nous-contacter/</t>
        </is>
      </c>
      <c r="P157" s="4" t="inlineStr">
        <is>
          <t>https://lannuaire.service-public.gouv.fr/nouvelle-aquitaine/charente-maritime/37d7cf93-bb14-47d9-bb2e-54cad061115a</t>
        </is>
      </c>
      <c r="Q157" t="inlineStr">
        <is>
          <t>Annuaire Service-public.fr</t>
        </is>
      </c>
      <c r="R157" t="inlineStr"/>
      <c r="S157" t="inlineStr"/>
      <c r="T157" t="inlineStr"/>
    </row>
    <row r="158">
      <c r="A158" t="inlineStr">
        <is>
          <t>CC de Gémozac et de la Saintonge Viticole</t>
        </is>
      </c>
      <c r="B158" t="inlineStr">
        <is>
          <t>Communauté de communes</t>
        </is>
      </c>
      <c r="C158" t="inlineStr">
        <is>
          <t>241700632</t>
        </is>
      </c>
      <c r="D158" t="inlineStr">
        <is>
          <t>17</t>
        </is>
      </c>
      <c r="E158" t="inlineStr">
        <is>
          <t>Charente-Maritime</t>
        </is>
      </c>
      <c r="F158" t="inlineStr">
        <is>
          <t>Nouvelle-Aquitaine</t>
        </is>
      </c>
      <c r="G158" s="3" t="n">
        <v>14806</v>
      </c>
      <c r="H158" t="n">
        <v>16</v>
      </c>
      <c r="I158" t="inlineStr">
        <is>
          <t>32-34 avenue de la Victoire</t>
        </is>
      </c>
      <c r="J158" t="inlineStr">
        <is>
          <t>17260</t>
        </is>
      </c>
      <c r="K158" t="inlineStr">
        <is>
          <t>Gémozac</t>
        </is>
      </c>
      <c r="L158" t="inlineStr">
        <is>
          <t>05 46 94 50 19</t>
        </is>
      </c>
      <c r="M158" s="4" t="inlineStr">
        <is>
          <t>contact@cdcgemozac.fr</t>
        </is>
      </c>
      <c r="N158" s="4" t="inlineStr">
        <is>
          <t>https://cdc-gemozac.fr/</t>
        </is>
      </c>
      <c r="O158" t="inlineStr"/>
      <c r="P158" s="4" t="inlineStr">
        <is>
          <t>https://lannuaire.service-public.gouv.fr/nouvelle-aquitaine/charente-maritime/c71fd38b-c808-41e9-8a12-60274705a498</t>
        </is>
      </c>
      <c r="Q158" t="inlineStr">
        <is>
          <t>Annuaire Service-public.fr</t>
        </is>
      </c>
      <c r="R158" t="inlineStr"/>
      <c r="S158" t="inlineStr"/>
      <c r="T158" t="inlineStr"/>
    </row>
    <row r="159">
      <c r="A159" t="inlineStr">
        <is>
          <t>CC de l'Ile d'Oléron</t>
        </is>
      </c>
      <c r="B159" t="inlineStr">
        <is>
          <t>Communauté de communes</t>
        </is>
      </c>
      <c r="C159" t="inlineStr">
        <is>
          <t>241700624</t>
        </is>
      </c>
      <c r="D159" t="inlineStr">
        <is>
          <t>17</t>
        </is>
      </c>
      <c r="E159" t="inlineStr">
        <is>
          <t>Charente-Maritime</t>
        </is>
      </c>
      <c r="F159" t="inlineStr">
        <is>
          <t>Nouvelle-Aquitaine</t>
        </is>
      </c>
      <c r="G159" s="3" t="n">
        <v>22518</v>
      </c>
      <c r="H159" t="n">
        <v>8</v>
      </c>
      <c r="I159" t="inlineStr">
        <is>
          <t>59 route des Allées, CS 70085</t>
        </is>
      </c>
      <c r="J159" t="inlineStr">
        <is>
          <t>17310</t>
        </is>
      </c>
      <c r="K159" t="inlineStr">
        <is>
          <t>Saint-Pierre-d'Oléron</t>
        </is>
      </c>
      <c r="L159" t="inlineStr">
        <is>
          <t>05 46 47 24 68</t>
        </is>
      </c>
      <c r="M159" s="4" t="inlineStr">
        <is>
          <t>accueil@cdc-oleron.fr</t>
        </is>
      </c>
      <c r="N159" s="4" t="inlineStr">
        <is>
          <t>https://www.cdc-oleron.com/</t>
        </is>
      </c>
      <c r="O159" s="4" t="inlineStr">
        <is>
          <t>https://www.cdc-oleron.com/liens-divers/contactez-nous/</t>
        </is>
      </c>
      <c r="P159" s="4" t="inlineStr">
        <is>
          <t>https://lannuaire.service-public.gouv.fr/nouvelle-aquitaine/charente-maritime/d2f556e3-8ebc-41a8-8403-6b0857408e7b</t>
        </is>
      </c>
      <c r="Q159" t="inlineStr">
        <is>
          <t>Annuaire Service-public.fr</t>
        </is>
      </c>
      <c r="R159" t="inlineStr"/>
      <c r="S159" t="inlineStr"/>
      <c r="T159" t="inlineStr"/>
    </row>
    <row r="160">
      <c r="A160" t="inlineStr">
        <is>
          <t>CC de l'Ile de Ré</t>
        </is>
      </c>
      <c r="B160" t="inlineStr">
        <is>
          <t>Communauté de communes</t>
        </is>
      </c>
      <c r="C160" t="inlineStr">
        <is>
          <t>241700459</t>
        </is>
      </c>
      <c r="D160" t="inlineStr">
        <is>
          <t>17</t>
        </is>
      </c>
      <c r="E160" t="inlineStr">
        <is>
          <t>Charente-Maritime</t>
        </is>
      </c>
      <c r="F160" t="inlineStr">
        <is>
          <t>Nouvelle-Aquitaine</t>
        </is>
      </c>
      <c r="G160" s="3" t="n">
        <v>17891</v>
      </c>
      <c r="H160" t="n">
        <v>10</v>
      </c>
      <c r="I160" t="inlineStr">
        <is>
          <t>3 rue du Père-Ignace</t>
        </is>
      </c>
      <c r="J160" t="inlineStr">
        <is>
          <t>17410</t>
        </is>
      </c>
      <c r="K160" t="inlineStr">
        <is>
          <t>Saint-Martin-de-Ré</t>
        </is>
      </c>
      <c r="L160" t="inlineStr">
        <is>
          <t>05 46 09 00 97</t>
        </is>
      </c>
      <c r="M160" s="4" t="inlineStr">
        <is>
          <t>accueil@cc-iledere.fr</t>
        </is>
      </c>
      <c r="N160" s="4" t="inlineStr">
        <is>
          <t>https://cdciledere.fr/</t>
        </is>
      </c>
      <c r="O160" s="4" t="inlineStr">
        <is>
          <t>https://cdciledere.fr/contact/</t>
        </is>
      </c>
      <c r="P160" s="4" t="inlineStr">
        <is>
          <t>https://lannuaire.service-public.gouv.fr/nouvelle-aquitaine/charente-maritime/97bd0422-4286-4966-8b5d-c509bf85270c</t>
        </is>
      </c>
      <c r="Q160" t="inlineStr">
        <is>
          <t>Annuaire Service-public.fr</t>
        </is>
      </c>
      <c r="R160" t="inlineStr"/>
      <c r="S160" t="inlineStr"/>
      <c r="T160" t="inlineStr"/>
    </row>
    <row r="161">
      <c r="A161" t="inlineStr">
        <is>
          <t>CC de la Haute Saintonge</t>
        </is>
      </c>
      <c r="B161" t="inlineStr">
        <is>
          <t>Communauté de communes</t>
        </is>
      </c>
      <c r="C161" t="inlineStr">
        <is>
          <t>200041523</t>
        </is>
      </c>
      <c r="D161" t="inlineStr">
        <is>
          <t>17</t>
        </is>
      </c>
      <c r="E161" t="inlineStr">
        <is>
          <t>Charente-Maritime</t>
        </is>
      </c>
      <c r="F161" t="inlineStr">
        <is>
          <t>Nouvelle-Aquitaine</t>
        </is>
      </c>
      <c r="G161" s="3" t="n">
        <v>68842</v>
      </c>
      <c r="H161" t="n">
        <v>129</v>
      </c>
      <c r="I161" t="inlineStr">
        <is>
          <t>7 rue Taillefer</t>
        </is>
      </c>
      <c r="J161" t="inlineStr">
        <is>
          <t>17500</t>
        </is>
      </c>
      <c r="K161" t="inlineStr">
        <is>
          <t>Jonzac</t>
        </is>
      </c>
      <c r="L161" t="inlineStr">
        <is>
          <t>05 46 48 12 11</t>
        </is>
      </c>
      <c r="M161" s="4" t="inlineStr">
        <is>
          <t>contact@haute-saintonge.org</t>
        </is>
      </c>
      <c r="N161" s="4" t="inlineStr">
        <is>
          <t>https://www.haute-saintonge.org/</t>
        </is>
      </c>
      <c r="O161" t="inlineStr"/>
      <c r="P161" s="4" t="inlineStr">
        <is>
          <t>https://lannuaire.service-public.gouv.fr/nouvelle-aquitaine/charente-maritime/c0834af6-918e-4d9e-a753-d012409a58a4</t>
        </is>
      </c>
      <c r="Q161" t="inlineStr">
        <is>
          <t>Annuaire Service-public.fr</t>
        </is>
      </c>
      <c r="R161" t="inlineStr"/>
      <c r="S161" t="inlineStr"/>
      <c r="T161" t="inlineStr"/>
    </row>
    <row r="162">
      <c r="A162" t="inlineStr">
        <is>
          <t>CC du Bassin de Marennes</t>
        </is>
      </c>
      <c r="B162" t="inlineStr">
        <is>
          <t>Communauté de communes</t>
        </is>
      </c>
      <c r="C162" t="inlineStr">
        <is>
          <t>241700699</t>
        </is>
      </c>
      <c r="D162" t="inlineStr">
        <is>
          <t>17</t>
        </is>
      </c>
      <c r="E162" t="inlineStr">
        <is>
          <t>Charente-Maritime</t>
        </is>
      </c>
      <c r="F162" t="inlineStr">
        <is>
          <t>Nouvelle-Aquitaine</t>
        </is>
      </c>
      <c r="G162" s="3" t="n">
        <v>15522</v>
      </c>
      <c r="H162" t="n">
        <v>6</v>
      </c>
      <c r="I162" t="inlineStr">
        <is>
          <t>24 rue Dubois-Meynardie, CS 50028</t>
        </is>
      </c>
      <c r="J162" t="inlineStr">
        <is>
          <t>17320</t>
        </is>
      </c>
      <c r="K162" t="inlineStr">
        <is>
          <t>Marennes-Hiers-Brouage</t>
        </is>
      </c>
      <c r="L162" t="inlineStr">
        <is>
          <t>05 46 85 98 41</t>
        </is>
      </c>
      <c r="M162" s="4" t="inlineStr">
        <is>
          <t>contact@bassin-de-marennes.com</t>
        </is>
      </c>
      <c r="N162" s="4" t="inlineStr">
        <is>
          <t>https://www.bassin-de-marennes.com/</t>
        </is>
      </c>
      <c r="O162" s="4" t="inlineStr">
        <is>
          <t>https://www.bassin-de-marennes.com/contactez-nous/</t>
        </is>
      </c>
      <c r="P162" s="4" t="inlineStr">
        <is>
          <t>https://lannuaire.service-public.gouv.fr/nouvelle-aquitaine/charente-maritime/bf573ece-2428-4193-adce-35c1dee29c24</t>
        </is>
      </c>
      <c r="Q162" t="inlineStr">
        <is>
          <t>Annuaire Service-public.fr</t>
        </is>
      </c>
      <c r="R162" t="inlineStr"/>
      <c r="S162" t="inlineStr"/>
      <c r="T162" t="inlineStr"/>
    </row>
    <row r="163">
      <c r="A163" t="inlineStr">
        <is>
          <t>CC Arnon Boischaut Cher</t>
        </is>
      </c>
      <c r="B163" t="inlineStr">
        <is>
          <t>Communauté de communes</t>
        </is>
      </c>
      <c r="C163" t="inlineStr">
        <is>
          <t>200027076</t>
        </is>
      </c>
      <c r="D163" t="inlineStr">
        <is>
          <t>18</t>
        </is>
      </c>
      <c r="E163" t="inlineStr">
        <is>
          <t>Cher</t>
        </is>
      </c>
      <c r="F163" t="inlineStr">
        <is>
          <t>Centre-Val de Loire</t>
        </is>
      </c>
      <c r="G163" s="3" t="n">
        <v>7855</v>
      </c>
      <c r="H163" t="n">
        <v>18</v>
      </c>
      <c r="I163" t="inlineStr">
        <is>
          <t>2 rue Brune</t>
        </is>
      </c>
      <c r="J163" t="inlineStr">
        <is>
          <t>18190</t>
        </is>
      </c>
      <c r="K163" t="inlineStr">
        <is>
          <t>Châteauneuf-sur-Cher</t>
        </is>
      </c>
      <c r="L163" t="inlineStr">
        <is>
          <t>02 48 60 42 74</t>
        </is>
      </c>
      <c r="M163" s="4" t="inlineStr">
        <is>
          <t>contact@comcomabc.fr</t>
        </is>
      </c>
      <c r="N163" s="4" t="inlineStr">
        <is>
          <t>https://www.comcomabc.fr/</t>
        </is>
      </c>
      <c r="O163" s="4" t="inlineStr">
        <is>
          <t>https://www.comcomabc.fr/contact/</t>
        </is>
      </c>
      <c r="P163" s="4" t="inlineStr">
        <is>
          <t>https://lannuaire.service-public.gouv.fr/centre-val-de-loire/cher/66080191-8942-4bec-bf50-44cd8c6185a6</t>
        </is>
      </c>
      <c r="Q163" t="inlineStr">
        <is>
          <t>Annuaire Service-public.fr</t>
        </is>
      </c>
      <c r="R163" t="inlineStr"/>
      <c r="S163" t="inlineStr"/>
      <c r="T163" t="inlineStr"/>
    </row>
    <row r="164">
      <c r="A164" t="inlineStr">
        <is>
          <t>CC Berry Grand Sud</t>
        </is>
      </c>
      <c r="B164" t="inlineStr">
        <is>
          <t>Communauté de communes</t>
        </is>
      </c>
      <c r="C164" t="inlineStr">
        <is>
          <t>200049484</t>
        </is>
      </c>
      <c r="D164" t="inlineStr">
        <is>
          <t>18</t>
        </is>
      </c>
      <c r="E164" t="inlineStr">
        <is>
          <t>Cher</t>
        </is>
      </c>
      <c r="F164" t="inlineStr">
        <is>
          <t>Centre-Val de Loire</t>
        </is>
      </c>
      <c r="G164" s="3" t="n">
        <v>11437</v>
      </c>
      <c r="H164" t="n">
        <v>32</v>
      </c>
      <c r="I164" t="inlineStr">
        <is>
          <t>6 Grande rue</t>
        </is>
      </c>
      <c r="J164" t="inlineStr">
        <is>
          <t>18170</t>
        </is>
      </c>
      <c r="K164" t="inlineStr">
        <is>
          <t>Le Châtelet</t>
        </is>
      </c>
      <c r="L164" t="inlineStr">
        <is>
          <t>02 48 56 37 92</t>
        </is>
      </c>
      <c r="M164" s="4" t="inlineStr">
        <is>
          <t>contact@cdc-berry-grand-sud.fr</t>
        </is>
      </c>
      <c r="N164" s="4" t="inlineStr">
        <is>
          <t>https://cdc-berry-grand-sud.fr/</t>
        </is>
      </c>
      <c r="O164" s="4" t="inlineStr">
        <is>
          <t>https://cdc-berry-grand-sud.fr/contact/</t>
        </is>
      </c>
      <c r="P164" s="4" t="inlineStr">
        <is>
          <t>https://lannuaire.service-public.gouv.fr/centre-val-de-loire/cher/46eace04-0ff0-4fa3-8806-b2eb1b7794ae</t>
        </is>
      </c>
      <c r="Q164" t="inlineStr">
        <is>
          <t>Annuaire Service-public.fr</t>
        </is>
      </c>
      <c r="R164" t="inlineStr"/>
      <c r="S164" t="inlineStr"/>
      <c r="T164" t="inlineStr"/>
    </row>
    <row r="165">
      <c r="A165" t="inlineStr">
        <is>
          <t>CC Berry-Loire-Vauvise</t>
        </is>
      </c>
      <c r="B165" t="inlineStr">
        <is>
          <t>Communauté de communes</t>
        </is>
      </c>
      <c r="C165" t="inlineStr">
        <is>
          <t>200032514</t>
        </is>
      </c>
      <c r="D165" t="inlineStr">
        <is>
          <t>18</t>
        </is>
      </c>
      <c r="E165" t="inlineStr">
        <is>
          <t>Cher</t>
        </is>
      </c>
      <c r="F165" t="inlineStr">
        <is>
          <t>Centre-Val de Loire</t>
        </is>
      </c>
      <c r="G165" s="3" t="n">
        <v>5427</v>
      </c>
      <c r="H165" t="n">
        <v>14</v>
      </c>
      <c r="I165" t="inlineStr">
        <is>
          <t>6 rue Hubert-Gouvernel</t>
        </is>
      </c>
      <c r="J165" t="inlineStr">
        <is>
          <t>18140</t>
        </is>
      </c>
      <c r="K165" t="inlineStr">
        <is>
          <t>Sancergues</t>
        </is>
      </c>
      <c r="L165" t="inlineStr">
        <is>
          <t>02 48 79 38 35</t>
        </is>
      </c>
      <c r="M165" s="4" t="inlineStr">
        <is>
          <t>cdc.berryloirevauvise@gmail.com</t>
        </is>
      </c>
      <c r="N165" s="4" t="inlineStr">
        <is>
          <t>http://www.cdc-berryloirevauvise.fr</t>
        </is>
      </c>
      <c r="O165" t="inlineStr"/>
      <c r="P165" s="4" t="inlineStr">
        <is>
          <t>https://lannuaire.service-public.gouv.fr/centre-val-de-loire/cher/12c37d3d-2b60-4e70-a5fc-6814174295aa</t>
        </is>
      </c>
      <c r="Q165" t="inlineStr">
        <is>
          <t>Annuaire Service-public.fr</t>
        </is>
      </c>
      <c r="R165" t="inlineStr"/>
      <c r="S165" t="inlineStr"/>
      <c r="T165" t="inlineStr"/>
    </row>
    <row r="166">
      <c r="A166" t="inlineStr">
        <is>
          <t>CC Coeur de Berry</t>
        </is>
      </c>
      <c r="B166" t="inlineStr">
        <is>
          <t>Communauté de communes</t>
        </is>
      </c>
      <c r="C166" t="inlineStr">
        <is>
          <t>200070571</t>
        </is>
      </c>
      <c r="D166" t="inlineStr">
        <is>
          <t>18</t>
        </is>
      </c>
      <c r="E166" t="inlineStr">
        <is>
          <t>Cher</t>
        </is>
      </c>
      <c r="F166" t="inlineStr">
        <is>
          <t>Centre-Val de Loire</t>
        </is>
      </c>
      <c r="G166" s="3" t="n">
        <v>6878</v>
      </c>
      <c r="H166" t="n">
        <v>11</v>
      </c>
      <c r="I166" t="inlineStr">
        <is>
          <t>13 rue des Tours</t>
        </is>
      </c>
      <c r="J166" t="inlineStr">
        <is>
          <t>18120</t>
        </is>
      </c>
      <c r="K166" t="inlineStr">
        <is>
          <t>Lury-sur-Arnon</t>
        </is>
      </c>
      <c r="L166" t="inlineStr">
        <is>
          <t>02 48 51 13 73</t>
        </is>
      </c>
      <c r="M166" s="4" t="inlineStr">
        <is>
          <t>coeurdeberry@orange.fr</t>
        </is>
      </c>
      <c r="N166" s="4" t="inlineStr">
        <is>
          <t>https://www.coeurdeberry.fr/</t>
        </is>
      </c>
      <c r="O166" s="4" t="inlineStr">
        <is>
          <t>https://www.coeurdeberry.fr/contact-cc-coeur-de-berry-18_fr.html</t>
        </is>
      </c>
      <c r="P166" s="4" t="inlineStr">
        <is>
          <t>https://lannuaire.service-public.gouv.fr/centre-val-de-loire/cher/a90d2785-ace4-42f2-8142-891ec1387b8e</t>
        </is>
      </c>
      <c r="Q166" t="inlineStr">
        <is>
          <t>Annuaire Service-public.fr</t>
        </is>
      </c>
      <c r="R166" t="inlineStr"/>
      <c r="S166" t="inlineStr"/>
      <c r="T166" t="inlineStr"/>
    </row>
    <row r="167">
      <c r="A167" t="inlineStr">
        <is>
          <t>CC Coeur de France</t>
        </is>
      </c>
      <c r="B167" t="inlineStr">
        <is>
          <t>Communauté de communes</t>
        </is>
      </c>
      <c r="C167" t="inlineStr">
        <is>
          <t>200036135</t>
        </is>
      </c>
      <c r="D167" t="inlineStr">
        <is>
          <t>18</t>
        </is>
      </c>
      <c r="E167" t="inlineStr">
        <is>
          <t>Cher</t>
        </is>
      </c>
      <c r="F167" t="inlineStr">
        <is>
          <t>Centre-Val de Loire</t>
        </is>
      </c>
      <c r="G167" s="3" t="n">
        <v>18225</v>
      </c>
      <c r="H167" t="n">
        <v>19</v>
      </c>
      <c r="I167" t="inlineStr">
        <is>
          <t>1 rue Philibert-Audebrand</t>
        </is>
      </c>
      <c r="J167" t="inlineStr">
        <is>
          <t>18200</t>
        </is>
      </c>
      <c r="K167" t="inlineStr">
        <is>
          <t>Saint-Amand-Montrond</t>
        </is>
      </c>
      <c r="L167" t="inlineStr">
        <is>
          <t>02 48 82 11 46</t>
        </is>
      </c>
      <c r="M167" s="4" t="inlineStr">
        <is>
          <t>contact@cc-coeurdefrance.fr</t>
        </is>
      </c>
      <c r="N167" s="4" t="inlineStr">
        <is>
          <t>https://cc-coeurdefrance.fr/</t>
        </is>
      </c>
      <c r="O167" s="4" t="inlineStr">
        <is>
          <t>https://cc-coeurdefrance.fr/contact/</t>
        </is>
      </c>
      <c r="P167" s="4" t="inlineStr">
        <is>
          <t>https://lannuaire.service-public.gouv.fr/centre-val-de-loire/cher/89b4843f-2621-4872-9219-5e069e3c5d4f</t>
        </is>
      </c>
      <c r="Q167" t="inlineStr">
        <is>
          <t>Annuaire Service-public.fr</t>
        </is>
      </c>
      <c r="R167" t="inlineStr"/>
      <c r="S167" t="inlineStr"/>
      <c r="T167" t="inlineStr"/>
    </row>
    <row r="168">
      <c r="A168" t="inlineStr">
        <is>
          <t>CC FerCher</t>
        </is>
      </c>
      <c r="B168" t="inlineStr">
        <is>
          <t>Communauté de communes</t>
        </is>
      </c>
      <c r="C168" t="inlineStr">
        <is>
          <t>241800457</t>
        </is>
      </c>
      <c r="D168" t="inlineStr">
        <is>
          <t>18</t>
        </is>
      </c>
      <c r="E168" t="inlineStr">
        <is>
          <t>Cher</t>
        </is>
      </c>
      <c r="F168" t="inlineStr">
        <is>
          <t>Centre-Val de Loire</t>
        </is>
      </c>
      <c r="G168" s="3" t="n">
        <v>11296</v>
      </c>
      <c r="H168" t="n">
        <v>9</v>
      </c>
      <c r="I168" t="inlineStr">
        <is>
          <t>Place de la République</t>
        </is>
      </c>
      <c r="J168" t="inlineStr">
        <is>
          <t>18400</t>
        </is>
      </c>
      <c r="K168" t="inlineStr">
        <is>
          <t>Saint-Florent-sur-Cher</t>
        </is>
      </c>
      <c r="L168" t="inlineStr">
        <is>
          <t>02 48 23 22 08</t>
        </is>
      </c>
      <c r="M168" s="4" t="inlineStr">
        <is>
          <t>paysflorentais@cc-fercher.fr</t>
        </is>
      </c>
      <c r="N168" s="4" t="inlineStr">
        <is>
          <t>https://www.ccfercher.fr/</t>
        </is>
      </c>
      <c r="O168" s="4" t="inlineStr">
        <is>
          <t>https://www.ccfercher.fr/nous-contacter/</t>
        </is>
      </c>
      <c r="P168" s="4" t="inlineStr">
        <is>
          <t>https://lannuaire.service-public.gouv.fr/centre-val-de-loire/cher/90e97dce-f69e-4dbe-89f3-f7f85c29d8c0</t>
        </is>
      </c>
      <c r="Q168" t="inlineStr">
        <is>
          <t>Annuaire Service-public.fr</t>
        </is>
      </c>
      <c r="R168" t="inlineStr"/>
      <c r="S168" t="inlineStr"/>
      <c r="T168" t="inlineStr"/>
    </row>
    <row r="169">
      <c r="A169" t="inlineStr">
        <is>
          <t>CC Les Bertranges</t>
        </is>
      </c>
      <c r="B169" t="inlineStr">
        <is>
          <t>Communauté de communes</t>
        </is>
      </c>
      <c r="C169" t="inlineStr">
        <is>
          <t>200068088</t>
        </is>
      </c>
      <c r="D169" t="inlineStr">
        <is>
          <t>18, 58</t>
        </is>
      </c>
      <c r="E169" t="inlineStr">
        <is>
          <t>Cher, Nièvre</t>
        </is>
      </c>
      <c r="F169" t="inlineStr">
        <is>
          <t>Centre-Val de Loire, Bourgogne-Franche-Comté</t>
        </is>
      </c>
      <c r="G169" s="3" t="n">
        <v>19625</v>
      </c>
      <c r="H169" t="n">
        <v>32</v>
      </c>
      <c r="I169" t="inlineStr">
        <is>
          <t>14 avenue Henri-Dunant</t>
        </is>
      </c>
      <c r="J169" t="inlineStr">
        <is>
          <t>58400</t>
        </is>
      </c>
      <c r="K169" t="inlineStr">
        <is>
          <t>La Charité-sur-Loire</t>
        </is>
      </c>
      <c r="L169" t="inlineStr">
        <is>
          <t>03 86 69 69 06</t>
        </is>
      </c>
      <c r="M169" s="4" t="inlineStr">
        <is>
          <t>mathilde.adrien@lesbertranges.fr</t>
        </is>
      </c>
      <c r="N169" s="4" t="inlineStr">
        <is>
          <t>https://www.lesbertranges.fr</t>
        </is>
      </c>
      <c r="O169" s="4" t="inlineStr">
        <is>
          <t>https://www.lesbertranges.fr/index.php/contact/</t>
        </is>
      </c>
      <c r="P169" s="4" t="inlineStr">
        <is>
          <t>https://lannuaire.service-public.gouv.fr/bourgogne-franche-comte/nievre/8b336b0c-a53b-4157-b45c-47e404f35b1e</t>
        </is>
      </c>
      <c r="Q169" t="inlineStr">
        <is>
          <t>Annuaire Service-public.fr</t>
        </is>
      </c>
      <c r="R169" t="inlineStr"/>
      <c r="S169" t="inlineStr"/>
      <c r="T169" t="inlineStr"/>
    </row>
    <row r="170">
      <c r="A170" t="inlineStr">
        <is>
          <t>CC Pays Fort Sancerrois Val de Loire</t>
        </is>
      </c>
      <c r="B170" t="inlineStr">
        <is>
          <t>Communauté de communes</t>
        </is>
      </c>
      <c r="C170" t="inlineStr">
        <is>
          <t>200069227</t>
        </is>
      </c>
      <c r="D170" t="inlineStr">
        <is>
          <t>18</t>
        </is>
      </c>
      <c r="E170" t="inlineStr">
        <is>
          <t>Cher</t>
        </is>
      </c>
      <c r="F170" t="inlineStr">
        <is>
          <t>Centre-Val de Loire</t>
        </is>
      </c>
      <c r="G170" s="3" t="n">
        <v>18143</v>
      </c>
      <c r="H170" t="n">
        <v>36</v>
      </c>
      <c r="I170" t="inlineStr">
        <is>
          <t>41 rue Basse-des-Remparts</t>
        </is>
      </c>
      <c r="J170" t="inlineStr">
        <is>
          <t>18300</t>
        </is>
      </c>
      <c r="K170" t="inlineStr">
        <is>
          <t>Sancerre</t>
        </is>
      </c>
      <c r="L170" t="inlineStr">
        <is>
          <t>02 48 54 74 34</t>
        </is>
      </c>
      <c r="M170" s="4" t="inlineStr">
        <is>
          <t>secretariat@cdc-du-sancerrois.fr</t>
        </is>
      </c>
      <c r="N170" s="4" t="inlineStr">
        <is>
          <t>https://www.comcompsv.fr/</t>
        </is>
      </c>
      <c r="O170" s="4" t="inlineStr">
        <is>
          <t>https://www.comcompsv.fr/contact-pays-fort-sancerrois-valdeloire_fr.html</t>
        </is>
      </c>
      <c r="P170" s="4" t="inlineStr">
        <is>
          <t>https://lannuaire.service-public.gouv.fr/centre-val-de-loire/cher/e2b89a70-4ec8-482e-94fb-dd6a23d8cf11</t>
        </is>
      </c>
      <c r="Q170" t="inlineStr">
        <is>
          <t>Annuaire Service-public.fr</t>
        </is>
      </c>
      <c r="R170" t="inlineStr"/>
      <c r="S170" t="inlineStr"/>
      <c r="T170" t="inlineStr"/>
    </row>
    <row r="171">
      <c r="A171" t="inlineStr">
        <is>
          <t>CC Pays de Nérondes</t>
        </is>
      </c>
      <c r="B171" t="inlineStr">
        <is>
          <t>Communauté de communes</t>
        </is>
      </c>
      <c r="C171" t="inlineStr">
        <is>
          <t>200007177</t>
        </is>
      </c>
      <c r="D171" t="inlineStr">
        <is>
          <t>18</t>
        </is>
      </c>
      <c r="E171" t="inlineStr">
        <is>
          <t>Cher</t>
        </is>
      </c>
      <c r="F171" t="inlineStr">
        <is>
          <t>Centre-Val de Loire</t>
        </is>
      </c>
      <c r="G171" s="3" t="n">
        <v>4644</v>
      </c>
      <c r="H171" t="n">
        <v>12</v>
      </c>
      <c r="I171" t="inlineStr">
        <is>
          <t>27 route de Saint-Amand</t>
        </is>
      </c>
      <c r="J171" t="inlineStr">
        <is>
          <t>18350</t>
        </is>
      </c>
      <c r="K171" t="inlineStr">
        <is>
          <t>Nérondes</t>
        </is>
      </c>
      <c r="L171" t="inlineStr">
        <is>
          <t>02 48 77 62 04</t>
        </is>
      </c>
      <c r="M171" s="4" t="inlineStr">
        <is>
          <t>accueil@cdcpaysnerondes.com</t>
        </is>
      </c>
      <c r="N171" s="4" t="inlineStr">
        <is>
          <t>https://cdcpaysnerondes.com/</t>
        </is>
      </c>
      <c r="O171" s="4" t="inlineStr">
        <is>
          <t>https://cdcpaysnerondes.com/contact/</t>
        </is>
      </c>
      <c r="P171" s="4" t="inlineStr">
        <is>
          <t>https://lannuaire.service-public.gouv.fr/centre-val-de-loire/cher/3369c1f9-70e6-4998-9198-560dc67be1c3</t>
        </is>
      </c>
      <c r="Q171" t="inlineStr">
        <is>
          <t>Annuaire Service-public.fr</t>
        </is>
      </c>
      <c r="R171" t="inlineStr"/>
      <c r="S171" t="inlineStr"/>
      <c r="T171" t="inlineStr"/>
    </row>
    <row r="172">
      <c r="A172" t="inlineStr">
        <is>
          <t>CC Portes du Berry entre Loire et Val d'Aubois</t>
        </is>
      </c>
      <c r="B172" t="inlineStr">
        <is>
          <t>Communauté de communes</t>
        </is>
      </c>
      <c r="C172" t="inlineStr">
        <is>
          <t>200011781</t>
        </is>
      </c>
      <c r="D172" t="inlineStr">
        <is>
          <t>18</t>
        </is>
      </c>
      <c r="E172" t="inlineStr">
        <is>
          <t>Cher</t>
        </is>
      </c>
      <c r="F172" t="inlineStr">
        <is>
          <t>Centre-Val de Loire</t>
        </is>
      </c>
      <c r="G172" s="3" t="n">
        <v>9478</v>
      </c>
      <c r="H172" t="n">
        <v>12</v>
      </c>
      <c r="I172" t="inlineStr">
        <is>
          <t>54 route de Nevers</t>
        </is>
      </c>
      <c r="J172" t="inlineStr">
        <is>
          <t>18320</t>
        </is>
      </c>
      <c r="K172" t="inlineStr">
        <is>
          <t>Jouet-sur-l'Aubois</t>
        </is>
      </c>
      <c r="L172" t="inlineStr">
        <is>
          <t>02 48 77 55 50</t>
        </is>
      </c>
      <c r="M172" s="4" t="inlineStr">
        <is>
          <t>cdcportesduberry@orange.fr</t>
        </is>
      </c>
      <c r="N172" s="4" t="inlineStr">
        <is>
          <t>https://www.cdc-portesduberry.fr/</t>
        </is>
      </c>
      <c r="O172" t="inlineStr"/>
      <c r="P172" s="4" t="inlineStr">
        <is>
          <t>https://lannuaire.service-public.gouv.fr/centre-val-de-loire/cher/93d007d2-03af-444c-a879-1fa24bc5b533</t>
        </is>
      </c>
      <c r="Q172" t="inlineStr">
        <is>
          <t>Annuaire Service-public.fr</t>
        </is>
      </c>
      <c r="R172" t="inlineStr"/>
      <c r="S172" t="inlineStr"/>
      <c r="T172" t="inlineStr"/>
    </row>
    <row r="173">
      <c r="A173" t="inlineStr">
        <is>
          <t>CC Sauldre et Sologne</t>
        </is>
      </c>
      <c r="B173" t="inlineStr">
        <is>
          <t>Communauté de communes</t>
        </is>
      </c>
      <c r="C173" t="inlineStr">
        <is>
          <t>200000933</t>
        </is>
      </c>
      <c r="D173" t="inlineStr">
        <is>
          <t>18</t>
        </is>
      </c>
      <c r="E173" t="inlineStr">
        <is>
          <t>Cher</t>
        </is>
      </c>
      <c r="F173" t="inlineStr">
        <is>
          <t>Centre-Val de Loire</t>
        </is>
      </c>
      <c r="G173" s="3" t="n">
        <v>14335</v>
      </c>
      <c r="H173" t="n">
        <v>14</v>
      </c>
      <c r="I173" t="inlineStr">
        <is>
          <t>7 rue du 4-Septembre</t>
        </is>
      </c>
      <c r="J173" t="inlineStr">
        <is>
          <t>18410</t>
        </is>
      </c>
      <c r="K173" t="inlineStr">
        <is>
          <t>Argent-sur-Sauldre</t>
        </is>
      </c>
      <c r="L173" t="inlineStr">
        <is>
          <t>02 48 73 85 22</t>
        </is>
      </c>
      <c r="M173" s="4" t="inlineStr">
        <is>
          <t>contact@sauldre-sologne.fr</t>
        </is>
      </c>
      <c r="N173" s="4" t="inlineStr">
        <is>
          <t>https://www.sauldre-sologne.fr/</t>
        </is>
      </c>
      <c r="O173" s="4" t="inlineStr">
        <is>
          <t>https://www.sauldre-sologne.fr/contact-cdc-sauldre-sologne_fr.html</t>
        </is>
      </c>
      <c r="P173" s="4" t="inlineStr">
        <is>
          <t>https://lannuaire.service-public.gouv.fr/centre-val-de-loire/cher/98664bfd-73fe-4874-a2c4-67a75a48b2f3</t>
        </is>
      </c>
      <c r="Q173" t="inlineStr">
        <is>
          <t>Annuaire Service-public.fr</t>
        </is>
      </c>
      <c r="R173" t="inlineStr"/>
      <c r="S173" t="inlineStr"/>
      <c r="T173" t="inlineStr"/>
    </row>
    <row r="174">
      <c r="A174" t="inlineStr">
        <is>
          <t>CC Terres du Haut Berry</t>
        </is>
      </c>
      <c r="B174" t="inlineStr">
        <is>
          <t>Communauté de communes</t>
        </is>
      </c>
      <c r="C174" t="inlineStr">
        <is>
          <t>200066330</t>
        </is>
      </c>
      <c r="D174" t="inlineStr">
        <is>
          <t>18</t>
        </is>
      </c>
      <c r="E174" t="inlineStr">
        <is>
          <t>Cher</t>
        </is>
      </c>
      <c r="F174" t="inlineStr">
        <is>
          <t>Centre-Val de Loire</t>
        </is>
      </c>
      <c r="G174" s="3" t="n">
        <v>25976</v>
      </c>
      <c r="H174" t="n">
        <v>30</v>
      </c>
      <c r="I174" t="inlineStr">
        <is>
          <t>31 bis route de Rians</t>
        </is>
      </c>
      <c r="J174" t="inlineStr">
        <is>
          <t>18220</t>
        </is>
      </c>
      <c r="K174" t="inlineStr">
        <is>
          <t>Les Aix-d'Angillon</t>
        </is>
      </c>
      <c r="L174" t="inlineStr">
        <is>
          <t>02 48 64 75 75</t>
        </is>
      </c>
      <c r="M174" s="4" t="inlineStr">
        <is>
          <t>contact@terresduhautberry.fr</t>
        </is>
      </c>
      <c r="N174" s="4" t="inlineStr">
        <is>
          <t>https://terresduhautberry.fr/</t>
        </is>
      </c>
      <c r="O174" t="inlineStr"/>
      <c r="P174" s="4" t="inlineStr">
        <is>
          <t>https://lannuaire.service-public.gouv.fr/centre-val-de-loire/cher/c7ae270d-3b00-46ba-828a-db0fc7934e97</t>
        </is>
      </c>
      <c r="Q174" t="inlineStr">
        <is>
          <t>Annuaire Service-public.fr</t>
        </is>
      </c>
      <c r="R174" t="inlineStr"/>
      <c r="S174" t="inlineStr"/>
      <c r="T174" t="inlineStr"/>
    </row>
    <row r="175">
      <c r="A175" t="inlineStr">
        <is>
          <t>CC Vierzon-Sologne-Berry</t>
        </is>
      </c>
      <c r="B175" t="inlineStr">
        <is>
          <t>Communauté de communes</t>
        </is>
      </c>
      <c r="C175" t="inlineStr">
        <is>
          <t>200090561</t>
        </is>
      </c>
      <c r="D175" t="inlineStr">
        <is>
          <t>18</t>
        </is>
      </c>
      <c r="E175" t="inlineStr">
        <is>
          <t>Cher</t>
        </is>
      </c>
      <c r="F175" t="inlineStr">
        <is>
          <t>Centre-Val de Loire</t>
        </is>
      </c>
      <c r="G175" s="3" t="n">
        <v>38153</v>
      </c>
      <c r="H175" t="n">
        <v>16</v>
      </c>
      <c r="I175" t="inlineStr">
        <is>
          <t>2 rue Blanche-Baron</t>
        </is>
      </c>
      <c r="J175" t="inlineStr">
        <is>
          <t>18100</t>
        </is>
      </c>
      <c r="K175" t="inlineStr">
        <is>
          <t>Vierzon</t>
        </is>
      </c>
      <c r="L175" t="inlineStr">
        <is>
          <t>02 48 71 35 78</t>
        </is>
      </c>
      <c r="M175" s="4" t="inlineStr">
        <is>
          <t>contact@cc-vierzon.fr</t>
        </is>
      </c>
      <c r="N175" s="4" t="inlineStr">
        <is>
          <t>https://www.cc-vierzon.fr/</t>
        </is>
      </c>
      <c r="O175" s="4" t="inlineStr">
        <is>
          <t>https://www.cc-vierzon.fr/contact/</t>
        </is>
      </c>
      <c r="P175" s="4" t="inlineStr">
        <is>
          <t>https://lannuaire.service-public.gouv.fr/centre-val-de-loire/cher/c40b9076-b5d3-4d52-9ec6-0aa4f4ac8e03</t>
        </is>
      </c>
      <c r="Q175" t="inlineStr">
        <is>
          <t>Annuaire Service-public.fr</t>
        </is>
      </c>
      <c r="R175" t="inlineStr"/>
      <c r="S175" t="inlineStr"/>
      <c r="T175" t="inlineStr"/>
    </row>
    <row r="176">
      <c r="A176" t="inlineStr">
        <is>
          <t>CC du Pays d'Issoudun</t>
        </is>
      </c>
      <c r="B176" t="inlineStr">
        <is>
          <t>Communauté de communes</t>
        </is>
      </c>
      <c r="C176" t="inlineStr">
        <is>
          <t>243600236</t>
        </is>
      </c>
      <c r="D176" t="inlineStr">
        <is>
          <t>18, 36</t>
        </is>
      </c>
      <c r="E176" t="inlineStr">
        <is>
          <t>Cher, Indre</t>
        </is>
      </c>
      <c r="F176" t="inlineStr">
        <is>
          <t>Centre-Val de Loire</t>
        </is>
      </c>
      <c r="G176" s="3" t="n">
        <v>18778</v>
      </c>
      <c r="H176" t="n">
        <v>12</v>
      </c>
      <c r="I176" t="inlineStr">
        <is>
          <t>Place des Droits-de-l'Homme</t>
        </is>
      </c>
      <c r="J176" t="inlineStr">
        <is>
          <t>36100</t>
        </is>
      </c>
      <c r="K176" t="inlineStr">
        <is>
          <t>Issoudun</t>
        </is>
      </c>
      <c r="L176" t="inlineStr">
        <is>
          <t>02 54 03 36 36</t>
        </is>
      </c>
      <c r="M176" s="4" t="inlineStr">
        <is>
          <t>ccpi@issoudun.fr</t>
        </is>
      </c>
      <c r="N176" s="4" t="inlineStr">
        <is>
          <t>https://www.issoudun.fr/vivre-a-issoudun/ccpi/</t>
        </is>
      </c>
      <c r="O176" t="inlineStr"/>
      <c r="P176" s="4" t="inlineStr">
        <is>
          <t>https://lannuaire.service-public.gouv.fr/centre-val-de-loire/indre/4b9575d2-70d4-470a-a622-0b79613ca1fa</t>
        </is>
      </c>
      <c r="Q176" t="inlineStr">
        <is>
          <t>Annuaire Service-public.fr</t>
        </is>
      </c>
      <c r="R176" t="inlineStr"/>
      <c r="S176" t="inlineStr"/>
      <c r="T176" t="inlineStr"/>
    </row>
    <row r="177">
      <c r="A177" t="inlineStr">
        <is>
          <t>CC la Septaine</t>
        </is>
      </c>
      <c r="B177" t="inlineStr">
        <is>
          <t>Communauté de communes</t>
        </is>
      </c>
      <c r="C177" t="inlineStr">
        <is>
          <t>241800374</t>
        </is>
      </c>
      <c r="D177" t="inlineStr">
        <is>
          <t>18</t>
        </is>
      </c>
      <c r="E177" t="inlineStr">
        <is>
          <t>Cher</t>
        </is>
      </c>
      <c r="F177" t="inlineStr">
        <is>
          <t>Centre-Val de Loire</t>
        </is>
      </c>
      <c r="G177" s="3" t="n">
        <v>10794</v>
      </c>
      <c r="H177" t="n">
        <v>15</v>
      </c>
      <c r="I177" t="inlineStr">
        <is>
          <t>ZAC Les Alouettes</t>
        </is>
      </c>
      <c r="J177" t="inlineStr">
        <is>
          <t>18520</t>
        </is>
      </c>
      <c r="K177" t="inlineStr">
        <is>
          <t>Avord</t>
        </is>
      </c>
      <c r="L177" t="inlineStr">
        <is>
          <t>02 48 69 80 77</t>
        </is>
      </c>
      <c r="M177" s="4" t="inlineStr">
        <is>
          <t>cclaseptaine@cc-laseptaine.fr</t>
        </is>
      </c>
      <c r="N177" s="4" t="inlineStr">
        <is>
          <t>http://cc-laseptaine.fr</t>
        </is>
      </c>
      <c r="O177" t="inlineStr"/>
      <c r="P177" s="4" t="inlineStr">
        <is>
          <t>https://lannuaire.service-public.gouv.fr/centre-val-de-loire/cher/6367e3f6-0f95-4398-a7c8-1cc55104be3d</t>
        </is>
      </c>
      <c r="Q177" t="inlineStr">
        <is>
          <t>Annuaire Service-public.fr</t>
        </is>
      </c>
      <c r="R177" t="inlineStr"/>
      <c r="S177" t="inlineStr"/>
      <c r="T177" t="inlineStr"/>
    </row>
    <row r="178">
      <c r="A178" t="inlineStr">
        <is>
          <t>CC le Dunois</t>
        </is>
      </c>
      <c r="B178" t="inlineStr">
        <is>
          <t>Communauté de communes</t>
        </is>
      </c>
      <c r="C178" t="inlineStr">
        <is>
          <t>241800424</t>
        </is>
      </c>
      <c r="D178" t="inlineStr">
        <is>
          <t>18</t>
        </is>
      </c>
      <c r="E178" t="inlineStr">
        <is>
          <t>Cher</t>
        </is>
      </c>
      <c r="F178" t="inlineStr">
        <is>
          <t>Centre-Val de Loire</t>
        </is>
      </c>
      <c r="G178" s="3" t="n">
        <v>7132</v>
      </c>
      <c r="H178" t="n">
        <v>16</v>
      </c>
      <c r="I178" t="inlineStr">
        <is>
          <t>Place du Champ-de-Foire</t>
        </is>
      </c>
      <c r="J178" t="inlineStr">
        <is>
          <t>18130</t>
        </is>
      </c>
      <c r="K178" t="inlineStr">
        <is>
          <t>Dun-sur-Auron</t>
        </is>
      </c>
      <c r="L178" t="inlineStr">
        <is>
          <t>02 48 59 16 32</t>
        </is>
      </c>
      <c r="M178" s="4" t="inlineStr">
        <is>
          <t>contact@cdcledunois.fr</t>
        </is>
      </c>
      <c r="N178" t="inlineStr"/>
      <c r="O178" t="inlineStr"/>
      <c r="P178" s="4" t="inlineStr">
        <is>
          <t>https://lannuaire.service-public.gouv.fr/centre-val-de-loire/cher/10cb3b9b-928f-4d2c-b14b-42c8ba2d83e3</t>
        </is>
      </c>
      <c r="Q178" t="inlineStr">
        <is>
          <t>Annuaire Service-public.fr</t>
        </is>
      </c>
      <c r="R178" t="inlineStr"/>
      <c r="S178" t="inlineStr"/>
      <c r="T178" t="inlineStr"/>
    </row>
    <row r="179">
      <c r="A179" t="inlineStr">
        <is>
          <t>CC les Trois Provinces</t>
        </is>
      </c>
      <c r="B179" t="inlineStr">
        <is>
          <t>Communauté de communes</t>
        </is>
      </c>
      <c r="C179" t="inlineStr">
        <is>
          <t>241800432</t>
        </is>
      </c>
      <c r="D179" t="inlineStr">
        <is>
          <t>18</t>
        </is>
      </c>
      <c r="E179" t="inlineStr">
        <is>
          <t>Cher</t>
        </is>
      </c>
      <c r="F179" t="inlineStr">
        <is>
          <t>Centre-Val de Loire</t>
        </is>
      </c>
      <c r="G179" s="3" t="n">
        <v>5025</v>
      </c>
      <c r="H179" t="n">
        <v>11</v>
      </c>
      <c r="I179" t="inlineStr">
        <is>
          <t>21 rue Pierre-Caldi</t>
        </is>
      </c>
      <c r="J179" t="inlineStr">
        <is>
          <t>18600</t>
        </is>
      </c>
      <c r="K179" t="inlineStr">
        <is>
          <t>Sancoins</t>
        </is>
      </c>
      <c r="L179" t="inlineStr">
        <is>
          <t>02 48 80 09 28</t>
        </is>
      </c>
      <c r="M179" s="4" t="inlineStr">
        <is>
          <t>contact@cc3p.fr</t>
        </is>
      </c>
      <c r="N179" s="4" t="inlineStr">
        <is>
          <t>https://www.cc3p.fr/</t>
        </is>
      </c>
      <c r="O179" s="4" t="inlineStr">
        <is>
          <t>https://www.cc3p.fr/contact/</t>
        </is>
      </c>
      <c r="P179" s="4" t="inlineStr">
        <is>
          <t>https://lannuaire.service-public.gouv.fr/centre-val-de-loire/cher/7ca0ed72-f637-4f65-9029-88f9af27ade0</t>
        </is>
      </c>
      <c r="Q179" t="inlineStr">
        <is>
          <t>Annuaire Service-public.fr</t>
        </is>
      </c>
      <c r="R179" t="inlineStr"/>
      <c r="S179" t="inlineStr"/>
      <c r="T179" t="inlineStr"/>
    </row>
    <row r="180">
      <c r="A180" t="inlineStr">
        <is>
          <t>CC Haute-Corrèze Communauté</t>
        </is>
      </c>
      <c r="B180" t="inlineStr">
        <is>
          <t>Communauté de communes</t>
        </is>
      </c>
      <c r="C180" t="inlineStr">
        <is>
          <t>200066744</t>
        </is>
      </c>
      <c r="D180" t="inlineStr">
        <is>
          <t>19, 23</t>
        </is>
      </c>
      <c r="E180" t="inlineStr">
        <is>
          <t>Corrèze, Creuse</t>
        </is>
      </c>
      <c r="F180" t="inlineStr">
        <is>
          <t>Nouvelle-Aquitaine</t>
        </is>
      </c>
      <c r="G180" s="3" t="n">
        <v>31994</v>
      </c>
      <c r="H180" t="n">
        <v>70</v>
      </c>
      <c r="I180" t="inlineStr">
        <is>
          <t>23 parc d'activité du Bois-Saint-Michel</t>
        </is>
      </c>
      <c r="J180" t="inlineStr">
        <is>
          <t>19200</t>
        </is>
      </c>
      <c r="K180" t="inlineStr">
        <is>
          <t>Ussel</t>
        </is>
      </c>
      <c r="L180" t="inlineStr">
        <is>
          <t>05 55 95 35 38</t>
        </is>
      </c>
      <c r="M180" s="4" t="inlineStr">
        <is>
          <t>contact@hautecorrezecommunaute.fr</t>
        </is>
      </c>
      <c r="N180" s="4" t="inlineStr">
        <is>
          <t>https://hautecorreze.fr/</t>
        </is>
      </c>
      <c r="O180" s="4" t="inlineStr">
        <is>
          <t>https://hautecorreze.fr/contactez-nous/</t>
        </is>
      </c>
      <c r="P180" s="4" t="inlineStr">
        <is>
          <t>https://lannuaire.service-public.gouv.fr/nouvelle-aquitaine/correze/672fa7df-c23d-41c7-8552-f30be823f513</t>
        </is>
      </c>
      <c r="Q180" t="inlineStr">
        <is>
          <t>Annuaire Service-public.fr</t>
        </is>
      </c>
      <c r="R180" t="inlineStr"/>
      <c r="S180" t="inlineStr"/>
      <c r="T180" t="inlineStr"/>
    </row>
    <row r="181">
      <c r="A181" t="inlineStr">
        <is>
          <t>CC Midi Corrézien</t>
        </is>
      </c>
      <c r="B181" t="inlineStr">
        <is>
          <t>Communauté de communes</t>
        </is>
      </c>
      <c r="C181" t="inlineStr">
        <is>
          <t>200066769</t>
        </is>
      </c>
      <c r="D181" t="inlineStr">
        <is>
          <t>19</t>
        </is>
      </c>
      <c r="E181" t="inlineStr">
        <is>
          <t>Corrèze</t>
        </is>
      </c>
      <c r="F181" t="inlineStr">
        <is>
          <t>Nouvelle-Aquitaine</t>
        </is>
      </c>
      <c r="G181" s="3" t="n">
        <v>13215</v>
      </c>
      <c r="H181" t="n">
        <v>34</v>
      </c>
      <c r="I181" t="inlineStr">
        <is>
          <t>Rue Émile-Monbrial</t>
        </is>
      </c>
      <c r="J181" t="inlineStr">
        <is>
          <t>19120</t>
        </is>
      </c>
      <c r="K181" t="inlineStr">
        <is>
          <t>Beaulieu-sur-Dordogne</t>
        </is>
      </c>
      <c r="L181" t="inlineStr">
        <is>
          <t>05 55 84 31 00</t>
        </is>
      </c>
      <c r="M181" s="4" t="inlineStr">
        <is>
          <t>contact@midicorrezien.com</t>
        </is>
      </c>
      <c r="N181" s="4" t="inlineStr">
        <is>
          <t>https://www.midicorrezien.com/</t>
        </is>
      </c>
      <c r="O181" s="4" t="inlineStr">
        <is>
          <t>https://www.midicorrezien.com/contact</t>
        </is>
      </c>
      <c r="P181" s="4" t="inlineStr">
        <is>
          <t>https://lannuaire.service-public.gouv.fr/nouvelle-aquitaine/correze/e6618186-0738-48e0-9ee2-184519ec5a6d</t>
        </is>
      </c>
      <c r="Q181" t="inlineStr">
        <is>
          <t>Annuaire Service-public.fr</t>
        </is>
      </c>
      <c r="R181" t="inlineStr"/>
      <c r="S181" t="inlineStr"/>
      <c r="T181" t="inlineStr"/>
    </row>
    <row r="182">
      <c r="A182" t="inlineStr">
        <is>
          <t>CC Vézère-Monédières-Millesources</t>
        </is>
      </c>
      <c r="B182" t="inlineStr">
        <is>
          <t>Communauté de communes</t>
        </is>
      </c>
      <c r="C182" t="inlineStr">
        <is>
          <t>200066645</t>
        </is>
      </c>
      <c r="D182" t="inlineStr">
        <is>
          <t>19</t>
        </is>
      </c>
      <c r="E182" t="inlineStr">
        <is>
          <t>Corrèze</t>
        </is>
      </c>
      <c r="F182" t="inlineStr">
        <is>
          <t>Nouvelle-Aquitaine</t>
        </is>
      </c>
      <c r="G182" s="3" t="n">
        <v>5691</v>
      </c>
      <c r="H182" t="n">
        <v>20</v>
      </c>
      <c r="I182" t="inlineStr">
        <is>
          <t>15 avenue du Général-de-Gaulle</t>
        </is>
      </c>
      <c r="J182" t="inlineStr">
        <is>
          <t>19260</t>
        </is>
      </c>
      <c r="K182" t="inlineStr">
        <is>
          <t>Treignac</t>
        </is>
      </c>
      <c r="L182" t="inlineStr">
        <is>
          <t>05 55 73 45 92</t>
        </is>
      </c>
      <c r="M182" s="4" t="inlineStr">
        <is>
          <t>contact@ccv2m.fr</t>
        </is>
      </c>
      <c r="N182" s="4" t="inlineStr">
        <is>
          <t>http://ccv2m.fr/</t>
        </is>
      </c>
      <c r="O182" s="4" t="inlineStr">
        <is>
          <t>http://ccv2m.fr/contact/</t>
        </is>
      </c>
      <c r="P182" s="4" t="inlineStr">
        <is>
          <t>https://lannuaire.service-public.gouv.fr/nouvelle-aquitaine/correze/6f9bc01a-452f-4f63-bf91-7aa4f7445d47</t>
        </is>
      </c>
      <c r="Q182" t="inlineStr">
        <is>
          <t>Annuaire Service-public.fr</t>
        </is>
      </c>
      <c r="R182" t="inlineStr"/>
      <c r="S182" t="inlineStr"/>
      <c r="T182" t="inlineStr"/>
    </row>
    <row r="183">
      <c r="A183" t="inlineStr">
        <is>
          <t>CC Xaintrie Val'Dordogne</t>
        </is>
      </c>
      <c r="B183" t="inlineStr">
        <is>
          <t>Communauté de communes</t>
        </is>
      </c>
      <c r="C183" t="inlineStr">
        <is>
          <t>200066751</t>
        </is>
      </c>
      <c r="D183" t="inlineStr">
        <is>
          <t>19</t>
        </is>
      </c>
      <c r="E183" t="inlineStr">
        <is>
          <t>Corrèze</t>
        </is>
      </c>
      <c r="F183" t="inlineStr">
        <is>
          <t>Nouvelle-Aquitaine</t>
        </is>
      </c>
      <c r="G183" s="3" t="n">
        <v>11120</v>
      </c>
      <c r="H183" t="n">
        <v>30</v>
      </c>
      <c r="I183" t="inlineStr">
        <is>
          <t>8 avenue du 8-Mai-1945</t>
        </is>
      </c>
      <c r="J183" t="inlineStr">
        <is>
          <t>19400</t>
        </is>
      </c>
      <c r="K183" t="inlineStr">
        <is>
          <t>Argentat-sur-Dordogne</t>
        </is>
      </c>
      <c r="L183" t="inlineStr">
        <is>
          <t>05 55 91 01 75</t>
        </is>
      </c>
      <c r="M183" s="4" t="inlineStr">
        <is>
          <t>accueil@xaintrie-val-dordogne.fr</t>
        </is>
      </c>
      <c r="N183" s="4" t="inlineStr">
        <is>
          <t>https://www.xaintrie-val-dordogne.fr/</t>
        </is>
      </c>
      <c r="O183" t="inlineStr"/>
      <c r="P183" s="4" t="inlineStr">
        <is>
          <t>https://lannuaire.service-public.gouv.fr/nouvelle-aquitaine/correze/117669f4-baf0-47b4-8ea0-32ca912b3fcf</t>
        </is>
      </c>
      <c r="Q183" t="inlineStr">
        <is>
          <t>Annuaire Service-public.fr</t>
        </is>
      </c>
      <c r="R183" t="inlineStr"/>
      <c r="S183" t="inlineStr"/>
      <c r="T183" t="inlineStr"/>
    </row>
    <row r="184">
      <c r="A184" t="inlineStr">
        <is>
          <t>CC de Ventadour - Egletons - Monédières</t>
        </is>
      </c>
      <c r="B184" t="inlineStr">
        <is>
          <t>Communauté de communes</t>
        </is>
      </c>
      <c r="C184" t="inlineStr">
        <is>
          <t>241900133</t>
        </is>
      </c>
      <c r="D184" t="inlineStr">
        <is>
          <t>19</t>
        </is>
      </c>
      <c r="E184" t="inlineStr">
        <is>
          <t>Corrèze</t>
        </is>
      </c>
      <c r="F184" t="inlineStr">
        <is>
          <t>Nouvelle-Aquitaine</t>
        </is>
      </c>
      <c r="G184" s="3" t="n">
        <v>10212</v>
      </c>
      <c r="H184" t="n">
        <v>19</v>
      </c>
      <c r="I184" t="inlineStr">
        <is>
          <t>Carrefour de l'Épinette, 1 avenue de l'Épinette</t>
        </is>
      </c>
      <c r="J184" t="inlineStr">
        <is>
          <t>19550</t>
        </is>
      </c>
      <c r="K184" t="inlineStr">
        <is>
          <t>Lapleau</t>
        </is>
      </c>
      <c r="L184" t="inlineStr">
        <is>
          <t>05 55 27 69 26</t>
        </is>
      </c>
      <c r="M184" s="4" t="inlineStr">
        <is>
          <t>accueil@cc-ventadour.fr</t>
        </is>
      </c>
      <c r="N184" s="4" t="inlineStr">
        <is>
          <t>http://www.cc-ventadour.fr</t>
        </is>
      </c>
      <c r="O184" t="inlineStr"/>
      <c r="P184" s="4" t="inlineStr">
        <is>
          <t>https://lannuaire.service-public.gouv.fr/nouvelle-aquitaine/correze/d9a08b45-e751-492b-a60c-0d6973d3b0d9</t>
        </is>
      </c>
      <c r="Q184" t="inlineStr">
        <is>
          <t>Annuaire Service-public.fr</t>
        </is>
      </c>
      <c r="R184" t="inlineStr"/>
      <c r="S184" t="inlineStr"/>
      <c r="T184" t="inlineStr"/>
    </row>
    <row r="185">
      <c r="A185" t="inlineStr">
        <is>
          <t>CC du Pays d'Uzerche</t>
        </is>
      </c>
      <c r="B185" t="inlineStr">
        <is>
          <t>Communauté de communes</t>
        </is>
      </c>
      <c r="C185" t="inlineStr">
        <is>
          <t>241927243</t>
        </is>
      </c>
      <c r="D185" t="inlineStr">
        <is>
          <t>19</t>
        </is>
      </c>
      <c r="E185" t="inlineStr">
        <is>
          <t>Corrèze</t>
        </is>
      </c>
      <c r="F185" t="inlineStr">
        <is>
          <t>Nouvelle-Aquitaine</t>
        </is>
      </c>
      <c r="G185" s="3" t="n">
        <v>10599</v>
      </c>
      <c r="H185" t="n">
        <v>12</v>
      </c>
      <c r="I185" t="inlineStr">
        <is>
          <t>10 place de la Libération</t>
        </is>
      </c>
      <c r="J185" t="inlineStr">
        <is>
          <t>19140</t>
        </is>
      </c>
      <c r="K185" t="inlineStr">
        <is>
          <t>Uzerche</t>
        </is>
      </c>
      <c r="L185" t="inlineStr">
        <is>
          <t>05 55 73 26 53</t>
        </is>
      </c>
      <c r="M185" s="4" t="inlineStr">
        <is>
          <t>contact@paysduzerche.fr</t>
        </is>
      </c>
      <c r="N185" s="4" t="inlineStr">
        <is>
          <t>https://www.paysduzerche.fr/</t>
        </is>
      </c>
      <c r="O185" s="4" t="inlineStr">
        <is>
          <t>https://www.paysduzerche.fr/</t>
        </is>
      </c>
      <c r="P185" s="4" t="inlineStr">
        <is>
          <t>https://lannuaire.service-public.gouv.fr/nouvelle-aquitaine/correze/45c397ce-fbc9-45b9-b373-b9a27f9a9a02</t>
        </is>
      </c>
      <c r="Q185" t="inlineStr">
        <is>
          <t>Annuaire Service-public.fr</t>
        </is>
      </c>
      <c r="R185" t="inlineStr"/>
      <c r="S185" t="inlineStr"/>
      <c r="T185" t="inlineStr"/>
    </row>
    <row r="186">
      <c r="A186" t="inlineStr">
        <is>
          <t>CC du Pays de Lubersac-Pompadour</t>
        </is>
      </c>
      <c r="B186" t="inlineStr">
        <is>
          <t>Communauté de communes</t>
        </is>
      </c>
      <c r="C186" t="inlineStr">
        <is>
          <t>200066603</t>
        </is>
      </c>
      <c r="D186" t="inlineStr">
        <is>
          <t>19</t>
        </is>
      </c>
      <c r="E186" t="inlineStr">
        <is>
          <t>Corrèze</t>
        </is>
      </c>
      <c r="F186" t="inlineStr">
        <is>
          <t>Nouvelle-Aquitaine</t>
        </is>
      </c>
      <c r="G186" s="3" t="n">
        <v>6785</v>
      </c>
      <c r="H186" t="n">
        <v>10</v>
      </c>
      <c r="I186" t="inlineStr">
        <is>
          <t>32 place de l'Horloge</t>
        </is>
      </c>
      <c r="J186" t="inlineStr">
        <is>
          <t>19210</t>
        </is>
      </c>
      <c r="K186" t="inlineStr">
        <is>
          <t>Lubersac</t>
        </is>
      </c>
      <c r="L186" t="inlineStr">
        <is>
          <t>05 19 67 01 05</t>
        </is>
      </c>
      <c r="M186" s="4" t="inlineStr">
        <is>
          <t>secretariat@lubersacpompadour.fr</t>
        </is>
      </c>
      <c r="N186" s="4" t="inlineStr">
        <is>
          <t>https://lubersacpompadour.fr/</t>
        </is>
      </c>
      <c r="O186" s="4" t="inlineStr">
        <is>
          <t>https://lubersacpompadour.fr/contact</t>
        </is>
      </c>
      <c r="P186" s="4" t="inlineStr">
        <is>
          <t>https://lannuaire.service-public.gouv.fr/nouvelle-aquitaine/correze/8ed42b46-edd0-419b-8283-d9b4bd370526</t>
        </is>
      </c>
      <c r="Q186" t="inlineStr">
        <is>
          <t>Annuaire Service-public.fr</t>
        </is>
      </c>
      <c r="R186" t="inlineStr"/>
      <c r="S186" t="inlineStr"/>
      <c r="T186" t="inlineStr"/>
    </row>
    <row r="187">
      <c r="A187" t="inlineStr">
        <is>
          <t>CC du Pays de Saint Yrieix</t>
        </is>
      </c>
      <c r="B187" t="inlineStr">
        <is>
          <t>Communauté de communes</t>
        </is>
      </c>
      <c r="C187" t="inlineStr">
        <is>
          <t>248700189</t>
        </is>
      </c>
      <c r="D187" t="inlineStr">
        <is>
          <t>19, 87</t>
        </is>
      </c>
      <c r="E187" t="inlineStr">
        <is>
          <t>Corrèze, Haute-Vienne</t>
        </is>
      </c>
      <c r="F187" t="inlineStr">
        <is>
          <t>Nouvelle-Aquitaine</t>
        </is>
      </c>
      <c r="G187" s="3" t="n">
        <v>12161</v>
      </c>
      <c r="H187" t="n">
        <v>9</v>
      </c>
      <c r="I187" t="inlineStr">
        <is>
          <t>Rue du 8-Mai-1945</t>
        </is>
      </c>
      <c r="J187" t="inlineStr">
        <is>
          <t>87500</t>
        </is>
      </c>
      <c r="K187" t="inlineStr">
        <is>
          <t>Saint-Yrieix-la-Perche</t>
        </is>
      </c>
      <c r="L187" t="inlineStr">
        <is>
          <t>05 55 08 88 76</t>
        </is>
      </c>
      <c r="M187" s="4" t="inlineStr">
        <is>
          <t>info@communaute-saint-yrieix.fr</t>
        </is>
      </c>
      <c r="N187" s="4" t="inlineStr">
        <is>
          <t>https://www.communaute-saint-yrieix.fr/</t>
        </is>
      </c>
      <c r="O187" s="4" t="inlineStr">
        <is>
          <t>https://www.communaute-saint-yrieix.fr/nous-contacter/</t>
        </is>
      </c>
      <c r="P187" s="4" t="inlineStr">
        <is>
          <t>https://lannuaire.service-public.gouv.fr/nouvelle-aquitaine/haute-vienne/415a9e87-843e-4ee1-ac13-e3fdb1b2b5b7</t>
        </is>
      </c>
      <c r="Q187" t="inlineStr">
        <is>
          <t>Annuaire Service-public.fr</t>
        </is>
      </c>
      <c r="R187" t="inlineStr"/>
      <c r="S187" t="inlineStr"/>
      <c r="T187" t="inlineStr"/>
    </row>
    <row r="188">
      <c r="A188" t="inlineStr">
        <is>
          <t>CC Auxonne Pontailler Val de Saône</t>
        </is>
      </c>
      <c r="B188" t="inlineStr">
        <is>
          <t>Communauté de communes</t>
        </is>
      </c>
      <c r="C188" t="inlineStr">
        <is>
          <t>200070902</t>
        </is>
      </c>
      <c r="D188" t="inlineStr">
        <is>
          <t>21</t>
        </is>
      </c>
      <c r="E188" t="inlineStr">
        <is>
          <t>Côte-d'Or</t>
        </is>
      </c>
      <c r="F188" t="inlineStr">
        <is>
          <t>Bourgogne-Franche-Comté</t>
        </is>
      </c>
      <c r="G188" s="3" t="n">
        <v>23448</v>
      </c>
      <c r="H188" t="n">
        <v>35</v>
      </c>
      <c r="I188" t="inlineStr">
        <is>
          <t>Ancienne route Nationale</t>
        </is>
      </c>
      <c r="J188" t="inlineStr">
        <is>
          <t>21130</t>
        </is>
      </c>
      <c r="K188" t="inlineStr">
        <is>
          <t>Auxonne</t>
        </is>
      </c>
      <c r="L188" t="inlineStr">
        <is>
          <t>03 80 27 03 20</t>
        </is>
      </c>
      <c r="M188" s="4" t="inlineStr">
        <is>
          <t>contact@capvaldesaone.fr</t>
        </is>
      </c>
      <c r="N188" s="4" t="inlineStr">
        <is>
          <t>https://www.capvaldesaone.fr</t>
        </is>
      </c>
      <c r="O188" s="4" t="inlineStr">
        <is>
          <t>https://www.capvaldesaone.fr/contact</t>
        </is>
      </c>
      <c r="P188" s="4" t="inlineStr">
        <is>
          <t>https://lannuaire.service-public.gouv.fr/bourgogne-franche-comte/cote-d-or/839ea5de-7eb9-4319-8f1c-95d3cf469a67</t>
        </is>
      </c>
      <c r="Q188" t="inlineStr">
        <is>
          <t>Annuaire Service-public.fr</t>
        </is>
      </c>
      <c r="R188" t="inlineStr"/>
      <c r="S188" t="inlineStr"/>
      <c r="T188" t="inlineStr"/>
    </row>
    <row r="189">
      <c r="A189" t="inlineStr">
        <is>
          <t>CC Forêts, Seine et Suzon</t>
        </is>
      </c>
      <c r="B189" t="inlineStr">
        <is>
          <t>Communauté de communes</t>
        </is>
      </c>
      <c r="C189" t="inlineStr">
        <is>
          <t>200039063</t>
        </is>
      </c>
      <c r="D189" t="inlineStr">
        <is>
          <t>21</t>
        </is>
      </c>
      <c r="E189" t="inlineStr">
        <is>
          <t>Côte-d'Or</t>
        </is>
      </c>
      <c r="F189" t="inlineStr">
        <is>
          <t>Bourgogne-Franche-Comté</t>
        </is>
      </c>
      <c r="G189" s="3" t="n">
        <v>7054</v>
      </c>
      <c r="H189" t="n">
        <v>25</v>
      </c>
      <c r="I189" t="inlineStr">
        <is>
          <t>4 bis rue des Écoles</t>
        </is>
      </c>
      <c r="J189" t="inlineStr">
        <is>
          <t>21380</t>
        </is>
      </c>
      <c r="K189" t="inlineStr">
        <is>
          <t>Messigny-et-Vantoux</t>
        </is>
      </c>
      <c r="L189" t="inlineStr">
        <is>
          <t>03 80 42 99 00</t>
        </is>
      </c>
      <c r="M189" s="4" t="inlineStr">
        <is>
          <t>ccfss@ccfss.fr</t>
        </is>
      </c>
      <c r="N189" s="4" t="inlineStr">
        <is>
          <t>https://cc-forets-seine-suzon.fr/</t>
        </is>
      </c>
      <c r="O189" s="4" t="inlineStr">
        <is>
          <t>https://cc-forets-seine-suzon.fr/contact/</t>
        </is>
      </c>
      <c r="P189" s="4" t="inlineStr">
        <is>
          <t>https://lannuaire.service-public.gouv.fr/bourgogne-franche-comte/cote-d-or/412b03f1-7991-4da3-9fab-d7aa4f6ce927</t>
        </is>
      </c>
      <c r="Q189" t="inlineStr">
        <is>
          <t>Annuaire Service-public.fr</t>
        </is>
      </c>
      <c r="R189" t="inlineStr"/>
      <c r="S189" t="inlineStr"/>
      <c r="T189" t="inlineStr"/>
    </row>
    <row r="190">
      <c r="A190" t="inlineStr">
        <is>
          <t>CC Mirebellois et Fontenois</t>
        </is>
      </c>
      <c r="B190" t="inlineStr">
        <is>
          <t>Communauté de communes</t>
        </is>
      </c>
      <c r="C190" t="inlineStr">
        <is>
          <t>200072825</t>
        </is>
      </c>
      <c r="D190" t="inlineStr">
        <is>
          <t>21</t>
        </is>
      </c>
      <c r="E190" t="inlineStr">
        <is>
          <t>Côte-d'Or</t>
        </is>
      </c>
      <c r="F190" t="inlineStr">
        <is>
          <t>Bourgogne-Franche-Comté</t>
        </is>
      </c>
      <c r="G190" s="3" t="n">
        <v>12549</v>
      </c>
      <c r="H190" t="n">
        <v>32</v>
      </c>
      <c r="I190" t="inlineStr">
        <is>
          <t>8 place Général-Viard</t>
        </is>
      </c>
      <c r="J190" t="inlineStr">
        <is>
          <t>21310</t>
        </is>
      </c>
      <c r="K190" t="inlineStr">
        <is>
          <t>Mirebeau-sur-Bèze</t>
        </is>
      </c>
      <c r="L190" t="inlineStr">
        <is>
          <t>03 80 36 53 51</t>
        </is>
      </c>
      <c r="M190" s="4" t="inlineStr">
        <is>
          <t>contact@mfcc.fr</t>
        </is>
      </c>
      <c r="N190" s="4" t="inlineStr">
        <is>
          <t>https://www.mfcc.fr/</t>
        </is>
      </c>
      <c r="O190" s="4" t="inlineStr">
        <is>
          <t>https://www.mfcc.fr/contact.htm</t>
        </is>
      </c>
      <c r="P190" s="4" t="inlineStr">
        <is>
          <t>https://lannuaire.service-public.gouv.fr/bourgogne-franche-comte/cote-d-or/dc823169-a7e5-47bb-813a-c41a18b5d50d</t>
        </is>
      </c>
      <c r="Q190" t="inlineStr">
        <is>
          <t>Annuaire Service-public.fr</t>
        </is>
      </c>
      <c r="R190" t="inlineStr"/>
      <c r="S190" t="inlineStr"/>
      <c r="T190" t="inlineStr"/>
    </row>
    <row r="191">
      <c r="A191" t="inlineStr">
        <is>
          <t>CC Norge et Tille</t>
        </is>
      </c>
      <c r="B191" t="inlineStr">
        <is>
          <t>Communauté de communes</t>
        </is>
      </c>
      <c r="C191" t="inlineStr">
        <is>
          <t>200069540</t>
        </is>
      </c>
      <c r="D191" t="inlineStr">
        <is>
          <t>21</t>
        </is>
      </c>
      <c r="E191" t="inlineStr">
        <is>
          <t>Côte-d'Or</t>
        </is>
      </c>
      <c r="F191" t="inlineStr">
        <is>
          <t>Bourgogne-Franche-Comté</t>
        </is>
      </c>
      <c r="G191" s="3" t="n">
        <v>16671</v>
      </c>
      <c r="H191" t="n">
        <v>14</v>
      </c>
      <c r="I191" t="inlineStr">
        <is>
          <t>47 route de Norges</t>
        </is>
      </c>
      <c r="J191" t="inlineStr">
        <is>
          <t>21490</t>
        </is>
      </c>
      <c r="K191" t="inlineStr">
        <is>
          <t>Bretigny</t>
        </is>
      </c>
      <c r="L191" t="inlineStr">
        <is>
          <t>03 80 35 53 99</t>
        </is>
      </c>
      <c r="M191" s="4" t="inlineStr">
        <is>
          <t>contact@norgeettille.fr</t>
        </is>
      </c>
      <c r="N191" s="4" t="inlineStr">
        <is>
          <t>https://www.norgeettille.fr/</t>
        </is>
      </c>
      <c r="O191" s="4" t="inlineStr">
        <is>
          <t>https://www.norgeettille.fr/contact/</t>
        </is>
      </c>
      <c r="P191" s="4" t="inlineStr">
        <is>
          <t>https://lannuaire.service-public.gouv.fr/bourgogne-franche-comte/cote-d-or/b9c4fe2e-d80c-48b9-8cbd-5416133b925b</t>
        </is>
      </c>
      <c r="Q191" t="inlineStr">
        <is>
          <t>Annuaire Service-public.fr</t>
        </is>
      </c>
      <c r="R191" t="inlineStr"/>
      <c r="S191" t="inlineStr"/>
      <c r="T191" t="inlineStr"/>
    </row>
    <row r="192">
      <c r="A192" t="inlineStr">
        <is>
          <t>CC Ouche et Montagne</t>
        </is>
      </c>
      <c r="B192" t="inlineStr">
        <is>
          <t>Communauté de communes</t>
        </is>
      </c>
      <c r="C192" t="inlineStr">
        <is>
          <t>200039055</t>
        </is>
      </c>
      <c r="D192" t="inlineStr">
        <is>
          <t>21</t>
        </is>
      </c>
      <c r="E192" t="inlineStr">
        <is>
          <t>Côte-d'Or</t>
        </is>
      </c>
      <c r="F192" t="inlineStr">
        <is>
          <t>Bourgogne-Franche-Comté</t>
        </is>
      </c>
      <c r="G192" s="3" t="n">
        <v>11273</v>
      </c>
      <c r="H192" t="n">
        <v>32</v>
      </c>
      <c r="I192" t="inlineStr">
        <is>
          <t>5 place de la Poste, Hameau Pont-de-Pany</t>
        </is>
      </c>
      <c r="J192" t="inlineStr">
        <is>
          <t>21410</t>
        </is>
      </c>
      <c r="K192" t="inlineStr">
        <is>
          <t>Sainte-Marie-sur-Ouche</t>
        </is>
      </c>
      <c r="L192" t="inlineStr">
        <is>
          <t>03 80 49 77 43</t>
        </is>
      </c>
      <c r="M192" s="4" t="inlineStr">
        <is>
          <t>accueil@ouche-montagne.fr</t>
        </is>
      </c>
      <c r="N192" s="4" t="inlineStr">
        <is>
          <t>https://ouche-montagne.fr/</t>
        </is>
      </c>
      <c r="O192" s="4" t="inlineStr">
        <is>
          <t>https://ouche-montagne.fr/nous-contacter/</t>
        </is>
      </c>
      <c r="P192" s="4" t="inlineStr">
        <is>
          <t>https://lannuaire.service-public.gouv.fr/bourgogne-franche-comte/cote-d-or/22135d97-cf72-4e4a-856b-c2f4392799c4</t>
        </is>
      </c>
      <c r="Q192" t="inlineStr">
        <is>
          <t>Annuaire Service-public.fr</t>
        </is>
      </c>
      <c r="R192" t="inlineStr"/>
      <c r="S192" t="inlineStr"/>
      <c r="T192" t="inlineStr"/>
    </row>
    <row r="193">
      <c r="A193" t="inlineStr">
        <is>
          <t>CC Rives de Saône</t>
        </is>
      </c>
      <c r="B193" t="inlineStr">
        <is>
          <t>Communauté de communes</t>
        </is>
      </c>
      <c r="C193" t="inlineStr">
        <is>
          <t>242101509</t>
        </is>
      </c>
      <c r="D193" t="inlineStr">
        <is>
          <t>21</t>
        </is>
      </c>
      <c r="E193" t="inlineStr">
        <is>
          <t>Côte-d'Or</t>
        </is>
      </c>
      <c r="F193" t="inlineStr">
        <is>
          <t>Bourgogne-Franche-Comté</t>
        </is>
      </c>
      <c r="G193" s="3" t="n">
        <v>20587</v>
      </c>
      <c r="H193" t="n">
        <v>38</v>
      </c>
      <c r="I193" t="inlineStr">
        <is>
          <t>15 bis grande rue du Faubourg-Saint-Michel</t>
        </is>
      </c>
      <c r="J193" t="inlineStr">
        <is>
          <t>21250</t>
        </is>
      </c>
      <c r="K193" t="inlineStr">
        <is>
          <t>Seurre</t>
        </is>
      </c>
      <c r="L193" t="inlineStr">
        <is>
          <t>03 80 20 48 54</t>
        </is>
      </c>
      <c r="M193" s="4" t="inlineStr">
        <is>
          <t>secretariat@rivesdesaone.fr</t>
        </is>
      </c>
      <c r="N193" s="4" t="inlineStr">
        <is>
          <t>https://www.rivesdesaone.fr/</t>
        </is>
      </c>
      <c r="O193" t="inlineStr"/>
      <c r="P193" s="4" t="inlineStr">
        <is>
          <t>https://lannuaire.service-public.gouv.fr/bourgogne-franche-comte/cote-d-or/bf6fcc3b-1b3a-4ec2-8810-c14a4c65ba55</t>
        </is>
      </c>
      <c r="Q193" t="inlineStr">
        <is>
          <t>Annuaire Service-public.fr</t>
        </is>
      </c>
      <c r="R193" t="inlineStr"/>
      <c r="S193" t="inlineStr"/>
      <c r="T193" t="inlineStr"/>
    </row>
    <row r="194">
      <c r="A194" t="inlineStr">
        <is>
          <t>CC Tille et Venelle</t>
        </is>
      </c>
      <c r="B194" t="inlineStr">
        <is>
          <t>Communauté de communes</t>
        </is>
      </c>
      <c r="C194" t="inlineStr">
        <is>
          <t>200070910</t>
        </is>
      </c>
      <c r="D194" t="inlineStr">
        <is>
          <t>21</t>
        </is>
      </c>
      <c r="E194" t="inlineStr">
        <is>
          <t>Côte-d'Or</t>
        </is>
      </c>
      <c r="F194" t="inlineStr">
        <is>
          <t>Bourgogne-Franche-Comté</t>
        </is>
      </c>
      <c r="G194" s="3" t="n">
        <v>4933</v>
      </c>
      <c r="H194" t="n">
        <v>18</v>
      </c>
      <c r="I194" t="inlineStr">
        <is>
          <t>20 rue de la Patenée</t>
        </is>
      </c>
      <c r="J194" t="inlineStr">
        <is>
          <t>21260</t>
        </is>
      </c>
      <c r="K194" t="inlineStr">
        <is>
          <t>Selongey</t>
        </is>
      </c>
      <c r="L194" t="inlineStr">
        <is>
          <t>03 80 75 51 11</t>
        </is>
      </c>
      <c r="M194" s="4" t="inlineStr">
        <is>
          <t>bonjour@tille-venelle.fr</t>
        </is>
      </c>
      <c r="N194" s="4" t="inlineStr">
        <is>
          <t>https://www.tille-venelle.fr</t>
        </is>
      </c>
      <c r="O194" t="inlineStr"/>
      <c r="P194" s="4" t="inlineStr">
        <is>
          <t>https://lannuaire.service-public.gouv.fr/bourgogne-franche-comte/cote-d-or/0a1e53da-ee35-4e08-8448-81b79a49c68f</t>
        </is>
      </c>
      <c r="Q194" t="inlineStr">
        <is>
          <t>Annuaire Service-public.fr</t>
        </is>
      </c>
      <c r="R194" t="inlineStr"/>
      <c r="S194" t="inlineStr"/>
      <c r="T194" t="inlineStr"/>
    </row>
    <row r="195">
      <c r="A195" t="inlineStr">
        <is>
          <t>CC de Gevrey-Chambertin et de Nuits-Saint-Georges</t>
        </is>
      </c>
      <c r="B195" t="inlineStr">
        <is>
          <t>Communauté de communes</t>
        </is>
      </c>
      <c r="C195" t="inlineStr">
        <is>
          <t>200070894</t>
        </is>
      </c>
      <c r="D195" t="inlineStr">
        <is>
          <t>21</t>
        </is>
      </c>
      <c r="E195" t="inlineStr">
        <is>
          <t>Côte-d'Or</t>
        </is>
      </c>
      <c r="F195" t="inlineStr">
        <is>
          <t>Bourgogne-Franche-Comté</t>
        </is>
      </c>
      <c r="G195" s="3" t="n">
        <v>29589</v>
      </c>
      <c r="H195" t="n">
        <v>55</v>
      </c>
      <c r="I195" t="inlineStr">
        <is>
          <t>3 rue Jean-Moulin, BP 40029</t>
        </is>
      </c>
      <c r="J195" t="inlineStr">
        <is>
          <t>21701</t>
        </is>
      </c>
      <c r="K195" t="inlineStr">
        <is>
          <t>Nuits-Saint-Georges Cedex</t>
        </is>
      </c>
      <c r="L195" t="inlineStr">
        <is>
          <t>03 80 27 04 70</t>
        </is>
      </c>
      <c r="M195" s="4" t="inlineStr">
        <is>
          <t>contact@ccgevrey-nuits.com</t>
        </is>
      </c>
      <c r="N195" s="4" t="inlineStr">
        <is>
          <t>https://www.ccgevrey-chambertin-et-nuits-saint-georges.com/</t>
        </is>
      </c>
      <c r="O195" s="4" t="inlineStr">
        <is>
          <t>https://www.ccgevrey-chambertin-et-nuits-saint-georges.com/contact/</t>
        </is>
      </c>
      <c r="P195" s="4" t="inlineStr">
        <is>
          <t>https://lannuaire.service-public.gouv.fr/bourgogne-franche-comte/cote-d-or/c96458e1-76c9-42d6-8a64-bc89ef9909b4</t>
        </is>
      </c>
      <c r="Q195" t="inlineStr">
        <is>
          <t>Annuaire Service-public.fr</t>
        </is>
      </c>
      <c r="R195" t="inlineStr"/>
      <c r="S195" t="inlineStr"/>
      <c r="T195" t="inlineStr"/>
    </row>
    <row r="196">
      <c r="A196" t="inlineStr">
        <is>
          <t>CC de Pouilly-en-Auxois / Bligny-sur-Ouche</t>
        </is>
      </c>
      <c r="B196" t="inlineStr">
        <is>
          <t>Communauté de communes</t>
        </is>
      </c>
      <c r="C196" t="inlineStr">
        <is>
          <t>200071207</t>
        </is>
      </c>
      <c r="D196" t="inlineStr">
        <is>
          <t>21</t>
        </is>
      </c>
      <c r="E196" t="inlineStr">
        <is>
          <t>Côte-d'Or</t>
        </is>
      </c>
      <c r="F196" t="inlineStr">
        <is>
          <t>Bourgogne-Franche-Comté</t>
        </is>
      </c>
      <c r="G196" s="3" t="n">
        <v>8777</v>
      </c>
      <c r="H196" t="n">
        <v>47</v>
      </c>
      <c r="I196" t="inlineStr">
        <is>
          <t>Maison de Pays, Le Seuil</t>
        </is>
      </c>
      <c r="J196" t="inlineStr">
        <is>
          <t>21320</t>
        </is>
      </c>
      <c r="K196" t="inlineStr">
        <is>
          <t>Pouilly-en-Auxois</t>
        </is>
      </c>
      <c r="L196" t="inlineStr">
        <is>
          <t>03 80 90 80 44</t>
        </is>
      </c>
      <c r="M196" s="4" t="inlineStr">
        <is>
          <t>contact@ccpouillybligny.fr</t>
        </is>
      </c>
      <c r="N196" s="4" t="inlineStr">
        <is>
          <t>https://ccpouillybligny.fr/</t>
        </is>
      </c>
      <c r="O196" s="4" t="inlineStr">
        <is>
          <t>https://ccpouillybligny.fr/contact/</t>
        </is>
      </c>
      <c r="P196" s="4" t="inlineStr">
        <is>
          <t>https://lannuaire.service-public.gouv.fr/bourgogne-franche-comte/cote-d-or/3b7a2119-c361-4b2c-a217-6256e7d01772</t>
        </is>
      </c>
      <c r="Q196" t="inlineStr">
        <is>
          <t>Annuaire Service-public.fr</t>
        </is>
      </c>
      <c r="R196" t="inlineStr"/>
      <c r="S196" t="inlineStr"/>
      <c r="T196" t="inlineStr"/>
    </row>
    <row r="197">
      <c r="A197" t="inlineStr">
        <is>
          <t>CC de Saulieu-Morvan</t>
        </is>
      </c>
      <c r="B197" t="inlineStr">
        <is>
          <t>Communauté de communes</t>
        </is>
      </c>
      <c r="C197" t="inlineStr">
        <is>
          <t>242101442</t>
        </is>
      </c>
      <c r="D197" t="inlineStr">
        <is>
          <t>21</t>
        </is>
      </c>
      <c r="E197" t="inlineStr">
        <is>
          <t>Côte-d'Or</t>
        </is>
      </c>
      <c r="F197" t="inlineStr">
        <is>
          <t>Bourgogne-Franche-Comté</t>
        </is>
      </c>
      <c r="G197" s="3" t="n">
        <v>5227</v>
      </c>
      <c r="H197" t="n">
        <v>12</v>
      </c>
      <c r="I197" t="inlineStr">
        <is>
          <t>15 place Charles-de-Gaulle</t>
        </is>
      </c>
      <c r="J197" t="inlineStr">
        <is>
          <t>21210</t>
        </is>
      </c>
      <c r="K197" t="inlineStr">
        <is>
          <t>Saulieu</t>
        </is>
      </c>
      <c r="L197" t="inlineStr">
        <is>
          <t>03 80 64 77 44</t>
        </is>
      </c>
      <c r="M197" s="4" t="inlineStr">
        <is>
          <t>contact@saulieu-morvan.fr</t>
        </is>
      </c>
      <c r="N197" s="4" t="inlineStr">
        <is>
          <t>https://www.saulieu-morvan.fr</t>
        </is>
      </c>
      <c r="O197" t="inlineStr"/>
      <c r="P197" s="4" t="inlineStr">
        <is>
          <t>https://lannuaire.service-public.gouv.fr/bourgogne-franche-comte/cote-d-or/9674baa7-3f42-43b9-92ad-4eea18168bb0</t>
        </is>
      </c>
      <c r="Q197" t="inlineStr">
        <is>
          <t>Annuaire Service-public.fr</t>
        </is>
      </c>
      <c r="R197" t="inlineStr"/>
      <c r="S197" t="inlineStr"/>
      <c r="T197" t="inlineStr"/>
    </row>
    <row r="198">
      <c r="A198" t="inlineStr">
        <is>
          <t>CC de la Plaine Dijonnaise</t>
        </is>
      </c>
      <c r="B198" t="inlineStr">
        <is>
          <t>Communauté de communes</t>
        </is>
      </c>
      <c r="C198" t="inlineStr">
        <is>
          <t>200000925</t>
        </is>
      </c>
      <c r="D198" t="inlineStr">
        <is>
          <t>21</t>
        </is>
      </c>
      <c r="E198" t="inlineStr">
        <is>
          <t>Côte-d'Or</t>
        </is>
      </c>
      <c r="F198" t="inlineStr">
        <is>
          <t>Bourgogne-Franche-Comté</t>
        </is>
      </c>
      <c r="G198" s="3" t="n">
        <v>22152</v>
      </c>
      <c r="H198" t="n">
        <v>22</v>
      </c>
      <c r="I198" t="inlineStr">
        <is>
          <t>12 rue Ampère</t>
        </is>
      </c>
      <c r="J198" t="inlineStr">
        <is>
          <t>21110</t>
        </is>
      </c>
      <c r="K198" t="inlineStr">
        <is>
          <t>Genlis</t>
        </is>
      </c>
      <c r="L198" t="inlineStr">
        <is>
          <t>03 80 37 70 12</t>
        </is>
      </c>
      <c r="M198" s="4" t="inlineStr">
        <is>
          <t>accueil@plainedijonnaise.fr</t>
        </is>
      </c>
      <c r="N198" s="4" t="inlineStr">
        <is>
          <t>https://www.plainedijonnaise.fr</t>
        </is>
      </c>
      <c r="O198" t="inlineStr"/>
      <c r="P198" s="4" t="inlineStr">
        <is>
          <t>https://lannuaire.service-public.gouv.fr/bourgogne-franche-comte/cote-d-or/30fb735e-e19f-40eb-9e19-012413ceb864</t>
        </is>
      </c>
      <c r="Q198" t="inlineStr">
        <is>
          <t>Annuaire Service-public.fr</t>
        </is>
      </c>
      <c r="R198" t="inlineStr"/>
      <c r="S198" t="inlineStr"/>
      <c r="T198" t="inlineStr"/>
    </row>
    <row r="199">
      <c r="A199" t="inlineStr">
        <is>
          <t>CC des Terres d'Auxois</t>
        </is>
      </c>
      <c r="B199" t="inlineStr">
        <is>
          <t>Communauté de communes</t>
        </is>
      </c>
      <c r="C199" t="inlineStr">
        <is>
          <t>200071017</t>
        </is>
      </c>
      <c r="D199" t="inlineStr">
        <is>
          <t>21</t>
        </is>
      </c>
      <c r="E199" t="inlineStr">
        <is>
          <t>Côte-d'Or</t>
        </is>
      </c>
      <c r="F199" t="inlineStr">
        <is>
          <t>Bourgogne-Franche-Comté</t>
        </is>
      </c>
      <c r="G199" s="3" t="n">
        <v>15602</v>
      </c>
      <c r="H199" t="n">
        <v>76</v>
      </c>
      <c r="I199" t="inlineStr">
        <is>
          <t>3 place de la Gare</t>
        </is>
      </c>
      <c r="J199" t="inlineStr">
        <is>
          <t>21140</t>
        </is>
      </c>
      <c r="K199" t="inlineStr">
        <is>
          <t>Semur-en-Auxois</t>
        </is>
      </c>
      <c r="L199" t="inlineStr">
        <is>
          <t>03 80 97 26 65</t>
        </is>
      </c>
      <c r="M199" s="4" t="inlineStr">
        <is>
          <t>contact@ccterres-auxois.fr</t>
        </is>
      </c>
      <c r="N199" s="4" t="inlineStr">
        <is>
          <t>https://ccterres-auxois.fr/</t>
        </is>
      </c>
      <c r="O199" t="inlineStr"/>
      <c r="P199" s="4" t="inlineStr">
        <is>
          <t>https://lannuaire.service-public.gouv.fr/bourgogne-franche-comte/cote-d-or/e1ad3cd8-f32f-4a27-94ad-c133e473971d</t>
        </is>
      </c>
      <c r="Q199" t="inlineStr">
        <is>
          <t>Annuaire Service-public.fr</t>
        </is>
      </c>
      <c r="R199" t="inlineStr"/>
      <c r="S199" t="inlineStr"/>
      <c r="T199" t="inlineStr"/>
    </row>
    <row r="200">
      <c r="A200" t="inlineStr">
        <is>
          <t>CC des Vallées de la Tille et de l'Ignon</t>
        </is>
      </c>
      <c r="B200" t="inlineStr">
        <is>
          <t>Communauté de communes</t>
        </is>
      </c>
      <c r="C200" t="inlineStr">
        <is>
          <t>242100154</t>
        </is>
      </c>
      <c r="D200" t="inlineStr">
        <is>
          <t>21</t>
        </is>
      </c>
      <c r="E200" t="inlineStr">
        <is>
          <t>Côte-d'Or</t>
        </is>
      </c>
      <c r="F200" t="inlineStr">
        <is>
          <t>Bourgogne-Franche-Comté</t>
        </is>
      </c>
      <c r="G200" s="3" t="n">
        <v>13659</v>
      </c>
      <c r="H200" t="n">
        <v>23</v>
      </c>
      <c r="I200" t="inlineStr">
        <is>
          <t>4 allée Jean-Moulin</t>
        </is>
      </c>
      <c r="J200" t="inlineStr">
        <is>
          <t>21120</t>
        </is>
      </c>
      <c r="K200" t="inlineStr">
        <is>
          <t>Is-sur-Tille</t>
        </is>
      </c>
      <c r="L200" t="inlineStr">
        <is>
          <t>03 80 95 32 41</t>
        </is>
      </c>
      <c r="M200" s="4" t="inlineStr">
        <is>
          <t>covati@covati.fr</t>
        </is>
      </c>
      <c r="N200" s="4" t="inlineStr">
        <is>
          <t>https://www.covati.fr/</t>
        </is>
      </c>
      <c r="O200" t="inlineStr"/>
      <c r="P200" s="4" t="inlineStr">
        <is>
          <t>https://lannuaire.service-public.gouv.fr/bourgogne-franche-comte/cote-d-or/1014f99d-9607-40f3-9fdb-b2e85ed9b77e</t>
        </is>
      </c>
      <c r="Q200" t="inlineStr">
        <is>
          <t>Annuaire Service-public.fr</t>
        </is>
      </c>
      <c r="R200" t="inlineStr"/>
      <c r="S200" t="inlineStr"/>
      <c r="T200" t="inlineStr"/>
    </row>
    <row r="201">
      <c r="A201" t="inlineStr">
        <is>
          <t>CC du Montbardois</t>
        </is>
      </c>
      <c r="B201" t="inlineStr">
        <is>
          <t>Communauté de communes</t>
        </is>
      </c>
      <c r="C201" t="inlineStr">
        <is>
          <t>242101491</t>
        </is>
      </c>
      <c r="D201" t="inlineStr">
        <is>
          <t>21</t>
        </is>
      </c>
      <c r="E201" t="inlineStr">
        <is>
          <t>Côte-d'Or</t>
        </is>
      </c>
      <c r="F201" t="inlineStr">
        <is>
          <t>Bourgogne-Franche-Comté</t>
        </is>
      </c>
      <c r="G201" s="3" t="n">
        <v>10144</v>
      </c>
      <c r="H201" t="n">
        <v>33</v>
      </c>
      <c r="I201" t="inlineStr">
        <is>
          <t>14 avenue Maréchal-de-Lattre-de-Tassigny</t>
        </is>
      </c>
      <c r="J201" t="inlineStr">
        <is>
          <t>21500</t>
        </is>
      </c>
      <c r="K201" t="inlineStr">
        <is>
          <t>Montbard</t>
        </is>
      </c>
      <c r="L201" t="inlineStr">
        <is>
          <t>03 80 92 15 43</t>
        </is>
      </c>
      <c r="M201" s="4" t="inlineStr">
        <is>
          <t>contact@cc-montbardois.fr</t>
        </is>
      </c>
      <c r="N201" s="4" t="inlineStr">
        <is>
          <t>https://www.cc-montbardois.fr/</t>
        </is>
      </c>
      <c r="O201" s="4" t="inlineStr">
        <is>
          <t>https://www.cc-montbardois.fr/contact/</t>
        </is>
      </c>
      <c r="P201" s="4" t="inlineStr">
        <is>
          <t>https://lannuaire.service-public.gouv.fr/bourgogne-franche-comte/cote-d-or/f3742968-1ee4-4a84-a6ee-a5c72cee9182</t>
        </is>
      </c>
      <c r="Q201" t="inlineStr">
        <is>
          <t>Annuaire Service-public.fr</t>
        </is>
      </c>
      <c r="R201" t="inlineStr"/>
      <c r="S201" t="inlineStr"/>
      <c r="T201" t="inlineStr"/>
    </row>
    <row r="202">
      <c r="A202" t="inlineStr">
        <is>
          <t>CC du Pays Arnay Liernais</t>
        </is>
      </c>
      <c r="B202" t="inlineStr">
        <is>
          <t>Communauté de communes</t>
        </is>
      </c>
      <c r="C202" t="inlineStr">
        <is>
          <t>200071173</t>
        </is>
      </c>
      <c r="D202" t="inlineStr">
        <is>
          <t>21</t>
        </is>
      </c>
      <c r="E202" t="inlineStr">
        <is>
          <t>Côte-d'Or</t>
        </is>
      </c>
      <c r="F202" t="inlineStr">
        <is>
          <t>Bourgogne-Franche-Comté</t>
        </is>
      </c>
      <c r="G202" s="3" t="n">
        <v>7000</v>
      </c>
      <c r="H202" t="n">
        <v>34</v>
      </c>
      <c r="I202" t="inlineStr">
        <is>
          <t>1 rue de la Gare</t>
        </is>
      </c>
      <c r="J202" t="inlineStr">
        <is>
          <t>21230</t>
        </is>
      </c>
      <c r="K202" t="inlineStr">
        <is>
          <t>Arnay-le-Duc</t>
        </is>
      </c>
      <c r="L202" t="inlineStr">
        <is>
          <t>03 80 90 18 36</t>
        </is>
      </c>
      <c r="M202" s="4" t="inlineStr">
        <is>
          <t>cc.arnay-liernais@ccarnayliernais.fr</t>
        </is>
      </c>
      <c r="N202" s="4" t="inlineStr">
        <is>
          <t>https://cc-pays-arnay.fr/</t>
        </is>
      </c>
      <c r="O202" s="4" t="inlineStr">
        <is>
          <t>https://cc-pays-arnay.fr/contact/</t>
        </is>
      </c>
      <c r="P202" s="4" t="inlineStr">
        <is>
          <t>https://lannuaire.service-public.gouv.fr/bourgogne-franche-comte/cote-d-or/f1243926-74a5-4ae3-811f-9f1033bbf784</t>
        </is>
      </c>
      <c r="Q202" t="inlineStr">
        <is>
          <t>Annuaire Service-public.fr</t>
        </is>
      </c>
      <c r="R202" t="inlineStr"/>
      <c r="S202" t="inlineStr"/>
      <c r="T202" t="inlineStr"/>
    </row>
    <row r="203">
      <c r="A203" t="inlineStr">
        <is>
          <t>CC du Pays Châtillonnais</t>
        </is>
      </c>
      <c r="B203" t="inlineStr">
        <is>
          <t>Communauté de communes</t>
        </is>
      </c>
      <c r="C203" t="inlineStr">
        <is>
          <t>242101434</t>
        </is>
      </c>
      <c r="D203" t="inlineStr">
        <is>
          <t>21</t>
        </is>
      </c>
      <c r="E203" t="inlineStr">
        <is>
          <t>Côte-d'Or</t>
        </is>
      </c>
      <c r="F203" t="inlineStr">
        <is>
          <t>Bourgogne-Franche-Comté</t>
        </is>
      </c>
      <c r="G203" s="3" t="n">
        <v>19533</v>
      </c>
      <c r="H203" t="n">
        <v>107</v>
      </c>
      <c r="I203" t="inlineStr">
        <is>
          <t>9-11 rue de la Libération</t>
        </is>
      </c>
      <c r="J203" t="inlineStr">
        <is>
          <t>21400</t>
        </is>
      </c>
      <c r="K203" t="inlineStr">
        <is>
          <t>Châtillon-sur-Seine</t>
        </is>
      </c>
      <c r="L203" t="inlineStr">
        <is>
          <t>03 80 81 57 57</t>
        </is>
      </c>
      <c r="M203" s="4" t="inlineStr">
        <is>
          <t>contact@cc-chatillonnais.fr</t>
        </is>
      </c>
      <c r="N203" s="4" t="inlineStr">
        <is>
          <t>https://www.chatillonnais.fr/</t>
        </is>
      </c>
      <c r="O203" s="4" t="inlineStr">
        <is>
          <t>https://www.chatillonnais.fr/contact</t>
        </is>
      </c>
      <c r="P203" s="4" t="inlineStr">
        <is>
          <t>https://lannuaire.service-public.gouv.fr/bourgogne-franche-comte/cote-d-or/c11e35d9-a820-4d49-90da-b17efedd36a7</t>
        </is>
      </c>
      <c r="Q203" t="inlineStr">
        <is>
          <t>Annuaire Service-public.fr</t>
        </is>
      </c>
      <c r="R203" t="inlineStr"/>
      <c r="S203" t="inlineStr"/>
      <c r="T203" t="inlineStr"/>
    </row>
    <row r="204">
      <c r="A204" t="inlineStr">
        <is>
          <t>CC du Pays d'Alésia et de la Seine</t>
        </is>
      </c>
      <c r="B204" t="inlineStr">
        <is>
          <t>Communauté de communes</t>
        </is>
      </c>
      <c r="C204" t="inlineStr">
        <is>
          <t>242101459</t>
        </is>
      </c>
      <c r="D204" t="inlineStr">
        <is>
          <t>21</t>
        </is>
      </c>
      <c r="E204" t="inlineStr">
        <is>
          <t>Côte-d'Or</t>
        </is>
      </c>
      <c r="F204" t="inlineStr">
        <is>
          <t>Bourgogne-Franche-Comté</t>
        </is>
      </c>
      <c r="G204" s="3" t="n">
        <v>7352</v>
      </c>
      <c r="H204" t="n">
        <v>24</v>
      </c>
      <c r="I204" t="inlineStr">
        <is>
          <t>18 avenue Jean-Jaurès</t>
        </is>
      </c>
      <c r="J204" t="inlineStr">
        <is>
          <t>21150</t>
        </is>
      </c>
      <c r="K204" t="inlineStr">
        <is>
          <t>Venarey-les-Laumes</t>
        </is>
      </c>
      <c r="L204" t="inlineStr">
        <is>
          <t>03 80 96 06 83</t>
        </is>
      </c>
      <c r="M204" s="4" t="inlineStr">
        <is>
          <t>contact@cc-alesia-seine.fr</t>
        </is>
      </c>
      <c r="N204" s="4" t="inlineStr">
        <is>
          <t>https://www.cc-alesia-seine.fr/</t>
        </is>
      </c>
      <c r="O204" t="inlineStr"/>
      <c r="P204" s="4" t="inlineStr">
        <is>
          <t>https://lannuaire.service-public.gouv.fr/bourgogne-franche-comte/cote-d-or/bdd94f38-5772-466c-9cfc-baaaf1bd74a1</t>
        </is>
      </c>
      <c r="Q204" t="inlineStr">
        <is>
          <t>Annuaire Service-public.fr</t>
        </is>
      </c>
      <c r="R204" t="inlineStr"/>
      <c r="S204" t="inlineStr"/>
      <c r="T204" t="inlineStr"/>
    </row>
    <row r="205">
      <c r="A205" t="inlineStr">
        <is>
          <t>CC Côte d'Emeraude</t>
        </is>
      </c>
      <c r="B205" t="inlineStr">
        <is>
          <t>Communauté de communes</t>
        </is>
      </c>
      <c r="C205" t="inlineStr">
        <is>
          <t>243500725</t>
        </is>
      </c>
      <c r="D205" t="inlineStr">
        <is>
          <t>22, 35</t>
        </is>
      </c>
      <c r="E205" t="inlineStr">
        <is>
          <t>Côtes-d'Armor, Ille-et-Vilaine</t>
        </is>
      </c>
      <c r="F205" t="inlineStr">
        <is>
          <t>Bretagne</t>
        </is>
      </c>
      <c r="G205" s="3" t="n">
        <v>28799</v>
      </c>
      <c r="H205" t="n">
        <v>8</v>
      </c>
      <c r="I205" t="inlineStr">
        <is>
          <t>1 esplanade des Équipages, Cap Émeraude</t>
        </is>
      </c>
      <c r="J205" t="inlineStr">
        <is>
          <t>35730</t>
        </is>
      </c>
      <c r="K205" t="inlineStr">
        <is>
          <t>Pleurtuit</t>
        </is>
      </c>
      <c r="L205" t="inlineStr">
        <is>
          <t>02 23 15 13 15</t>
        </is>
      </c>
      <c r="M205" s="4" t="inlineStr">
        <is>
          <t>accueil@cote-emeraude.fr</t>
        </is>
      </c>
      <c r="N205" s="4" t="inlineStr">
        <is>
          <t>http://www.cote-emeraude.fr</t>
        </is>
      </c>
      <c r="O205" t="inlineStr"/>
      <c r="P205" s="4" t="inlineStr">
        <is>
          <t>https://lannuaire.service-public.gouv.fr/bretagne/ille-et-vilaine/04a79dc2-838c-4a79-b3fa-b0bc8efab3a3</t>
        </is>
      </c>
      <c r="Q205" t="inlineStr">
        <is>
          <t>Annuaire Service-public.fr</t>
        </is>
      </c>
      <c r="R205" t="inlineStr"/>
      <c r="S205" t="inlineStr"/>
      <c r="T205" t="inlineStr"/>
    </row>
    <row r="206">
      <c r="A206" t="inlineStr">
        <is>
          <t>CC Leff Armor Communauté</t>
        </is>
      </c>
      <c r="B206" t="inlineStr">
        <is>
          <t>Communauté de communes</t>
        </is>
      </c>
      <c r="C206" t="inlineStr">
        <is>
          <t>200069086</t>
        </is>
      </c>
      <c r="D206" t="inlineStr">
        <is>
          <t>22</t>
        </is>
      </c>
      <c r="E206" t="inlineStr">
        <is>
          <t>Côtes-d'Armor</t>
        </is>
      </c>
      <c r="F206" t="inlineStr">
        <is>
          <t>Bretagne</t>
        </is>
      </c>
      <c r="G206" s="3" t="n">
        <v>32064</v>
      </c>
      <c r="H206" t="n">
        <v>27</v>
      </c>
      <c r="I206" t="inlineStr">
        <is>
          <t>Moulin de Blanchardeau, CS 60036</t>
        </is>
      </c>
      <c r="J206" t="inlineStr">
        <is>
          <t>22290</t>
        </is>
      </c>
      <c r="K206" t="inlineStr">
        <is>
          <t>Lanvollon</t>
        </is>
      </c>
      <c r="L206" t="inlineStr">
        <is>
          <t>02 96 70 17 04</t>
        </is>
      </c>
      <c r="M206" s="4" t="inlineStr">
        <is>
          <t>accueil@leffarmor.fr</t>
        </is>
      </c>
      <c r="N206" s="4" t="inlineStr">
        <is>
          <t>https://www.leffarmor.fr</t>
        </is>
      </c>
      <c r="O206" s="4" t="inlineStr">
        <is>
          <t>https://www.leffarmor.fr/systeme/contact/</t>
        </is>
      </c>
      <c r="P206" s="4" t="inlineStr">
        <is>
          <t>https://lannuaire.service-public.gouv.fr/bretagne/cotes-d-armor/fc665dac-214b-4c00-bb07-ee6554a40221</t>
        </is>
      </c>
      <c r="Q206" t="inlineStr">
        <is>
          <t>Annuaire Service-public.fr</t>
        </is>
      </c>
      <c r="R206" t="inlineStr"/>
      <c r="S206" t="inlineStr"/>
      <c r="T206" t="inlineStr"/>
    </row>
    <row r="207">
      <c r="A207" t="inlineStr">
        <is>
          <t>CC Loudéac Communauté - Bretagne Centre</t>
        </is>
      </c>
      <c r="B207" t="inlineStr">
        <is>
          <t>Communauté de communes</t>
        </is>
      </c>
      <c r="C207" t="inlineStr">
        <is>
          <t>200067460</t>
        </is>
      </c>
      <c r="D207" t="inlineStr">
        <is>
          <t>22</t>
        </is>
      </c>
      <c r="E207" t="inlineStr">
        <is>
          <t>Côtes-d'Armor</t>
        </is>
      </c>
      <c r="F207" t="inlineStr">
        <is>
          <t>Bretagne</t>
        </is>
      </c>
      <c r="G207" s="3" t="n">
        <v>51811</v>
      </c>
      <c r="H207" t="n">
        <v>38</v>
      </c>
      <c r="I207" t="inlineStr">
        <is>
          <t>4-6 boulevard de la Gare</t>
        </is>
      </c>
      <c r="J207" t="inlineStr">
        <is>
          <t>22600</t>
        </is>
      </c>
      <c r="K207" t="inlineStr">
        <is>
          <t>Loudéac</t>
        </is>
      </c>
      <c r="L207" t="inlineStr">
        <is>
          <t>02 96 66 09 09</t>
        </is>
      </c>
      <c r="M207" s="4" t="inlineStr">
        <is>
          <t>standard@loudeac-communaute.bzh</t>
        </is>
      </c>
      <c r="N207" s="4" t="inlineStr">
        <is>
          <t>https://www.bretagnecentre.bzh/</t>
        </is>
      </c>
      <c r="O207" s="4" t="inlineStr">
        <is>
          <t>https://www.bretagnecentre.bzh/pages-pratiques/contact</t>
        </is>
      </c>
      <c r="P207" s="4" t="inlineStr">
        <is>
          <t>https://lannuaire.service-public.gouv.fr/bretagne/cotes-d-armor/b3471481-51de-407f-aacb-794abc6ae014</t>
        </is>
      </c>
      <c r="Q207" t="inlineStr">
        <is>
          <t>Annuaire Service-public.fr</t>
        </is>
      </c>
      <c r="R207" t="inlineStr"/>
      <c r="S207" t="inlineStr"/>
      <c r="T207" t="inlineStr"/>
    </row>
    <row r="208">
      <c r="A208" t="inlineStr">
        <is>
          <t>CC Poher Communauté</t>
        </is>
      </c>
      <c r="B208" t="inlineStr">
        <is>
          <t>Communauté de communes</t>
        </is>
      </c>
      <c r="C208" t="inlineStr">
        <is>
          <t>242900744</t>
        </is>
      </c>
      <c r="D208" t="inlineStr">
        <is>
          <t>22, 29</t>
        </is>
      </c>
      <c r="E208" t="inlineStr">
        <is>
          <t>Côtes-d'Armor, Finistère</t>
        </is>
      </c>
      <c r="F208" t="inlineStr">
        <is>
          <t>Bretagne</t>
        </is>
      </c>
      <c r="G208" s="3" t="n">
        <v>15416</v>
      </c>
      <c r="H208" t="n">
        <v>11</v>
      </c>
      <c r="I208" t="inlineStr">
        <is>
          <t>Place de la Tour-d'Auvergne, BP 150</t>
        </is>
      </c>
      <c r="J208" t="inlineStr">
        <is>
          <t>29270</t>
        </is>
      </c>
      <c r="K208" t="inlineStr">
        <is>
          <t>Carhaix-Plouguer</t>
        </is>
      </c>
      <c r="L208" t="inlineStr">
        <is>
          <t>02 98 99 48 00</t>
        </is>
      </c>
      <c r="M208" s="4" t="inlineStr">
        <is>
          <t>poher@poher.bzh</t>
        </is>
      </c>
      <c r="N208" s="4" t="inlineStr">
        <is>
          <t>https://www.poher.bzh/accueil_poher</t>
        </is>
      </c>
      <c r="O208" t="inlineStr"/>
      <c r="P208" s="4" t="inlineStr">
        <is>
          <t>https://lannuaire.service-public.gouv.fr/bretagne/finistere/adc98035-5c0a-431b-b852-0e9593fae53b</t>
        </is>
      </c>
      <c r="Q208" t="inlineStr">
        <is>
          <t>Annuaire Service-public.fr</t>
        </is>
      </c>
      <c r="R208" t="inlineStr"/>
      <c r="S208" t="inlineStr"/>
      <c r="T208" t="inlineStr"/>
    </row>
    <row r="209">
      <c r="A209" t="inlineStr">
        <is>
          <t>CC Pontivy Communauté</t>
        </is>
      </c>
      <c r="B209" t="inlineStr">
        <is>
          <t>Communauté de communes</t>
        </is>
      </c>
      <c r="C209" t="inlineStr">
        <is>
          <t>245614433</t>
        </is>
      </c>
      <c r="D209" t="inlineStr">
        <is>
          <t>22, 56</t>
        </is>
      </c>
      <c r="E209" t="inlineStr">
        <is>
          <t>Côtes-d'Armor, Morbihan</t>
        </is>
      </c>
      <c r="F209" t="inlineStr">
        <is>
          <t>Bretagne</t>
        </is>
      </c>
      <c r="G209" s="3" t="n">
        <v>46032</v>
      </c>
      <c r="H209" t="n">
        <v>24</v>
      </c>
      <c r="I209" t="inlineStr">
        <is>
          <t>1 place Ernest-Jean</t>
        </is>
      </c>
      <c r="J209" t="inlineStr">
        <is>
          <t>56300</t>
        </is>
      </c>
      <c r="K209" t="inlineStr">
        <is>
          <t>Pontivy</t>
        </is>
      </c>
      <c r="L209" t="inlineStr">
        <is>
          <t>02 97 25 01 70</t>
        </is>
      </c>
      <c r="M209" s="4" t="inlineStr">
        <is>
          <t>info@pontivy-communaute.bzh</t>
        </is>
      </c>
      <c r="N209" s="4" t="inlineStr">
        <is>
          <t>https://www.pontivy-communaute.bzh/</t>
        </is>
      </c>
      <c r="O209" t="inlineStr"/>
      <c r="P209" s="4" t="inlineStr">
        <is>
          <t>https://lannuaire.service-public.gouv.fr/bretagne/morbihan/7fe5982f-c685-4acc-baa0-4a789b1d7daf</t>
        </is>
      </c>
      <c r="Q209" t="inlineStr">
        <is>
          <t>Annuaire Service-public.fr</t>
        </is>
      </c>
      <c r="R209" t="inlineStr"/>
      <c r="S209" t="inlineStr"/>
      <c r="T209" t="inlineStr"/>
    </row>
    <row r="210">
      <c r="A210" t="inlineStr">
        <is>
          <t>CC du Kreiz-Breizh (CCKB)</t>
        </is>
      </c>
      <c r="B210" t="inlineStr">
        <is>
          <t>Communauté de communes</t>
        </is>
      </c>
      <c r="C210" t="inlineStr">
        <is>
          <t>242200715</t>
        </is>
      </c>
      <c r="D210" t="inlineStr">
        <is>
          <t>22</t>
        </is>
      </c>
      <c r="E210" t="inlineStr">
        <is>
          <t>Côtes-d'Armor</t>
        </is>
      </c>
      <c r="F210" t="inlineStr">
        <is>
          <t>Bretagne</t>
        </is>
      </c>
      <c r="G210" s="3" t="n">
        <v>18400</v>
      </c>
      <c r="H210" t="n">
        <v>23</v>
      </c>
      <c r="I210" t="inlineStr">
        <is>
          <t>6 rue Joseph-Pennec</t>
        </is>
      </c>
      <c r="J210" t="inlineStr">
        <is>
          <t>22110</t>
        </is>
      </c>
      <c r="K210" t="inlineStr">
        <is>
          <t>Rostrenen</t>
        </is>
      </c>
      <c r="L210" t="inlineStr">
        <is>
          <t>02 96 29 18 18</t>
        </is>
      </c>
      <c r="M210" t="inlineStr"/>
      <c r="N210" s="4" t="inlineStr">
        <is>
          <t>https://www.kreiz-breizh.fr/</t>
        </is>
      </c>
      <c r="O210" s="4" t="inlineStr">
        <is>
          <t>https://www.kreiz-breizh.fr/systeme/nous-contacter/</t>
        </is>
      </c>
      <c r="P210" s="4" t="inlineStr">
        <is>
          <t>https://lannuaire.service-public.gouv.fr/bretagne/cotes-d-armor/fa35a782-071e-4cc4-b361-90ba7b87e677</t>
        </is>
      </c>
      <c r="Q210" t="inlineStr">
        <is>
          <t>Annuaire Service-public.fr</t>
        </is>
      </c>
      <c r="R210" t="inlineStr"/>
      <c r="S210" t="inlineStr"/>
      <c r="T210" t="inlineStr"/>
    </row>
    <row r="211">
      <c r="A211" t="inlineStr">
        <is>
          <t>CC Creuse Confluence</t>
        </is>
      </c>
      <c r="B211" t="inlineStr">
        <is>
          <t>Communauté de communes</t>
        </is>
      </c>
      <c r="C211" t="inlineStr">
        <is>
          <t>200067544</t>
        </is>
      </c>
      <c r="D211" t="inlineStr">
        <is>
          <t>23</t>
        </is>
      </c>
      <c r="E211" t="inlineStr">
        <is>
          <t>Creuse</t>
        </is>
      </c>
      <c r="F211" t="inlineStr">
        <is>
          <t>Nouvelle-Aquitaine</t>
        </is>
      </c>
      <c r="G211" s="3" t="n">
        <v>16479</v>
      </c>
      <c r="H211" t="n">
        <v>41</v>
      </c>
      <c r="I211" t="inlineStr">
        <is>
          <t>Le Montet</t>
        </is>
      </c>
      <c r="J211" t="inlineStr">
        <is>
          <t>23600</t>
        </is>
      </c>
      <c r="K211" t="inlineStr">
        <is>
          <t>Boussac-Bourg</t>
        </is>
      </c>
      <c r="L211" t="inlineStr">
        <is>
          <t>05 55 65 83 94</t>
        </is>
      </c>
      <c r="M211" s="4" t="inlineStr">
        <is>
          <t>contact@creuseconfluence.com</t>
        </is>
      </c>
      <c r="N211" s="4" t="inlineStr">
        <is>
          <t>https://www.creuseconfluence.com/</t>
        </is>
      </c>
      <c r="O211" s="4" t="inlineStr">
        <is>
          <t>https://www.creuseconfluence.com/contact/</t>
        </is>
      </c>
      <c r="P211" s="4" t="inlineStr">
        <is>
          <t>https://lannuaire.service-public.gouv.fr/nouvelle-aquitaine/creuse/bdf4be8a-aa7a-49a4-ad2c-1f51001014c6</t>
        </is>
      </c>
      <c r="Q211" t="inlineStr">
        <is>
          <t>Annuaire Service-public.fr</t>
        </is>
      </c>
      <c r="R211" t="inlineStr"/>
      <c r="S211" t="inlineStr"/>
      <c r="T211" t="inlineStr"/>
    </row>
    <row r="212">
      <c r="A212" t="inlineStr">
        <is>
          <t>CC Creuse Grand Sud</t>
        </is>
      </c>
      <c r="B212" t="inlineStr">
        <is>
          <t>Communauté de communes</t>
        </is>
      </c>
      <c r="C212" t="inlineStr">
        <is>
          <t>200044014</t>
        </is>
      </c>
      <c r="D212" t="inlineStr">
        <is>
          <t>23</t>
        </is>
      </c>
      <c r="E212" t="inlineStr">
        <is>
          <t>Creuse</t>
        </is>
      </c>
      <c r="F212" t="inlineStr">
        <is>
          <t>Nouvelle-Aquitaine</t>
        </is>
      </c>
      <c r="G212" s="3" t="n">
        <v>11509</v>
      </c>
      <c r="H212" t="n">
        <v>26</v>
      </c>
      <c r="I212" t="inlineStr">
        <is>
          <t>34b rue Jules-Sandeau, BP 40</t>
        </is>
      </c>
      <c r="J212" t="inlineStr">
        <is>
          <t>23200</t>
        </is>
      </c>
      <c r="K212" t="inlineStr">
        <is>
          <t>Aubusson</t>
        </is>
      </c>
      <c r="L212" t="inlineStr">
        <is>
          <t>05 18 18 01 00</t>
        </is>
      </c>
      <c r="M212" s="4" t="inlineStr">
        <is>
          <t>contact@creuse-grand-sud.fr</t>
        </is>
      </c>
      <c r="N212" s="4" t="inlineStr">
        <is>
          <t>https://creuse-grand-sud.fr/</t>
        </is>
      </c>
      <c r="O212" t="inlineStr"/>
      <c r="P212" s="4" t="inlineStr">
        <is>
          <t>https://lannuaire.service-public.gouv.fr/nouvelle-aquitaine/creuse/ffa560f6-26e1-40c8-8204-01ed05d7c060</t>
        </is>
      </c>
      <c r="Q212" t="inlineStr">
        <is>
          <t>Annuaire Service-public.fr</t>
        </is>
      </c>
      <c r="R212" t="inlineStr"/>
      <c r="S212" t="inlineStr"/>
      <c r="T212" t="inlineStr"/>
    </row>
    <row r="213">
      <c r="A213" t="inlineStr">
        <is>
          <t>CC Creuse Sud Ouest</t>
        </is>
      </c>
      <c r="B213" t="inlineStr">
        <is>
          <t>Communauté de communes</t>
        </is>
      </c>
      <c r="C213" t="inlineStr">
        <is>
          <t>200067189</t>
        </is>
      </c>
      <c r="D213" t="inlineStr">
        <is>
          <t>23</t>
        </is>
      </c>
      <c r="E213" t="inlineStr">
        <is>
          <t>Creuse</t>
        </is>
      </c>
      <c r="F213" t="inlineStr">
        <is>
          <t>Nouvelle-Aquitaine</t>
        </is>
      </c>
      <c r="G213" s="3" t="n">
        <v>13483</v>
      </c>
      <c r="H213" t="n">
        <v>43</v>
      </c>
      <c r="I213" t="inlineStr">
        <is>
          <t>Route de la Souterraine</t>
        </is>
      </c>
      <c r="J213" t="inlineStr">
        <is>
          <t>23400</t>
        </is>
      </c>
      <c r="K213" t="inlineStr">
        <is>
          <t>Saint-Dizier-Masbaraud</t>
        </is>
      </c>
      <c r="L213" t="inlineStr">
        <is>
          <t>05 55 54 04 95</t>
        </is>
      </c>
      <c r="M213" s="4" t="inlineStr">
        <is>
          <t>accueil@creusesudouest.fr</t>
        </is>
      </c>
      <c r="N213" s="4" t="inlineStr">
        <is>
          <t>https://www.creusesudouest.fr/</t>
        </is>
      </c>
      <c r="O213" s="4" t="inlineStr">
        <is>
          <t>https://www.creusesudouest.fr/communaute-communes/ecoute/contact/</t>
        </is>
      </c>
      <c r="P213" s="4" t="inlineStr">
        <is>
          <t>https://lannuaire.service-public.gouv.fr/nouvelle-aquitaine/creuse/23c8e72b-2e5a-48ff-9ada-bc3546fbcae6</t>
        </is>
      </c>
      <c r="Q213" t="inlineStr">
        <is>
          <t>Annuaire Service-public.fr</t>
        </is>
      </c>
      <c r="R213" t="inlineStr"/>
      <c r="S213" t="inlineStr"/>
      <c r="T213" t="inlineStr"/>
    </row>
    <row r="214">
      <c r="A214" t="inlineStr">
        <is>
          <t>CC Marche et Combraille en Aquitaine</t>
        </is>
      </c>
      <c r="B214" t="inlineStr">
        <is>
          <t>Communauté de communes</t>
        </is>
      </c>
      <c r="C214" t="inlineStr">
        <is>
          <t>200067593</t>
        </is>
      </c>
      <c r="D214" t="inlineStr">
        <is>
          <t>23</t>
        </is>
      </c>
      <c r="E214" t="inlineStr">
        <is>
          <t>Creuse</t>
        </is>
      </c>
      <c r="F214" t="inlineStr">
        <is>
          <t>Nouvelle-Aquitaine</t>
        </is>
      </c>
      <c r="G214" s="3" t="n">
        <v>13041</v>
      </c>
      <c r="H214" t="n">
        <v>50</v>
      </c>
      <c r="I214" t="inlineStr">
        <is>
          <t>Rue de l'Étang</t>
        </is>
      </c>
      <c r="J214" t="inlineStr">
        <is>
          <t>23700</t>
        </is>
      </c>
      <c r="K214" t="inlineStr">
        <is>
          <t>Auzances</t>
        </is>
      </c>
      <c r="L214" t="inlineStr">
        <is>
          <t>05 55 67 04 99</t>
        </is>
      </c>
      <c r="M214" s="4" t="inlineStr">
        <is>
          <t>accueil@marcheetcombraille.fr</t>
        </is>
      </c>
      <c r="N214" s="4" t="inlineStr">
        <is>
          <t>https://marcheetcombraille.fr/</t>
        </is>
      </c>
      <c r="O214" s="4" t="inlineStr">
        <is>
          <t>https://marcheetcombraille.fr/contact/</t>
        </is>
      </c>
      <c r="P214" s="4" t="inlineStr">
        <is>
          <t>https://lannuaire.service-public.gouv.fr/nouvelle-aquitaine/creuse/429e91a1-9595-4493-b2b1-2703191d3e5c</t>
        </is>
      </c>
      <c r="Q214" t="inlineStr">
        <is>
          <t>Annuaire Service-public.fr</t>
        </is>
      </c>
      <c r="R214" t="inlineStr"/>
      <c r="S214" t="inlineStr"/>
      <c r="T214" t="inlineStr"/>
    </row>
    <row r="215">
      <c r="A215" t="inlineStr">
        <is>
          <t>CC Portes de la Creuse en Marche</t>
        </is>
      </c>
      <c r="B215" t="inlineStr">
        <is>
          <t>Communauté de communes</t>
        </is>
      </c>
      <c r="C215" t="inlineStr">
        <is>
          <t>200041556</t>
        </is>
      </c>
      <c r="D215" t="inlineStr">
        <is>
          <t>23</t>
        </is>
      </c>
      <c r="E215" t="inlineStr">
        <is>
          <t>Creuse</t>
        </is>
      </c>
      <c r="F215" t="inlineStr">
        <is>
          <t>Nouvelle-Aquitaine</t>
        </is>
      </c>
      <c r="G215" s="3" t="n">
        <v>6630</v>
      </c>
      <c r="H215" t="n">
        <v>16</v>
      </c>
      <c r="I215" t="inlineStr">
        <is>
          <t>1 rue des Violettes</t>
        </is>
      </c>
      <c r="J215" t="inlineStr">
        <is>
          <t>23350</t>
        </is>
      </c>
      <c r="K215" t="inlineStr">
        <is>
          <t>Genouillac</t>
        </is>
      </c>
      <c r="L215" t="inlineStr">
        <is>
          <t>05 55 80 88 01</t>
        </is>
      </c>
      <c r="M215" s="4" t="inlineStr">
        <is>
          <t>accueil@portesdelacreuseenmarche.fr</t>
        </is>
      </c>
      <c r="N215" s="4" t="inlineStr">
        <is>
          <t>https://www.portesdelacreuseenmarche.fr/</t>
        </is>
      </c>
      <c r="O215" t="inlineStr"/>
      <c r="P215" s="4" t="inlineStr">
        <is>
          <t>https://lannuaire.service-public.gouv.fr/nouvelle-aquitaine/creuse/d9c52379-4406-41d4-a17b-473fca6ffed5</t>
        </is>
      </c>
      <c r="Q215" t="inlineStr">
        <is>
          <t>Annuaire Service-public.fr</t>
        </is>
      </c>
      <c r="R215" t="inlineStr"/>
      <c r="S215" t="inlineStr"/>
      <c r="T215" t="inlineStr"/>
    </row>
    <row r="216">
      <c r="A216" t="inlineStr">
        <is>
          <t>CC de Bénévent Grand Bourg</t>
        </is>
      </c>
      <c r="B216" t="inlineStr">
        <is>
          <t>Communauté de communes</t>
        </is>
      </c>
      <c r="C216" t="inlineStr">
        <is>
          <t>242320000</t>
        </is>
      </c>
      <c r="D216" t="inlineStr">
        <is>
          <t>23</t>
        </is>
      </c>
      <c r="E216" t="inlineStr">
        <is>
          <t>Creuse</t>
        </is>
      </c>
      <c r="F216" t="inlineStr">
        <is>
          <t>Nouvelle-Aquitaine</t>
        </is>
      </c>
      <c r="G216" s="3" t="n">
        <v>6785</v>
      </c>
      <c r="H216" t="n">
        <v>16</v>
      </c>
      <c r="I216" t="inlineStr">
        <is>
          <t>8 place du marché</t>
        </is>
      </c>
      <c r="J216" t="inlineStr">
        <is>
          <t>23240</t>
        </is>
      </c>
      <c r="K216" t="inlineStr">
        <is>
          <t>Le Grand-Bourg</t>
        </is>
      </c>
      <c r="L216" t="inlineStr">
        <is>
          <t>05 55 80 38 20</t>
        </is>
      </c>
      <c r="M216" s="4" t="inlineStr">
        <is>
          <t>accueil@ccbgb.fr</t>
        </is>
      </c>
      <c r="N216" s="4" t="inlineStr">
        <is>
          <t>https://benevent-legrandbourg.fr</t>
        </is>
      </c>
      <c r="O216" s="4" t="inlineStr">
        <is>
          <t>https://benevent-legrandbourg.fr/fr/rb/980241/contacts-24</t>
        </is>
      </c>
      <c r="P216" s="4" t="inlineStr">
        <is>
          <t>https://lannuaire.service-public.gouv.fr/nouvelle-aquitaine/creuse/8ace3ce4-6837-4831-bdf6-08f3e9e3e803</t>
        </is>
      </c>
      <c r="Q216" t="inlineStr">
        <is>
          <t>Annuaire Service-public.fr</t>
        </is>
      </c>
      <c r="R216" t="inlineStr"/>
      <c r="S216" t="inlineStr"/>
      <c r="T216" t="inlineStr"/>
    </row>
    <row r="217">
      <c r="A217" t="inlineStr">
        <is>
          <t>CC du Pays Dunois</t>
        </is>
      </c>
      <c r="B217" t="inlineStr">
        <is>
          <t>Communauté de communes</t>
        </is>
      </c>
      <c r="C217" t="inlineStr">
        <is>
          <t>242320109</t>
        </is>
      </c>
      <c r="D217" t="inlineStr">
        <is>
          <t>23</t>
        </is>
      </c>
      <c r="E217" t="inlineStr">
        <is>
          <t>Creuse</t>
        </is>
      </c>
      <c r="F217" t="inlineStr">
        <is>
          <t>Nouvelle-Aquitaine</t>
        </is>
      </c>
      <c r="G217" s="3" t="n">
        <v>6979</v>
      </c>
      <c r="H217" t="n">
        <v>17</v>
      </c>
      <c r="I217" t="inlineStr">
        <is>
          <t>19 avenue de Verdun</t>
        </is>
      </c>
      <c r="J217" t="inlineStr">
        <is>
          <t>23800</t>
        </is>
      </c>
      <c r="K217" t="inlineStr">
        <is>
          <t>Dun-Le-Palestel</t>
        </is>
      </c>
      <c r="L217" t="inlineStr">
        <is>
          <t>05 55 89 12 03</t>
        </is>
      </c>
      <c r="M217" s="4" t="inlineStr">
        <is>
          <t>accueil@ccpaysdunois.fr</t>
        </is>
      </c>
      <c r="N217" s="4" t="inlineStr">
        <is>
          <t>https://www.paysdunois.fr</t>
        </is>
      </c>
      <c r="O217" s="4" t="inlineStr">
        <is>
          <t>https://www.paysdunois.fr/spip.php?article162</t>
        </is>
      </c>
      <c r="P217" s="4" t="inlineStr">
        <is>
          <t>https://lannuaire.service-public.gouv.fr/nouvelle-aquitaine/creuse/485773dd-6a34-41c8-92ea-b37a5253099f</t>
        </is>
      </c>
      <c r="Q217" t="inlineStr">
        <is>
          <t>Annuaire Service-public.fr</t>
        </is>
      </c>
      <c r="R217" t="inlineStr"/>
      <c r="S217" t="inlineStr"/>
      <c r="T217" t="inlineStr"/>
    </row>
    <row r="218">
      <c r="A218" t="inlineStr">
        <is>
          <t>CC du Pays Sostranien</t>
        </is>
      </c>
      <c r="B218" t="inlineStr">
        <is>
          <t>Communauté de communes</t>
        </is>
      </c>
      <c r="C218" t="inlineStr">
        <is>
          <t>242300135</t>
        </is>
      </c>
      <c r="D218" t="inlineStr">
        <is>
          <t>23</t>
        </is>
      </c>
      <c r="E218" t="inlineStr">
        <is>
          <t>Creuse</t>
        </is>
      </c>
      <c r="F218" t="inlineStr">
        <is>
          <t>Nouvelle-Aquitaine</t>
        </is>
      </c>
      <c r="G218" s="3" t="n">
        <v>10203</v>
      </c>
      <c r="H218" t="n">
        <v>10</v>
      </c>
      <c r="I218" t="inlineStr">
        <is>
          <t>10 rue Joliot-Curie</t>
        </is>
      </c>
      <c r="J218" t="inlineStr">
        <is>
          <t>23300</t>
        </is>
      </c>
      <c r="K218" t="inlineStr">
        <is>
          <t>La Souterraine</t>
        </is>
      </c>
      <c r="L218" t="inlineStr">
        <is>
          <t>05 55 63 91 11</t>
        </is>
      </c>
      <c r="M218" s="4" t="inlineStr">
        <is>
          <t>infos@cco23.fr</t>
        </is>
      </c>
      <c r="N218" s="4" t="inlineStr">
        <is>
          <t>https://www.pays-sostranien.fr</t>
        </is>
      </c>
      <c r="O218" t="inlineStr"/>
      <c r="P218" s="4" t="inlineStr">
        <is>
          <t>https://lannuaire.service-public.gouv.fr/nouvelle-aquitaine/creuse/1141f74f-0a09-406b-a982-ca24ceb0e687</t>
        </is>
      </c>
      <c r="Q218" t="inlineStr">
        <is>
          <t>Annuaire Service-public.fr</t>
        </is>
      </c>
      <c r="R218" t="inlineStr"/>
      <c r="S218" t="inlineStr"/>
      <c r="T218" t="inlineStr"/>
    </row>
    <row r="219">
      <c r="A219" t="inlineStr">
        <is>
          <t>CC Castillon/Pujols</t>
        </is>
      </c>
      <c r="B219" t="inlineStr">
        <is>
          <t>Communauté de communes</t>
        </is>
      </c>
      <c r="C219" t="inlineStr">
        <is>
          <t>243301454</t>
        </is>
      </c>
      <c r="D219" t="inlineStr">
        <is>
          <t>24, 33</t>
        </is>
      </c>
      <c r="E219" t="inlineStr">
        <is>
          <t>Dordogne, Gironde</t>
        </is>
      </c>
      <c r="F219" t="inlineStr">
        <is>
          <t>Nouvelle-Aquitaine</t>
        </is>
      </c>
      <c r="G219" s="3" t="n">
        <v>19047</v>
      </c>
      <c r="H219" t="n">
        <v>31</v>
      </c>
      <c r="I219" t="inlineStr">
        <is>
          <t>1 allée de la République</t>
        </is>
      </c>
      <c r="J219" t="inlineStr">
        <is>
          <t>33350</t>
        </is>
      </c>
      <c r="K219" t="inlineStr">
        <is>
          <t>Castillon-la-Bataille</t>
        </is>
      </c>
      <c r="L219" t="inlineStr">
        <is>
          <t>05 57 56 08 70</t>
        </is>
      </c>
      <c r="M219" s="4" t="inlineStr">
        <is>
          <t>secretariat@castillonpujols.fr</t>
        </is>
      </c>
      <c r="N219" s="4" t="inlineStr">
        <is>
          <t>https://www.castillonpujols.fr/</t>
        </is>
      </c>
      <c r="O219" s="4" t="inlineStr">
        <is>
          <t>https://www.castillonpujols.fr/contactez-nous/</t>
        </is>
      </c>
      <c r="P219" s="4" t="inlineStr">
        <is>
          <t>https://lannuaire.service-public.gouv.fr/nouvelle-aquitaine/gironde/938d7116-e8ed-4bfb-b47f-663d55aea58e</t>
        </is>
      </c>
      <c r="Q219" t="inlineStr">
        <is>
          <t>Annuaire Service-public.fr</t>
        </is>
      </c>
      <c r="R219" t="inlineStr"/>
      <c r="S219" t="inlineStr"/>
      <c r="T219" t="inlineStr"/>
    </row>
    <row r="220">
      <c r="A220" t="inlineStr">
        <is>
          <t>CC Dronne et Belle</t>
        </is>
      </c>
      <c r="B220" t="inlineStr">
        <is>
          <t>Communauté de communes</t>
        </is>
      </c>
      <c r="C220" t="inlineStr">
        <is>
          <t>200041572</t>
        </is>
      </c>
      <c r="D220" t="inlineStr">
        <is>
          <t>24</t>
        </is>
      </c>
      <c r="E220" t="inlineStr">
        <is>
          <t>Dordogne</t>
        </is>
      </c>
      <c r="F220" t="inlineStr">
        <is>
          <t>Nouvelle-Aquitaine</t>
        </is>
      </c>
      <c r="G220" s="3" t="n">
        <v>11393</v>
      </c>
      <c r="H220" t="n">
        <v>16</v>
      </c>
      <c r="I220" t="inlineStr">
        <is>
          <t>139 rue d'Hippocrate, ZAE Pierre-Levée</t>
        </is>
      </c>
      <c r="J220" t="inlineStr">
        <is>
          <t>24310</t>
        </is>
      </c>
      <c r="K220" t="inlineStr">
        <is>
          <t>Brantôme-en-Périgord</t>
        </is>
      </c>
      <c r="L220" t="inlineStr">
        <is>
          <t>05 53 03 83 55</t>
        </is>
      </c>
      <c r="M220" s="4" t="inlineStr">
        <is>
          <t>accueil@dronneetbelle.fr</t>
        </is>
      </c>
      <c r="N220" s="4" t="inlineStr">
        <is>
          <t>https://dronneetbelle.fr/</t>
        </is>
      </c>
      <c r="O220" s="4" t="inlineStr">
        <is>
          <t>https://dronneetbelle.fr/contacts/</t>
        </is>
      </c>
      <c r="P220" s="4" t="inlineStr">
        <is>
          <t>https://lannuaire.service-public.gouv.fr/nouvelle-aquitaine/dordogne/6bc8d36a-6761-40ea-ba44-db904bdfb6e7</t>
        </is>
      </c>
      <c r="Q220" t="inlineStr">
        <is>
          <t>Annuaire Service-public.fr</t>
        </is>
      </c>
      <c r="R220" t="inlineStr"/>
      <c r="S220" t="inlineStr"/>
      <c r="T220" t="inlineStr"/>
    </row>
    <row r="221">
      <c r="A221" t="inlineStr">
        <is>
          <t>CC Isle Double Landais</t>
        </is>
      </c>
      <c r="B221" t="inlineStr">
        <is>
          <t>Communauté de communes</t>
        </is>
      </c>
      <c r="C221" t="inlineStr">
        <is>
          <t>200040384</t>
        </is>
      </c>
      <c r="D221" t="inlineStr">
        <is>
          <t>24</t>
        </is>
      </c>
      <c r="E221" t="inlineStr">
        <is>
          <t>Dordogne</t>
        </is>
      </c>
      <c r="F221" t="inlineStr">
        <is>
          <t>Nouvelle-Aquitaine</t>
        </is>
      </c>
      <c r="G221" s="3" t="n">
        <v>12546</v>
      </c>
      <c r="H221" t="n">
        <v>9</v>
      </c>
      <c r="I221" t="inlineStr">
        <is>
          <t>4 B rue du Maréchal-Joffre</t>
        </is>
      </c>
      <c r="J221" t="inlineStr">
        <is>
          <t>24700</t>
        </is>
      </c>
      <c r="K221" t="inlineStr">
        <is>
          <t>Montpon-Ménestérol</t>
        </is>
      </c>
      <c r="L221" t="inlineStr">
        <is>
          <t>05 53 82 58 25</t>
        </is>
      </c>
      <c r="M221" s="4" t="inlineStr">
        <is>
          <t>accueil@ccidl.fr</t>
        </is>
      </c>
      <c r="N221" s="4" t="inlineStr">
        <is>
          <t>https://ccidl.fr/</t>
        </is>
      </c>
      <c r="O221" s="4" t="inlineStr">
        <is>
          <t>https://ccidl.fr/contactez-nous/</t>
        </is>
      </c>
      <c r="P221" s="4" t="inlineStr">
        <is>
          <t>https://lannuaire.service-public.gouv.fr/nouvelle-aquitaine/dordogne/1dbfa22b-03f5-437e-b404-f62e60ebbd3e</t>
        </is>
      </c>
      <c r="Q221" t="inlineStr">
        <is>
          <t>Annuaire Service-public.fr</t>
        </is>
      </c>
      <c r="R221" t="inlineStr"/>
      <c r="S221" t="inlineStr"/>
      <c r="T221" t="inlineStr"/>
    </row>
    <row r="222">
      <c r="A222" t="inlineStr">
        <is>
          <t>CC Isle Vern Salembre en Périgord</t>
        </is>
      </c>
      <c r="B222" t="inlineStr">
        <is>
          <t>Communauté de communes</t>
        </is>
      </c>
      <c r="C222" t="inlineStr">
        <is>
          <t>200040095</t>
        </is>
      </c>
      <c r="D222" t="inlineStr">
        <is>
          <t>24</t>
        </is>
      </c>
      <c r="E222" t="inlineStr">
        <is>
          <t>Dordogne</t>
        </is>
      </c>
      <c r="F222" t="inlineStr">
        <is>
          <t>Nouvelle-Aquitaine</t>
        </is>
      </c>
      <c r="G222" s="3" t="n">
        <v>18912</v>
      </c>
      <c r="H222" t="n">
        <v>16</v>
      </c>
      <c r="I222" t="inlineStr">
        <is>
          <t>43 rue Victor-Hugo, Le Bateau, BP 6</t>
        </is>
      </c>
      <c r="J222" t="inlineStr">
        <is>
          <t>24110</t>
        </is>
      </c>
      <c r="K222" t="inlineStr">
        <is>
          <t>Saint-Astier</t>
        </is>
      </c>
      <c r="L222" t="inlineStr">
        <is>
          <t>05 53 03 45 82</t>
        </is>
      </c>
      <c r="M222" s="4" t="inlineStr">
        <is>
          <t>contact@ccivs.fr</t>
        </is>
      </c>
      <c r="N222" s="4" t="inlineStr">
        <is>
          <t>https://www.ccivs.fr/</t>
        </is>
      </c>
      <c r="O222" s="4" t="inlineStr">
        <is>
          <t>https://www.ccivs.fr/contactez-nous</t>
        </is>
      </c>
      <c r="P222" s="4" t="inlineStr">
        <is>
          <t>https://lannuaire.service-public.gouv.fr/nouvelle-aquitaine/dordogne/c8fdc588-fa83-4a31-84a9-020a33290c0e</t>
        </is>
      </c>
      <c r="Q222" t="inlineStr">
        <is>
          <t>Annuaire Service-public.fr</t>
        </is>
      </c>
      <c r="R222" t="inlineStr"/>
      <c r="S222" t="inlineStr"/>
      <c r="T222" t="inlineStr"/>
    </row>
    <row r="223">
      <c r="A223" t="inlineStr">
        <is>
          <t>CC Isle et Crempse en Périgord</t>
        </is>
      </c>
      <c r="B223" t="inlineStr">
        <is>
          <t>Communauté de communes</t>
        </is>
      </c>
      <c r="C223" t="inlineStr">
        <is>
          <t>200069094</t>
        </is>
      </c>
      <c r="D223" t="inlineStr">
        <is>
          <t>24</t>
        </is>
      </c>
      <c r="E223" t="inlineStr">
        <is>
          <t>Dordogne</t>
        </is>
      </c>
      <c r="F223" t="inlineStr">
        <is>
          <t>Nouvelle-Aquitaine</t>
        </is>
      </c>
      <c r="G223" s="3" t="n">
        <v>14475</v>
      </c>
      <c r="H223" t="n">
        <v>25</v>
      </c>
      <c r="I223" t="inlineStr">
        <is>
          <t>2 rue du Périgord</t>
        </is>
      </c>
      <c r="J223" t="inlineStr">
        <is>
          <t>24400</t>
        </is>
      </c>
      <c r="K223" t="inlineStr">
        <is>
          <t>Mussidan</t>
        </is>
      </c>
      <c r="L223" t="inlineStr">
        <is>
          <t>05 53 81 00 88</t>
        </is>
      </c>
      <c r="M223" s="4" t="inlineStr">
        <is>
          <t>ccicp@ccicp.fr</t>
        </is>
      </c>
      <c r="N223" s="4" t="inlineStr">
        <is>
          <t>https://isle-et-crempse-en-perigord.fr/</t>
        </is>
      </c>
      <c r="O223" s="4" t="inlineStr">
        <is>
          <t>https://isle-et-crempse-en-perigord.fr/contact/</t>
        </is>
      </c>
      <c r="P223" s="4" t="inlineStr">
        <is>
          <t>https://lannuaire.service-public.gouv.fr/nouvelle-aquitaine/dordogne/9bd923fc-dc25-4b31-9ece-61eb80ddc778</t>
        </is>
      </c>
      <c r="Q223" t="inlineStr">
        <is>
          <t>Annuaire Service-public.fr</t>
        </is>
      </c>
      <c r="R223" t="inlineStr"/>
      <c r="S223" t="inlineStr"/>
      <c r="T223" t="inlineStr"/>
    </row>
    <row r="224">
      <c r="A224" t="inlineStr">
        <is>
          <t>CC Isle-Loue-Auvézère en Périgord</t>
        </is>
      </c>
      <c r="B224" t="inlineStr">
        <is>
          <t>Communauté de communes</t>
        </is>
      </c>
      <c r="C224" t="inlineStr">
        <is>
          <t>242401024</t>
        </is>
      </c>
      <c r="D224" t="inlineStr">
        <is>
          <t>24</t>
        </is>
      </c>
      <c r="E224" t="inlineStr">
        <is>
          <t>Dordogne</t>
        </is>
      </c>
      <c r="F224" t="inlineStr">
        <is>
          <t>Nouvelle-Aquitaine</t>
        </is>
      </c>
      <c r="G224" s="3" t="n">
        <v>13805</v>
      </c>
      <c r="H224" t="n">
        <v>28</v>
      </c>
      <c r="I224" t="inlineStr">
        <is>
          <t>8 rue de la Tuilerie</t>
        </is>
      </c>
      <c r="J224" t="inlineStr">
        <is>
          <t>24270</t>
        </is>
      </c>
      <c r="K224" t="inlineStr">
        <is>
          <t>Payzac</t>
        </is>
      </c>
      <c r="L224" t="inlineStr">
        <is>
          <t>05 53 55 31 32</t>
        </is>
      </c>
      <c r="M224" s="4" t="inlineStr">
        <is>
          <t>contact@ccilap.fr</t>
        </is>
      </c>
      <c r="N224" s="4" t="inlineStr">
        <is>
          <t>https://www.ccilap.fr/</t>
        </is>
      </c>
      <c r="O224" t="inlineStr"/>
      <c r="P224" s="4" t="inlineStr">
        <is>
          <t>https://lannuaire.service-public.gouv.fr/nouvelle-aquitaine/dordogne/57d9fc64-223b-44da-9f49-ffabb663372e</t>
        </is>
      </c>
      <c r="Q224" t="inlineStr">
        <is>
          <t>Annuaire Service-public.fr</t>
        </is>
      </c>
      <c r="R224" t="inlineStr"/>
      <c r="S224" t="inlineStr"/>
      <c r="T224" t="inlineStr"/>
    </row>
    <row r="225">
      <c r="A225" t="inlineStr">
        <is>
          <t>CC Périgord-Limousin</t>
        </is>
      </c>
      <c r="B225" t="inlineStr">
        <is>
          <t>Communauté de communes</t>
        </is>
      </c>
      <c r="C225" t="inlineStr">
        <is>
          <t>242400752</t>
        </is>
      </c>
      <c r="D225" t="inlineStr">
        <is>
          <t>24</t>
        </is>
      </c>
      <c r="E225" t="inlineStr">
        <is>
          <t>Dordogne</t>
        </is>
      </c>
      <c r="F225" t="inlineStr">
        <is>
          <t>Nouvelle-Aquitaine</t>
        </is>
      </c>
      <c r="G225" s="3" t="n">
        <v>14078</v>
      </c>
      <c r="H225" t="n">
        <v>22</v>
      </c>
      <c r="I225" t="inlineStr">
        <is>
          <t>3 place de la République</t>
        </is>
      </c>
      <c r="J225" t="inlineStr">
        <is>
          <t>24800</t>
        </is>
      </c>
      <c r="K225" t="inlineStr">
        <is>
          <t>Thiviers</t>
        </is>
      </c>
      <c r="L225" t="inlineStr">
        <is>
          <t>05 53 62 28 22</t>
        </is>
      </c>
      <c r="M225" s="4" t="inlineStr">
        <is>
          <t>contact@perigord-limousin.fr</t>
        </is>
      </c>
      <c r="N225" s="4" t="inlineStr">
        <is>
          <t>https://www.perigord-limousin.fr/</t>
        </is>
      </c>
      <c r="O225" s="4" t="inlineStr">
        <is>
          <t>https://www.facebook.com/communautedecommunesperigordlimousin/</t>
        </is>
      </c>
      <c r="P225" s="4" t="inlineStr">
        <is>
          <t>https://lannuaire.service-public.gouv.fr/nouvelle-aquitaine/dordogne/dc0d7a05-78bd-406e-b684-7842ce9b0c31</t>
        </is>
      </c>
      <c r="Q225" t="inlineStr">
        <is>
          <t>Annuaire Service-public.fr</t>
        </is>
      </c>
      <c r="R225" t="inlineStr"/>
      <c r="S225" t="inlineStr"/>
      <c r="T225" t="inlineStr"/>
    </row>
    <row r="226">
      <c r="A226" t="inlineStr">
        <is>
          <t>CC Sarlat-Périgord Noir</t>
        </is>
      </c>
      <c r="B226" t="inlineStr">
        <is>
          <t>Communauté de communes</t>
        </is>
      </c>
      <c r="C226" t="inlineStr">
        <is>
          <t>200027217</t>
        </is>
      </c>
      <c r="D226" t="inlineStr">
        <is>
          <t>24</t>
        </is>
      </c>
      <c r="E226" t="inlineStr">
        <is>
          <t>Dordogne</t>
        </is>
      </c>
      <c r="F226" t="inlineStr">
        <is>
          <t>Nouvelle-Aquitaine</t>
        </is>
      </c>
      <c r="G226" s="3" t="n">
        <v>16168</v>
      </c>
      <c r="H226" t="n">
        <v>13</v>
      </c>
      <c r="I226" t="inlineStr">
        <is>
          <t>1 avenue du Périgord</t>
        </is>
      </c>
      <c r="J226" t="inlineStr">
        <is>
          <t>24200</t>
        </is>
      </c>
      <c r="K226" t="inlineStr">
        <is>
          <t>Sarlat-la-Canéda</t>
        </is>
      </c>
      <c r="L226" t="inlineStr">
        <is>
          <t>05 53 31 90 20</t>
        </is>
      </c>
      <c r="M226" s="4" t="inlineStr">
        <is>
          <t>accueil.ccspn@sarlat.fr</t>
        </is>
      </c>
      <c r="N226" s="4" t="inlineStr">
        <is>
          <t>https://www.cc-sarlatperigordnoir.fr/</t>
        </is>
      </c>
      <c r="O226" s="4" t="inlineStr">
        <is>
          <t>https://www.cc-sarlatperigordnoir.fr/contact/</t>
        </is>
      </c>
      <c r="P226" s="4" t="inlineStr">
        <is>
          <t>https://lannuaire.service-public.gouv.fr/nouvelle-aquitaine/dordogne/a8161d3e-c749-4dd4-b8d4-bbcf553bd5e6</t>
        </is>
      </c>
      <c r="Q226" t="inlineStr">
        <is>
          <t>Annuaire Service-public.fr</t>
        </is>
      </c>
      <c r="R226" t="inlineStr"/>
      <c r="S226" t="inlineStr"/>
      <c r="T226" t="inlineStr"/>
    </row>
    <row r="227">
      <c r="A227" t="inlineStr">
        <is>
          <t>CC Terrassonnais Haut Périgord Noir</t>
        </is>
      </c>
      <c r="B227" t="inlineStr">
        <is>
          <t>Communauté de communes</t>
        </is>
      </c>
      <c r="C227" t="inlineStr">
        <is>
          <t>200041150</t>
        </is>
      </c>
      <c r="D227" t="inlineStr">
        <is>
          <t>24</t>
        </is>
      </c>
      <c r="E227" t="inlineStr">
        <is>
          <t>Dordogne</t>
        </is>
      </c>
      <c r="F227" t="inlineStr">
        <is>
          <t>Nouvelle-Aquitaine</t>
        </is>
      </c>
      <c r="G227" s="3" t="n">
        <v>22161</v>
      </c>
      <c r="H227" t="n">
        <v>37</v>
      </c>
      <c r="I227" t="inlineStr">
        <is>
          <t>58 avenue Jean-Jaurès, Pôle des services publics</t>
        </is>
      </c>
      <c r="J227" t="inlineStr">
        <is>
          <t>24120</t>
        </is>
      </c>
      <c r="K227" t="inlineStr">
        <is>
          <t>Terrasson-Lavilledieu</t>
        </is>
      </c>
      <c r="L227" t="inlineStr">
        <is>
          <t>05 53 50 96 10</t>
        </is>
      </c>
      <c r="M227" s="4" t="inlineStr">
        <is>
          <t>contact@ccthpn.fr</t>
        </is>
      </c>
      <c r="N227" s="4" t="inlineStr">
        <is>
          <t>https://ccthpn.fr/</t>
        </is>
      </c>
      <c r="O227" s="4" t="inlineStr">
        <is>
          <t>https://ccthpn.fr/formulaire-de-contact/</t>
        </is>
      </c>
      <c r="P227" s="4" t="inlineStr">
        <is>
          <t>https://lannuaire.service-public.gouv.fr/nouvelle-aquitaine/dordogne/3eadc106-7981-44a1-83ab-9961e03a1ddf</t>
        </is>
      </c>
      <c r="Q227" t="inlineStr">
        <is>
          <t>Annuaire Service-public.fr</t>
        </is>
      </c>
      <c r="R227" t="inlineStr"/>
      <c r="S227" t="inlineStr"/>
      <c r="T227" t="inlineStr"/>
    </row>
    <row r="228">
      <c r="A228" t="inlineStr">
        <is>
          <t>CC Vallée de la Dordogne et Forêt Bessède</t>
        </is>
      </c>
      <c r="B228" t="inlineStr">
        <is>
          <t>Communauté de communes</t>
        </is>
      </c>
      <c r="C228" t="inlineStr">
        <is>
          <t>200041051</t>
        </is>
      </c>
      <c r="D228" t="inlineStr">
        <is>
          <t>24</t>
        </is>
      </c>
      <c r="E228" t="inlineStr">
        <is>
          <t>Dordogne</t>
        </is>
      </c>
      <c r="F228" t="inlineStr">
        <is>
          <t>Nouvelle-Aquitaine</t>
        </is>
      </c>
      <c r="G228" s="3" t="n">
        <v>8965</v>
      </c>
      <c r="H228" t="n">
        <v>20</v>
      </c>
      <c r="I228" t="inlineStr">
        <is>
          <t>16 avenue de la gare</t>
        </is>
      </c>
      <c r="J228" t="inlineStr">
        <is>
          <t>24220</t>
        </is>
      </c>
      <c r="K228" t="inlineStr">
        <is>
          <t>Saint-Cyprien</t>
        </is>
      </c>
      <c r="L228" t="inlineStr">
        <is>
          <t>05 53 28 66 00</t>
        </is>
      </c>
      <c r="M228" s="4" t="inlineStr">
        <is>
          <t>contact@ccvdfb.fr</t>
        </is>
      </c>
      <c r="N228" s="4" t="inlineStr">
        <is>
          <t>https://www.ccdordogne-bessede.fr/</t>
        </is>
      </c>
      <c r="O228" s="4" t="inlineStr">
        <is>
          <t>https://ccdordogne-bessede.fr/contact/</t>
        </is>
      </c>
      <c r="P228" s="4" t="inlineStr">
        <is>
          <t>https://lannuaire.service-public.gouv.fr/nouvelle-aquitaine/dordogne/2248afa7-4f03-4f4a-ac50-bb42e1633c26</t>
        </is>
      </c>
      <c r="Q228" t="inlineStr">
        <is>
          <t>Annuaire Service-public.fr</t>
        </is>
      </c>
      <c r="R228" t="inlineStr"/>
      <c r="S228" t="inlineStr"/>
      <c r="T228" t="inlineStr"/>
    </row>
    <row r="229">
      <c r="A229" t="inlineStr">
        <is>
          <t>CC de Domme- Villefranche du Périgord</t>
        </is>
      </c>
      <c r="B229" t="inlineStr">
        <is>
          <t>Communauté de communes</t>
        </is>
      </c>
      <c r="C229" t="inlineStr">
        <is>
          <t>200041440</t>
        </is>
      </c>
      <c r="D229" t="inlineStr">
        <is>
          <t>24</t>
        </is>
      </c>
      <c r="E229" t="inlineStr">
        <is>
          <t>Dordogne</t>
        </is>
      </c>
      <c r="F229" t="inlineStr">
        <is>
          <t>Nouvelle-Aquitaine</t>
        </is>
      </c>
      <c r="G229" s="3" t="n">
        <v>8552</v>
      </c>
      <c r="H229" t="n">
        <v>23</v>
      </c>
      <c r="I229" t="inlineStr">
        <is>
          <t>21 rue Grand'rue, Maison des communes et des services publics</t>
        </is>
      </c>
      <c r="J229" t="inlineStr">
        <is>
          <t>24250</t>
        </is>
      </c>
      <c r="K229" t="inlineStr">
        <is>
          <t>Saint-Martial-de-Nabirat</t>
        </is>
      </c>
      <c r="L229" t="inlineStr">
        <is>
          <t>05 53 29 09 14</t>
        </is>
      </c>
      <c r="M229" s="4" t="inlineStr">
        <is>
          <t>contact@comcomdv.fr</t>
        </is>
      </c>
      <c r="N229" s="4" t="inlineStr">
        <is>
          <t>https://domme-villefranche-du-perigord.fr/</t>
        </is>
      </c>
      <c r="O229" t="inlineStr"/>
      <c r="P229" s="4" t="inlineStr">
        <is>
          <t>https://lannuaire.service-public.gouv.fr/nouvelle-aquitaine/dordogne/7fd40a17-6ef7-42a1-a528-9f32c7e49123</t>
        </is>
      </c>
      <c r="Q229" t="inlineStr">
        <is>
          <t>Annuaire Service-public.fr</t>
        </is>
      </c>
      <c r="R229" t="inlineStr"/>
      <c r="S229" t="inlineStr"/>
      <c r="T229" t="inlineStr"/>
    </row>
    <row r="230">
      <c r="A230" t="inlineStr">
        <is>
          <t>CC de Montaigne Montravel et Gurson</t>
        </is>
      </c>
      <c r="B230" t="inlineStr">
        <is>
          <t>Communauté de communes</t>
        </is>
      </c>
      <c r="C230" t="inlineStr">
        <is>
          <t>200034197</t>
        </is>
      </c>
      <c r="D230" t="inlineStr">
        <is>
          <t>24</t>
        </is>
      </c>
      <c r="E230" t="inlineStr">
        <is>
          <t>Dordogne</t>
        </is>
      </c>
      <c r="F230" t="inlineStr">
        <is>
          <t>Nouvelle-Aquitaine</t>
        </is>
      </c>
      <c r="G230" s="3" t="n">
        <v>11859</v>
      </c>
      <c r="H230" t="n">
        <v>18</v>
      </c>
      <c r="I230" t="inlineStr">
        <is>
          <t>58 route des Etangs</t>
        </is>
      </c>
      <c r="J230" t="inlineStr">
        <is>
          <t>24610</t>
        </is>
      </c>
      <c r="K230" t="inlineStr">
        <is>
          <t>Villefranche-de-Lonchat</t>
        </is>
      </c>
      <c r="L230" t="inlineStr">
        <is>
          <t>05 53 82 20 24</t>
        </is>
      </c>
      <c r="M230" s="4" t="inlineStr">
        <is>
          <t>direction@cdcmmg.fr</t>
        </is>
      </c>
      <c r="N230" s="4" t="inlineStr">
        <is>
          <t>https://www.cdcmontaignemontravelgurson.fr</t>
        </is>
      </c>
      <c r="O230" s="4" t="inlineStr">
        <is>
          <t>https://www.cdcmontaignemontravelgurson.fr/contacts.html</t>
        </is>
      </c>
      <c r="P230" s="4" t="inlineStr">
        <is>
          <t>https://lannuaire.service-public.gouv.fr/nouvelle-aquitaine/dordogne/b0f592c1-153d-46fa-acbf-e4518f1790ec</t>
        </is>
      </c>
      <c r="Q230" t="inlineStr">
        <is>
          <t>Annuaire Service-public.fr</t>
        </is>
      </c>
      <c r="R230" t="inlineStr"/>
      <c r="S230" t="inlineStr"/>
      <c r="T230" t="inlineStr"/>
    </row>
    <row r="231">
      <c r="A231" t="inlineStr">
        <is>
          <t>CC de Portes Sud Périgord</t>
        </is>
      </c>
      <c r="B231" t="inlineStr">
        <is>
          <t>Communauté de communes</t>
        </is>
      </c>
      <c r="C231" t="inlineStr">
        <is>
          <t>200040889</t>
        </is>
      </c>
      <c r="D231" t="inlineStr">
        <is>
          <t>24</t>
        </is>
      </c>
      <c r="E231" t="inlineStr">
        <is>
          <t>Dordogne</t>
        </is>
      </c>
      <c r="F231" t="inlineStr">
        <is>
          <t>Nouvelle-Aquitaine</t>
        </is>
      </c>
      <c r="G231" s="3" t="n">
        <v>8450</v>
      </c>
      <c r="H231" t="n">
        <v>25</v>
      </c>
      <c r="I231" t="inlineStr">
        <is>
          <t>23 avenue de la Bastide</t>
        </is>
      </c>
      <c r="J231" t="inlineStr">
        <is>
          <t>24500</t>
        </is>
      </c>
      <c r="K231" t="inlineStr">
        <is>
          <t>Eymet</t>
        </is>
      </c>
      <c r="L231" t="inlineStr">
        <is>
          <t>05 53 22 57 94</t>
        </is>
      </c>
      <c r="M231" s="4" t="inlineStr">
        <is>
          <t>accueil@ccpsp24.fr</t>
        </is>
      </c>
      <c r="N231" s="4" t="inlineStr">
        <is>
          <t>https://www.ccpsp24.fr</t>
        </is>
      </c>
      <c r="O231" s="4" t="inlineStr">
        <is>
          <t>https://www.ccpsp24.fr/fr/nous-contacter</t>
        </is>
      </c>
      <c r="P231" s="4" t="inlineStr">
        <is>
          <t>https://lannuaire.service-public.gouv.fr/nouvelle-aquitaine/dordogne/5b025aea-1a13-45b2-82f6-6dbef818020a</t>
        </is>
      </c>
      <c r="Q231" t="inlineStr">
        <is>
          <t>Annuaire Service-public.fr</t>
        </is>
      </c>
      <c r="R231" t="inlineStr"/>
      <c r="S231" t="inlineStr"/>
      <c r="T231" t="inlineStr"/>
    </row>
    <row r="232">
      <c r="A232" t="inlineStr">
        <is>
          <t>CC de la Vallée de l'Homme</t>
        </is>
      </c>
      <c r="B232" t="inlineStr">
        <is>
          <t>Communauté de communes</t>
        </is>
      </c>
      <c r="C232" t="inlineStr">
        <is>
          <t>200041168</t>
        </is>
      </c>
      <c r="D232" t="inlineStr">
        <is>
          <t>24</t>
        </is>
      </c>
      <c r="E232" t="inlineStr">
        <is>
          <t>Dordogne</t>
        </is>
      </c>
      <c r="F232" t="inlineStr">
        <is>
          <t>Nouvelle-Aquitaine</t>
        </is>
      </c>
      <c r="G232" s="3" t="n">
        <v>15989</v>
      </c>
      <c r="H232" t="n">
        <v>26</v>
      </c>
      <c r="I232" t="inlineStr">
        <is>
          <t>28 avenue de la Forge</t>
        </is>
      </c>
      <c r="J232" t="inlineStr">
        <is>
          <t>24620</t>
        </is>
      </c>
      <c r="K232" t="inlineStr">
        <is>
          <t>Les Eyzies</t>
        </is>
      </c>
      <c r="L232" t="inlineStr">
        <is>
          <t>05 53 51 70 70</t>
        </is>
      </c>
      <c r="M232" s="4" t="inlineStr">
        <is>
          <t>contact@cc-vh.fr</t>
        </is>
      </c>
      <c r="N232" s="4" t="inlineStr">
        <is>
          <t>https://www.cc-valleedelhomme.fr</t>
        </is>
      </c>
      <c r="O232" s="4" t="inlineStr">
        <is>
          <t>https://www.cc-valleedelhomme.fr/contacts/</t>
        </is>
      </c>
      <c r="P232" s="4" t="inlineStr">
        <is>
          <t>https://lannuaire.service-public.gouv.fr/nouvelle-aquitaine/dordogne/e948bb90-935a-428d-8a46-f1bf083c3201</t>
        </is>
      </c>
      <c r="Q232" t="inlineStr">
        <is>
          <t>Annuaire Service-public.fr</t>
        </is>
      </c>
      <c r="R232" t="inlineStr"/>
      <c r="S232" t="inlineStr"/>
      <c r="T232" t="inlineStr"/>
    </row>
    <row r="233">
      <c r="A233" t="inlineStr">
        <is>
          <t>CC des Bastides Dordogne-Périgord</t>
        </is>
      </c>
      <c r="B233" t="inlineStr">
        <is>
          <t>Communauté de communes</t>
        </is>
      </c>
      <c r="C233" t="inlineStr">
        <is>
          <t>200034833</t>
        </is>
      </c>
      <c r="D233" t="inlineStr">
        <is>
          <t>24</t>
        </is>
      </c>
      <c r="E233" t="inlineStr">
        <is>
          <t>Dordogne</t>
        </is>
      </c>
      <c r="F233" t="inlineStr">
        <is>
          <t>Nouvelle-Aquitaine</t>
        </is>
      </c>
      <c r="G233" s="3" t="n">
        <v>18601</v>
      </c>
      <c r="H233" t="n">
        <v>47</v>
      </c>
      <c r="I233" t="inlineStr">
        <is>
          <t>12 avenue Jean-Moulin</t>
        </is>
      </c>
      <c r="J233" t="inlineStr">
        <is>
          <t>24150</t>
        </is>
      </c>
      <c r="K233" t="inlineStr">
        <is>
          <t>Lalinde</t>
        </is>
      </c>
      <c r="L233" t="inlineStr">
        <is>
          <t>05 53 73 56 20</t>
        </is>
      </c>
      <c r="M233" s="4" t="inlineStr">
        <is>
          <t>ccbdp@ccbdp.fr</t>
        </is>
      </c>
      <c r="N233" s="4" t="inlineStr">
        <is>
          <t>https://ccbdp.fr/</t>
        </is>
      </c>
      <c r="O233" t="inlineStr"/>
      <c r="P233" s="4" t="inlineStr">
        <is>
          <t>https://lannuaire.service-public.gouv.fr/nouvelle-aquitaine/dordogne/13e33b66-605e-4952-a164-83fa14ac5b14</t>
        </is>
      </c>
      <c r="Q233" t="inlineStr">
        <is>
          <t>Annuaire Service-public.fr</t>
        </is>
      </c>
      <c r="R233" t="inlineStr"/>
      <c r="S233" t="inlineStr"/>
      <c r="T233" t="inlineStr"/>
    </row>
    <row r="234">
      <c r="A234" t="inlineStr">
        <is>
          <t>CC du Pays Foyen</t>
        </is>
      </c>
      <c r="B234" t="inlineStr">
        <is>
          <t>Communauté de communes</t>
        </is>
      </c>
      <c r="C234" t="inlineStr">
        <is>
          <t>243301371</t>
        </is>
      </c>
      <c r="D234" t="inlineStr">
        <is>
          <t>24, 33</t>
        </is>
      </c>
      <c r="E234" t="inlineStr">
        <is>
          <t>Dordogne, Gironde</t>
        </is>
      </c>
      <c r="F234" t="inlineStr">
        <is>
          <t>Nouvelle-Aquitaine</t>
        </is>
      </c>
      <c r="G234" s="3" t="n">
        <v>16540</v>
      </c>
      <c r="H234" t="n">
        <v>20</v>
      </c>
      <c r="I234" t="inlineStr">
        <is>
          <t>2 avenue Georges-Clemenceau</t>
        </is>
      </c>
      <c r="J234" t="inlineStr">
        <is>
          <t>33220</t>
        </is>
      </c>
      <c r="K234" t="inlineStr">
        <is>
          <t>Pineuilh</t>
        </is>
      </c>
      <c r="L234" t="inlineStr">
        <is>
          <t>05 57 46 20 58</t>
        </is>
      </c>
      <c r="M234" s="4" t="inlineStr">
        <is>
          <t>contact@paysfoyen.fr</t>
        </is>
      </c>
      <c r="N234" s="4" t="inlineStr">
        <is>
          <t>https://www.paysfoyen.fr/</t>
        </is>
      </c>
      <c r="O234" s="4" t="inlineStr">
        <is>
          <t>https://www.paysfoyen.fr/contact-pays-foyen-nouvelle-aquitaine_fr.html</t>
        </is>
      </c>
      <c r="P234" s="4" t="inlineStr">
        <is>
          <t>https://lannuaire.service-public.gouv.fr/nouvelle-aquitaine/gironde/a107cb3e-964b-4fea-8077-fb4d1790228d</t>
        </is>
      </c>
      <c r="Q234" t="inlineStr">
        <is>
          <t>Annuaire Service-public.fr</t>
        </is>
      </c>
      <c r="R234" t="inlineStr"/>
      <c r="S234" t="inlineStr"/>
      <c r="T234" t="inlineStr"/>
    </row>
    <row r="235">
      <c r="A235" t="inlineStr">
        <is>
          <t>CC du Pays de Fénelon</t>
        </is>
      </c>
      <c r="B235" t="inlineStr">
        <is>
          <t>Communauté de communes</t>
        </is>
      </c>
      <c r="C235" t="inlineStr">
        <is>
          <t>200040830</t>
        </is>
      </c>
      <c r="D235" t="inlineStr">
        <is>
          <t>24</t>
        </is>
      </c>
      <c r="E235" t="inlineStr">
        <is>
          <t>Dordogne</t>
        </is>
      </c>
      <c r="F235" t="inlineStr">
        <is>
          <t>Nouvelle-Aquitaine</t>
        </is>
      </c>
      <c r="G235" s="3" t="n">
        <v>9728</v>
      </c>
      <c r="H235" t="n">
        <v>17</v>
      </c>
      <c r="I235" t="inlineStr">
        <is>
          <t>1 place de la Mairie</t>
        </is>
      </c>
      <c r="J235" t="inlineStr">
        <is>
          <t>24590</t>
        </is>
      </c>
      <c r="K235" t="inlineStr">
        <is>
          <t>Salignac-Eyvigues</t>
        </is>
      </c>
      <c r="L235" t="inlineStr">
        <is>
          <t>05 53 30 43 57</t>
        </is>
      </c>
      <c r="M235" s="4" t="inlineStr">
        <is>
          <t>accueil@paysdefenelon.fr</t>
        </is>
      </c>
      <c r="N235" s="4" t="inlineStr">
        <is>
          <t>https://www.paysdefenelon.fr/</t>
        </is>
      </c>
      <c r="O235" s="4" t="inlineStr">
        <is>
          <t>https://www.paysdefenelon.fr/contact/</t>
        </is>
      </c>
      <c r="P235" s="4" t="inlineStr">
        <is>
          <t>https://lannuaire.service-public.gouv.fr/nouvelle-aquitaine/dordogne/315da0f8-ace8-46da-8f7b-7a4965a99a53</t>
        </is>
      </c>
      <c r="Q235" t="inlineStr">
        <is>
          <t>Annuaire Service-public.fr</t>
        </is>
      </c>
      <c r="R235" t="inlineStr"/>
      <c r="S235" t="inlineStr"/>
      <c r="T235" t="inlineStr"/>
    </row>
    <row r="236">
      <c r="A236" t="inlineStr">
        <is>
          <t>CC du Pays de Saint Aulaye</t>
        </is>
      </c>
      <c r="B236" t="inlineStr">
        <is>
          <t>Communauté de communes</t>
        </is>
      </c>
      <c r="C236" t="inlineStr">
        <is>
          <t>242400935</t>
        </is>
      </c>
      <c r="D236" t="inlineStr">
        <is>
          <t>24</t>
        </is>
      </c>
      <c r="E236" t="inlineStr">
        <is>
          <t>Dordogne</t>
        </is>
      </c>
      <c r="F236" t="inlineStr">
        <is>
          <t>Nouvelle-Aquitaine</t>
        </is>
      </c>
      <c r="G236" s="3" t="n">
        <v>6688</v>
      </c>
      <c r="H236" t="n">
        <v>6</v>
      </c>
      <c r="I236" t="inlineStr">
        <is>
          <t>Place Émile-Cheylud</t>
        </is>
      </c>
      <c r="J236" t="inlineStr">
        <is>
          <t>24490</t>
        </is>
      </c>
      <c r="K236" t="inlineStr">
        <is>
          <t>La Roche-Chalais</t>
        </is>
      </c>
      <c r="L236" t="inlineStr">
        <is>
          <t>05 53 91 86 37</t>
        </is>
      </c>
      <c r="M236" s="4" t="inlineStr">
        <is>
          <t>cdc-staulaye@orange.fr</t>
        </is>
      </c>
      <c r="N236" s="4" t="inlineStr">
        <is>
          <t>http://www.cc-paysdesaintaulaye.fr</t>
        </is>
      </c>
      <c r="O236" t="inlineStr"/>
      <c r="P236" s="4" t="inlineStr">
        <is>
          <t>https://lannuaire.service-public.gouv.fr/nouvelle-aquitaine/dordogne/0db38f84-ee88-48b9-84b3-fb3c193497d9</t>
        </is>
      </c>
      <c r="Q236" t="inlineStr">
        <is>
          <t>Annuaire Service-public.fr</t>
        </is>
      </c>
      <c r="R236" t="inlineStr"/>
      <c r="S236" t="inlineStr"/>
      <c r="T236" t="inlineStr"/>
    </row>
    <row r="237">
      <c r="A237" t="inlineStr">
        <is>
          <t>CC du Périgord Nontronnais</t>
        </is>
      </c>
      <c r="B237" t="inlineStr">
        <is>
          <t>Communauté de communes</t>
        </is>
      </c>
      <c r="C237" t="inlineStr">
        <is>
          <t>200071819</t>
        </is>
      </c>
      <c r="D237" t="inlineStr">
        <is>
          <t>24</t>
        </is>
      </c>
      <c r="E237" t="inlineStr">
        <is>
          <t>Dordogne</t>
        </is>
      </c>
      <c r="F237" t="inlineStr">
        <is>
          <t>Nouvelle-Aquitaine</t>
        </is>
      </c>
      <c r="G237" s="3" t="n">
        <v>15184</v>
      </c>
      <c r="H237" t="n">
        <v>28</v>
      </c>
      <c r="I237" t="inlineStr">
        <is>
          <t>48-50 rue Antonin-de-Bidour</t>
        </is>
      </c>
      <c r="J237" t="inlineStr">
        <is>
          <t>24300</t>
        </is>
      </c>
      <c r="K237" t="inlineStr">
        <is>
          <t>Nontron</t>
        </is>
      </c>
      <c r="L237" t="inlineStr">
        <is>
          <t>05 53 60 33 88</t>
        </is>
      </c>
      <c r="M237" s="4" t="inlineStr">
        <is>
          <t>accueil@ccpn.fr</t>
        </is>
      </c>
      <c r="N237" s="4" t="inlineStr">
        <is>
          <t>https://www.perigord-nontronnais.fr/</t>
        </is>
      </c>
      <c r="O237" s="4" t="inlineStr">
        <is>
          <t>https://www.perigord-nontronnais.fr/contact/</t>
        </is>
      </c>
      <c r="P237" s="4" t="inlineStr">
        <is>
          <t>https://lannuaire.service-public.gouv.fr/nouvelle-aquitaine/dordogne/ffd7c770-41f3-4e0b-b73a-0fd731748f72</t>
        </is>
      </c>
      <c r="Q237" t="inlineStr">
        <is>
          <t>Annuaire Service-public.fr</t>
        </is>
      </c>
      <c r="R237" t="inlineStr"/>
      <c r="S237" t="inlineStr"/>
      <c r="T237" t="inlineStr"/>
    </row>
    <row r="238">
      <c r="A238" t="inlineStr">
        <is>
          <t>CC du Périgord Ribéracois</t>
        </is>
      </c>
      <c r="B238" t="inlineStr">
        <is>
          <t>Communauté de communes</t>
        </is>
      </c>
      <c r="C238" t="inlineStr">
        <is>
          <t>200040400</t>
        </is>
      </c>
      <c r="D238" t="inlineStr">
        <is>
          <t>24</t>
        </is>
      </c>
      <c r="E238" t="inlineStr">
        <is>
          <t>Dordogne</t>
        </is>
      </c>
      <c r="F238" t="inlineStr">
        <is>
          <t>Nouvelle-Aquitaine</t>
        </is>
      </c>
      <c r="G238" s="3" t="n">
        <v>19449</v>
      </c>
      <c r="H238" t="n">
        <v>44</v>
      </c>
      <c r="I238" t="inlineStr">
        <is>
          <t>11 rue Couleau, BP 10</t>
        </is>
      </c>
      <c r="J238" t="inlineStr">
        <is>
          <t>24600</t>
        </is>
      </c>
      <c r="K238" t="inlineStr">
        <is>
          <t>Riberac</t>
        </is>
      </c>
      <c r="L238" t="inlineStr">
        <is>
          <t>05 53 92 50 60</t>
        </is>
      </c>
      <c r="M238" s="4" t="inlineStr">
        <is>
          <t>contact@ccpr24.fr</t>
        </is>
      </c>
      <c r="N238" s="4" t="inlineStr">
        <is>
          <t>https://ccpr24.fr/</t>
        </is>
      </c>
      <c r="O238" s="4" t="inlineStr">
        <is>
          <t>https://ccpr24.fr/contactez-nous/</t>
        </is>
      </c>
      <c r="P238" s="4" t="inlineStr">
        <is>
          <t>https://lannuaire.service-public.gouv.fr/nouvelle-aquitaine/dordogne/1f2b8e0d-8d61-49a9-bf42-b073f9c62aa9</t>
        </is>
      </c>
      <c r="Q238" t="inlineStr">
        <is>
          <t>Annuaire Service-public.fr</t>
        </is>
      </c>
      <c r="R238" t="inlineStr"/>
      <c r="S238" t="inlineStr"/>
      <c r="T238" t="inlineStr"/>
    </row>
    <row r="239">
      <c r="A239" t="inlineStr">
        <is>
          <t>CC Altitude 800</t>
        </is>
      </c>
      <c r="B239" t="inlineStr">
        <is>
          <t>Communauté de communes</t>
        </is>
      </c>
      <c r="C239" t="inlineStr">
        <is>
          <t>242504488</t>
        </is>
      </c>
      <c r="D239" t="inlineStr">
        <is>
          <t>25</t>
        </is>
      </c>
      <c r="E239" t="inlineStr">
        <is>
          <t>Doubs</t>
        </is>
      </c>
      <c r="F239" t="inlineStr">
        <is>
          <t>Bourgogne-Franche-Comté</t>
        </is>
      </c>
      <c r="G239" s="3" t="n">
        <v>6675</v>
      </c>
      <c r="H239" t="n">
        <v>9</v>
      </c>
      <c r="I239" t="inlineStr">
        <is>
          <t>7 B place Bugnet</t>
        </is>
      </c>
      <c r="J239" t="inlineStr">
        <is>
          <t>25270</t>
        </is>
      </c>
      <c r="K239" t="inlineStr">
        <is>
          <t>Levier</t>
        </is>
      </c>
      <c r="L239" t="inlineStr">
        <is>
          <t>03 81 38 27 50</t>
        </is>
      </c>
      <c r="M239" s="4" t="inlineStr">
        <is>
          <t>cca@cca800.fr</t>
        </is>
      </c>
      <c r="N239" s="4" t="inlineStr">
        <is>
          <t>https://cca800.fr/fr/</t>
        </is>
      </c>
      <c r="O239" s="4" t="inlineStr">
        <is>
          <t>https://cca800.fr/fr/</t>
        </is>
      </c>
      <c r="P239" s="4" t="inlineStr">
        <is>
          <t>https://lannuaire.service-public.gouv.fr/bourgogne-franche-comte/doubs/5bffaaa9-0d3a-4452-bdcb-78ba38d7a5a0</t>
        </is>
      </c>
      <c r="Q239" t="inlineStr">
        <is>
          <t>Annuaire Service-public.fr</t>
        </is>
      </c>
      <c r="R239" t="inlineStr"/>
      <c r="S239" t="inlineStr"/>
      <c r="T239" t="inlineStr"/>
    </row>
    <row r="240">
      <c r="A240" t="inlineStr">
        <is>
          <t>CC Entre Doubs et Loue</t>
        </is>
      </c>
      <c r="B240" t="inlineStr">
        <is>
          <t>Communauté de communes</t>
        </is>
      </c>
      <c r="C240" t="inlineStr">
        <is>
          <t>242500320</t>
        </is>
      </c>
      <c r="D240" t="inlineStr">
        <is>
          <t>25</t>
        </is>
      </c>
      <c r="E240" t="inlineStr">
        <is>
          <t>Doubs</t>
        </is>
      </c>
      <c r="F240" t="inlineStr">
        <is>
          <t>Bourgogne-Franche-Comté</t>
        </is>
      </c>
      <c r="G240" s="3" t="n">
        <v>8255</v>
      </c>
      <c r="H240" t="n">
        <v>12</v>
      </c>
      <c r="I240" t="inlineStr">
        <is>
          <t>4 rue du Val-Saugeais</t>
        </is>
      </c>
      <c r="J240" t="inlineStr">
        <is>
          <t>25650</t>
        </is>
      </c>
      <c r="K240" t="inlineStr">
        <is>
          <t>Montbenoît</t>
        </is>
      </c>
      <c r="L240" t="inlineStr">
        <is>
          <t>03 81 38 17 71</t>
        </is>
      </c>
      <c r="M240" s="4" t="inlineStr">
        <is>
          <t>contact@doubs-loue.fr</t>
        </is>
      </c>
      <c r="N240" s="4" t="inlineStr">
        <is>
          <t>https://www.cc-montbenoit.fr/</t>
        </is>
      </c>
      <c r="O240" s="4" t="inlineStr">
        <is>
          <t>https://www.cc-montbenoit.fr/contact</t>
        </is>
      </c>
      <c r="P240" s="4" t="inlineStr">
        <is>
          <t>https://lannuaire.service-public.gouv.fr/bourgogne-franche-comte/doubs/362a5337-b2f8-43a4-98bc-b02d973bc152</t>
        </is>
      </c>
      <c r="Q240" t="inlineStr">
        <is>
          <t>Annuaire Service-public.fr</t>
        </is>
      </c>
      <c r="R240" t="inlineStr"/>
      <c r="S240" t="inlineStr"/>
      <c r="T240" t="inlineStr"/>
    </row>
    <row r="241">
      <c r="A241" t="inlineStr">
        <is>
          <t>CC Loue-Lison</t>
        </is>
      </c>
      <c r="B241" t="inlineStr">
        <is>
          <t>Communauté de communes</t>
        </is>
      </c>
      <c r="C241" t="inlineStr">
        <is>
          <t>200068070</t>
        </is>
      </c>
      <c r="D241" t="inlineStr">
        <is>
          <t>25</t>
        </is>
      </c>
      <c r="E241" t="inlineStr">
        <is>
          <t>Doubs</t>
        </is>
      </c>
      <c r="F241" t="inlineStr">
        <is>
          <t>Bourgogne-Franche-Comté</t>
        </is>
      </c>
      <c r="G241" s="3" t="n">
        <v>25269</v>
      </c>
      <c r="H241" t="n">
        <v>71</v>
      </c>
      <c r="I241" t="inlineStr">
        <is>
          <t>7 rue Édouard-Bastide</t>
        </is>
      </c>
      <c r="J241" t="inlineStr">
        <is>
          <t>25290</t>
        </is>
      </c>
      <c r="K241" t="inlineStr">
        <is>
          <t>Ornans</t>
        </is>
      </c>
      <c r="L241" t="inlineStr">
        <is>
          <t>03 81 57 16 33</t>
        </is>
      </c>
      <c r="M241" s="4" t="inlineStr">
        <is>
          <t>contact@cclouelison.fr</t>
        </is>
      </c>
      <c r="N241" s="4" t="inlineStr">
        <is>
          <t>https://cclouelison.fr/fr/</t>
        </is>
      </c>
      <c r="O241" s="4" t="inlineStr">
        <is>
          <t>https://cclouelison.fr/fr/rb/384373/le-territoire-4</t>
        </is>
      </c>
      <c r="P241" s="4" t="inlineStr">
        <is>
          <t>https://lannuaire.service-public.gouv.fr/bourgogne-franche-comte/doubs/2d1e88bf-eabe-4dce-a43e-2d2639037784</t>
        </is>
      </c>
      <c r="Q241" t="inlineStr">
        <is>
          <t>Annuaire Service-public.fr</t>
        </is>
      </c>
      <c r="R241" t="inlineStr"/>
      <c r="S241" t="inlineStr"/>
      <c r="T241" t="inlineStr"/>
    </row>
    <row r="242">
      <c r="A242" t="inlineStr">
        <is>
          <t>CC des Deux Vallées Vertes</t>
        </is>
      </c>
      <c r="B242" t="inlineStr">
        <is>
          <t>Communauté de communes</t>
        </is>
      </c>
      <c r="C242" t="inlineStr">
        <is>
          <t>200068294</t>
        </is>
      </c>
      <c r="D242" t="inlineStr">
        <is>
          <t>25</t>
        </is>
      </c>
      <c r="E242" t="inlineStr">
        <is>
          <t>Doubs</t>
        </is>
      </c>
      <c r="F242" t="inlineStr">
        <is>
          <t>Bourgogne-Franche-Comté</t>
        </is>
      </c>
      <c r="G242" s="3" t="n">
        <v>15608</v>
      </c>
      <c r="H242" t="n">
        <v>54</v>
      </c>
      <c r="I242" t="inlineStr">
        <is>
          <t>23 avenue Gaston-Renaud</t>
        </is>
      </c>
      <c r="J242" t="inlineStr">
        <is>
          <t>25340</t>
        </is>
      </c>
      <c r="K242" t="inlineStr">
        <is>
          <t>Pays-de-Clerval</t>
        </is>
      </c>
      <c r="L242" t="inlineStr">
        <is>
          <t>03 81 97 85 10</t>
        </is>
      </c>
      <c r="M242" s="4" t="inlineStr">
        <is>
          <t>contact@cc2vv.fr</t>
        </is>
      </c>
      <c r="N242" s="4" t="inlineStr">
        <is>
          <t>https://www.cc2vv.fr/</t>
        </is>
      </c>
      <c r="O242" t="inlineStr"/>
      <c r="P242" s="4" t="inlineStr">
        <is>
          <t>https://lannuaire.service-public.gouv.fr/bourgogne-franche-comte/doubs/10ba482e-6f1a-45dc-9fc1-ea2acb236d70</t>
        </is>
      </c>
      <c r="Q242" t="inlineStr">
        <is>
          <t>Annuaire Service-public.fr</t>
        </is>
      </c>
      <c r="R242" t="inlineStr"/>
      <c r="S242" t="inlineStr"/>
      <c r="T242" t="inlineStr"/>
    </row>
    <row r="243">
      <c r="A243" t="inlineStr">
        <is>
          <t>CC des Lacs et Montagnes du Haut-Doubs</t>
        </is>
      </c>
      <c r="B243" t="inlineStr">
        <is>
          <t>Communauté de communes</t>
        </is>
      </c>
      <c r="C243" t="inlineStr">
        <is>
          <t>200069565</t>
        </is>
      </c>
      <c r="D243" t="inlineStr">
        <is>
          <t>25</t>
        </is>
      </c>
      <c r="E243" t="inlineStr">
        <is>
          <t>Doubs</t>
        </is>
      </c>
      <c r="F243" t="inlineStr">
        <is>
          <t>Bourgogne-Franche-Comté</t>
        </is>
      </c>
      <c r="G243" s="3" t="n">
        <v>16727</v>
      </c>
      <c r="H243" t="n">
        <v>32</v>
      </c>
      <c r="I243" t="inlineStr">
        <is>
          <t>5 rue de la Caserne</t>
        </is>
      </c>
      <c r="J243" t="inlineStr">
        <is>
          <t>25370</t>
        </is>
      </c>
      <c r="K243" t="inlineStr">
        <is>
          <t>Les Hopitaux-Vieux</t>
        </is>
      </c>
      <c r="L243" t="inlineStr">
        <is>
          <t>03 81 49 10 30</t>
        </is>
      </c>
      <c r="M243" s="4" t="inlineStr">
        <is>
          <t>accueil@cclmhd.fr</t>
        </is>
      </c>
      <c r="N243" s="4" t="inlineStr">
        <is>
          <t>https://www.cclmhd.fr/</t>
        </is>
      </c>
      <c r="O243" s="4" t="inlineStr">
        <is>
          <t>https://cclmhd.fr/contact/</t>
        </is>
      </c>
      <c r="P243" s="4" t="inlineStr">
        <is>
          <t>https://lannuaire.service-public.gouv.fr/bourgogne-franche-comte/doubs/d77da0b8-ec15-4493-bb14-8af1c2e53e6e</t>
        </is>
      </c>
      <c r="Q243" t="inlineStr">
        <is>
          <t>Annuaire Service-public.fr</t>
        </is>
      </c>
      <c r="R243" t="inlineStr"/>
      <c r="S243" t="inlineStr"/>
      <c r="T243" t="inlineStr"/>
    </row>
    <row r="244">
      <c r="A244" t="inlineStr">
        <is>
          <t>CC des Portes du Haut-Doubs</t>
        </is>
      </c>
      <c r="B244" t="inlineStr">
        <is>
          <t>Communauté de communes</t>
        </is>
      </c>
      <c r="C244" t="inlineStr">
        <is>
          <t>242504181</t>
        </is>
      </c>
      <c r="D244" t="inlineStr">
        <is>
          <t>25</t>
        </is>
      </c>
      <c r="E244" t="inlineStr">
        <is>
          <t>Doubs</t>
        </is>
      </c>
      <c r="F244" t="inlineStr">
        <is>
          <t>Bourgogne-Franche-Comté</t>
        </is>
      </c>
      <c r="G244" s="3" t="n">
        <v>26872</v>
      </c>
      <c r="H244" t="n">
        <v>47</v>
      </c>
      <c r="I244" t="inlineStr">
        <is>
          <t>7 rue Denis-Papin</t>
        </is>
      </c>
      <c r="J244" t="inlineStr">
        <is>
          <t>25800</t>
        </is>
      </c>
      <c r="K244" t="inlineStr">
        <is>
          <t>Valdahon</t>
        </is>
      </c>
      <c r="L244" t="inlineStr">
        <is>
          <t>03 81 65 15 15</t>
        </is>
      </c>
      <c r="M244" s="4" t="inlineStr">
        <is>
          <t>contact@portes-haut-doubs.fr</t>
        </is>
      </c>
      <c r="N244" s="4" t="inlineStr">
        <is>
          <t>https://www.portes-haut-doubs.com/</t>
        </is>
      </c>
      <c r="O244" s="4" t="inlineStr">
        <is>
          <t>https://www.portes-haut-doubs.com/contact</t>
        </is>
      </c>
      <c r="P244" s="4" t="inlineStr">
        <is>
          <t>https://lannuaire.service-public.gouv.fr/bourgogne-franche-comte/doubs/91d35ecd-d694-4758-a28c-1496caff22d6</t>
        </is>
      </c>
      <c r="Q244" t="inlineStr">
        <is>
          <t>Annuaire Service-public.fr</t>
        </is>
      </c>
      <c r="R244" t="inlineStr"/>
      <c r="S244" t="inlineStr"/>
      <c r="T244" t="inlineStr"/>
    </row>
    <row r="245">
      <c r="A245" t="inlineStr">
        <is>
          <t>CC du Doubs Baumois</t>
        </is>
      </c>
      <c r="B245" t="inlineStr">
        <is>
          <t>Communauté de communes</t>
        </is>
      </c>
      <c r="C245" t="inlineStr">
        <is>
          <t>242504447</t>
        </is>
      </c>
      <c r="D245" t="inlineStr">
        <is>
          <t>25</t>
        </is>
      </c>
      <c r="E245" t="inlineStr">
        <is>
          <t>Doubs</t>
        </is>
      </c>
      <c r="F245" t="inlineStr">
        <is>
          <t>Bourgogne-Franche-Comté</t>
        </is>
      </c>
      <c r="G245" s="3" t="n">
        <v>16135</v>
      </c>
      <c r="H245" t="n">
        <v>58</v>
      </c>
      <c r="I245" t="inlineStr">
        <is>
          <t>4 rue des Terreaux</t>
        </is>
      </c>
      <c r="J245" t="inlineStr">
        <is>
          <t>25110</t>
        </is>
      </c>
      <c r="K245" t="inlineStr">
        <is>
          <t>Baume-les-Dames</t>
        </is>
      </c>
      <c r="L245" t="inlineStr">
        <is>
          <t>03 81 84 75 90</t>
        </is>
      </c>
      <c r="M245" s="4" t="inlineStr">
        <is>
          <t>contact@doubsbaumois.org</t>
        </is>
      </c>
      <c r="N245" s="4" t="inlineStr">
        <is>
          <t>https://doubsbaumois.org/</t>
        </is>
      </c>
      <c r="O245" s="4" t="inlineStr">
        <is>
          <t>https://doubsbaumois.org/nous-contacter/</t>
        </is>
      </c>
      <c r="P245" s="4" t="inlineStr">
        <is>
          <t>https://lannuaire.service-public.gouv.fr/bourgogne-franche-comte/doubs/52eb697d-7755-415b-af00-205b8b98f8af</t>
        </is>
      </c>
      <c r="Q245" t="inlineStr">
        <is>
          <t>Annuaire Service-public.fr</t>
        </is>
      </c>
      <c r="R245" t="inlineStr"/>
      <c r="S245" t="inlineStr"/>
      <c r="T245" t="inlineStr"/>
    </row>
    <row r="246">
      <c r="A246" t="inlineStr">
        <is>
          <t>CC du Grand Pontarlier</t>
        </is>
      </c>
      <c r="B246" t="inlineStr">
        <is>
          <t>Communauté de communes</t>
        </is>
      </c>
      <c r="C246" t="inlineStr">
        <is>
          <t>242500338</t>
        </is>
      </c>
      <c r="D246" t="inlineStr">
        <is>
          <t>25</t>
        </is>
      </c>
      <c r="E246" t="inlineStr">
        <is>
          <t>Doubs</t>
        </is>
      </c>
      <c r="F246" t="inlineStr">
        <is>
          <t>Bourgogne-Franche-Comté</t>
        </is>
      </c>
      <c r="G246" s="3" t="n">
        <v>28580</v>
      </c>
      <c r="H246" t="n">
        <v>10</v>
      </c>
      <c r="I246" t="inlineStr">
        <is>
          <t>22 rue Pierre-Déchanet, Maison de l'intercommunalité</t>
        </is>
      </c>
      <c r="J246" t="inlineStr">
        <is>
          <t>25300</t>
        </is>
      </c>
      <c r="K246" t="inlineStr">
        <is>
          <t>Pontarlier</t>
        </is>
      </c>
      <c r="L246" t="inlineStr">
        <is>
          <t>03 81 39 40 02</t>
        </is>
      </c>
      <c r="M246" s="4" t="inlineStr">
        <is>
          <t>contact@grandpontarlier.fr</t>
        </is>
      </c>
      <c r="N246" s="4" t="inlineStr">
        <is>
          <t>https://www.grandpontarlier.fr/</t>
        </is>
      </c>
      <c r="O246" t="inlineStr"/>
      <c r="P246" s="4" t="inlineStr">
        <is>
          <t>https://lannuaire.service-public.gouv.fr/bourgogne-franche-comte/doubs/8a77d268-8902-4b1a-9ac2-12e93a0e5e6e</t>
        </is>
      </c>
      <c r="Q246" t="inlineStr">
        <is>
          <t>Annuaire Service-public.fr</t>
        </is>
      </c>
      <c r="R246" t="inlineStr"/>
      <c r="S246" t="inlineStr"/>
      <c r="T246" t="inlineStr"/>
    </row>
    <row r="247">
      <c r="A247" t="inlineStr">
        <is>
          <t>CC du Pays d'Héricourt</t>
        </is>
      </c>
      <c r="B247" t="inlineStr">
        <is>
          <t>Communauté de communes</t>
        </is>
      </c>
      <c r="C247" t="inlineStr">
        <is>
          <t>247000722</t>
        </is>
      </c>
      <c r="D247" t="inlineStr">
        <is>
          <t>25, 70</t>
        </is>
      </c>
      <c r="E247" t="inlineStr">
        <is>
          <t>Doubs, Haute-Saône</t>
        </is>
      </c>
      <c r="F247" t="inlineStr">
        <is>
          <t>Bourgogne-Franche-Comté</t>
        </is>
      </c>
      <c r="G247" s="3" t="n">
        <v>20925</v>
      </c>
      <c r="H247" t="n">
        <v>23</v>
      </c>
      <c r="I247" t="inlineStr">
        <is>
          <t>3 rue Martin-Niemöller, Maison du territoire</t>
        </is>
      </c>
      <c r="J247" t="inlineStr">
        <is>
          <t>70400</t>
        </is>
      </c>
      <c r="K247" t="inlineStr">
        <is>
          <t>Héricourt</t>
        </is>
      </c>
      <c r="L247" t="inlineStr">
        <is>
          <t>03 84 46 98 70</t>
        </is>
      </c>
      <c r="M247" s="4" t="inlineStr">
        <is>
          <t>contact@payshericourt.fr</t>
        </is>
      </c>
      <c r="N247" s="4" t="inlineStr">
        <is>
          <t>https://www.payshericourt.fr/</t>
        </is>
      </c>
      <c r="O247" s="4" t="inlineStr">
        <is>
          <t>https://www.payshericourt.fr/rubrique.php?id=249#RubEnCours</t>
        </is>
      </c>
      <c r="P247" s="4" t="inlineStr">
        <is>
          <t>https://lannuaire.service-public.gouv.fr/bourgogne-franche-comte/haute-saone/c6b3c529-d97b-43e7-a8f6-db70d290ce34</t>
        </is>
      </c>
      <c r="Q247" t="inlineStr">
        <is>
          <t>Annuaire Service-public.fr</t>
        </is>
      </c>
      <c r="R247" t="inlineStr"/>
      <c r="S247" t="inlineStr"/>
      <c r="T247" t="inlineStr"/>
    </row>
    <row r="248">
      <c r="A248" t="inlineStr">
        <is>
          <t>CC du Pays de Maîche</t>
        </is>
      </c>
      <c r="B248" t="inlineStr">
        <is>
          <t>Communauté de communes</t>
        </is>
      </c>
      <c r="C248" t="inlineStr">
        <is>
          <t>200023075</t>
        </is>
      </c>
      <c r="D248" t="inlineStr">
        <is>
          <t>25</t>
        </is>
      </c>
      <c r="E248" t="inlineStr">
        <is>
          <t>Doubs</t>
        </is>
      </c>
      <c r="F248" t="inlineStr">
        <is>
          <t>Bourgogne-Franche-Comté</t>
        </is>
      </c>
      <c r="G248" s="3" t="n">
        <v>18577</v>
      </c>
      <c r="H248" t="n">
        <v>42</v>
      </c>
      <c r="I248" t="inlineStr">
        <is>
          <t>24 rue Montalembert</t>
        </is>
      </c>
      <c r="J248" t="inlineStr">
        <is>
          <t>25120</t>
        </is>
      </c>
      <c r="K248" t="inlineStr">
        <is>
          <t>Maîche</t>
        </is>
      </c>
      <c r="L248" t="inlineStr">
        <is>
          <t>03 81 64 17 06</t>
        </is>
      </c>
      <c r="M248" s="4" t="inlineStr">
        <is>
          <t>contact@ccpm-maiche.com</t>
        </is>
      </c>
      <c r="N248" s="4" t="inlineStr">
        <is>
          <t>http://www.ccpaysmaiche.fr</t>
        </is>
      </c>
      <c r="O248" s="4" t="inlineStr">
        <is>
          <t>http://www.ccpaysmaiche.fr/fr/contact</t>
        </is>
      </c>
      <c r="P248" s="4" t="inlineStr">
        <is>
          <t>https://lannuaire.service-public.gouv.fr/bourgogne-franche-comte/doubs/b7785555-3f4e-44ee-8f41-ea944ddeedd8</t>
        </is>
      </c>
      <c r="Q248" t="inlineStr">
        <is>
          <t>Annuaire Service-public.fr</t>
        </is>
      </c>
      <c r="R248" t="inlineStr"/>
      <c r="S248" t="inlineStr"/>
      <c r="T248" t="inlineStr"/>
    </row>
    <row r="249">
      <c r="A249" t="inlineStr">
        <is>
          <t>CC du Pays de Sancey-Belleherbe</t>
        </is>
      </c>
      <c r="B249" t="inlineStr">
        <is>
          <t>Communauté de communes</t>
        </is>
      </c>
      <c r="C249" t="inlineStr">
        <is>
          <t>242504371</t>
        </is>
      </c>
      <c r="D249" t="inlineStr">
        <is>
          <t>25</t>
        </is>
      </c>
      <c r="E249" t="inlineStr">
        <is>
          <t>Doubs</t>
        </is>
      </c>
      <c r="F249" t="inlineStr">
        <is>
          <t>Bourgogne-Franche-Comté</t>
        </is>
      </c>
      <c r="G249" s="3" t="n">
        <v>5520</v>
      </c>
      <c r="H249" t="n">
        <v>27</v>
      </c>
      <c r="I249" t="inlineStr">
        <is>
          <t>14 Rue De Lattre De Tassigny</t>
        </is>
      </c>
      <c r="J249" t="inlineStr">
        <is>
          <t>25430</t>
        </is>
      </c>
      <c r="K249" t="inlineStr">
        <is>
          <t>Sancey</t>
        </is>
      </c>
      <c r="L249" t="inlineStr"/>
      <c r="M249" t="inlineStr"/>
      <c r="N249" t="inlineStr"/>
      <c r="O249" t="inlineStr"/>
      <c r="P249" t="inlineStr"/>
      <c r="Q249" t="inlineStr">
        <is>
          <t>SIRENE (siège) : pas de fiche dans l’annuaire</t>
        </is>
      </c>
      <c r="R249" t="inlineStr"/>
      <c r="S249" t="inlineStr"/>
      <c r="T249" t="inlineStr"/>
    </row>
    <row r="250">
      <c r="A250" t="inlineStr">
        <is>
          <t>CC du Pays de Villersexel</t>
        </is>
      </c>
      <c r="B250" t="inlineStr">
        <is>
          <t>Communauté de communes</t>
        </is>
      </c>
      <c r="C250" t="inlineStr">
        <is>
          <t>247000714</t>
        </is>
      </c>
      <c r="D250" t="inlineStr">
        <is>
          <t>25, 70</t>
        </is>
      </c>
      <c r="E250" t="inlineStr">
        <is>
          <t>Doubs, Haute-Saône</t>
        </is>
      </c>
      <c r="F250" t="inlineStr">
        <is>
          <t>Bourgogne-Franche-Comté</t>
        </is>
      </c>
      <c r="G250" s="3" t="n">
        <v>7726</v>
      </c>
      <c r="H250" t="n">
        <v>32</v>
      </c>
      <c r="I250" t="inlineStr">
        <is>
          <t>144 rue de la Prairie</t>
        </is>
      </c>
      <c r="J250" t="inlineStr">
        <is>
          <t>70110</t>
        </is>
      </c>
      <c r="K250" t="inlineStr">
        <is>
          <t>Villersexel</t>
        </is>
      </c>
      <c r="L250" t="inlineStr">
        <is>
          <t>03 84 20 54 50</t>
        </is>
      </c>
      <c r="M250" s="4" t="inlineStr">
        <is>
          <t>accueil@cc-villersexel.fr</t>
        </is>
      </c>
      <c r="N250" s="4" t="inlineStr">
        <is>
          <t>https://cc-villersexel.fr/</t>
        </is>
      </c>
      <c r="O250" t="inlineStr"/>
      <c r="P250" s="4" t="inlineStr">
        <is>
          <t>https://lannuaire.service-public.gouv.fr/bourgogne-franche-comte/haute-saone/fff137ad-a7e5-4c3c-8c8a-934c41293b5b</t>
        </is>
      </c>
      <c r="Q250" t="inlineStr">
        <is>
          <t>Annuaire Service-public.fr</t>
        </is>
      </c>
      <c r="R250" t="inlineStr"/>
      <c r="S250" t="inlineStr"/>
      <c r="T250" t="inlineStr"/>
    </row>
    <row r="251">
      <c r="A251" t="inlineStr">
        <is>
          <t>CC du Plateau de Frasne et du Val de Drugeon</t>
        </is>
      </c>
      <c r="B251" t="inlineStr">
        <is>
          <t>Communauté de communes</t>
        </is>
      </c>
      <c r="C251" t="inlineStr">
        <is>
          <t>242504496</t>
        </is>
      </c>
      <c r="D251" t="inlineStr">
        <is>
          <t>25</t>
        </is>
      </c>
      <c r="E251" t="inlineStr">
        <is>
          <t>Doubs</t>
        </is>
      </c>
      <c r="F251" t="inlineStr">
        <is>
          <t>Bourgogne-Franche-Comté</t>
        </is>
      </c>
      <c r="G251" s="3" t="n">
        <v>6356</v>
      </c>
      <c r="H251" t="n">
        <v>10</v>
      </c>
      <c r="I251" t="inlineStr">
        <is>
          <t>3 rue de la Gare</t>
        </is>
      </c>
      <c r="J251" t="inlineStr">
        <is>
          <t>25560</t>
        </is>
      </c>
      <c r="K251" t="inlineStr">
        <is>
          <t>Frasne</t>
        </is>
      </c>
      <c r="L251" t="inlineStr">
        <is>
          <t>03 81 49 88 84</t>
        </is>
      </c>
      <c r="M251" s="4" t="inlineStr">
        <is>
          <t>secretariat@frasnedrugeon-cfd.fr</t>
        </is>
      </c>
      <c r="N251" s="4" t="inlineStr">
        <is>
          <t>https://www.frasnedrugeon-cfd.fr/</t>
        </is>
      </c>
      <c r="O251" s="4" t="inlineStr">
        <is>
          <t>https://www.frasnedrugeon-cfd.fr/contact/</t>
        </is>
      </c>
      <c r="P251" s="4" t="inlineStr">
        <is>
          <t>https://lannuaire.service-public.gouv.fr/bourgogne-franche-comte/doubs/69b3ebf7-b06d-466f-b028-d6bd38b0c6a1</t>
        </is>
      </c>
      <c r="Q251" t="inlineStr">
        <is>
          <t>Annuaire Service-public.fr</t>
        </is>
      </c>
      <c r="R251" t="inlineStr"/>
      <c r="S251" t="inlineStr"/>
      <c r="T251" t="inlineStr"/>
    </row>
    <row r="252">
      <c r="A252" t="inlineStr">
        <is>
          <t>CC du Plateau de Russey</t>
        </is>
      </c>
      <c r="B252" t="inlineStr">
        <is>
          <t>Communauté de communes</t>
        </is>
      </c>
      <c r="C252" t="inlineStr">
        <is>
          <t>242504355</t>
        </is>
      </c>
      <c r="D252" t="inlineStr">
        <is>
          <t>25</t>
        </is>
      </c>
      <c r="E252" t="inlineStr">
        <is>
          <t>Doubs</t>
        </is>
      </c>
      <c r="F252" t="inlineStr">
        <is>
          <t>Bourgogne-Franche-Comté</t>
        </is>
      </c>
      <c r="G252" s="3" t="n">
        <v>7007</v>
      </c>
      <c r="H252" t="n">
        <v>17</v>
      </c>
      <c r="I252" t="inlineStr">
        <is>
          <t>17 avenue De-Lattre-de-Tassigny</t>
        </is>
      </c>
      <c r="J252" t="inlineStr">
        <is>
          <t>25210</t>
        </is>
      </c>
      <c r="K252" t="inlineStr">
        <is>
          <t>Le Russey</t>
        </is>
      </c>
      <c r="L252" t="inlineStr">
        <is>
          <t>03 81 43 81 26</t>
        </is>
      </c>
      <c r="M252" s="4" t="inlineStr">
        <is>
          <t>contact@cc-russey.fr</t>
        </is>
      </c>
      <c r="N252" s="4" t="inlineStr">
        <is>
          <t>https://cc-russey.fr/fr/</t>
        </is>
      </c>
      <c r="O252" t="inlineStr"/>
      <c r="P252" s="4" t="inlineStr">
        <is>
          <t>https://lannuaire.service-public.gouv.fr/bourgogne-franche-comte/doubs/9c948202-41df-475c-ac8b-36e0f583e4ef</t>
        </is>
      </c>
      <c r="Q252" t="inlineStr">
        <is>
          <t>Annuaire Service-public.fr</t>
        </is>
      </c>
      <c r="R252" t="inlineStr"/>
      <c r="S252" t="inlineStr"/>
      <c r="T252" t="inlineStr"/>
    </row>
    <row r="253">
      <c r="A253" t="inlineStr">
        <is>
          <t>CC du Val Marnaysien</t>
        </is>
      </c>
      <c r="B253" t="inlineStr">
        <is>
          <t>Communauté de communes</t>
        </is>
      </c>
      <c r="C253" t="inlineStr">
        <is>
          <t>200041887</t>
        </is>
      </c>
      <c r="D253" t="inlineStr">
        <is>
          <t>25, 70</t>
        </is>
      </c>
      <c r="E253" t="inlineStr">
        <is>
          <t>Doubs, Haute-Saône</t>
        </is>
      </c>
      <c r="F253" t="inlineStr">
        <is>
          <t>Bourgogne-Franche-Comté</t>
        </is>
      </c>
      <c r="G253" s="3" t="n">
        <v>14652</v>
      </c>
      <c r="H253" t="n">
        <v>45</v>
      </c>
      <c r="I253" t="inlineStr">
        <is>
          <t>21 place de lHôtel-de-Ville</t>
        </is>
      </c>
      <c r="J253" t="inlineStr">
        <is>
          <t>70150</t>
        </is>
      </c>
      <c r="K253" t="inlineStr">
        <is>
          <t>Marnay</t>
        </is>
      </c>
      <c r="L253" t="inlineStr">
        <is>
          <t>03 84 31 94 84</t>
        </is>
      </c>
      <c r="M253" s="4" t="inlineStr">
        <is>
          <t>cc@valmarnaysien.com</t>
        </is>
      </c>
      <c r="N253" s="4" t="inlineStr">
        <is>
          <t>https://valmarnaysien.com/</t>
        </is>
      </c>
      <c r="O253" s="4" t="inlineStr">
        <is>
          <t>https://valmarnaysien.com/contact--1632138199.html</t>
        </is>
      </c>
      <c r="P253" s="4" t="inlineStr">
        <is>
          <t>https://lannuaire.service-public.gouv.fr/bourgogne-franche-comte/haute-saone/2aa73826-fc01-43f2-9498-b4d69019ce55</t>
        </is>
      </c>
      <c r="Q253" t="inlineStr">
        <is>
          <t>Annuaire Service-public.fr</t>
        </is>
      </c>
      <c r="R253" t="inlineStr"/>
      <c r="S253" t="inlineStr"/>
      <c r="T253" t="inlineStr"/>
    </row>
    <row r="254">
      <c r="A254" t="inlineStr">
        <is>
          <t>CC du Val de Morteau</t>
        </is>
      </c>
      <c r="B254" t="inlineStr">
        <is>
          <t>Communauté de communes</t>
        </is>
      </c>
      <c r="C254" t="inlineStr">
        <is>
          <t>242504116</t>
        </is>
      </c>
      <c r="D254" t="inlineStr">
        <is>
          <t>25</t>
        </is>
      </c>
      <c r="E254" t="inlineStr">
        <is>
          <t>Doubs</t>
        </is>
      </c>
      <c r="F254" t="inlineStr">
        <is>
          <t>Bourgogne-Franche-Comté</t>
        </is>
      </c>
      <c r="G254" s="3" t="n">
        <v>21035</v>
      </c>
      <c r="H254" t="n">
        <v>8</v>
      </c>
      <c r="I254" t="inlineStr">
        <is>
          <t>Mairie</t>
        </is>
      </c>
      <c r="J254" t="inlineStr">
        <is>
          <t>25500</t>
        </is>
      </c>
      <c r="K254" t="inlineStr">
        <is>
          <t>Morteau</t>
        </is>
      </c>
      <c r="L254" t="inlineStr">
        <is>
          <t>03 81 68 56 56</t>
        </is>
      </c>
      <c r="M254" s="4" t="inlineStr">
        <is>
          <t>morteau@morteau.org</t>
        </is>
      </c>
      <c r="N254" s="4" t="inlineStr">
        <is>
          <t>https://www.cc-valdemorteau.fr/</t>
        </is>
      </c>
      <c r="O254" s="4" t="inlineStr">
        <is>
          <t>https://www.cc-valdemorteau.fr/votre-communaute-de-communes/infos-pratiques/contact/</t>
        </is>
      </c>
      <c r="P254" s="4" t="inlineStr">
        <is>
          <t>https://lannuaire.service-public.gouv.fr/bourgogne-franche-comte/doubs/dc5467e4-8e34-407b-b254-35dc3f0c7228</t>
        </is>
      </c>
      <c r="Q254" t="inlineStr">
        <is>
          <t>Annuaire Service-public.fr</t>
        </is>
      </c>
      <c r="R254" t="inlineStr"/>
      <c r="S254" t="inlineStr"/>
      <c r="T254" t="inlineStr"/>
    </row>
    <row r="255">
      <c r="A255" t="inlineStr">
        <is>
          <t>CC Dieulefit-Bourdeaux</t>
        </is>
      </c>
      <c r="B255" t="inlineStr">
        <is>
          <t>Communauté de communes</t>
        </is>
      </c>
      <c r="C255" t="inlineStr">
        <is>
          <t>242600492</t>
        </is>
      </c>
      <c r="D255" t="inlineStr">
        <is>
          <t>26</t>
        </is>
      </c>
      <c r="E255" t="inlineStr">
        <is>
          <t>Drôme</t>
        </is>
      </c>
      <c r="F255" t="inlineStr">
        <is>
          <t>Auvergne-Rhône-Alpes</t>
        </is>
      </c>
      <c r="G255" s="3" t="n">
        <v>9592</v>
      </c>
      <c r="H255" t="n">
        <v>21</v>
      </c>
      <c r="I255" t="inlineStr">
        <is>
          <t>8 rue Garde-de-Dieu</t>
        </is>
      </c>
      <c r="J255" t="inlineStr">
        <is>
          <t>26220</t>
        </is>
      </c>
      <c r="K255" t="inlineStr">
        <is>
          <t>Dieulefit</t>
        </is>
      </c>
      <c r="L255" t="inlineStr">
        <is>
          <t>04 75 46 82 33</t>
        </is>
      </c>
      <c r="M255" s="4" t="inlineStr">
        <is>
          <t>ccpd.courrier@orange.fr</t>
        </is>
      </c>
      <c r="N255" s="4" t="inlineStr">
        <is>
          <t>https://www.ccdb26.fr/</t>
        </is>
      </c>
      <c r="O255" s="4" t="inlineStr">
        <is>
          <t>https://www.ccdb26.fr/contacts/</t>
        </is>
      </c>
      <c r="P255" s="4" t="inlineStr">
        <is>
          <t>https://lannuaire.service-public.gouv.fr/auvergne-rhone-alpes/drome/4cf23729-29ea-4838-8e81-32c28fda680f</t>
        </is>
      </c>
      <c r="Q255" t="inlineStr">
        <is>
          <t>Annuaire Service-public.fr</t>
        </is>
      </c>
      <c r="R255" t="inlineStr"/>
      <c r="S255" t="inlineStr"/>
      <c r="T255" t="inlineStr"/>
    </row>
    <row r="256">
      <c r="A256" t="inlineStr">
        <is>
          <t>CC Drôme Sud Provence</t>
        </is>
      </c>
      <c r="B256" t="inlineStr">
        <is>
          <t>Communauté de communes</t>
        </is>
      </c>
      <c r="C256" t="inlineStr">
        <is>
          <t>200042901</t>
        </is>
      </c>
      <c r="D256" t="inlineStr">
        <is>
          <t>26</t>
        </is>
      </c>
      <c r="E256" t="inlineStr">
        <is>
          <t>Drôme</t>
        </is>
      </c>
      <c r="F256" t="inlineStr">
        <is>
          <t>Auvergne-Rhône-Alpes</t>
        </is>
      </c>
      <c r="G256" s="3" t="n">
        <v>43119</v>
      </c>
      <c r="H256" t="n">
        <v>14</v>
      </c>
      <c r="I256" t="inlineStr">
        <is>
          <t>3 rue Jean-Charcot</t>
        </is>
      </c>
      <c r="J256" t="inlineStr">
        <is>
          <t>26700</t>
        </is>
      </c>
      <c r="K256" t="inlineStr">
        <is>
          <t>Pierrelatte</t>
        </is>
      </c>
      <c r="L256" t="inlineStr">
        <is>
          <t>04 75 96 63 02</t>
        </is>
      </c>
      <c r="M256" s="4" t="inlineStr">
        <is>
          <t>secretariat@ccdsp.fr</t>
        </is>
      </c>
      <c r="N256" s="4" t="inlineStr">
        <is>
          <t>https://www.ccdsp.fr/</t>
        </is>
      </c>
      <c r="O256" s="4" t="inlineStr">
        <is>
          <t>https://www.ccdsp.fr/contact</t>
        </is>
      </c>
      <c r="P256" s="4" t="inlineStr">
        <is>
          <t>https://lannuaire.service-public.gouv.fr/auvergne-rhone-alpes/drome/4ed2aa08-9486-4143-8ef4-8f765305cf15</t>
        </is>
      </c>
      <c r="Q256" t="inlineStr">
        <is>
          <t>Annuaire Service-public.fr</t>
        </is>
      </c>
      <c r="R256" t="inlineStr"/>
      <c r="S256" t="inlineStr"/>
      <c r="T256" t="inlineStr"/>
    </row>
    <row r="257">
      <c r="A257" t="inlineStr">
        <is>
          <t>CC Enclave des Papes - Pays de Grignan</t>
        </is>
      </c>
      <c r="B257" t="inlineStr">
        <is>
          <t>Communauté de communes</t>
        </is>
      </c>
      <c r="C257" t="inlineStr">
        <is>
          <t>200040681</t>
        </is>
      </c>
      <c r="D257" t="inlineStr">
        <is>
          <t>26, 84</t>
        </is>
      </c>
      <c r="E257" t="inlineStr">
        <is>
          <t>Drôme, Vaucluse</t>
        </is>
      </c>
      <c r="F257" t="inlineStr">
        <is>
          <t>Auvergne-Rhône-Alpes, Provence-Alpes-Côte d'Azur</t>
        </is>
      </c>
      <c r="G257" s="3" t="n">
        <v>22626</v>
      </c>
      <c r="H257" t="n">
        <v>19</v>
      </c>
      <c r="I257" t="inlineStr">
        <is>
          <t>17A rue de Tourville, Espace Germain-Aubert</t>
        </is>
      </c>
      <c r="J257" t="inlineStr">
        <is>
          <t>84600</t>
        </is>
      </c>
      <c r="K257" t="inlineStr">
        <is>
          <t>Valréas</t>
        </is>
      </c>
      <c r="L257" t="inlineStr">
        <is>
          <t>04 90 35 01 52</t>
        </is>
      </c>
      <c r="M257" s="4" t="inlineStr">
        <is>
          <t>infos@cceppg.fr</t>
        </is>
      </c>
      <c r="N257" s="4" t="inlineStr">
        <is>
          <t>http://www.cceppg.fr</t>
        </is>
      </c>
      <c r="O257" s="4" t="inlineStr">
        <is>
          <t>http://www.cceppg.fr/nous-contacter</t>
        </is>
      </c>
      <c r="P257" s="4" t="inlineStr">
        <is>
          <t>https://lannuaire.service-public.gouv.fr/provence-alpes-cote-d-azur/vaucluse/f044792b-b622-4cf0-9ebe-2b73dcd29c6d</t>
        </is>
      </c>
      <c r="Q257" t="inlineStr">
        <is>
          <t>Annuaire Service-public.fr</t>
        </is>
      </c>
      <c r="R257" t="inlineStr"/>
      <c r="S257" t="inlineStr"/>
      <c r="T257" t="inlineStr"/>
    </row>
    <row r="258">
      <c r="A258" t="inlineStr">
        <is>
          <t>CC Vaison Ventoux</t>
        </is>
      </c>
      <c r="B258" t="inlineStr">
        <is>
          <t>Communauté de communes</t>
        </is>
      </c>
      <c r="C258" t="inlineStr">
        <is>
          <t>248400335</t>
        </is>
      </c>
      <c r="D258" t="inlineStr">
        <is>
          <t>26, 84</t>
        </is>
      </c>
      <c r="E258" t="inlineStr">
        <is>
          <t>Drôme, Vaucluse</t>
        </is>
      </c>
      <c r="F258" t="inlineStr">
        <is>
          <t>Auvergne-Rhône-Alpes, Provence-Alpes-Côte d'Azur</t>
        </is>
      </c>
      <c r="G258" s="3" t="n">
        <v>16792</v>
      </c>
      <c r="H258" t="n">
        <v>19</v>
      </c>
      <c r="I258" t="inlineStr">
        <is>
          <t>375 avenue Gabriel-Péri, BP 90</t>
        </is>
      </c>
      <c r="J258" t="inlineStr">
        <is>
          <t>84110</t>
        </is>
      </c>
      <c r="K258" t="inlineStr">
        <is>
          <t>Vaison-la-Romaine Cedex 1</t>
        </is>
      </c>
      <c r="L258" t="inlineStr">
        <is>
          <t>04 90 36 16 29</t>
        </is>
      </c>
      <c r="M258" s="4" t="inlineStr">
        <is>
          <t>direction-generale@vaison-ventoux.fr</t>
        </is>
      </c>
      <c r="N258" s="4" t="inlineStr">
        <is>
          <t>https://www.vaison-ventoux.fr/</t>
        </is>
      </c>
      <c r="O258" s="4" t="inlineStr">
        <is>
          <t>https://rdv.vaison-ventoux.fr/contact/</t>
        </is>
      </c>
      <c r="P258" s="4" t="inlineStr">
        <is>
          <t>https://lannuaire.service-public.gouv.fr/provence-alpes-cote-d-azur/vaucluse/70246917-8ca2-4e24-9d28-64e24e27415d</t>
        </is>
      </c>
      <c r="Q258" t="inlineStr">
        <is>
          <t>Annuaire Service-public.fr</t>
        </is>
      </c>
      <c r="R258" t="inlineStr"/>
      <c r="S258" t="inlineStr"/>
      <c r="T258" t="inlineStr"/>
    </row>
    <row r="259">
      <c r="A259" t="inlineStr">
        <is>
          <t>CC Ventoux Sud</t>
        </is>
      </c>
      <c r="B259" t="inlineStr">
        <is>
          <t>Communauté de communes</t>
        </is>
      </c>
      <c r="C259" t="inlineStr">
        <is>
          <t>200035723</t>
        </is>
      </c>
      <c r="D259" t="inlineStr">
        <is>
          <t>26, 84</t>
        </is>
      </c>
      <c r="E259" t="inlineStr">
        <is>
          <t>Drôme, Vaucluse</t>
        </is>
      </c>
      <c r="F259" t="inlineStr">
        <is>
          <t>Auvergne-Rhône-Alpes, Provence-Alpes-Côte d'Azur</t>
        </is>
      </c>
      <c r="G259" s="3" t="n">
        <v>9595</v>
      </c>
      <c r="H259" t="n">
        <v>11</v>
      </c>
      <c r="I259" t="inlineStr">
        <is>
          <t>186 rue des Péquélets</t>
        </is>
      </c>
      <c r="J259" t="inlineStr">
        <is>
          <t>84390</t>
        </is>
      </c>
      <c r="K259" t="inlineStr">
        <is>
          <t>Sault</t>
        </is>
      </c>
      <c r="L259" t="inlineStr">
        <is>
          <t>04 90 64 15 29</t>
        </is>
      </c>
      <c r="M259" s="4" t="inlineStr">
        <is>
          <t>accueilsault@ccvs84.fr</t>
        </is>
      </c>
      <c r="N259" s="4" t="inlineStr">
        <is>
          <t>https://ccvs84.fr/accueil.html</t>
        </is>
      </c>
      <c r="O259" s="4" t="inlineStr">
        <is>
          <t>https://ccvs84.fr/nous-contacter.html</t>
        </is>
      </c>
      <c r="P259" s="4" t="inlineStr">
        <is>
          <t>https://lannuaire.service-public.gouv.fr/provence-alpes-cote-d-azur/vaucluse/cddf522a-fdbe-451c-98bf-b7002db17928</t>
        </is>
      </c>
      <c r="Q259" t="inlineStr">
        <is>
          <t>Annuaire Service-public.fr</t>
        </is>
      </c>
      <c r="R259" t="inlineStr"/>
      <c r="S259" t="inlineStr"/>
      <c r="T259" t="inlineStr"/>
    </row>
    <row r="260">
      <c r="A260" t="inlineStr">
        <is>
          <t>CC des Baronnies en Drôme Provençale</t>
        </is>
      </c>
      <c r="B260" t="inlineStr">
        <is>
          <t>Communauté de communes</t>
        </is>
      </c>
      <c r="C260" t="inlineStr">
        <is>
          <t>200068229</t>
        </is>
      </c>
      <c r="D260" t="inlineStr">
        <is>
          <t>26</t>
        </is>
      </c>
      <c r="E260" t="inlineStr">
        <is>
          <t>Drôme</t>
        </is>
      </c>
      <c r="F260" t="inlineStr">
        <is>
          <t>Auvergne-Rhône-Alpes</t>
        </is>
      </c>
      <c r="G260" s="3" t="n">
        <v>20753</v>
      </c>
      <c r="H260" t="n">
        <v>67</v>
      </c>
      <c r="I260" t="inlineStr">
        <is>
          <t>170 rue Ferdinand-Fert, Les Laurons, CS 30005</t>
        </is>
      </c>
      <c r="J260" t="inlineStr">
        <is>
          <t>26110</t>
        </is>
      </c>
      <c r="K260" t="inlineStr">
        <is>
          <t>Nyons</t>
        </is>
      </c>
      <c r="L260" t="inlineStr">
        <is>
          <t>04 75 26 34 37</t>
        </is>
      </c>
      <c r="M260" s="4" t="inlineStr">
        <is>
          <t>ccbdp@cc-bdp.fr</t>
        </is>
      </c>
      <c r="N260" s="4" t="inlineStr">
        <is>
          <t>https://www.cc-bdp.fr/</t>
        </is>
      </c>
      <c r="O260" t="inlineStr"/>
      <c r="P260" s="4" t="inlineStr">
        <is>
          <t>https://lannuaire.service-public.gouv.fr/auvergne-rhone-alpes/drome/bfe37c02-431b-4a4d-9165-6f951b7fe4f9</t>
        </is>
      </c>
      <c r="Q260" t="inlineStr">
        <is>
          <t>Annuaire Service-public.fr</t>
        </is>
      </c>
      <c r="R260" t="inlineStr"/>
      <c r="S260" t="inlineStr"/>
      <c r="T260" t="inlineStr"/>
    </row>
    <row r="261">
      <c r="A261" t="inlineStr">
        <is>
          <t>CC du Crestois et de Pays de Saillans Coeur de Drôme</t>
        </is>
      </c>
      <c r="B261" t="inlineStr">
        <is>
          <t>Communauté de communes</t>
        </is>
      </c>
      <c r="C261" t="inlineStr">
        <is>
          <t>200040509</t>
        </is>
      </c>
      <c r="D261" t="inlineStr">
        <is>
          <t>26</t>
        </is>
      </c>
      <c r="E261" t="inlineStr">
        <is>
          <t>Drôme</t>
        </is>
      </c>
      <c r="F261" t="inlineStr">
        <is>
          <t>Auvergne-Rhône-Alpes</t>
        </is>
      </c>
      <c r="G261" s="3" t="n">
        <v>16118</v>
      </c>
      <c r="H261" t="n">
        <v>14</v>
      </c>
      <c r="I261" t="inlineStr">
        <is>
          <t>15 chemin des Senteurs</t>
        </is>
      </c>
      <c r="J261" t="inlineStr">
        <is>
          <t>26400</t>
        </is>
      </c>
      <c r="K261" t="inlineStr">
        <is>
          <t>Aouste-sur-Sye</t>
        </is>
      </c>
      <c r="L261" t="inlineStr">
        <is>
          <t>04 75 40 03 89</t>
        </is>
      </c>
      <c r="M261" s="4" t="inlineStr">
        <is>
          <t>accueil@cccps.fr</t>
        </is>
      </c>
      <c r="N261" s="4" t="inlineStr">
        <is>
          <t>https://www.cccps.fr</t>
        </is>
      </c>
      <c r="O261" s="4" t="inlineStr">
        <is>
          <t>https://www.cccps.fr/contact/</t>
        </is>
      </c>
      <c r="P261" s="4" t="inlineStr">
        <is>
          <t>https://lannuaire.service-public.gouv.fr/auvergne-rhone-alpes/drome/822292b2-e5e2-4a4a-8be3-a605d02fc95d</t>
        </is>
      </c>
      <c r="Q261" t="inlineStr">
        <is>
          <t>Annuaire Service-public.fr</t>
        </is>
      </c>
      <c r="R261" t="inlineStr"/>
      <c r="S261" t="inlineStr"/>
      <c r="T261" t="inlineStr"/>
    </row>
    <row r="262">
      <c r="A262" t="inlineStr">
        <is>
          <t>CC du Diois</t>
        </is>
      </c>
      <c r="B262" t="inlineStr">
        <is>
          <t>Communauté de communes</t>
        </is>
      </c>
      <c r="C262" t="inlineStr">
        <is>
          <t>242600534</t>
        </is>
      </c>
      <c r="D262" t="inlineStr">
        <is>
          <t>26</t>
        </is>
      </c>
      <c r="E262" t="inlineStr">
        <is>
          <t>Drôme</t>
        </is>
      </c>
      <c r="F262" t="inlineStr">
        <is>
          <t>Auvergne-Rhône-Alpes</t>
        </is>
      </c>
      <c r="G262" s="3" t="n">
        <v>12081</v>
      </c>
      <c r="H262" t="n">
        <v>50</v>
      </c>
      <c r="I262" t="inlineStr">
        <is>
          <t>42 rue Camille-Buffardel</t>
        </is>
      </c>
      <c r="J262" t="inlineStr">
        <is>
          <t>26150</t>
        </is>
      </c>
      <c r="K262" t="inlineStr">
        <is>
          <t>Die</t>
        </is>
      </c>
      <c r="L262" t="inlineStr">
        <is>
          <t>04 75 22 29 44</t>
        </is>
      </c>
      <c r="M262" s="4" t="inlineStr">
        <is>
          <t>contact@paysdiois.fr</t>
        </is>
      </c>
      <c r="N262" s="4" t="inlineStr">
        <is>
          <t>https://www.paysdiois.fr/</t>
        </is>
      </c>
      <c r="O262" s="4" t="inlineStr">
        <is>
          <t>https://www.paysdiois.fr/contact/</t>
        </is>
      </c>
      <c r="P262" s="4" t="inlineStr">
        <is>
          <t>https://lannuaire.service-public.gouv.fr/auvergne-rhone-alpes/drome/1c9c9c76-088d-4fa9-b94d-4f80d3910e05</t>
        </is>
      </c>
      <c r="Q262" t="inlineStr">
        <is>
          <t>Annuaire Service-public.fr</t>
        </is>
      </c>
      <c r="R262" t="inlineStr"/>
      <c r="S262" t="inlineStr"/>
      <c r="T262" t="inlineStr"/>
    </row>
    <row r="263">
      <c r="A263" t="inlineStr">
        <is>
          <t>CC du Royans-Vercors</t>
        </is>
      </c>
      <c r="B263" t="inlineStr">
        <is>
          <t>Communauté de communes</t>
        </is>
      </c>
      <c r="C263" t="inlineStr">
        <is>
          <t>200067767</t>
        </is>
      </c>
      <c r="D263" t="inlineStr">
        <is>
          <t>26</t>
        </is>
      </c>
      <c r="E263" t="inlineStr">
        <is>
          <t>Drôme</t>
        </is>
      </c>
      <c r="F263" t="inlineStr">
        <is>
          <t>Auvergne-Rhône-Alpes</t>
        </is>
      </c>
      <c r="G263" s="3" t="n">
        <v>9733</v>
      </c>
      <c r="H263" t="n">
        <v>18</v>
      </c>
      <c r="I263" t="inlineStr">
        <is>
          <t>28 rue Hector-Alléobert</t>
        </is>
      </c>
      <c r="J263" t="inlineStr">
        <is>
          <t>26190</t>
        </is>
      </c>
      <c r="K263" t="inlineStr">
        <is>
          <t>Saint-Jean-en-Royans</t>
        </is>
      </c>
      <c r="L263" t="inlineStr">
        <is>
          <t>04 75 47 79 42</t>
        </is>
      </c>
      <c r="M263" s="4" t="inlineStr">
        <is>
          <t>contact@cc-royans-vercors.org</t>
        </is>
      </c>
      <c r="N263" s="4" t="inlineStr">
        <is>
          <t>http://www.cc-royans-vercors.org/fr_FR/index.php</t>
        </is>
      </c>
      <c r="O263" t="inlineStr"/>
      <c r="P263" s="4" t="inlineStr">
        <is>
          <t>https://lannuaire.service-public.gouv.fr/auvergne-rhone-alpes/drome/22e97e83-777f-41a4-8283-8d46d57be547</t>
        </is>
      </c>
      <c r="Q263" t="inlineStr">
        <is>
          <t>Annuaire Service-public.fr</t>
        </is>
      </c>
      <c r="R263" t="inlineStr"/>
      <c r="S263" t="inlineStr"/>
      <c r="T263" t="inlineStr"/>
    </row>
    <row r="264">
      <c r="A264" t="inlineStr">
        <is>
          <t>CC du Val de Drôme en Biovallée</t>
        </is>
      </c>
      <c r="B264" t="inlineStr">
        <is>
          <t>Communauté de communes</t>
        </is>
      </c>
      <c r="C264" t="inlineStr">
        <is>
          <t>242600252</t>
        </is>
      </c>
      <c r="D264" t="inlineStr">
        <is>
          <t>26</t>
        </is>
      </c>
      <c r="E264" t="inlineStr">
        <is>
          <t>Drôme</t>
        </is>
      </c>
      <c r="F264" t="inlineStr">
        <is>
          <t>Auvergne-Rhône-Alpes</t>
        </is>
      </c>
      <c r="G264" s="3" t="n">
        <v>31033</v>
      </c>
      <c r="H264" t="n">
        <v>29</v>
      </c>
      <c r="I264" t="inlineStr">
        <is>
          <t>96 ronde des Alisiers, Écosite du Val de Drôme</t>
        </is>
      </c>
      <c r="J264" t="inlineStr">
        <is>
          <t>26400</t>
        </is>
      </c>
      <c r="K264" t="inlineStr">
        <is>
          <t>Eurre</t>
        </is>
      </c>
      <c r="L264" t="inlineStr">
        <is>
          <t>04 75 25 43 82</t>
        </is>
      </c>
      <c r="M264" s="4" t="inlineStr">
        <is>
          <t>ccvd@val-de-drome.com</t>
        </is>
      </c>
      <c r="N264" s="4" t="inlineStr">
        <is>
          <t>https://www.valdedrome.com/</t>
        </is>
      </c>
      <c r="O264" s="4" t="inlineStr">
        <is>
          <t>https://www.valdedrome.com/5404-contact.htm</t>
        </is>
      </c>
      <c r="P264" s="4" t="inlineStr">
        <is>
          <t>https://lannuaire.service-public.gouv.fr/auvergne-rhone-alpes/drome/ca756fd0-fe35-4b0c-a2a7-c29fe95b6bb8</t>
        </is>
      </c>
      <c r="Q264" t="inlineStr">
        <is>
          <t>Annuaire Service-public.fr</t>
        </is>
      </c>
      <c r="R264" t="inlineStr"/>
      <c r="S264" t="inlineStr"/>
      <c r="T264" t="inlineStr"/>
    </row>
    <row r="265">
      <c r="A265" t="inlineStr">
        <is>
          <t>CC Interco Normandie Sud Eure</t>
        </is>
      </c>
      <c r="B265" t="inlineStr">
        <is>
          <t>Communauté de communes</t>
        </is>
      </c>
      <c r="C265" t="inlineStr">
        <is>
          <t>200066462</t>
        </is>
      </c>
      <c r="D265" t="inlineStr">
        <is>
          <t>27, 28</t>
        </is>
      </c>
      <c r="E265" t="inlineStr">
        <is>
          <t>Eure, Eure-et-Loir</t>
        </is>
      </c>
      <c r="F265" t="inlineStr">
        <is>
          <t>Centre-Val de Loire, Normandie</t>
        </is>
      </c>
      <c r="G265" s="3" t="n">
        <v>37606</v>
      </c>
      <c r="H265" t="n">
        <v>41</v>
      </c>
      <c r="I265" t="inlineStr">
        <is>
          <t>84 rue du Canon</t>
        </is>
      </c>
      <c r="J265" t="inlineStr">
        <is>
          <t>27130</t>
        </is>
      </c>
      <c r="K265" t="inlineStr">
        <is>
          <t>Verneuil-d'Avre-et-d'Iton</t>
        </is>
      </c>
      <c r="L265" t="inlineStr">
        <is>
          <t>02 32 32 93 01</t>
        </is>
      </c>
      <c r="M265" s="4" t="inlineStr">
        <is>
          <t>communication@inse27.fr</t>
        </is>
      </c>
      <c r="N265" s="4" t="inlineStr">
        <is>
          <t>https://www.inse27.fr/</t>
        </is>
      </c>
      <c r="O265" s="4" t="inlineStr">
        <is>
          <t>https://www.inse27.fr/systeme/contact/</t>
        </is>
      </c>
      <c r="P265" s="4" t="inlineStr">
        <is>
          <t>https://lannuaire.service-public.gouv.fr/normandie/eure/d28bbe90-f972-46a7-b329-3c97d168fa8a</t>
        </is>
      </c>
      <c r="Q265" t="inlineStr">
        <is>
          <t>Annuaire Service-public.fr</t>
        </is>
      </c>
      <c r="R265" t="inlineStr"/>
      <c r="S265" t="inlineStr"/>
      <c r="T265" t="inlineStr"/>
    </row>
    <row r="266">
      <c r="A266" t="inlineStr">
        <is>
          <t>CC Intercom Bernay Terres de Normandie</t>
        </is>
      </c>
      <c r="B266" t="inlineStr">
        <is>
          <t>Communauté de communes</t>
        </is>
      </c>
      <c r="C266" t="inlineStr">
        <is>
          <t>200066413</t>
        </is>
      </c>
      <c r="D266" t="inlineStr">
        <is>
          <t>27</t>
        </is>
      </c>
      <c r="E266" t="inlineStr">
        <is>
          <t>Eure</t>
        </is>
      </c>
      <c r="F266" t="inlineStr">
        <is>
          <t>Normandie</t>
        </is>
      </c>
      <c r="G266" s="3" t="n">
        <v>54314</v>
      </c>
      <c r="H266" t="n">
        <v>75</v>
      </c>
      <c r="I266" t="inlineStr">
        <is>
          <t>1025 route de Broglie</t>
        </is>
      </c>
      <c r="J266" t="inlineStr">
        <is>
          <t>27300</t>
        </is>
      </c>
      <c r="K266" t="inlineStr">
        <is>
          <t>Bernay</t>
        </is>
      </c>
      <c r="L266" t="inlineStr">
        <is>
          <t>02 32 43 50 06</t>
        </is>
      </c>
      <c r="M266" s="4" t="inlineStr">
        <is>
          <t>accueil@bernaynormandie.fr</t>
        </is>
      </c>
      <c r="N266" s="4" t="inlineStr">
        <is>
          <t>https://bernaynormandie.fr/</t>
        </is>
      </c>
      <c r="O266" t="inlineStr"/>
      <c r="P266" s="4" t="inlineStr">
        <is>
          <t>https://lannuaire.service-public.gouv.fr/normandie/eure/103df6a6-cc46-466a-92e8-d957b10b39ce</t>
        </is>
      </c>
      <c r="Q266" t="inlineStr">
        <is>
          <t>Annuaire Service-public.fr</t>
        </is>
      </c>
      <c r="R266" t="inlineStr"/>
      <c r="S266" t="inlineStr"/>
      <c r="T266" t="inlineStr"/>
    </row>
    <row r="267">
      <c r="A267" t="inlineStr">
        <is>
          <t>CC Lieuvin Pays d'Auge</t>
        </is>
      </c>
      <c r="B267" t="inlineStr">
        <is>
          <t>Communauté de communes</t>
        </is>
      </c>
      <c r="C267" t="inlineStr">
        <is>
          <t>200066017</t>
        </is>
      </c>
      <c r="D267" t="inlineStr">
        <is>
          <t>27</t>
        </is>
      </c>
      <c r="E267" t="inlineStr">
        <is>
          <t>Eure</t>
        </is>
      </c>
      <c r="F267" t="inlineStr">
        <is>
          <t>Normandie</t>
        </is>
      </c>
      <c r="G267" s="3" t="n">
        <v>20316</v>
      </c>
      <c r="H267" t="n">
        <v>51</v>
      </c>
      <c r="I267" t="inlineStr">
        <is>
          <t>21 bis rue de Lisieux</t>
        </is>
      </c>
      <c r="J267" t="inlineStr">
        <is>
          <t>27230</t>
        </is>
      </c>
      <c r="K267" t="inlineStr">
        <is>
          <t>Thiberville</t>
        </is>
      </c>
      <c r="L267" t="inlineStr">
        <is>
          <t>02 32 46 80 88</t>
        </is>
      </c>
      <c r="M267" s="4" t="inlineStr">
        <is>
          <t>accueil@lieuvinpaysdauge.fr</t>
        </is>
      </c>
      <c r="N267" s="4" t="inlineStr">
        <is>
          <t>https://www.lieuvinpaysdauge.fr/</t>
        </is>
      </c>
      <c r="O267" s="4" t="inlineStr">
        <is>
          <t>https://www.lieuvinpaysdauge.fr/contact/</t>
        </is>
      </c>
      <c r="P267" s="4" t="inlineStr">
        <is>
          <t>https://lannuaire.service-public.gouv.fr/normandie/eure/31b3d4b7-02c7-4344-a092-921bbcbbca4c</t>
        </is>
      </c>
      <c r="Q267" t="inlineStr">
        <is>
          <t>Annuaire Service-public.fr</t>
        </is>
      </c>
      <c r="R267" t="inlineStr"/>
      <c r="S267" t="inlineStr"/>
      <c r="T267" t="inlineStr"/>
    </row>
    <row r="268">
      <c r="A268" t="inlineStr">
        <is>
          <t>CC Lyons Andelle</t>
        </is>
      </c>
      <c r="B268" t="inlineStr">
        <is>
          <t>Communauté de communes</t>
        </is>
      </c>
      <c r="C268" t="inlineStr">
        <is>
          <t>200070142</t>
        </is>
      </c>
      <c r="D268" t="inlineStr">
        <is>
          <t>27</t>
        </is>
      </c>
      <c r="E268" t="inlineStr">
        <is>
          <t>Eure</t>
        </is>
      </c>
      <c r="F268" t="inlineStr">
        <is>
          <t>Normandie</t>
        </is>
      </c>
      <c r="G268" s="3" t="n">
        <v>20594</v>
      </c>
      <c r="H268" t="n">
        <v>30</v>
      </c>
      <c r="I268" t="inlineStr">
        <is>
          <t>15 Rue Martin-Liesse, La Vente-Cartier</t>
        </is>
      </c>
      <c r="J268" t="inlineStr">
        <is>
          <t>27380</t>
        </is>
      </c>
      <c r="K268" t="inlineStr">
        <is>
          <t>Charleval</t>
        </is>
      </c>
      <c r="L268" t="inlineStr">
        <is>
          <t>02 32 49 61 27</t>
        </is>
      </c>
      <c r="M268" s="4" t="inlineStr">
        <is>
          <t>contact@cdcla.fr</t>
        </is>
      </c>
      <c r="N268" s="4" t="inlineStr">
        <is>
          <t>https://www.cdcla.fr/</t>
        </is>
      </c>
      <c r="O268" s="4" t="inlineStr">
        <is>
          <t>https://www.cdcla.fr/contact/</t>
        </is>
      </c>
      <c r="P268" s="4" t="inlineStr">
        <is>
          <t>https://lannuaire.service-public.gouv.fr/normandie/eure/a5d41f46-eabd-40a3-a739-0e0652fd6144</t>
        </is>
      </c>
      <c r="Q268" t="inlineStr">
        <is>
          <t>Annuaire Service-public.fr</t>
        </is>
      </c>
      <c r="R268" t="inlineStr"/>
      <c r="S268" t="inlineStr"/>
      <c r="T268" t="inlineStr"/>
    </row>
    <row r="269">
      <c r="A269" t="inlineStr">
        <is>
          <t>CC Roumois Seine</t>
        </is>
      </c>
      <c r="B269" t="inlineStr">
        <is>
          <t>Communauté de communes</t>
        </is>
      </c>
      <c r="C269" t="inlineStr">
        <is>
          <t>200066405</t>
        </is>
      </c>
      <c r="D269" t="inlineStr">
        <is>
          <t>27, 76</t>
        </is>
      </c>
      <c r="E269" t="inlineStr">
        <is>
          <t>Eure, Seine-Maritime</t>
        </is>
      </c>
      <c r="F269" t="inlineStr">
        <is>
          <t>Normandie</t>
        </is>
      </c>
      <c r="G269" s="3" t="n">
        <v>41773</v>
      </c>
      <c r="H269" t="n">
        <v>40</v>
      </c>
      <c r="I269" t="inlineStr">
        <is>
          <t>666 rue Adolphe-Coquelin</t>
        </is>
      </c>
      <c r="J269" t="inlineStr">
        <is>
          <t>27310</t>
        </is>
      </c>
      <c r="K269" t="inlineStr">
        <is>
          <t>Bourg-Achard</t>
        </is>
      </c>
      <c r="L269" t="inlineStr">
        <is>
          <t>02 32 57 95 28</t>
        </is>
      </c>
      <c r="M269" s="4" t="inlineStr">
        <is>
          <t>contact@roumoiseine.fr</t>
        </is>
      </c>
      <c r="N269" s="4" t="inlineStr">
        <is>
          <t>https://www.roumoiseine.fr/</t>
        </is>
      </c>
      <c r="O269" s="4" t="inlineStr">
        <is>
          <t>https://www.roumoiseine.fr/contact/</t>
        </is>
      </c>
      <c r="P269" s="4" t="inlineStr">
        <is>
          <t>https://lannuaire.service-public.gouv.fr/normandie/eure/e6a0bbae-eb2a-40f1-a539-c9ad04a08039</t>
        </is>
      </c>
      <c r="Q269" t="inlineStr">
        <is>
          <t>Annuaire Service-public.fr</t>
        </is>
      </c>
      <c r="R269" t="inlineStr"/>
      <c r="S269" t="inlineStr"/>
      <c r="T269" t="inlineStr"/>
    </row>
    <row r="270">
      <c r="A270" t="inlineStr">
        <is>
          <t>CC de Pont-Audemer / Val de Risle</t>
        </is>
      </c>
      <c r="B270" t="inlineStr">
        <is>
          <t>Communauté de communes</t>
        </is>
      </c>
      <c r="C270" t="inlineStr">
        <is>
          <t>200065787</t>
        </is>
      </c>
      <c r="D270" t="inlineStr">
        <is>
          <t>27</t>
        </is>
      </c>
      <c r="E270" t="inlineStr">
        <is>
          <t>Eure</t>
        </is>
      </c>
      <c r="F270" t="inlineStr">
        <is>
          <t>Normandie</t>
        </is>
      </c>
      <c r="G270" s="3" t="n">
        <v>32563</v>
      </c>
      <c r="H270" t="n">
        <v>32</v>
      </c>
      <c r="I270" t="inlineStr">
        <is>
          <t>2 place de Verdun</t>
        </is>
      </c>
      <c r="J270" t="inlineStr">
        <is>
          <t>27504</t>
        </is>
      </c>
      <c r="K270" t="inlineStr">
        <is>
          <t>Pont-Audemer</t>
        </is>
      </c>
      <c r="L270" t="inlineStr">
        <is>
          <t>02 32 41 08 15</t>
        </is>
      </c>
      <c r="M270" s="4" t="inlineStr">
        <is>
          <t>info@cc-pont-audemer.fr</t>
        </is>
      </c>
      <c r="N270" s="4" t="inlineStr">
        <is>
          <t>https://www.ville-pont-audemer.fr/votre-territoire/communaute-de-communes/</t>
        </is>
      </c>
      <c r="O270" t="inlineStr"/>
      <c r="P270" s="4" t="inlineStr">
        <is>
          <t>https://lannuaire.service-public.gouv.fr/normandie/eure/4d583b2c-e57b-4944-a471-583cb88648cc</t>
        </is>
      </c>
      <c r="Q270" t="inlineStr">
        <is>
          <t>Annuaire Service-public.fr</t>
        </is>
      </c>
      <c r="R270" t="inlineStr"/>
      <c r="S270" t="inlineStr"/>
      <c r="T270" t="inlineStr"/>
    </row>
    <row r="271">
      <c r="A271" t="inlineStr">
        <is>
          <t>CC des Quatre Rivières en Bray</t>
        </is>
      </c>
      <c r="B271" t="inlineStr">
        <is>
          <t>Communauté de communes</t>
        </is>
      </c>
      <c r="C271" t="inlineStr">
        <is>
          <t>200069730</t>
        </is>
      </c>
      <c r="D271" t="inlineStr">
        <is>
          <t>27, 76</t>
        </is>
      </c>
      <c r="E271" t="inlineStr">
        <is>
          <t>Eure, Seine-Maritime</t>
        </is>
      </c>
      <c r="F271" t="inlineStr">
        <is>
          <t>Normandie</t>
        </is>
      </c>
      <c r="G271" s="3" t="n">
        <v>28632</v>
      </c>
      <c r="H271" t="n">
        <v>52</v>
      </c>
      <c r="I271" t="inlineStr">
        <is>
          <t>2 Avenue de la Garenne, communauté de commune des 4 rivières en Bray</t>
        </is>
      </c>
      <c r="J271" t="inlineStr">
        <is>
          <t>76220</t>
        </is>
      </c>
      <c r="K271" t="inlineStr">
        <is>
          <t>Gournay-en-Bray</t>
        </is>
      </c>
      <c r="L271" t="inlineStr">
        <is>
          <t>02 35 09 85 69</t>
        </is>
      </c>
      <c r="M271" s="4" t="inlineStr">
        <is>
          <t>contact@cc4rivieres.com</t>
        </is>
      </c>
      <c r="N271" s="4" t="inlineStr">
        <is>
          <t>https://cc4rivieres.com/</t>
        </is>
      </c>
      <c r="O271" s="4" t="inlineStr">
        <is>
          <t>https://cc4rivieres.com/</t>
        </is>
      </c>
      <c r="P271" s="4" t="inlineStr">
        <is>
          <t>https://lannuaire.service-public.gouv.fr/normandie/seine-maritime/0b461098-0a5b-45b2-b830-6e58c763d88e</t>
        </is>
      </c>
      <c r="Q271" t="inlineStr">
        <is>
          <t>Annuaire Service-public.fr</t>
        </is>
      </c>
      <c r="R271" t="inlineStr"/>
      <c r="S271" t="inlineStr"/>
      <c r="T271" t="inlineStr"/>
    </row>
    <row r="272">
      <c r="A272" t="inlineStr">
        <is>
          <t>CC du Pays de Conches</t>
        </is>
      </c>
      <c r="B272" t="inlineStr">
        <is>
          <t>Communauté de communes</t>
        </is>
      </c>
      <c r="C272" t="inlineStr">
        <is>
          <t>242700276</t>
        </is>
      </c>
      <c r="D272" t="inlineStr">
        <is>
          <t>27</t>
        </is>
      </c>
      <c r="E272" t="inlineStr">
        <is>
          <t>Eure</t>
        </is>
      </c>
      <c r="F272" t="inlineStr">
        <is>
          <t>Normandie</t>
        </is>
      </c>
      <c r="G272" s="3" t="n">
        <v>18141</v>
      </c>
      <c r="H272" t="n">
        <v>25</v>
      </c>
      <c r="I272" t="inlineStr">
        <is>
          <t>Rue de l'Hôtel-de-Ville, CS 20073</t>
        </is>
      </c>
      <c r="J272" t="inlineStr">
        <is>
          <t>27190</t>
        </is>
      </c>
      <c r="K272" t="inlineStr">
        <is>
          <t>Conches-en-Ouche</t>
        </is>
      </c>
      <c r="L272" t="inlineStr">
        <is>
          <t>02 32 30 11 42</t>
        </is>
      </c>
      <c r="M272" s="4" t="inlineStr">
        <is>
          <t>angelique.fontaine@conchesenouche.com</t>
        </is>
      </c>
      <c r="N272" s="4" t="inlineStr">
        <is>
          <t>https://www.conches-en-ouche.fr/</t>
        </is>
      </c>
      <c r="O272" s="4" t="inlineStr">
        <is>
          <t>https://www.conches-en-ouche.fr/contact</t>
        </is>
      </c>
      <c r="P272" s="4" t="inlineStr">
        <is>
          <t>https://lannuaire.service-public.gouv.fr/normandie/eure/dcb48c18-0bdf-431f-8273-cf3d555e4abe</t>
        </is>
      </c>
      <c r="Q272" t="inlineStr">
        <is>
          <t>Annuaire Service-public.fr</t>
        </is>
      </c>
      <c r="R272" t="inlineStr"/>
      <c r="S272" t="inlineStr"/>
      <c r="T272" t="inlineStr"/>
    </row>
    <row r="273">
      <c r="A273" t="inlineStr">
        <is>
          <t>CC du Pays du Neubourg</t>
        </is>
      </c>
      <c r="B273" t="inlineStr">
        <is>
          <t>Communauté de communes</t>
        </is>
      </c>
      <c r="C273" t="inlineStr">
        <is>
          <t>242700607</t>
        </is>
      </c>
      <c r="D273" t="inlineStr">
        <is>
          <t>27</t>
        </is>
      </c>
      <c r="E273" t="inlineStr">
        <is>
          <t>Eure</t>
        </is>
      </c>
      <c r="F273" t="inlineStr">
        <is>
          <t>Normandie</t>
        </is>
      </c>
      <c r="G273" s="3" t="n">
        <v>22537</v>
      </c>
      <c r="H273" t="n">
        <v>41</v>
      </c>
      <c r="I273" t="inlineStr">
        <is>
          <t>1 chemin Saint-Célerin</t>
        </is>
      </c>
      <c r="J273" t="inlineStr">
        <is>
          <t>27110</t>
        </is>
      </c>
      <c r="K273" t="inlineStr">
        <is>
          <t>Le Neubourg</t>
        </is>
      </c>
      <c r="L273" t="inlineStr">
        <is>
          <t>02 32 34 04 41</t>
        </is>
      </c>
      <c r="M273" s="4" t="inlineStr">
        <is>
          <t>contact@paysduneubourg.fr</t>
        </is>
      </c>
      <c r="N273" s="4" t="inlineStr">
        <is>
          <t>https://www.paysduneubourg.fr/</t>
        </is>
      </c>
      <c r="O273" s="4" t="inlineStr">
        <is>
          <t>https://www.paysduneubourg.fr/contact/</t>
        </is>
      </c>
      <c r="P273" s="4" t="inlineStr">
        <is>
          <t>https://lannuaire.service-public.gouv.fr/normandie/eure/9ec0042c-4567-44c9-a1b2-3445c99f82d5</t>
        </is>
      </c>
      <c r="Q273" t="inlineStr">
        <is>
          <t>Annuaire Service-public.fr</t>
        </is>
      </c>
      <c r="R273" t="inlineStr"/>
      <c r="S273" t="inlineStr"/>
      <c r="T273" t="inlineStr"/>
    </row>
    <row r="274">
      <c r="A274" t="inlineStr">
        <is>
          <t>CC du Vexin Normand</t>
        </is>
      </c>
      <c r="B274" t="inlineStr">
        <is>
          <t>Communauté de communes</t>
        </is>
      </c>
      <c r="C274" t="inlineStr">
        <is>
          <t>200071843</t>
        </is>
      </c>
      <c r="D274" t="inlineStr">
        <is>
          <t>27</t>
        </is>
      </c>
      <c r="E274" t="inlineStr">
        <is>
          <t>Eure</t>
        </is>
      </c>
      <c r="F274" t="inlineStr">
        <is>
          <t>Normandie</t>
        </is>
      </c>
      <c r="G274" s="3" t="n">
        <v>33174</v>
      </c>
      <c r="H274" t="n">
        <v>39</v>
      </c>
      <c r="I274" t="inlineStr">
        <is>
          <t>5 rue Albert-Leroy, CS 80039</t>
        </is>
      </c>
      <c r="J274" t="inlineStr">
        <is>
          <t>27140</t>
        </is>
      </c>
      <c r="K274" t="inlineStr">
        <is>
          <t>Gisors</t>
        </is>
      </c>
      <c r="L274" t="inlineStr">
        <is>
          <t>02 32 27 89 50</t>
        </is>
      </c>
      <c r="M274" s="4" t="inlineStr">
        <is>
          <t>contact@ccvexin-normand.fr</t>
        </is>
      </c>
      <c r="N274" s="4" t="inlineStr">
        <is>
          <t>https://www.cdc-vexin-normand.fr/</t>
        </is>
      </c>
      <c r="O274" s="4" t="inlineStr">
        <is>
          <t>https://www.cdc-vexin-normand.fr/contactez-nous.html</t>
        </is>
      </c>
      <c r="P274" s="4" t="inlineStr">
        <is>
          <t>https://lannuaire.service-public.gouv.fr/normandie/eure/283770cd-91b0-43a4-8ed3-190b0de82e12</t>
        </is>
      </c>
      <c r="Q274" t="inlineStr">
        <is>
          <t>Annuaire Service-public.fr</t>
        </is>
      </c>
      <c r="R274" t="inlineStr"/>
      <c r="S274" t="inlineStr"/>
      <c r="T274" t="inlineStr"/>
    </row>
    <row r="275">
      <c r="A275" t="inlineStr">
        <is>
          <t>CC Coeur de Beauce</t>
        </is>
      </c>
      <c r="B275" t="inlineStr">
        <is>
          <t>Communauté de communes</t>
        </is>
      </c>
      <c r="C275" t="inlineStr">
        <is>
          <t>200070159</t>
        </is>
      </c>
      <c r="D275" t="inlineStr">
        <is>
          <t>28</t>
        </is>
      </c>
      <c r="E275" t="inlineStr">
        <is>
          <t>Eure-et-Loir</t>
        </is>
      </c>
      <c r="F275" t="inlineStr">
        <is>
          <t>Centre-Val de Loire</t>
        </is>
      </c>
      <c r="G275" s="3" t="n">
        <v>24406</v>
      </c>
      <c r="H275" t="n">
        <v>46</v>
      </c>
      <c r="I275" t="inlineStr">
        <is>
          <t>1 rue du Docteur-Casimir-Lebel, ZA de l'Ermitage</t>
        </is>
      </c>
      <c r="J275" t="inlineStr">
        <is>
          <t>28310</t>
        </is>
      </c>
      <c r="K275" t="inlineStr">
        <is>
          <t>Janville</t>
        </is>
      </c>
      <c r="L275" t="inlineStr">
        <is>
          <t>02 37 90 15 41</t>
        </is>
      </c>
      <c r="M275" s="4" t="inlineStr">
        <is>
          <t>contact@coeurdebeauce.fr</t>
        </is>
      </c>
      <c r="N275" s="4" t="inlineStr">
        <is>
          <t>https://www.coeurdebeauce.fr/</t>
        </is>
      </c>
      <c r="O275" s="4" t="inlineStr">
        <is>
          <t>https://www.coeurdebeauce.fr/coeur-de-beauce/nous-ecrire/</t>
        </is>
      </c>
      <c r="P275" s="4" t="inlineStr">
        <is>
          <t>https://lannuaire.service-public.gouv.fr/centre-val-de-loire/eure-et-loir/2f603f8d-0d05-4352-be94-7c2dc3863cd0</t>
        </is>
      </c>
      <c r="Q275" t="inlineStr">
        <is>
          <t>Annuaire Service-public.fr</t>
        </is>
      </c>
      <c r="R275" t="inlineStr"/>
      <c r="S275" t="inlineStr"/>
      <c r="T275" t="inlineStr"/>
    </row>
    <row r="276">
      <c r="A276" t="inlineStr">
        <is>
          <t>CC Entre Beauce et Perche</t>
        </is>
      </c>
      <c r="B276" t="inlineStr">
        <is>
          <t>Communauté de communes</t>
        </is>
      </c>
      <c r="C276" t="inlineStr">
        <is>
          <t>200058360</t>
        </is>
      </c>
      <c r="D276" t="inlineStr">
        <is>
          <t>28</t>
        </is>
      </c>
      <c r="E276" t="inlineStr">
        <is>
          <t>Eure-et-Loir</t>
        </is>
      </c>
      <c r="F276" t="inlineStr">
        <is>
          <t>Centre-Val de Loire</t>
        </is>
      </c>
      <c r="G276" s="3" t="n">
        <v>21164</v>
      </c>
      <c r="H276" t="n">
        <v>33</v>
      </c>
      <c r="I276" t="inlineStr">
        <is>
          <t>2 rue du Pavillon</t>
        </is>
      </c>
      <c r="J276" t="inlineStr">
        <is>
          <t>28120</t>
        </is>
      </c>
      <c r="K276" t="inlineStr">
        <is>
          <t>Illiers-Combray</t>
        </is>
      </c>
      <c r="L276" t="inlineStr">
        <is>
          <t>02 37 24 38 47</t>
        </is>
      </c>
      <c r="M276" s="4" t="inlineStr">
        <is>
          <t>contact@entrebeauceetperche.fr</t>
        </is>
      </c>
      <c r="N276" s="4" t="inlineStr">
        <is>
          <t>https://entrebeauceetperche.fr/</t>
        </is>
      </c>
      <c r="O276" s="4" t="inlineStr">
        <is>
          <t>https://entrebeauceetperche.fr/contact/</t>
        </is>
      </c>
      <c r="P276" s="4" t="inlineStr">
        <is>
          <t>https://lannuaire.service-public.gouv.fr/centre-val-de-loire/eure-et-loir/3b7bd96f-42a6-4e80-bd12-690db6c49991</t>
        </is>
      </c>
      <c r="Q276" t="inlineStr">
        <is>
          <t>Annuaire Service-public.fr</t>
        </is>
      </c>
      <c r="R276" t="inlineStr"/>
      <c r="S276" t="inlineStr"/>
      <c r="T276" t="inlineStr"/>
    </row>
    <row r="277">
      <c r="A277" t="inlineStr">
        <is>
          <t>CC Terres de Perche</t>
        </is>
      </c>
      <c r="B277" t="inlineStr">
        <is>
          <t>Communauté de communes</t>
        </is>
      </c>
      <c r="C277" t="inlineStr">
        <is>
          <t>200070167</t>
        </is>
      </c>
      <c r="D277" t="inlineStr">
        <is>
          <t>28</t>
        </is>
      </c>
      <c r="E277" t="inlineStr">
        <is>
          <t>Eure-et-Loir</t>
        </is>
      </c>
      <c r="F277" t="inlineStr">
        <is>
          <t>Centre-Val de Loire</t>
        </is>
      </c>
      <c r="G277" s="3" t="n">
        <v>14116</v>
      </c>
      <c r="H277" t="n">
        <v>22</v>
      </c>
      <c r="I277" t="inlineStr">
        <is>
          <t>Place de l'Hôtel-de-Ville</t>
        </is>
      </c>
      <c r="J277" t="inlineStr">
        <is>
          <t>28240</t>
        </is>
      </c>
      <c r="K277" t="inlineStr">
        <is>
          <t>La Loupe</t>
        </is>
      </c>
      <c r="L277" t="inlineStr">
        <is>
          <t>02 37 81 29 59</t>
        </is>
      </c>
      <c r="M277" s="4" t="inlineStr">
        <is>
          <t>cdc@terresdeperche.fr</t>
        </is>
      </c>
      <c r="N277" s="4" t="inlineStr">
        <is>
          <t>https://www.terresdeperche.fr/</t>
        </is>
      </c>
      <c r="O277" s="4" t="inlineStr">
        <is>
          <t>https://www.terresdeperche.fr/</t>
        </is>
      </c>
      <c r="P277" s="4" t="inlineStr">
        <is>
          <t>https://lannuaire.service-public.gouv.fr/centre-val-de-loire/eure-et-loir/9d0b7414-fca0-4419-a998-22df8e738bd0</t>
        </is>
      </c>
      <c r="Q277" t="inlineStr">
        <is>
          <t>Annuaire Service-public.fr</t>
        </is>
      </c>
      <c r="R277" t="inlineStr"/>
      <c r="S277" t="inlineStr"/>
      <c r="T277" t="inlineStr"/>
    </row>
    <row r="278">
      <c r="A278" t="inlineStr">
        <is>
          <t>CC des Forêts du Perche</t>
        </is>
      </c>
      <c r="B278" t="inlineStr">
        <is>
          <t>Communauté de communes</t>
        </is>
      </c>
      <c r="C278" t="inlineStr">
        <is>
          <t>200069912</t>
        </is>
      </c>
      <c r="D278" t="inlineStr">
        <is>
          <t>28</t>
        </is>
      </c>
      <c r="E278" t="inlineStr">
        <is>
          <t>Eure-et-Loir</t>
        </is>
      </c>
      <c r="F278" t="inlineStr">
        <is>
          <t>Centre-Val de Loire</t>
        </is>
      </c>
      <c r="G278" s="3" t="n">
        <v>7700</v>
      </c>
      <c r="H278" t="n">
        <v>15</v>
      </c>
      <c r="I278" t="inlineStr">
        <is>
          <t>2 rue de Verdun, Mairie</t>
        </is>
      </c>
      <c r="J278" t="inlineStr">
        <is>
          <t>28250</t>
        </is>
      </c>
      <c r="K278" t="inlineStr">
        <is>
          <t>Senonches</t>
        </is>
      </c>
      <c r="L278" t="inlineStr">
        <is>
          <t>02 37 37 37 28</t>
        </is>
      </c>
      <c r="M278" s="4" t="inlineStr">
        <is>
          <t>contact@foretsduperche.fr</t>
        </is>
      </c>
      <c r="N278" s="4" t="inlineStr">
        <is>
          <t>https://mairielafertevidame.fr/la-communaute-de-communes-des-forets-du-perche/</t>
        </is>
      </c>
      <c r="O278" t="inlineStr"/>
      <c r="P278" s="4" t="inlineStr">
        <is>
          <t>https://lannuaire.service-public.gouv.fr/centre-val-de-loire/eure-et-loir/8ba81e2e-2e5c-4133-b1f3-5fd6153acb7a</t>
        </is>
      </c>
      <c r="Q278" t="inlineStr">
        <is>
          <t>Annuaire Service-public.fr</t>
        </is>
      </c>
      <c r="R278" t="inlineStr"/>
      <c r="S278" t="inlineStr"/>
      <c r="T278" t="inlineStr"/>
    </row>
    <row r="279">
      <c r="A279" t="inlineStr">
        <is>
          <t>CC des Portes Euréliennes d'Ile de France</t>
        </is>
      </c>
      <c r="B279" t="inlineStr">
        <is>
          <t>Communauté de communes</t>
        </is>
      </c>
      <c r="C279" t="inlineStr">
        <is>
          <t>200069953</t>
        </is>
      </c>
      <c r="D279" t="inlineStr">
        <is>
          <t>28</t>
        </is>
      </c>
      <c r="E279" t="inlineStr">
        <is>
          <t>Eure-et-Loir</t>
        </is>
      </c>
      <c r="F279" t="inlineStr">
        <is>
          <t>Centre-Val de Loire</t>
        </is>
      </c>
      <c r="G279" s="3" t="n">
        <v>48698</v>
      </c>
      <c r="H279" t="n">
        <v>39</v>
      </c>
      <c r="I279" t="inlineStr">
        <is>
          <t>22 rue de savonniere</t>
        </is>
      </c>
      <c r="J279" t="inlineStr">
        <is>
          <t>28230</t>
        </is>
      </c>
      <c r="K279" t="inlineStr">
        <is>
          <t>Épernon</t>
        </is>
      </c>
      <c r="L279" t="inlineStr">
        <is>
          <t>02 37 83 49 33</t>
        </is>
      </c>
      <c r="M279" s="4" t="inlineStr">
        <is>
          <t>contact@porteseureliennesidf.fr</t>
        </is>
      </c>
      <c r="N279" s="4" t="inlineStr">
        <is>
          <t>https://www.porteseureliennesidf.fr/</t>
        </is>
      </c>
      <c r="O279" s="4" t="inlineStr">
        <is>
          <t>https://www.porteseureliennesidf.fr/pages/contact-123.html</t>
        </is>
      </c>
      <c r="P279" s="4" t="inlineStr">
        <is>
          <t>https://lannuaire.service-public.gouv.fr/centre-val-de-loire/eure-et-loir/de59be2a-5052-4f01-acb5-cc302ec7a33a</t>
        </is>
      </c>
      <c r="Q279" t="inlineStr">
        <is>
          <t>Annuaire Service-public.fr</t>
        </is>
      </c>
      <c r="R279" t="inlineStr"/>
      <c r="S279" t="inlineStr"/>
      <c r="T279" t="inlineStr"/>
    </row>
    <row r="280">
      <c r="A280" t="inlineStr">
        <is>
          <t>CC du Bonnevalais</t>
        </is>
      </c>
      <c r="B280" t="inlineStr">
        <is>
          <t>Communauté de communes</t>
        </is>
      </c>
      <c r="C280" t="inlineStr">
        <is>
          <t>242852465</t>
        </is>
      </c>
      <c r="D280" t="inlineStr">
        <is>
          <t>28</t>
        </is>
      </c>
      <c r="E280" t="inlineStr">
        <is>
          <t>Eure-et-Loir</t>
        </is>
      </c>
      <c r="F280" t="inlineStr">
        <is>
          <t>Centre-Val de Loire</t>
        </is>
      </c>
      <c r="G280" s="3" t="n">
        <v>12203</v>
      </c>
      <c r="H280" t="n">
        <v>19</v>
      </c>
      <c r="I280" t="inlineStr">
        <is>
          <t>19 rue Saint-Roch</t>
        </is>
      </c>
      <c r="J280" t="inlineStr">
        <is>
          <t>28800</t>
        </is>
      </c>
      <c r="K280" t="inlineStr">
        <is>
          <t>Bonneval</t>
        </is>
      </c>
      <c r="L280" t="inlineStr">
        <is>
          <t>02 37 47 32 56</t>
        </is>
      </c>
      <c r="M280" s="4" t="inlineStr">
        <is>
          <t>accueil@cdcdubonnevalais.fr</t>
        </is>
      </c>
      <c r="N280" s="4" t="inlineStr">
        <is>
          <t>https://www.comcomdubonnevalais.com/</t>
        </is>
      </c>
      <c r="O280" t="inlineStr"/>
      <c r="P280" s="4" t="inlineStr">
        <is>
          <t>https://lannuaire.service-public.gouv.fr/centre-val-de-loire/eure-et-loir/2647a571-faf0-49ee-a84f-d018ce45499f</t>
        </is>
      </c>
      <c r="Q280" t="inlineStr">
        <is>
          <t>Annuaire Service-public.fr</t>
        </is>
      </c>
      <c r="R280" t="inlineStr"/>
      <c r="S280" t="inlineStr"/>
      <c r="T280" t="inlineStr"/>
    </row>
    <row r="281">
      <c r="A281" t="inlineStr">
        <is>
          <t>CC du Grand Châteaudun</t>
        </is>
      </c>
      <c r="B281" t="inlineStr">
        <is>
          <t>Communauté de communes</t>
        </is>
      </c>
      <c r="C281" t="inlineStr">
        <is>
          <t>200069961</t>
        </is>
      </c>
      <c r="D281" t="inlineStr">
        <is>
          <t>28</t>
        </is>
      </c>
      <c r="E281" t="inlineStr">
        <is>
          <t>Eure-et-Loir</t>
        </is>
      </c>
      <c r="F281" t="inlineStr">
        <is>
          <t>Centre-Val de Loire</t>
        </is>
      </c>
      <c r="G281" s="3" t="n">
        <v>39734</v>
      </c>
      <c r="H281" t="n">
        <v>23</v>
      </c>
      <c r="I281" t="inlineStr">
        <is>
          <t>2 route de Blois</t>
        </is>
      </c>
      <c r="J281" t="inlineStr">
        <is>
          <t>28200</t>
        </is>
      </c>
      <c r="K281" t="inlineStr">
        <is>
          <t>Châteaudun</t>
        </is>
      </c>
      <c r="L281" t="inlineStr">
        <is>
          <t>02 37 44 98 94</t>
        </is>
      </c>
      <c r="M281" s="4" t="inlineStr">
        <is>
          <t>contact@grandchateaudun.fr</t>
        </is>
      </c>
      <c r="N281" s="4" t="inlineStr">
        <is>
          <t>https://www.grandchateaudun.fr/</t>
        </is>
      </c>
      <c r="O281" s="4" t="inlineStr">
        <is>
          <t>https://www.grandchateaudun.fr/</t>
        </is>
      </c>
      <c r="P281" s="4" t="inlineStr">
        <is>
          <t>https://lannuaire.service-public.gouv.fr/centre-val-de-loire/eure-et-loir/3d22665f-7143-4f2e-8bc4-7e13064efc13</t>
        </is>
      </c>
      <c r="Q281" t="inlineStr">
        <is>
          <t>Annuaire Service-public.fr</t>
        </is>
      </c>
      <c r="R281" t="inlineStr"/>
      <c r="S281" t="inlineStr"/>
      <c r="T281" t="inlineStr"/>
    </row>
    <row r="282">
      <c r="A282" t="inlineStr">
        <is>
          <t>CC du Pays Houdanais (CCPH)</t>
        </is>
      </c>
      <c r="B282" t="inlineStr">
        <is>
          <t>Communauté de communes</t>
        </is>
      </c>
      <c r="C282" t="inlineStr">
        <is>
          <t>247800550</t>
        </is>
      </c>
      <c r="D282" t="inlineStr">
        <is>
          <t>28, 78</t>
        </is>
      </c>
      <c r="E282" t="inlineStr">
        <is>
          <t>Eure-et-Loir, Yvelines</t>
        </is>
      </c>
      <c r="F282" t="inlineStr">
        <is>
          <t>Île-de-France, Centre-Val de Loire</t>
        </is>
      </c>
      <c r="G282" s="3" t="n">
        <v>30287</v>
      </c>
      <c r="H282" t="n">
        <v>36</v>
      </c>
      <c r="I282" t="inlineStr">
        <is>
          <t>22 porte d'Epernon</t>
        </is>
      </c>
      <c r="J282" t="inlineStr">
        <is>
          <t>78550</t>
        </is>
      </c>
      <c r="K282" t="inlineStr">
        <is>
          <t>Maulette</t>
        </is>
      </c>
      <c r="L282" t="inlineStr">
        <is>
          <t>01 30 46 82 80</t>
        </is>
      </c>
      <c r="M282" s="4" t="inlineStr">
        <is>
          <t>ccph@cc-payshoudanais.fr</t>
        </is>
      </c>
      <c r="N282" s="4" t="inlineStr">
        <is>
          <t>https://www.cc-payshoudanais.fr/</t>
        </is>
      </c>
      <c r="O282" t="inlineStr"/>
      <c r="P282" s="4" t="inlineStr">
        <is>
          <t>https://lannuaire.service-public.gouv.fr/ile-de-france/yvelines/e46b86f5-aa86-477d-9839-0965492089c4</t>
        </is>
      </c>
      <c r="Q282" t="inlineStr">
        <is>
          <t>Annuaire Service-public.fr</t>
        </is>
      </c>
      <c r="R282" t="inlineStr"/>
      <c r="S282" t="inlineStr"/>
      <c r="T282" t="inlineStr"/>
    </row>
    <row r="283">
      <c r="A283" t="inlineStr">
        <is>
          <t>CC du Perche</t>
        </is>
      </c>
      <c r="B283" t="inlineStr">
        <is>
          <t>Communauté de communes</t>
        </is>
      </c>
      <c r="C283" t="inlineStr">
        <is>
          <t>200006971</t>
        </is>
      </c>
      <c r="D283" t="inlineStr">
        <is>
          <t>28</t>
        </is>
      </c>
      <c r="E283" t="inlineStr">
        <is>
          <t>Eure-et-Loir</t>
        </is>
      </c>
      <c r="F283" t="inlineStr">
        <is>
          <t>Centre-Val de Loire</t>
        </is>
      </c>
      <c r="G283" s="3" t="n">
        <v>17971</v>
      </c>
      <c r="H283" t="n">
        <v>20</v>
      </c>
      <c r="I283" t="inlineStr">
        <is>
          <t>3 rue Doullay</t>
        </is>
      </c>
      <c r="J283" t="inlineStr">
        <is>
          <t>28400</t>
        </is>
      </c>
      <c r="K283" t="inlineStr">
        <is>
          <t>Nogent-le-Rotrou</t>
        </is>
      </c>
      <c r="L283" t="inlineStr">
        <is>
          <t>02 37 52 18 82</t>
        </is>
      </c>
      <c r="M283" s="4" t="inlineStr">
        <is>
          <t>contact@cc-perche.fr</t>
        </is>
      </c>
      <c r="N283" s="4" t="inlineStr">
        <is>
          <t>https://www.cc-perche.fr/</t>
        </is>
      </c>
      <c r="O283" t="inlineStr"/>
      <c r="P283" s="4" t="inlineStr">
        <is>
          <t>https://lannuaire.service-public.gouv.fr/centre-val-de-loire/eure-et-loir/ff4cca9c-0bed-466d-90a3-b2e166e2f897</t>
        </is>
      </c>
      <c r="Q283" t="inlineStr">
        <is>
          <t>Annuaire Service-public.fr</t>
        </is>
      </c>
      <c r="R283" t="inlineStr"/>
      <c r="S283" t="inlineStr"/>
      <c r="T283" t="inlineStr"/>
    </row>
    <row r="284">
      <c r="A284" t="inlineStr">
        <is>
          <t>CC Cap Sizun - Pointe du Raz</t>
        </is>
      </c>
      <c r="B284" t="inlineStr">
        <is>
          <t>Communauté de communes</t>
        </is>
      </c>
      <c r="C284" t="inlineStr">
        <is>
          <t>242900629</t>
        </is>
      </c>
      <c r="D284" t="inlineStr">
        <is>
          <t>29</t>
        </is>
      </c>
      <c r="E284" t="inlineStr">
        <is>
          <t>Finistère</t>
        </is>
      </c>
      <c r="F284" t="inlineStr">
        <is>
          <t>Bretagne</t>
        </is>
      </c>
      <c r="G284" s="3" t="n">
        <v>15313</v>
      </c>
      <c r="H284" t="n">
        <v>10</v>
      </c>
      <c r="I284" t="inlineStr">
        <is>
          <t>Rue Renoir</t>
        </is>
      </c>
      <c r="J284" t="inlineStr">
        <is>
          <t>29770</t>
        </is>
      </c>
      <c r="K284" t="inlineStr">
        <is>
          <t>Audierne</t>
        </is>
      </c>
      <c r="L284" t="inlineStr">
        <is>
          <t>02 98 70 16 00</t>
        </is>
      </c>
      <c r="M284" s="4" t="inlineStr">
        <is>
          <t>contactcc@cap-sizun.fr</t>
        </is>
      </c>
      <c r="N284" s="4" t="inlineStr">
        <is>
          <t>http://www.cap-sizun.fr</t>
        </is>
      </c>
      <c r="O284" t="inlineStr"/>
      <c r="P284" s="4" t="inlineStr">
        <is>
          <t>https://lannuaire.service-public.gouv.fr/bretagne/finistere/475aec14-8f6b-4acb-9122-f9f9494fef00</t>
        </is>
      </c>
      <c r="Q284" t="inlineStr">
        <is>
          <t>Annuaire Service-public.fr</t>
        </is>
      </c>
      <c r="R284" t="inlineStr"/>
      <c r="S284" t="inlineStr"/>
      <c r="T284" t="inlineStr"/>
    </row>
    <row r="285">
      <c r="A285" t="inlineStr">
        <is>
          <t>CC Communauté Lesneven Côte des Légendes</t>
        </is>
      </c>
      <c r="B285" t="inlineStr">
        <is>
          <t>Communauté de communes</t>
        </is>
      </c>
      <c r="C285" t="inlineStr">
        <is>
          <t>242900793</t>
        </is>
      </c>
      <c r="D285" t="inlineStr">
        <is>
          <t>29</t>
        </is>
      </c>
      <c r="E285" t="inlineStr">
        <is>
          <t>Finistère</t>
        </is>
      </c>
      <c r="F285" t="inlineStr">
        <is>
          <t>Bretagne</t>
        </is>
      </c>
      <c r="G285" s="3" t="n">
        <v>27619</v>
      </c>
      <c r="H285" t="n">
        <v>14</v>
      </c>
      <c r="I285" t="inlineStr">
        <is>
          <t>12 boulevard des Frères-Lumière</t>
        </is>
      </c>
      <c r="J285" t="inlineStr">
        <is>
          <t>29260</t>
        </is>
      </c>
      <c r="K285" t="inlineStr">
        <is>
          <t>Lesneven</t>
        </is>
      </c>
      <c r="L285" t="inlineStr">
        <is>
          <t>02 98 21 11 77</t>
        </is>
      </c>
      <c r="M285" s="4" t="inlineStr">
        <is>
          <t>contact@clcl.bzh</t>
        </is>
      </c>
      <c r="N285" s="4" t="inlineStr">
        <is>
          <t>https://www.clcl.bzh/</t>
        </is>
      </c>
      <c r="O285" s="4" t="inlineStr">
        <is>
          <t>https://www.clcl.bzh/pratique/formulaire-de-contact</t>
        </is>
      </c>
      <c r="P285" s="4" t="inlineStr">
        <is>
          <t>https://lannuaire.service-public.gouv.fr/bretagne/finistere/3d0bafeb-c328-4370-83a3-c755751bbbb4</t>
        </is>
      </c>
      <c r="Q285" t="inlineStr">
        <is>
          <t>Annuaire Service-public.fr</t>
        </is>
      </c>
      <c r="R285" t="inlineStr"/>
      <c r="S285" t="inlineStr"/>
      <c r="T285" t="inlineStr"/>
    </row>
    <row r="286">
      <c r="A286" t="inlineStr">
        <is>
          <t>CC Douarnenez Communauté</t>
        </is>
      </c>
      <c r="B286" t="inlineStr">
        <is>
          <t>Communauté de communes</t>
        </is>
      </c>
      <c r="C286" t="inlineStr">
        <is>
          <t>242900645</t>
        </is>
      </c>
      <c r="D286" t="inlineStr">
        <is>
          <t>29</t>
        </is>
      </c>
      <c r="E286" t="inlineStr">
        <is>
          <t>Finistère</t>
        </is>
      </c>
      <c r="F286" t="inlineStr">
        <is>
          <t>Bretagne</t>
        </is>
      </c>
      <c r="G286" s="3" t="n">
        <v>18412</v>
      </c>
      <c r="H286" t="n">
        <v>5</v>
      </c>
      <c r="I286" t="inlineStr">
        <is>
          <t>75 rue Ar-Veret</t>
        </is>
      </c>
      <c r="J286" t="inlineStr">
        <is>
          <t>29177</t>
        </is>
      </c>
      <c r="K286" t="inlineStr">
        <is>
          <t>Douarnenez</t>
        </is>
      </c>
      <c r="L286" t="inlineStr">
        <is>
          <t>02 98 74 48 50</t>
        </is>
      </c>
      <c r="M286" s="4" t="inlineStr">
        <is>
          <t>accueil@douarnenez-communaute.fr</t>
        </is>
      </c>
      <c r="N286" s="4" t="inlineStr">
        <is>
          <t>https://www.douarnenez-communaute.fr/</t>
        </is>
      </c>
      <c r="O286" s="4" t="inlineStr">
        <is>
          <t>https://www.douarnenez-communaute.fr/contact/</t>
        </is>
      </c>
      <c r="P286" s="4" t="inlineStr">
        <is>
          <t>https://lannuaire.service-public.gouv.fr/bretagne/finistere/b68e511c-1ab0-4c88-aaa6-4f6ff638e07b</t>
        </is>
      </c>
      <c r="Q286" t="inlineStr">
        <is>
          <t>Annuaire Service-public.fr</t>
        </is>
      </c>
      <c r="R286" t="inlineStr"/>
      <c r="S286" t="inlineStr"/>
      <c r="T286" t="inlineStr"/>
    </row>
    <row r="287">
      <c r="A287" t="inlineStr">
        <is>
          <t>CC Haut-Léon Communauté</t>
        </is>
      </c>
      <c r="B287" t="inlineStr">
        <is>
          <t>Communauté de communes</t>
        </is>
      </c>
      <c r="C287" t="inlineStr">
        <is>
          <t>200067072</t>
        </is>
      </c>
      <c r="D287" t="inlineStr">
        <is>
          <t>29</t>
        </is>
      </c>
      <c r="E287" t="inlineStr">
        <is>
          <t>Finistère</t>
        </is>
      </c>
      <c r="F287" t="inlineStr">
        <is>
          <t>Bretagne</t>
        </is>
      </c>
      <c r="G287" s="3" t="n">
        <v>31706</v>
      </c>
      <c r="H287" t="n">
        <v>14</v>
      </c>
      <c r="I287" t="inlineStr">
        <is>
          <t>29 rue des Carmes</t>
        </is>
      </c>
      <c r="J287" t="inlineStr">
        <is>
          <t>29250</t>
        </is>
      </c>
      <c r="K287" t="inlineStr">
        <is>
          <t>Saint-Pol-de-Léon</t>
        </is>
      </c>
      <c r="L287" t="inlineStr">
        <is>
          <t>02 98 69 10 44</t>
        </is>
      </c>
      <c r="M287" s="4" t="inlineStr">
        <is>
          <t>contact@hlc.bzh</t>
        </is>
      </c>
      <c r="N287" s="4" t="inlineStr">
        <is>
          <t>https://www.hautleoncommunaute.bzh/</t>
        </is>
      </c>
      <c r="O287" s="4" t="inlineStr">
        <is>
          <t>https://www.hautleoncommunaute.bzh/contact/</t>
        </is>
      </c>
      <c r="P287" s="4" t="inlineStr">
        <is>
          <t>https://lannuaire.service-public.gouv.fr/bretagne/finistere/e3ba5e5d-ccf1-43c6-b4cb-71f75301b007</t>
        </is>
      </c>
      <c r="Q287" t="inlineStr">
        <is>
          <t>Annuaire Service-public.fr</t>
        </is>
      </c>
      <c r="R287" t="inlineStr"/>
      <c r="S287" t="inlineStr"/>
      <c r="T287" t="inlineStr"/>
    </row>
    <row r="288">
      <c r="A288" t="inlineStr">
        <is>
          <t>CC Monts d'Arrée Communauté</t>
        </is>
      </c>
      <c r="B288" t="inlineStr">
        <is>
          <t>Communauté de communes</t>
        </is>
      </c>
      <c r="C288" t="inlineStr">
        <is>
          <t>200067197</t>
        </is>
      </c>
      <c r="D288" t="inlineStr">
        <is>
          <t>29</t>
        </is>
      </c>
      <c r="E288" t="inlineStr">
        <is>
          <t>Finistère</t>
        </is>
      </c>
      <c r="F288" t="inlineStr">
        <is>
          <t>Bretagne</t>
        </is>
      </c>
      <c r="G288" s="3" t="n">
        <v>7765</v>
      </c>
      <c r="H288" t="n">
        <v>12</v>
      </c>
      <c r="I288" t="inlineStr">
        <is>
          <t>12 route de Plonevez-du-Faou</t>
        </is>
      </c>
      <c r="J288" t="inlineStr">
        <is>
          <t>29530</t>
        </is>
      </c>
      <c r="K288" t="inlineStr">
        <is>
          <t>Loqueffret</t>
        </is>
      </c>
      <c r="L288" t="inlineStr">
        <is>
          <t>02 98 26 43 99</t>
        </is>
      </c>
      <c r="M288" s="4" t="inlineStr">
        <is>
          <t>contact@lesmontsdarre.bzh</t>
        </is>
      </c>
      <c r="N288" s="4" t="inlineStr">
        <is>
          <t>https://www.lesmontsdarree.fr/</t>
        </is>
      </c>
      <c r="O288" s="4" t="inlineStr">
        <is>
          <t>https://www.lesmontsdarree.fr/contact/</t>
        </is>
      </c>
      <c r="P288" s="4" t="inlineStr">
        <is>
          <t>https://lannuaire.service-public.gouv.fr/bretagne/finistere/a3823fde-810b-4600-b939-b6050c8df83a</t>
        </is>
      </c>
      <c r="Q288" t="inlineStr">
        <is>
          <t>Annuaire Service-public.fr</t>
        </is>
      </c>
      <c r="R288" t="inlineStr"/>
      <c r="S288" t="inlineStr"/>
      <c r="T288" t="inlineStr"/>
    </row>
    <row r="289">
      <c r="A289" t="inlineStr">
        <is>
          <t>CC Pleyben-Châteaulin-Porzay</t>
        </is>
      </c>
      <c r="B289" t="inlineStr">
        <is>
          <t>Communauté de communes</t>
        </is>
      </c>
      <c r="C289" t="inlineStr">
        <is>
          <t>200067247</t>
        </is>
      </c>
      <c r="D289" t="inlineStr">
        <is>
          <t>29</t>
        </is>
      </c>
      <c r="E289" t="inlineStr">
        <is>
          <t>Finistère</t>
        </is>
      </c>
      <c r="F289" t="inlineStr">
        <is>
          <t>Bretagne</t>
        </is>
      </c>
      <c r="G289" s="3" t="n">
        <v>22863</v>
      </c>
      <c r="H289" t="n">
        <v>17</v>
      </c>
      <c r="I289" t="inlineStr">
        <is>
          <t>9 rue Camille-Danguillaume, CS 60043</t>
        </is>
      </c>
      <c r="J289" t="inlineStr">
        <is>
          <t>29150</t>
        </is>
      </c>
      <c r="K289" t="inlineStr">
        <is>
          <t>Châteaulin</t>
        </is>
      </c>
      <c r="L289" t="inlineStr">
        <is>
          <t>02 98 16 14 00</t>
        </is>
      </c>
      <c r="M289" s="4" t="inlineStr">
        <is>
          <t>accueil@ccpcp.bzh</t>
        </is>
      </c>
      <c r="N289" s="4" t="inlineStr">
        <is>
          <t>https://www.ccpcp.bzh/</t>
        </is>
      </c>
      <c r="O289" s="4" t="inlineStr">
        <is>
          <t>https://www.ccpcp.bzh/nous-contacter/</t>
        </is>
      </c>
      <c r="P289" s="4" t="inlineStr">
        <is>
          <t>https://lannuaire.service-public.gouv.fr/bretagne/finistere/3ddb8b8d-998e-42cd-9fcf-ec89844d312d</t>
        </is>
      </c>
      <c r="Q289" t="inlineStr">
        <is>
          <t>Annuaire Service-public.fr</t>
        </is>
      </c>
      <c r="R289" t="inlineStr"/>
      <c r="S289" t="inlineStr"/>
      <c r="T289" t="inlineStr"/>
    </row>
    <row r="290">
      <c r="A290" t="inlineStr">
        <is>
          <t>CC Presqu'île de Crozon-Aulne maritime</t>
        </is>
      </c>
      <c r="B290" t="inlineStr">
        <is>
          <t>Communauté de communes</t>
        </is>
      </c>
      <c r="C290" t="inlineStr">
        <is>
          <t>200066868</t>
        </is>
      </c>
      <c r="D290" t="inlineStr">
        <is>
          <t>29</t>
        </is>
      </c>
      <c r="E290" t="inlineStr">
        <is>
          <t>Finistère</t>
        </is>
      </c>
      <c r="F290" t="inlineStr">
        <is>
          <t>Bretagne</t>
        </is>
      </c>
      <c r="G290" s="3" t="n">
        <v>22603</v>
      </c>
      <c r="H290" t="n">
        <v>10</v>
      </c>
      <c r="I290" t="inlineStr">
        <is>
          <t>ZA de Kerdanvez</t>
        </is>
      </c>
      <c r="J290" t="inlineStr">
        <is>
          <t>29160</t>
        </is>
      </c>
      <c r="K290" t="inlineStr">
        <is>
          <t>Crozon</t>
        </is>
      </c>
      <c r="L290" t="inlineStr">
        <is>
          <t>02 98 27 24 76</t>
        </is>
      </c>
      <c r="M290" s="4" t="inlineStr">
        <is>
          <t>contact@comcom-crozon.bzh</t>
        </is>
      </c>
      <c r="N290" s="4" t="inlineStr">
        <is>
          <t>https://www.comcom-crozon.com/</t>
        </is>
      </c>
      <c r="O290" s="4" t="inlineStr">
        <is>
          <t>https://www.comcom-crozon.com/contact/</t>
        </is>
      </c>
      <c r="P290" s="4" t="inlineStr">
        <is>
          <t>https://lannuaire.service-public.gouv.fr/bretagne/finistere/42576b57-5900-48fc-a903-9a05f981eb78</t>
        </is>
      </c>
      <c r="Q290" t="inlineStr">
        <is>
          <t>Annuaire Service-public.fr</t>
        </is>
      </c>
      <c r="R290" t="inlineStr"/>
      <c r="S290" t="inlineStr"/>
      <c r="T290" t="inlineStr"/>
    </row>
    <row r="291">
      <c r="A291" t="inlineStr">
        <is>
          <t>CC de Haute Cornouaille</t>
        </is>
      </c>
      <c r="B291" t="inlineStr">
        <is>
          <t>Communauté de communes</t>
        </is>
      </c>
      <c r="C291" t="inlineStr">
        <is>
          <t>242900561</t>
        </is>
      </c>
      <c r="D291" t="inlineStr">
        <is>
          <t>29</t>
        </is>
      </c>
      <c r="E291" t="inlineStr">
        <is>
          <t>Finistère</t>
        </is>
      </c>
      <c r="F291" t="inlineStr">
        <is>
          <t>Bretagne</t>
        </is>
      </c>
      <c r="G291" s="3" t="n">
        <v>14917</v>
      </c>
      <c r="H291" t="n">
        <v>11</v>
      </c>
      <c r="I291" t="inlineStr">
        <is>
          <t>6 rue de Morlaix</t>
        </is>
      </c>
      <c r="J291" t="inlineStr">
        <is>
          <t>29520</t>
        </is>
      </c>
      <c r="K291" t="inlineStr">
        <is>
          <t>Châteauneuf-du-Faou</t>
        </is>
      </c>
      <c r="L291" t="inlineStr">
        <is>
          <t>02 98 73 25 36</t>
        </is>
      </c>
      <c r="M291" s="4" t="inlineStr">
        <is>
          <t>contact@haute-cornouaille.bzh</t>
        </is>
      </c>
      <c r="N291" s="4" t="inlineStr">
        <is>
          <t>https://haute-cornouaille.bzh/</t>
        </is>
      </c>
      <c r="O291" s="4" t="inlineStr">
        <is>
          <t>https://haute-cornouaille.bzh/contactez-nous/</t>
        </is>
      </c>
      <c r="P291" s="4" t="inlineStr">
        <is>
          <t>https://lannuaire.service-public.gouv.fr/bretagne/finistere/61fd5fe4-8b25-4e58-b850-cf13a9e1c68e</t>
        </is>
      </c>
      <c r="Q291" t="inlineStr">
        <is>
          <t>Annuaire Service-public.fr</t>
        </is>
      </c>
      <c r="R291" t="inlineStr"/>
      <c r="S291" t="inlineStr"/>
      <c r="T291" t="inlineStr"/>
    </row>
    <row r="292">
      <c r="A292" t="inlineStr">
        <is>
          <t>CC du Haut Pays Bigouden</t>
        </is>
      </c>
      <c r="B292" t="inlineStr">
        <is>
          <t>Communauté de communes</t>
        </is>
      </c>
      <c r="C292" t="inlineStr">
        <is>
          <t>242900710</t>
        </is>
      </c>
      <c r="D292" t="inlineStr">
        <is>
          <t>29</t>
        </is>
      </c>
      <c r="E292" t="inlineStr">
        <is>
          <t>Finistère</t>
        </is>
      </c>
      <c r="F292" t="inlineStr">
        <is>
          <t>Bretagne</t>
        </is>
      </c>
      <c r="G292" s="3" t="n">
        <v>18622</v>
      </c>
      <c r="H292" t="n">
        <v>10</v>
      </c>
      <c r="I292" t="inlineStr">
        <is>
          <t>2 A rue de la Mer</t>
        </is>
      </c>
      <c r="J292" t="inlineStr">
        <is>
          <t>29710</t>
        </is>
      </c>
      <c r="K292" t="inlineStr">
        <is>
          <t>Pouldreuzic</t>
        </is>
      </c>
      <c r="L292" t="inlineStr">
        <is>
          <t>02 98 54 49 04</t>
        </is>
      </c>
      <c r="M292" s="4" t="inlineStr">
        <is>
          <t>info@cchpb.com</t>
        </is>
      </c>
      <c r="N292" s="4" t="inlineStr">
        <is>
          <t>https://www.cchpb.bzh/</t>
        </is>
      </c>
      <c r="O292" t="inlineStr"/>
      <c r="P292" s="4" t="inlineStr">
        <is>
          <t>https://lannuaire.service-public.gouv.fr/bretagne/finistere/cd3d6ae5-b973-404f-83bb-126822020b3d</t>
        </is>
      </c>
      <c r="Q292" t="inlineStr">
        <is>
          <t>Annuaire Service-public.fr</t>
        </is>
      </c>
      <c r="R292" t="inlineStr"/>
      <c r="S292" t="inlineStr"/>
      <c r="T292" t="inlineStr"/>
    </row>
    <row r="293">
      <c r="A293" t="inlineStr">
        <is>
          <t>CC du Pays Bigouden Sud</t>
        </is>
      </c>
      <c r="B293" t="inlineStr">
        <is>
          <t>Communauté de communes</t>
        </is>
      </c>
      <c r="C293" t="inlineStr">
        <is>
          <t>242900702</t>
        </is>
      </c>
      <c r="D293" t="inlineStr">
        <is>
          <t>29</t>
        </is>
      </c>
      <c r="E293" t="inlineStr">
        <is>
          <t>Finistère</t>
        </is>
      </c>
      <c r="F293" t="inlineStr">
        <is>
          <t>Bretagne</t>
        </is>
      </c>
      <c r="G293" s="3" t="n">
        <v>38259</v>
      </c>
      <c r="H293" t="n">
        <v>12</v>
      </c>
      <c r="I293" t="inlineStr">
        <is>
          <t>17 rue Raymonde-Folgoas-Guillou</t>
        </is>
      </c>
      <c r="J293" t="inlineStr">
        <is>
          <t>29120</t>
        </is>
      </c>
      <c r="K293" t="inlineStr">
        <is>
          <t>Pont-l'Abbé</t>
        </is>
      </c>
      <c r="L293" t="inlineStr">
        <is>
          <t>02 98 87 14 42</t>
        </is>
      </c>
      <c r="M293" s="4" t="inlineStr">
        <is>
          <t>contact@ccpbs.fr</t>
        </is>
      </c>
      <c r="N293" s="4" t="inlineStr">
        <is>
          <t>https://www.ccpbs.fr/</t>
        </is>
      </c>
      <c r="O293" s="4" t="inlineStr">
        <is>
          <t>https://www.ccpbs.fr/contact/</t>
        </is>
      </c>
      <c r="P293" s="4" t="inlineStr">
        <is>
          <t>https://lannuaire.service-public.gouv.fr/bretagne/finistere/e92faed0-6868-441a-90e6-b4bc91e6e5e2</t>
        </is>
      </c>
      <c r="Q293" t="inlineStr">
        <is>
          <t>Annuaire Service-public.fr</t>
        </is>
      </c>
      <c r="R293" t="inlineStr"/>
      <c r="S293" t="inlineStr"/>
      <c r="T293" t="inlineStr"/>
    </row>
    <row r="294">
      <c r="A294" t="inlineStr">
        <is>
          <t>CC du Pays Fouesnantais</t>
        </is>
      </c>
      <c r="B294" t="inlineStr">
        <is>
          <t>Communauté de communes</t>
        </is>
      </c>
      <c r="C294" t="inlineStr">
        <is>
          <t>242900660</t>
        </is>
      </c>
      <c r="D294" t="inlineStr">
        <is>
          <t>29</t>
        </is>
      </c>
      <c r="E294" t="inlineStr">
        <is>
          <t>Finistère</t>
        </is>
      </c>
      <c r="F294" t="inlineStr">
        <is>
          <t>Bretagne</t>
        </is>
      </c>
      <c r="G294" s="3" t="n">
        <v>29273</v>
      </c>
      <c r="H294" t="n">
        <v>7</v>
      </c>
      <c r="I294" t="inlineStr">
        <is>
          <t>11 espace Kérourgué</t>
        </is>
      </c>
      <c r="J294" t="inlineStr">
        <is>
          <t>29170</t>
        </is>
      </c>
      <c r="K294" t="inlineStr">
        <is>
          <t>Fouesnant</t>
        </is>
      </c>
      <c r="L294" t="inlineStr">
        <is>
          <t>02 98 51 61 27</t>
        </is>
      </c>
      <c r="M294" s="4" t="inlineStr">
        <is>
          <t>contact@cc-paysfouesnantais.fr</t>
        </is>
      </c>
      <c r="N294" s="4" t="inlineStr">
        <is>
          <t>https://www.cc-paysfouesnantais.fr/</t>
        </is>
      </c>
      <c r="O294" s="4" t="inlineStr">
        <is>
          <t>https://www.cc-paysfouesnantais.fr/systeme/contact/</t>
        </is>
      </c>
      <c r="P294" s="4" t="inlineStr">
        <is>
          <t>https://lannuaire.service-public.gouv.fr/bretagne/finistere/3ad0e9c5-1ecd-4fae-85d4-ab66c38857c1</t>
        </is>
      </c>
      <c r="Q294" t="inlineStr">
        <is>
          <t>Annuaire Service-public.fr</t>
        </is>
      </c>
      <c r="R294" t="inlineStr"/>
      <c r="S294" t="inlineStr"/>
      <c r="T294" t="inlineStr"/>
    </row>
    <row r="295">
      <c r="A295" t="inlineStr">
        <is>
          <t>CC du Pays d'Iroise</t>
        </is>
      </c>
      <c r="B295" t="inlineStr">
        <is>
          <t>Communauté de communes</t>
        </is>
      </c>
      <c r="C295" t="inlineStr">
        <is>
          <t>242900074</t>
        </is>
      </c>
      <c r="D295" t="inlineStr">
        <is>
          <t>29</t>
        </is>
      </c>
      <c r="E295" t="inlineStr">
        <is>
          <t>Finistère</t>
        </is>
      </c>
      <c r="F295" t="inlineStr">
        <is>
          <t>Bretagne</t>
        </is>
      </c>
      <c r="G295" s="3" t="n">
        <v>50017</v>
      </c>
      <c r="H295" t="n">
        <v>19</v>
      </c>
      <c r="I295" t="inlineStr">
        <is>
          <t>Zone de Kerdrioual</t>
        </is>
      </c>
      <c r="J295" t="inlineStr">
        <is>
          <t>29290</t>
        </is>
      </c>
      <c r="K295" t="inlineStr">
        <is>
          <t>Lanrivoaré</t>
        </is>
      </c>
      <c r="L295" t="inlineStr">
        <is>
          <t>02 98 84 28 65</t>
        </is>
      </c>
      <c r="M295" s="4" t="inlineStr">
        <is>
          <t>accueil@ccpi.bzh</t>
        </is>
      </c>
      <c r="N295" s="4" t="inlineStr">
        <is>
          <t>https://www.pays-iroise.bzh/</t>
        </is>
      </c>
      <c r="O295" s="4" t="inlineStr">
        <is>
          <t>https://www.pays-iroise.bzh/contact/</t>
        </is>
      </c>
      <c r="P295" s="4" t="inlineStr">
        <is>
          <t>https://lannuaire.service-public.gouv.fr/bretagne/finistere/c65b4648-b116-407c-9bca-559bd4d021f0</t>
        </is>
      </c>
      <c r="Q295" t="inlineStr">
        <is>
          <t>Annuaire Service-public.fr</t>
        </is>
      </c>
      <c r="R295" t="inlineStr"/>
      <c r="S295" t="inlineStr"/>
      <c r="T295" t="inlineStr"/>
    </row>
    <row r="296">
      <c r="A296" t="inlineStr">
        <is>
          <t>CC du Pays de Landivisiau</t>
        </is>
      </c>
      <c r="B296" t="inlineStr">
        <is>
          <t>Communauté de communes</t>
        </is>
      </c>
      <c r="C296" t="inlineStr">
        <is>
          <t>242900751</t>
        </is>
      </c>
      <c r="D296" t="inlineStr">
        <is>
          <t>29</t>
        </is>
      </c>
      <c r="E296" t="inlineStr">
        <is>
          <t>Finistère</t>
        </is>
      </c>
      <c r="F296" t="inlineStr">
        <is>
          <t>Bretagne</t>
        </is>
      </c>
      <c r="G296" s="3" t="n">
        <v>33667</v>
      </c>
      <c r="H296" t="n">
        <v>19</v>
      </c>
      <c r="I296" t="inlineStr">
        <is>
          <t>Rue Robert-Schumann</t>
        </is>
      </c>
      <c r="J296" t="inlineStr">
        <is>
          <t>29401</t>
        </is>
      </c>
      <c r="K296" t="inlineStr">
        <is>
          <t>Landivisiau</t>
        </is>
      </c>
      <c r="L296" t="inlineStr">
        <is>
          <t>02 98 68 42 41</t>
        </is>
      </c>
      <c r="M296" s="4" t="inlineStr">
        <is>
          <t>contact@paysdelandi.com</t>
        </is>
      </c>
      <c r="N296" s="4" t="inlineStr">
        <is>
          <t>https://www.paysdelandi.com/</t>
        </is>
      </c>
      <c r="O296" s="4" t="inlineStr">
        <is>
          <t>https://www.paysdelandi.com/contact/</t>
        </is>
      </c>
      <c r="P296" s="4" t="inlineStr">
        <is>
          <t>https://lannuaire.service-public.gouv.fr/bretagne/finistere/04041aa2-4bc8-4955-ac5b-e58a74a8c2ef</t>
        </is>
      </c>
      <c r="Q296" t="inlineStr">
        <is>
          <t>Annuaire Service-public.fr</t>
        </is>
      </c>
      <c r="R296" t="inlineStr"/>
      <c r="S296" t="inlineStr"/>
      <c r="T296" t="inlineStr"/>
    </row>
    <row r="297">
      <c r="A297" t="inlineStr">
        <is>
          <t>CC du Pays des Abers</t>
        </is>
      </c>
      <c r="B297" t="inlineStr">
        <is>
          <t>Communauté de communes</t>
        </is>
      </c>
      <c r="C297" t="inlineStr">
        <is>
          <t>242900553</t>
        </is>
      </c>
      <c r="D297" t="inlineStr">
        <is>
          <t>29</t>
        </is>
      </c>
      <c r="E297" t="inlineStr">
        <is>
          <t>Finistère</t>
        </is>
      </c>
      <c r="F297" t="inlineStr">
        <is>
          <t>Bretagne</t>
        </is>
      </c>
      <c r="G297" s="3" t="n">
        <v>42029</v>
      </c>
      <c r="H297" t="n">
        <v>13</v>
      </c>
      <c r="I297" t="inlineStr">
        <is>
          <t>58 avenue de Waltenhofen</t>
        </is>
      </c>
      <c r="J297" t="inlineStr">
        <is>
          <t>29860</t>
        </is>
      </c>
      <c r="K297" t="inlineStr">
        <is>
          <t>Plabennec</t>
        </is>
      </c>
      <c r="L297" t="inlineStr">
        <is>
          <t>02 98 37 66 00</t>
        </is>
      </c>
      <c r="M297" s="4" t="inlineStr">
        <is>
          <t>accueil@pays-des-abers.fr</t>
        </is>
      </c>
      <c r="N297" s="4" t="inlineStr">
        <is>
          <t>https://www.paysdesabers.bzh/</t>
        </is>
      </c>
      <c r="O297" s="4" t="inlineStr">
        <is>
          <t>https://www.paysdesabers.bzh/nous-contacter/</t>
        </is>
      </c>
      <c r="P297" s="4" t="inlineStr">
        <is>
          <t>https://lannuaire.service-public.gouv.fr/bretagne/finistere/208fa09e-2745-4d85-9c4a-92d799f0982f</t>
        </is>
      </c>
      <c r="Q297" t="inlineStr">
        <is>
          <t>Annuaire Service-public.fr</t>
        </is>
      </c>
      <c r="R297" t="inlineStr"/>
      <c r="S297" t="inlineStr"/>
      <c r="T297" t="inlineStr"/>
    </row>
    <row r="298">
      <c r="A298" t="inlineStr">
        <is>
          <t>CC Celavu-Prunelli</t>
        </is>
      </c>
      <c r="B298" t="inlineStr">
        <is>
          <t>Communauté de communes</t>
        </is>
      </c>
      <c r="C298" t="inlineStr">
        <is>
          <t>242000503</t>
        </is>
      </c>
      <c r="D298" t="inlineStr">
        <is>
          <t>2A</t>
        </is>
      </c>
      <c r="E298" t="inlineStr">
        <is>
          <t>Corse-du-Sud</t>
        </is>
      </c>
      <c r="F298" t="inlineStr">
        <is>
          <t>Corse</t>
        </is>
      </c>
      <c r="G298" s="3" t="n">
        <v>9246</v>
      </c>
      <c r="H298" t="n">
        <v>10</v>
      </c>
      <c r="I298" t="inlineStr">
        <is>
          <t>Fontanaccia</t>
        </is>
      </c>
      <c r="J298" t="inlineStr">
        <is>
          <t>20129</t>
        </is>
      </c>
      <c r="K298" t="inlineStr">
        <is>
          <t>Bastelicaesia</t>
        </is>
      </c>
      <c r="L298" t="inlineStr">
        <is>
          <t>04 95 29 19 40</t>
        </is>
      </c>
      <c r="M298" s="4" t="inlineStr">
        <is>
          <t>contact@celavu-prunelli.fr</t>
        </is>
      </c>
      <c r="N298" s="4" t="inlineStr">
        <is>
          <t>https://celavu-prunelli.fr/</t>
        </is>
      </c>
      <c r="O298" t="inlineStr"/>
      <c r="P298" s="4" t="inlineStr">
        <is>
          <t>https://lannuaire.service-public.gouv.fr/corse/corse-du-sud/b764278d-67b6-4e7e-8061-efb9f8670b51</t>
        </is>
      </c>
      <c r="Q298" t="inlineStr">
        <is>
          <t>Annuaire Service-public.fr</t>
        </is>
      </c>
      <c r="R298" t="inlineStr"/>
      <c r="S298" t="inlineStr"/>
      <c r="T298" t="inlineStr"/>
    </row>
    <row r="299">
      <c r="A299" t="inlineStr">
        <is>
          <t>CC Spelunca-Liamone</t>
        </is>
      </c>
      <c r="B299" t="inlineStr">
        <is>
          <t>Communauté de communes</t>
        </is>
      </c>
      <c r="C299" t="inlineStr">
        <is>
          <t>200067049</t>
        </is>
      </c>
      <c r="D299" t="inlineStr">
        <is>
          <t>2A</t>
        </is>
      </c>
      <c r="E299" t="inlineStr">
        <is>
          <t>Corse-du-Sud</t>
        </is>
      </c>
      <c r="F299" t="inlineStr">
        <is>
          <t>Corse</t>
        </is>
      </c>
      <c r="G299" s="3" t="n">
        <v>7815</v>
      </c>
      <c r="H299" t="n">
        <v>33</v>
      </c>
      <c r="I299" t="inlineStr">
        <is>
          <t>Route du Couvent</t>
        </is>
      </c>
      <c r="J299" t="inlineStr">
        <is>
          <t>20160</t>
        </is>
      </c>
      <c r="K299" t="inlineStr">
        <is>
          <t>Vico</t>
        </is>
      </c>
      <c r="L299" t="inlineStr">
        <is>
          <t>04 95 25 12 16</t>
        </is>
      </c>
      <c r="M299" s="4" t="inlineStr">
        <is>
          <t>contact@spelunca-liamone.corsica</t>
        </is>
      </c>
      <c r="N299" s="4" t="inlineStr">
        <is>
          <t>https://spelunca-liamone.corsica/</t>
        </is>
      </c>
      <c r="O299" s="4" t="inlineStr">
        <is>
          <t>https://spelunca-liamone.corsica/contact/</t>
        </is>
      </c>
      <c r="P299" s="4" t="inlineStr">
        <is>
          <t>https://lannuaire.service-public.gouv.fr/corse/corse-du-sud/b720ee0f-73aa-49ac-b317-c8a4a5f75fdc</t>
        </is>
      </c>
      <c r="Q299" t="inlineStr">
        <is>
          <t>Annuaire Service-public.fr</t>
        </is>
      </c>
      <c r="R299" t="inlineStr"/>
      <c r="S299" t="inlineStr"/>
      <c r="T299" t="inlineStr"/>
    </row>
    <row r="300">
      <c r="A300" t="inlineStr">
        <is>
          <t>CC de l'Alta Rocca</t>
        </is>
      </c>
      <c r="B300" t="inlineStr">
        <is>
          <t>Communauté de communes</t>
        </is>
      </c>
      <c r="C300" t="inlineStr">
        <is>
          <t>242000495</t>
        </is>
      </c>
      <c r="D300" t="inlineStr">
        <is>
          <t>2A</t>
        </is>
      </c>
      <c r="E300" t="inlineStr">
        <is>
          <t>Corse-du-Sud</t>
        </is>
      </c>
      <c r="F300" t="inlineStr">
        <is>
          <t>Corse</t>
        </is>
      </c>
      <c r="G300" s="3" t="n">
        <v>8795</v>
      </c>
      <c r="H300" t="n">
        <v>18</v>
      </c>
      <c r="I300" t="inlineStr">
        <is>
          <t>Rue Sorba</t>
        </is>
      </c>
      <c r="J300" t="inlineStr">
        <is>
          <t>20170</t>
        </is>
      </c>
      <c r="K300" t="inlineStr">
        <is>
          <t>Levie</t>
        </is>
      </c>
      <c r="L300" t="inlineStr">
        <is>
          <t>04 95 78 47 93</t>
        </is>
      </c>
      <c r="M300" s="4" t="inlineStr">
        <is>
          <t>secretariat@alta-rocca.com</t>
        </is>
      </c>
      <c r="N300" s="4" t="inlineStr">
        <is>
          <t>https://www.alta-rocca.com/</t>
        </is>
      </c>
      <c r="O300" s="4" t="inlineStr">
        <is>
          <t>https://www.alta-rocca.com/alta-rocca-corse/102-alta-rocca-contact.html</t>
        </is>
      </c>
      <c r="P300" s="4" t="inlineStr">
        <is>
          <t>https://lannuaire.service-public.gouv.fr/corse/corse-du-sud/00b4106d-21c4-4544-a4e8-2cd16e80491e</t>
        </is>
      </c>
      <c r="Q300" t="inlineStr">
        <is>
          <t>Annuaire Service-public.fr</t>
        </is>
      </c>
      <c r="R300" t="inlineStr"/>
      <c r="S300" t="inlineStr"/>
      <c r="T300" t="inlineStr"/>
    </row>
    <row r="301">
      <c r="A301" t="inlineStr">
        <is>
          <t>CC de la Pieve de l'Ornano et du Taravo</t>
        </is>
      </c>
      <c r="B301" t="inlineStr">
        <is>
          <t>Communauté de communes</t>
        </is>
      </c>
      <c r="C301" t="inlineStr">
        <is>
          <t>200038958</t>
        </is>
      </c>
      <c r="D301" t="inlineStr">
        <is>
          <t>2A</t>
        </is>
      </c>
      <c r="E301" t="inlineStr">
        <is>
          <t>Corse-du-Sud</t>
        </is>
      </c>
      <c r="F301" t="inlineStr">
        <is>
          <t>Corse</t>
        </is>
      </c>
      <c r="G301" s="3" t="n">
        <v>13293</v>
      </c>
      <c r="H301" t="n">
        <v>28</v>
      </c>
      <c r="I301" t="inlineStr">
        <is>
          <t>428 boulevard Marie-Jeanne-Bozzi</t>
        </is>
      </c>
      <c r="J301" t="inlineStr">
        <is>
          <t>20166</t>
        </is>
      </c>
      <c r="K301" t="inlineStr">
        <is>
          <t>Porticcio</t>
        </is>
      </c>
      <c r="L301" t="inlineStr">
        <is>
          <t>04 95 23 02 00</t>
        </is>
      </c>
      <c r="M301" s="4" t="inlineStr">
        <is>
          <t>contact@pieveornano.com</t>
        </is>
      </c>
      <c r="N301" s="4" t="inlineStr">
        <is>
          <t>http://www.pieveornano.fr</t>
        </is>
      </c>
      <c r="O301" t="inlineStr"/>
      <c r="P301" s="4" t="inlineStr">
        <is>
          <t>https://lannuaire.service-public.gouv.fr/corse/corse-du-sud/18dd9f65-b530-4234-ad37-d05777b788e0</t>
        </is>
      </c>
      <c r="Q301" t="inlineStr">
        <is>
          <t>Annuaire Service-public.fr</t>
        </is>
      </c>
      <c r="R301" t="inlineStr"/>
      <c r="S301" t="inlineStr"/>
      <c r="T301" t="inlineStr"/>
    </row>
    <row r="302">
      <c r="A302" t="inlineStr">
        <is>
          <t>CC du Sartenais Valinco Taravo</t>
        </is>
      </c>
      <c r="B302" t="inlineStr">
        <is>
          <t>Communauté de communes</t>
        </is>
      </c>
      <c r="C302" t="inlineStr">
        <is>
          <t>242010130</t>
        </is>
      </c>
      <c r="D302" t="inlineStr">
        <is>
          <t>2A</t>
        </is>
      </c>
      <c r="E302" t="inlineStr">
        <is>
          <t>Corse-du-Sud</t>
        </is>
      </c>
      <c r="F302" t="inlineStr">
        <is>
          <t>Corse</t>
        </is>
      </c>
      <c r="G302" s="3" t="n">
        <v>12351</v>
      </c>
      <c r="H302" t="n">
        <v>18</v>
      </c>
      <c r="I302" t="inlineStr">
        <is>
          <t>Avenue Napoléon-III, Maison des douaniers</t>
        </is>
      </c>
      <c r="J302" t="inlineStr">
        <is>
          <t>20110</t>
        </is>
      </c>
      <c r="K302" t="inlineStr">
        <is>
          <t>Propriano</t>
        </is>
      </c>
      <c r="L302" t="inlineStr">
        <is>
          <t>04 95 20 06 34</t>
        </is>
      </c>
      <c r="M302" s="4" t="inlineStr">
        <is>
          <t>contact@sartenaisvalinco.fr</t>
        </is>
      </c>
      <c r="N302" s="4" t="inlineStr">
        <is>
          <t>https://ccsvt.fr/</t>
        </is>
      </c>
      <c r="O302" s="4" t="inlineStr">
        <is>
          <t>https://ccsvt.fr/contact/</t>
        </is>
      </c>
      <c r="P302" s="4" t="inlineStr">
        <is>
          <t>https://lannuaire.service-public.gouv.fr/corse/corse-du-sud/e81b8541-ddc0-4427-bf10-c6e28460368f</t>
        </is>
      </c>
      <c r="Q302" t="inlineStr">
        <is>
          <t>Annuaire Service-public.fr</t>
        </is>
      </c>
      <c r="R302" t="inlineStr"/>
      <c r="S302" t="inlineStr"/>
      <c r="T302" t="inlineStr"/>
    </row>
    <row r="303">
      <c r="A303" t="inlineStr">
        <is>
          <t>CC du Sud Corse</t>
        </is>
      </c>
      <c r="B303" t="inlineStr">
        <is>
          <t>Communauté de communes</t>
        </is>
      </c>
      <c r="C303" t="inlineStr">
        <is>
          <t>200040764</t>
        </is>
      </c>
      <c r="D303" t="inlineStr">
        <is>
          <t>2A</t>
        </is>
      </c>
      <c r="E303" t="inlineStr">
        <is>
          <t>Corse-du-Sud</t>
        </is>
      </c>
      <c r="F303" t="inlineStr">
        <is>
          <t>Corse</t>
        </is>
      </c>
      <c r="G303" s="3" t="n">
        <v>21779</v>
      </c>
      <c r="H303" t="n">
        <v>7</v>
      </c>
      <c r="I303" t="inlineStr">
        <is>
          <t>Rue du Maréchal-Juin, Immeuble Le Sphinx, CS 945</t>
        </is>
      </c>
      <c r="J303" t="inlineStr">
        <is>
          <t>20538</t>
        </is>
      </c>
      <c r="K303" t="inlineStr">
        <is>
          <t>Porto-Vecchio Cedex</t>
        </is>
      </c>
      <c r="L303" t="inlineStr">
        <is>
          <t>04 95 70 73 43</t>
        </is>
      </c>
      <c r="M303" s="4" t="inlineStr">
        <is>
          <t>secretariat.general@cc-sudcorse.fr</t>
        </is>
      </c>
      <c r="N303" s="4" t="inlineStr">
        <is>
          <t>https://www.cc-sudcorse.fr</t>
        </is>
      </c>
      <c r="O303" s="4" t="inlineStr">
        <is>
          <t>https://cc-sudcorse.fr/contactez-nous/</t>
        </is>
      </c>
      <c r="P303" s="4" t="inlineStr">
        <is>
          <t>https://lannuaire.service-public.gouv.fr/corse/corse-du-sud/e18ba497-a79c-4387-b84d-cb47dfec32b3</t>
        </is>
      </c>
      <c r="Q303" t="inlineStr">
        <is>
          <t>Annuaire Service-public.fr</t>
        </is>
      </c>
      <c r="R303" t="inlineStr"/>
      <c r="S303" t="inlineStr"/>
      <c r="T303" t="inlineStr"/>
    </row>
    <row r="304">
      <c r="A304" t="inlineStr">
        <is>
          <t>CC Nebbiu - Conca d'Oro</t>
        </is>
      </c>
      <c r="B304" t="inlineStr">
        <is>
          <t>Communauté de communes</t>
        </is>
      </c>
      <c r="C304" t="inlineStr">
        <is>
          <t>200073120</t>
        </is>
      </c>
      <c r="D304" t="inlineStr">
        <is>
          <t>2B</t>
        </is>
      </c>
      <c r="E304" t="inlineStr">
        <is>
          <t>Haute-Corse</t>
        </is>
      </c>
      <c r="F304" t="inlineStr">
        <is>
          <t>Corse</t>
        </is>
      </c>
      <c r="G304" s="3" t="n">
        <v>7783</v>
      </c>
      <c r="H304" t="n">
        <v>15</v>
      </c>
      <c r="I304" t="inlineStr">
        <is>
          <t>Bâtiment administratif</t>
        </is>
      </c>
      <c r="J304" t="inlineStr">
        <is>
          <t>20217</t>
        </is>
      </c>
      <c r="K304" t="inlineStr">
        <is>
          <t>Saint-Florent</t>
        </is>
      </c>
      <c r="L304" t="inlineStr">
        <is>
          <t>04 95 36 07 69</t>
        </is>
      </c>
      <c r="M304" s="4" t="inlineStr">
        <is>
          <t>ccnebbiuconcadoru@orange.fr</t>
        </is>
      </c>
      <c r="N304" s="4" t="inlineStr">
        <is>
          <t>https://www.ccnebbiuconcadoru.com/</t>
        </is>
      </c>
      <c r="O304" s="4" t="inlineStr">
        <is>
          <t>https://www.ccnebbiuconcadoru.com/fr/contact</t>
        </is>
      </c>
      <c r="P304" s="4" t="inlineStr">
        <is>
          <t>https://lannuaire.service-public.gouv.fr/corse/haute-corse/32c1cb96-ff43-4796-9165-0e2826247bf0</t>
        </is>
      </c>
      <c r="Q304" t="inlineStr">
        <is>
          <t>Annuaire Service-public.fr</t>
        </is>
      </c>
      <c r="R304" t="inlineStr"/>
      <c r="S304" t="inlineStr"/>
      <c r="T304" t="inlineStr"/>
    </row>
    <row r="305">
      <c r="A305" t="inlineStr">
        <is>
          <t>CC Pasquale Paoli</t>
        </is>
      </c>
      <c r="B305" t="inlineStr">
        <is>
          <t>Communauté de communes</t>
        </is>
      </c>
      <c r="C305" t="inlineStr">
        <is>
          <t>200073138</t>
        </is>
      </c>
      <c r="D305" t="inlineStr">
        <is>
          <t>2B</t>
        </is>
      </c>
      <c r="E305" t="inlineStr">
        <is>
          <t>Haute-Corse</t>
        </is>
      </c>
      <c r="F305" t="inlineStr">
        <is>
          <t>Corse</t>
        </is>
      </c>
      <c r="G305" s="3" t="n">
        <v>6117</v>
      </c>
      <c r="H305" t="n">
        <v>42</v>
      </c>
      <c r="I305" t="inlineStr">
        <is>
          <t>Site Prumtei</t>
        </is>
      </c>
      <c r="J305" t="inlineStr">
        <is>
          <t>20236</t>
        </is>
      </c>
      <c r="K305" t="inlineStr">
        <is>
          <t>Omessa</t>
        </is>
      </c>
      <c r="L305" t="inlineStr">
        <is>
          <t>04 95 32 34 08</t>
        </is>
      </c>
      <c r="M305" s="4" t="inlineStr">
        <is>
          <t>secretariat@cc-pasquale-paoli.corsica</t>
        </is>
      </c>
      <c r="N305" s="4" t="inlineStr">
        <is>
          <t>https://cc-pasquale-paoli.com/</t>
        </is>
      </c>
      <c r="O305" t="inlineStr"/>
      <c r="P305" s="4" t="inlineStr">
        <is>
          <t>https://lannuaire.service-public.gouv.fr/corse/haute-corse/cf033f3c-ffbb-49bc-a1c3-ac85f0d15059</t>
        </is>
      </c>
      <c r="Q305" t="inlineStr">
        <is>
          <t>Annuaire Service-public.fr</t>
        </is>
      </c>
      <c r="R305" t="inlineStr"/>
      <c r="S305" t="inlineStr"/>
      <c r="T305" t="inlineStr"/>
    </row>
    <row r="306">
      <c r="A306" t="inlineStr">
        <is>
          <t>CC de Calvi Balagne</t>
        </is>
      </c>
      <c r="B306" t="inlineStr">
        <is>
          <t>Communauté de communes</t>
        </is>
      </c>
      <c r="C306" t="inlineStr">
        <is>
          <t>242020105</t>
        </is>
      </c>
      <c r="D306" t="inlineStr">
        <is>
          <t>2B</t>
        </is>
      </c>
      <c r="E306" t="inlineStr">
        <is>
          <t>Haute-Corse</t>
        </is>
      </c>
      <c r="F306" t="inlineStr">
        <is>
          <t>Corse</t>
        </is>
      </c>
      <c r="G306" s="3" t="n">
        <v>12638</v>
      </c>
      <c r="H306" t="n">
        <v>14</v>
      </c>
      <c r="I306" t="inlineStr">
        <is>
          <t>4 bis avenue du Commandant-Marche</t>
        </is>
      </c>
      <c r="J306" t="inlineStr">
        <is>
          <t>20260</t>
        </is>
      </c>
      <c r="K306" t="inlineStr">
        <is>
          <t>Calvi</t>
        </is>
      </c>
      <c r="L306" t="inlineStr">
        <is>
          <t>04 95 62 88 41</t>
        </is>
      </c>
      <c r="M306" s="4" t="inlineStr">
        <is>
          <t>accueil@cc-calvi-balagne.fr</t>
        </is>
      </c>
      <c r="N306" s="4" t="inlineStr">
        <is>
          <t>http://www.cc-calvi-balagne.fr</t>
        </is>
      </c>
      <c r="O306" t="inlineStr"/>
      <c r="P306" s="4" t="inlineStr">
        <is>
          <t>https://lannuaire.service-public.gouv.fr/corse/haute-corse/32a788ac-44bc-4eeb-b724-0e271ff220d0</t>
        </is>
      </c>
      <c r="Q306" t="inlineStr">
        <is>
          <t>Annuaire Service-public.fr</t>
        </is>
      </c>
      <c r="R306" t="inlineStr"/>
      <c r="S306" t="inlineStr"/>
      <c r="T306" t="inlineStr"/>
    </row>
    <row r="307">
      <c r="A307" t="inlineStr">
        <is>
          <t>CC de Fium'Orbu Castellu</t>
        </is>
      </c>
      <c r="B307" t="inlineStr">
        <is>
          <t>Communauté de communes</t>
        </is>
      </c>
      <c r="C307" t="inlineStr">
        <is>
          <t>200033827</t>
        </is>
      </c>
      <c r="D307" t="inlineStr">
        <is>
          <t>2B</t>
        </is>
      </c>
      <c r="E307" t="inlineStr">
        <is>
          <t>Haute-Corse</t>
        </is>
      </c>
      <c r="F307" t="inlineStr">
        <is>
          <t>Corse</t>
        </is>
      </c>
      <c r="G307" s="3" t="n">
        <v>13280</v>
      </c>
      <c r="H307" t="n">
        <v>13</v>
      </c>
      <c r="I307" t="inlineStr">
        <is>
          <t>675 route de Ghisoni, Ghisonaccia</t>
        </is>
      </c>
      <c r="J307" t="inlineStr">
        <is>
          <t>20240</t>
        </is>
      </c>
      <c r="K307" t="inlineStr">
        <is>
          <t>Ghisonaccia</t>
        </is>
      </c>
      <c r="L307" t="inlineStr">
        <is>
          <t>04 95 56 10 10</t>
        </is>
      </c>
      <c r="M307" s="4" t="inlineStr">
        <is>
          <t>accueil@ccfc.corsica</t>
        </is>
      </c>
      <c r="N307" s="4" t="inlineStr">
        <is>
          <t>https://www.ccfiumorbucastellu.corsica/</t>
        </is>
      </c>
      <c r="O307" t="inlineStr"/>
      <c r="P307" s="4" t="inlineStr">
        <is>
          <t>https://lannuaire.service-public.gouv.fr/corse/haute-corse/a114e5df-17fa-4e20-acc2-7554cac94d8d</t>
        </is>
      </c>
      <c r="Q307" t="inlineStr">
        <is>
          <t>Annuaire Service-public.fr</t>
        </is>
      </c>
      <c r="R307" t="inlineStr"/>
      <c r="S307" t="inlineStr"/>
      <c r="T307" t="inlineStr"/>
    </row>
    <row r="308">
      <c r="A308" t="inlineStr">
        <is>
          <t>CC de Marana-Golo</t>
        </is>
      </c>
      <c r="B308" t="inlineStr">
        <is>
          <t>Communauté de communes</t>
        </is>
      </c>
      <c r="C308" t="inlineStr">
        <is>
          <t>200036499</t>
        </is>
      </c>
      <c r="D308" t="inlineStr">
        <is>
          <t>2B</t>
        </is>
      </c>
      <c r="E308" t="inlineStr">
        <is>
          <t>Haute-Corse</t>
        </is>
      </c>
      <c r="F308" t="inlineStr">
        <is>
          <t>Corse</t>
        </is>
      </c>
      <c r="G308" s="3" t="n">
        <v>25474</v>
      </c>
      <c r="H308" t="n">
        <v>10</v>
      </c>
      <c r="I308" t="inlineStr">
        <is>
          <t>2008 route de l'Aéroport</t>
        </is>
      </c>
      <c r="J308" t="inlineStr">
        <is>
          <t>20290</t>
        </is>
      </c>
      <c r="K308" t="inlineStr">
        <is>
          <t>Lucciana</t>
        </is>
      </c>
      <c r="L308" t="inlineStr">
        <is>
          <t>04 95 58 40 40</t>
        </is>
      </c>
      <c r="M308" s="4" t="inlineStr">
        <is>
          <t>contact@maranagolo.org</t>
        </is>
      </c>
      <c r="N308" s="4" t="inlineStr">
        <is>
          <t>https://maranagolo.org</t>
        </is>
      </c>
      <c r="O308" t="inlineStr"/>
      <c r="P308" s="4" t="inlineStr">
        <is>
          <t>https://lannuaire.service-public.gouv.fr/corse/haute-corse/32a84c9a-b6c6-4406-bbb8-cfed4b0d2526</t>
        </is>
      </c>
      <c r="Q308" t="inlineStr">
        <is>
          <t>Annuaire Service-public.fr</t>
        </is>
      </c>
      <c r="R308" t="inlineStr"/>
      <c r="S308" t="inlineStr"/>
      <c r="T308" t="inlineStr"/>
    </row>
    <row r="309">
      <c r="A309" t="inlineStr">
        <is>
          <t>CC de l'Ile-Rousse - Balagne</t>
        </is>
      </c>
      <c r="B309" t="inlineStr">
        <is>
          <t>Communauté de communes</t>
        </is>
      </c>
      <c r="C309" t="inlineStr">
        <is>
          <t>200073104</t>
        </is>
      </c>
      <c r="D309" t="inlineStr">
        <is>
          <t>2B</t>
        </is>
      </c>
      <c r="E309" t="inlineStr">
        <is>
          <t>Haute-Corse</t>
        </is>
      </c>
      <c r="F309" t="inlineStr">
        <is>
          <t>Corse</t>
        </is>
      </c>
      <c r="G309" s="3" t="n">
        <v>10982</v>
      </c>
      <c r="H309" t="n">
        <v>22</v>
      </c>
      <c r="I309" t="inlineStr">
        <is>
          <t>Lieu-dit E-Padule</t>
        </is>
      </c>
      <c r="J309" t="inlineStr">
        <is>
          <t>20220</t>
        </is>
      </c>
      <c r="K309" t="inlineStr">
        <is>
          <t>L'Île-Rousse</t>
        </is>
      </c>
      <c r="L309" t="inlineStr">
        <is>
          <t>04 95 46 31 34</t>
        </is>
      </c>
      <c r="M309" s="4" t="inlineStr">
        <is>
          <t>contact@ccirb.fr</t>
        </is>
      </c>
      <c r="N309" s="4" t="inlineStr">
        <is>
          <t>https://www.lisula-balagna.fr/</t>
        </is>
      </c>
      <c r="O309" s="4" t="inlineStr">
        <is>
          <t>https://www.lisula-balagna.fr/contact/</t>
        </is>
      </c>
      <c r="P309" s="4" t="inlineStr">
        <is>
          <t>https://lannuaire.service-public.gouv.fr/corse/haute-corse/6fa48813-8b77-40fe-856a-0e577a814cc0</t>
        </is>
      </c>
      <c r="Q309" t="inlineStr">
        <is>
          <t>Annuaire Service-public.fr</t>
        </is>
      </c>
      <c r="R309" t="inlineStr"/>
      <c r="S309" t="inlineStr"/>
      <c r="T309" t="inlineStr"/>
    </row>
    <row r="310">
      <c r="A310" t="inlineStr">
        <is>
          <t>CC de l'Oriente</t>
        </is>
      </c>
      <c r="B310" t="inlineStr">
        <is>
          <t>Communauté de communes</t>
        </is>
      </c>
      <c r="C310" t="inlineStr">
        <is>
          <t>200015162</t>
        </is>
      </c>
      <c r="D310" t="inlineStr">
        <is>
          <t>2B</t>
        </is>
      </c>
      <c r="E310" t="inlineStr">
        <is>
          <t>Haute-Corse</t>
        </is>
      </c>
      <c r="F310" t="inlineStr">
        <is>
          <t>Corse</t>
        </is>
      </c>
      <c r="G310" s="3" t="n">
        <v>6173</v>
      </c>
      <c r="H310" t="n">
        <v>22</v>
      </c>
      <c r="I310" t="inlineStr">
        <is>
          <t>15 cours Charles-Jean-Sarocchi, Cateraggio</t>
        </is>
      </c>
      <c r="J310" t="inlineStr">
        <is>
          <t>20270</t>
        </is>
      </c>
      <c r="K310" t="inlineStr">
        <is>
          <t>Aléria</t>
        </is>
      </c>
      <c r="L310" t="inlineStr">
        <is>
          <t>04 95 57 97 63</t>
        </is>
      </c>
      <c r="M310" s="4" t="inlineStr">
        <is>
          <t>comcomoriente@orange.fr</t>
        </is>
      </c>
      <c r="N310" t="inlineStr"/>
      <c r="O310" s="4" t="inlineStr">
        <is>
          <t>https://oriente.fr/contact-us.html</t>
        </is>
      </c>
      <c r="P310" s="4" t="inlineStr">
        <is>
          <t>https://lannuaire.service-public.gouv.fr/corse/haute-corse/386a0331-ef71-42a2-a361-3dd3e6c1498e</t>
        </is>
      </c>
      <c r="Q310" t="inlineStr">
        <is>
          <t>Annuaire Service-public.fr</t>
        </is>
      </c>
      <c r="R310" t="inlineStr"/>
      <c r="S310" t="inlineStr"/>
      <c r="T310" t="inlineStr"/>
    </row>
    <row r="311">
      <c r="A311" t="inlineStr">
        <is>
          <t>CC de la Castagniccia-Casinca</t>
        </is>
      </c>
      <c r="B311" t="inlineStr">
        <is>
          <t>Communauté de communes</t>
        </is>
      </c>
      <c r="C311" t="inlineStr">
        <is>
          <t>200073252</t>
        </is>
      </c>
      <c r="D311" t="inlineStr">
        <is>
          <t>2B</t>
        </is>
      </c>
      <c r="E311" t="inlineStr">
        <is>
          <t>Haute-Corse</t>
        </is>
      </c>
      <c r="F311" t="inlineStr">
        <is>
          <t>Corse</t>
        </is>
      </c>
      <c r="G311" s="3" t="n">
        <v>13304</v>
      </c>
      <c r="H311" t="n">
        <v>42</v>
      </c>
      <c r="I311" t="inlineStr">
        <is>
          <t>Route du Stade</t>
        </is>
      </c>
      <c r="J311" t="inlineStr">
        <is>
          <t>20215</t>
        </is>
      </c>
      <c r="K311" t="inlineStr">
        <is>
          <t>Vescovato</t>
        </is>
      </c>
      <c r="L311" t="inlineStr">
        <is>
          <t>04 95 30 61 09</t>
        </is>
      </c>
      <c r="M311" s="4" t="inlineStr">
        <is>
          <t>contact@castagnicciacasinca.fr</t>
        </is>
      </c>
      <c r="N311" s="4" t="inlineStr">
        <is>
          <t>https://www.castagnicciacasinca.fr/</t>
        </is>
      </c>
      <c r="O311" s="4" t="inlineStr">
        <is>
          <t>https://www.castagnicciacasinca.fr/fr/contact</t>
        </is>
      </c>
      <c r="P311" s="4" t="inlineStr">
        <is>
          <t>https://lannuaire.service-public.gouv.fr/corse/haute-corse/9c532bbb-6022-49b7-9b78-0ef18c4ca944</t>
        </is>
      </c>
      <c r="Q311" t="inlineStr">
        <is>
          <t>Annuaire Service-public.fr</t>
        </is>
      </c>
      <c r="R311" t="inlineStr"/>
      <c r="S311" t="inlineStr"/>
      <c r="T311" t="inlineStr"/>
    </row>
    <row r="312">
      <c r="A312" t="inlineStr">
        <is>
          <t>CC de la Costa Verde</t>
        </is>
      </c>
      <c r="B312" t="inlineStr">
        <is>
          <t>Communauté de communes</t>
        </is>
      </c>
      <c r="C312" t="inlineStr">
        <is>
          <t>200034205</t>
        </is>
      </c>
      <c r="D312" t="inlineStr">
        <is>
          <t>2B</t>
        </is>
      </c>
      <c r="E312" t="inlineStr">
        <is>
          <t>Haute-Corse</t>
        </is>
      </c>
      <c r="F312" t="inlineStr">
        <is>
          <t>Corse</t>
        </is>
      </c>
      <c r="G312" s="3" t="n">
        <v>10939</v>
      </c>
      <c r="H312" t="n">
        <v>23</v>
      </c>
      <c r="I312" t="inlineStr">
        <is>
          <t>430 route de Moriani, Maison du développement</t>
        </is>
      </c>
      <c r="J312" t="inlineStr">
        <is>
          <t>20230</t>
        </is>
      </c>
      <c r="K312" t="inlineStr">
        <is>
          <t>San-Nicolao</t>
        </is>
      </c>
      <c r="L312" t="inlineStr">
        <is>
          <t>04 95 38 47 39</t>
        </is>
      </c>
      <c r="M312" s="4" t="inlineStr">
        <is>
          <t>contact@costa-verde.fr</t>
        </is>
      </c>
      <c r="N312" s="4" t="inlineStr">
        <is>
          <t>https://www.costa-verde.fr/</t>
        </is>
      </c>
      <c r="O312" s="4" t="inlineStr">
        <is>
          <t>https://www.costa-verde.fr/contact/</t>
        </is>
      </c>
      <c r="P312" s="4" t="inlineStr">
        <is>
          <t>https://lannuaire.service-public.gouv.fr/corse/haute-corse/bb923067-a595-4667-8806-92071602554b</t>
        </is>
      </c>
      <c r="Q312" t="inlineStr">
        <is>
          <t>Annuaire Service-public.fr</t>
        </is>
      </c>
      <c r="R312" t="inlineStr"/>
      <c r="S312" t="inlineStr"/>
      <c r="T312" t="inlineStr"/>
    </row>
    <row r="313">
      <c r="A313" t="inlineStr">
        <is>
          <t>CC du Cap Corse</t>
        </is>
      </c>
      <c r="B313" t="inlineStr">
        <is>
          <t>Communauté de communes</t>
        </is>
      </c>
      <c r="C313" t="inlineStr">
        <is>
          <t>200042943</t>
        </is>
      </c>
      <c r="D313" t="inlineStr">
        <is>
          <t>2B</t>
        </is>
      </c>
      <c r="E313" t="inlineStr">
        <is>
          <t>Haute-Corse</t>
        </is>
      </c>
      <c r="F313" t="inlineStr">
        <is>
          <t>Corse</t>
        </is>
      </c>
      <c r="G313" s="3" t="n">
        <v>6607</v>
      </c>
      <c r="H313" t="n">
        <v>18</v>
      </c>
      <c r="I313" t="inlineStr">
        <is>
          <t>Résidence Les Jardins d'Erbalonga, Bâtiment A et B, U Campu</t>
        </is>
      </c>
      <c r="J313" t="inlineStr">
        <is>
          <t>20222</t>
        </is>
      </c>
      <c r="K313" t="inlineStr">
        <is>
          <t>Brando</t>
        </is>
      </c>
      <c r="L313" t="inlineStr">
        <is>
          <t>04 95 31 02 32</t>
        </is>
      </c>
      <c r="M313" s="4" t="inlineStr">
        <is>
          <t>contact@cc-capcorse.corsica</t>
        </is>
      </c>
      <c r="N313" s="4" t="inlineStr">
        <is>
          <t>https://destination-cap-corse.corsica/</t>
        </is>
      </c>
      <c r="O313" s="4" t="inlineStr">
        <is>
          <t>https://destination-cap-corse.corsica/contact/</t>
        </is>
      </c>
      <c r="P313" s="4" t="inlineStr">
        <is>
          <t>https://lannuaire.service-public.gouv.fr/corse/haute-corse/48580546-1e0c-43df-b7ac-1d2c13b2175e</t>
        </is>
      </c>
      <c r="Q313" t="inlineStr">
        <is>
          <t>Annuaire Service-public.fr</t>
        </is>
      </c>
      <c r="R313" t="inlineStr"/>
      <c r="S313" t="inlineStr"/>
      <c r="T313" t="inlineStr"/>
    </row>
    <row r="314">
      <c r="A314" t="inlineStr">
        <is>
          <t>CC du Centre Corse</t>
        </is>
      </c>
      <c r="B314" t="inlineStr">
        <is>
          <t>Communauté de communes</t>
        </is>
      </c>
      <c r="C314" t="inlineStr">
        <is>
          <t>242020071</t>
        </is>
      </c>
      <c r="D314" t="inlineStr">
        <is>
          <t>2B</t>
        </is>
      </c>
      <c r="E314" t="inlineStr">
        <is>
          <t>Haute-Corse</t>
        </is>
      </c>
      <c r="F314" t="inlineStr">
        <is>
          <t>Corse</t>
        </is>
      </c>
      <c r="G314" s="3" t="n">
        <v>10014</v>
      </c>
      <c r="H314" t="n">
        <v>10</v>
      </c>
      <c r="I314" t="inlineStr">
        <is>
          <t>ZA RT 50</t>
        </is>
      </c>
      <c r="J314" t="inlineStr">
        <is>
          <t>20250</t>
        </is>
      </c>
      <c r="K314" t="inlineStr">
        <is>
          <t>Corte</t>
        </is>
      </c>
      <c r="L314" t="inlineStr">
        <is>
          <t>04 95 47 04 04</t>
        </is>
      </c>
      <c r="M314" s="4" t="inlineStr">
        <is>
          <t>accueil@cccentre-corse.fr</t>
        </is>
      </c>
      <c r="N314" s="4" t="inlineStr">
        <is>
          <t>https://www.centre-corse.com/</t>
        </is>
      </c>
      <c r="O314" t="inlineStr"/>
      <c r="P314" s="4" t="inlineStr">
        <is>
          <t>https://lannuaire.service-public.gouv.fr/corse/haute-corse/3b92c86f-db67-49c1-bf92-7ac679c7482e</t>
        </is>
      </c>
      <c r="Q314" t="inlineStr">
        <is>
          <t>Annuaire Service-public.fr</t>
        </is>
      </c>
      <c r="R314" t="inlineStr"/>
      <c r="S314" t="inlineStr"/>
      <c r="T314" t="inlineStr"/>
    </row>
    <row r="315">
      <c r="A315" t="inlineStr">
        <is>
          <t>CC Beaucaire Terre d'Argence</t>
        </is>
      </c>
      <c r="B315" t="inlineStr">
        <is>
          <t>Communauté de communes</t>
        </is>
      </c>
      <c r="C315" t="inlineStr">
        <is>
          <t>243000585</t>
        </is>
      </c>
      <c r="D315" t="inlineStr">
        <is>
          <t>30</t>
        </is>
      </c>
      <c r="E315" t="inlineStr">
        <is>
          <t>Gard</t>
        </is>
      </c>
      <c r="F315" t="inlineStr">
        <is>
          <t>Occitanie</t>
        </is>
      </c>
      <c r="G315" s="3" t="n">
        <v>31587</v>
      </c>
      <c r="H315" t="n">
        <v>5</v>
      </c>
      <c r="I315" t="inlineStr">
        <is>
          <t>1 avenue de la Croix-Blanche</t>
        </is>
      </c>
      <c r="J315" t="inlineStr">
        <is>
          <t>30300</t>
        </is>
      </c>
      <c r="K315" t="inlineStr">
        <is>
          <t>Beaucaire</t>
        </is>
      </c>
      <c r="L315" t="inlineStr">
        <is>
          <t>04 66 59 54 54</t>
        </is>
      </c>
      <c r="M315" s="4" t="inlineStr">
        <is>
          <t>contact@laterredargence.fr</t>
        </is>
      </c>
      <c r="N315" s="4" t="inlineStr">
        <is>
          <t>http://www.laterredargence.fr</t>
        </is>
      </c>
      <c r="O315" t="inlineStr"/>
      <c r="P315" s="4" t="inlineStr">
        <is>
          <t>https://lannuaire.service-public.gouv.fr/occitanie/gard/5c55bac6-ee9d-4bbd-9eff-86a1c2ef4670</t>
        </is>
      </c>
      <c r="Q315" t="inlineStr">
        <is>
          <t>Annuaire Service-public.fr</t>
        </is>
      </c>
      <c r="R315" t="inlineStr"/>
      <c r="S315" t="inlineStr"/>
      <c r="T315" t="inlineStr"/>
    </row>
    <row r="316">
      <c r="A316" t="inlineStr">
        <is>
          <t>CC Causses Aigoual Cévennes</t>
        </is>
      </c>
      <c r="B316" t="inlineStr">
        <is>
          <t>Communauté de communes</t>
        </is>
      </c>
      <c r="C316" t="inlineStr">
        <is>
          <t>200034601</t>
        </is>
      </c>
      <c r="D316" t="inlineStr">
        <is>
          <t>30</t>
        </is>
      </c>
      <c r="E316" t="inlineStr">
        <is>
          <t>Gard</t>
        </is>
      </c>
      <c r="F316" t="inlineStr">
        <is>
          <t>Occitanie</t>
        </is>
      </c>
      <c r="G316" s="3" t="n">
        <v>5391</v>
      </c>
      <c r="H316" t="n">
        <v>15</v>
      </c>
      <c r="I316" t="inlineStr">
        <is>
          <t>83 avenue Georges Fabre, L'Ésperou</t>
        </is>
      </c>
      <c r="J316" t="inlineStr">
        <is>
          <t>30570</t>
        </is>
      </c>
      <c r="K316" t="inlineStr">
        <is>
          <t>Val d'Aigoual</t>
        </is>
      </c>
      <c r="L316" t="inlineStr">
        <is>
          <t>04 67 82 73 79</t>
        </is>
      </c>
      <c r="M316" s="4" t="inlineStr">
        <is>
          <t>c.c@cac-ts.com</t>
        </is>
      </c>
      <c r="N316" s="4" t="inlineStr">
        <is>
          <t>https://caussesaigoualcevennes.fr/</t>
        </is>
      </c>
      <c r="O316" s="4" t="inlineStr">
        <is>
          <t>https://caussesaigoualcevennes.fr/contact/</t>
        </is>
      </c>
      <c r="P316" s="4" t="inlineStr">
        <is>
          <t>https://lannuaire.service-public.gouv.fr/occitanie/gard/9392a24e-eebc-4b6e-baf2-96825e537609</t>
        </is>
      </c>
      <c r="Q316" t="inlineStr">
        <is>
          <t>Annuaire Service-public.fr</t>
        </is>
      </c>
      <c r="R316" t="inlineStr"/>
      <c r="S316" t="inlineStr"/>
      <c r="T316" t="inlineStr"/>
    </row>
    <row r="317">
      <c r="A317" t="inlineStr">
        <is>
          <t>CC Mont Lozère</t>
        </is>
      </c>
      <c r="B317" t="inlineStr">
        <is>
          <t>Communauté de communes</t>
        </is>
      </c>
      <c r="C317" t="inlineStr">
        <is>
          <t>200069128</t>
        </is>
      </c>
      <c r="D317" t="inlineStr">
        <is>
          <t>30, 48</t>
        </is>
      </c>
      <c r="E317" t="inlineStr">
        <is>
          <t>Gard, Lozère</t>
        </is>
      </c>
      <c r="F317" t="inlineStr">
        <is>
          <t>Occitanie</t>
        </is>
      </c>
      <c r="G317" s="3" t="n">
        <v>5827</v>
      </c>
      <c r="H317" t="n">
        <v>21</v>
      </c>
      <c r="I317" t="inlineStr">
        <is>
          <t>Le Bleymard, Route du Mont-Lozère</t>
        </is>
      </c>
      <c r="J317" t="inlineStr">
        <is>
          <t>48190</t>
        </is>
      </c>
      <c r="K317" t="inlineStr">
        <is>
          <t>Mont-Lozère-et-Goulet</t>
        </is>
      </c>
      <c r="L317" t="inlineStr">
        <is>
          <t>04 66 31 68 85</t>
        </is>
      </c>
      <c r="M317" s="4" t="inlineStr">
        <is>
          <t>accueil@ccmontlozere.fr</t>
        </is>
      </c>
      <c r="N317" s="4" t="inlineStr">
        <is>
          <t>https://www.ccmontlozere.fr/</t>
        </is>
      </c>
      <c r="O317" s="4" t="inlineStr">
        <is>
          <t>https://www.ccmontlozere.fr/contact/</t>
        </is>
      </c>
      <c r="P317" s="4" t="inlineStr">
        <is>
          <t>https://lannuaire.service-public.gouv.fr/occitanie/lozere/881ce777-a883-4b9c-b56d-517dc7df4eaf</t>
        </is>
      </c>
      <c r="Q317" t="inlineStr">
        <is>
          <t>Annuaire Service-public.fr</t>
        </is>
      </c>
      <c r="R317" t="inlineStr"/>
      <c r="S317" t="inlineStr"/>
      <c r="T317" t="inlineStr"/>
    </row>
    <row r="318">
      <c r="A318" t="inlineStr">
        <is>
          <t>CC Pays d'Uzès</t>
        </is>
      </c>
      <c r="B318" t="inlineStr">
        <is>
          <t>Communauté de communes</t>
        </is>
      </c>
      <c r="C318" t="inlineStr">
        <is>
          <t>200034379</t>
        </is>
      </c>
      <c r="D318" t="inlineStr">
        <is>
          <t>30</t>
        </is>
      </c>
      <c r="E318" t="inlineStr">
        <is>
          <t>Gard</t>
        </is>
      </c>
      <c r="F318" t="inlineStr">
        <is>
          <t>Occitanie</t>
        </is>
      </c>
      <c r="G318" s="3" t="n">
        <v>30894</v>
      </c>
      <c r="H318" t="n">
        <v>35</v>
      </c>
      <c r="I318" t="inlineStr">
        <is>
          <t>9 avenue du 8-Mai-1945, BP 33122</t>
        </is>
      </c>
      <c r="J318" t="inlineStr">
        <is>
          <t>30703</t>
        </is>
      </c>
      <c r="K318" t="inlineStr">
        <is>
          <t>Uzès Cedex</t>
        </is>
      </c>
      <c r="L318" t="inlineStr">
        <is>
          <t>04 66 03 09 00</t>
        </is>
      </c>
      <c r="M318" s="4" t="inlineStr">
        <is>
          <t>contact@ccpaysduzes.fr</t>
        </is>
      </c>
      <c r="N318" s="4" t="inlineStr">
        <is>
          <t>https://www.ccpaysduzes.fr/</t>
        </is>
      </c>
      <c r="O318" s="4" t="inlineStr">
        <is>
          <t>https://www.ccpaysduzes.fr/contact.html</t>
        </is>
      </c>
      <c r="P318" s="4" t="inlineStr">
        <is>
          <t>https://lannuaire.service-public.gouv.fr/occitanie/gard/32caa9c3-622e-4b2c-bbf9-c8d0772b872d</t>
        </is>
      </c>
      <c r="Q318" t="inlineStr">
        <is>
          <t>Annuaire Service-public.fr</t>
        </is>
      </c>
      <c r="R318" t="inlineStr"/>
      <c r="S318" t="inlineStr"/>
      <c r="T318" t="inlineStr"/>
    </row>
    <row r="319">
      <c r="A319" t="inlineStr">
        <is>
          <t>CC Rhony, Vistre, Vidourle</t>
        </is>
      </c>
      <c r="B319" t="inlineStr">
        <is>
          <t>Communauté de communes</t>
        </is>
      </c>
      <c r="C319" t="inlineStr">
        <is>
          <t>243000569</t>
        </is>
      </c>
      <c r="D319" t="inlineStr">
        <is>
          <t>30</t>
        </is>
      </c>
      <c r="E319" t="inlineStr">
        <is>
          <t>Gard</t>
        </is>
      </c>
      <c r="F319" t="inlineStr">
        <is>
          <t>Occitanie</t>
        </is>
      </c>
      <c r="G319" s="3" t="n">
        <v>28710</v>
      </c>
      <c r="H319" t="n">
        <v>10</v>
      </c>
      <c r="I319" t="inlineStr">
        <is>
          <t>2 avenue de la Fontanisse</t>
        </is>
      </c>
      <c r="J319" t="inlineStr">
        <is>
          <t>30660</t>
        </is>
      </c>
      <c r="K319" t="inlineStr">
        <is>
          <t>Gallargues-le-Montueux</t>
        </is>
      </c>
      <c r="L319" t="inlineStr">
        <is>
          <t>04 66 35 55 55</t>
        </is>
      </c>
      <c r="M319" s="4" t="inlineStr">
        <is>
          <t>accueil@ccrvv.fr</t>
        </is>
      </c>
      <c r="N319" s="4" t="inlineStr">
        <is>
          <t>https://www.ccrvv.fr/</t>
        </is>
      </c>
      <c r="O319" s="4" t="inlineStr">
        <is>
          <t>https://www.ccrvv.fr/communaute-de-communes/restons-connectes/contact-horaires?view=form&amp;id=1</t>
        </is>
      </c>
      <c r="P319" s="4" t="inlineStr">
        <is>
          <t>https://lannuaire.service-public.gouv.fr/occitanie/gard/724f08cd-8fbf-4a00-ae4b-f1f47c0e5693</t>
        </is>
      </c>
      <c r="Q319" t="inlineStr">
        <is>
          <t>Annuaire Service-public.fr</t>
        </is>
      </c>
      <c r="R319" t="inlineStr"/>
      <c r="S319" t="inlineStr"/>
      <c r="T319" t="inlineStr"/>
    </row>
    <row r="320">
      <c r="A320" t="inlineStr">
        <is>
          <t>CC Terre de Camargue</t>
        </is>
      </c>
      <c r="B320" t="inlineStr">
        <is>
          <t>Communauté de communes</t>
        </is>
      </c>
      <c r="C320" t="inlineStr">
        <is>
          <t>243000650</t>
        </is>
      </c>
      <c r="D320" t="inlineStr">
        <is>
          <t>30</t>
        </is>
      </c>
      <c r="E320" t="inlineStr">
        <is>
          <t>Gard</t>
        </is>
      </c>
      <c r="F320" t="inlineStr">
        <is>
          <t>Occitanie</t>
        </is>
      </c>
      <c r="G320" s="3" t="n">
        <v>20871</v>
      </c>
      <c r="H320" t="n">
        <v>3</v>
      </c>
      <c r="I320" t="inlineStr">
        <is>
          <t>13 rue du Port</t>
        </is>
      </c>
      <c r="J320" t="inlineStr">
        <is>
          <t>30220</t>
        </is>
      </c>
      <c r="K320" t="inlineStr">
        <is>
          <t>Aigues-Mortes</t>
        </is>
      </c>
      <c r="L320" t="inlineStr">
        <is>
          <t>04 66 73 91 20</t>
        </is>
      </c>
      <c r="M320" s="4" t="inlineStr">
        <is>
          <t>cc@terredecamargue.fr</t>
        </is>
      </c>
      <c r="N320" s="4" t="inlineStr">
        <is>
          <t>https://www.terredecamargue.fr/</t>
        </is>
      </c>
      <c r="O320" t="inlineStr"/>
      <c r="P320" s="4" t="inlineStr">
        <is>
          <t>https://lannuaire.service-public.gouv.fr/occitanie/gard/d2bfa47d-3329-4587-a232-93226240b517</t>
        </is>
      </c>
      <c r="Q320" t="inlineStr">
        <is>
          <t>Annuaire Service-public.fr</t>
        </is>
      </c>
      <c r="R320" t="inlineStr"/>
      <c r="S320" t="inlineStr"/>
      <c r="T320" t="inlineStr"/>
    </row>
    <row r="321">
      <c r="A321" t="inlineStr">
        <is>
          <t>CC de Petite Camargue</t>
        </is>
      </c>
      <c r="B321" t="inlineStr">
        <is>
          <t>Communauté de communes</t>
        </is>
      </c>
      <c r="C321" t="inlineStr">
        <is>
          <t>243000593</t>
        </is>
      </c>
      <c r="D321" t="inlineStr">
        <is>
          <t>30</t>
        </is>
      </c>
      <c r="E321" t="inlineStr">
        <is>
          <t>Gard</t>
        </is>
      </c>
      <c r="F321" t="inlineStr">
        <is>
          <t>Occitanie</t>
        </is>
      </c>
      <c r="G321" s="3" t="n">
        <v>28263</v>
      </c>
      <c r="H321" t="n">
        <v>5</v>
      </c>
      <c r="I321" t="inlineStr">
        <is>
          <t>145 avenue de la Condamine</t>
        </is>
      </c>
      <c r="J321" t="inlineStr">
        <is>
          <t>30600</t>
        </is>
      </c>
      <c r="K321" t="inlineStr">
        <is>
          <t>Vauvert</t>
        </is>
      </c>
      <c r="L321" t="inlineStr">
        <is>
          <t>04 66 51 19 20</t>
        </is>
      </c>
      <c r="M321" s="4" t="inlineStr">
        <is>
          <t>contact@petitecamargue.fr</t>
        </is>
      </c>
      <c r="N321" s="4" t="inlineStr">
        <is>
          <t>https://www.petitecamargue.fr/</t>
        </is>
      </c>
      <c r="O321" s="4" t="inlineStr">
        <is>
          <t>https://www.petitecamargue.fr/contact-communaute-communes-camargue/</t>
        </is>
      </c>
      <c r="P321" s="4" t="inlineStr">
        <is>
          <t>https://lannuaire.service-public.gouv.fr/occitanie/gard/c73843a4-cadb-4255-b368-5b2df92128ca</t>
        </is>
      </c>
      <c r="Q321" t="inlineStr">
        <is>
          <t>Annuaire Service-public.fr</t>
        </is>
      </c>
      <c r="R321" t="inlineStr"/>
      <c r="S321" t="inlineStr"/>
      <c r="T321" t="inlineStr"/>
    </row>
    <row r="322">
      <c r="A322" t="inlineStr">
        <is>
          <t>CC des Cévennes Gangeoises et Suménoises</t>
        </is>
      </c>
      <c r="B322" t="inlineStr">
        <is>
          <t>Communauté de communes</t>
        </is>
      </c>
      <c r="C322" t="inlineStr">
        <is>
          <t>243400736</t>
        </is>
      </c>
      <c r="D322" t="inlineStr">
        <is>
          <t>30, 34</t>
        </is>
      </c>
      <c r="E322" t="inlineStr">
        <is>
          <t>Gard, Hérault</t>
        </is>
      </c>
      <c r="F322" t="inlineStr">
        <is>
          <t>Occitanie</t>
        </is>
      </c>
      <c r="G322" s="3" t="n">
        <v>12727</v>
      </c>
      <c r="H322" t="n">
        <v>13</v>
      </c>
      <c r="I322" t="inlineStr">
        <is>
          <t>26 avenue Pasteur</t>
        </is>
      </c>
      <c r="J322" t="inlineStr">
        <is>
          <t>34190</t>
        </is>
      </c>
      <c r="K322" t="inlineStr">
        <is>
          <t>Ganges</t>
        </is>
      </c>
      <c r="L322" t="inlineStr">
        <is>
          <t>04 67 73 78 60</t>
        </is>
      </c>
      <c r="M322" s="4" t="inlineStr">
        <is>
          <t>contact@cdcgangesumene.fr</t>
        </is>
      </c>
      <c r="N322" s="4" t="inlineStr">
        <is>
          <t>https://cdcgangesumene.fr/</t>
        </is>
      </c>
      <c r="O322" s="4" t="inlineStr">
        <is>
          <t>https://cdcgangesumene.fr/contact/</t>
        </is>
      </c>
      <c r="P322" s="4" t="inlineStr">
        <is>
          <t>https://lannuaire.service-public.gouv.fr/occitanie/herault/28c61c1e-960c-43c5-bd17-bc2381c887a8</t>
        </is>
      </c>
      <c r="Q322" t="inlineStr">
        <is>
          <t>Annuaire Service-public.fr</t>
        </is>
      </c>
      <c r="R322" t="inlineStr"/>
      <c r="S322" t="inlineStr"/>
      <c r="T322" t="inlineStr"/>
    </row>
    <row r="323">
      <c r="A323" t="inlineStr">
        <is>
          <t>CC du Pays Viganais</t>
        </is>
      </c>
      <c r="B323" t="inlineStr">
        <is>
          <t>Communauté de communes</t>
        </is>
      </c>
      <c r="C323" t="inlineStr">
        <is>
          <t>243000270</t>
        </is>
      </c>
      <c r="D323" t="inlineStr">
        <is>
          <t>30</t>
        </is>
      </c>
      <c r="E323" t="inlineStr">
        <is>
          <t>Gard</t>
        </is>
      </c>
      <c r="F323" t="inlineStr">
        <is>
          <t>Occitanie</t>
        </is>
      </c>
      <c r="G323" s="3" t="n">
        <v>10025</v>
      </c>
      <c r="H323" t="n">
        <v>21</v>
      </c>
      <c r="I323" t="inlineStr">
        <is>
          <t>3 avenue Sergent-Triaire, Maison de l'intercommunalité</t>
        </is>
      </c>
      <c r="J323" t="inlineStr">
        <is>
          <t>30120</t>
        </is>
      </c>
      <c r="K323" t="inlineStr">
        <is>
          <t>Le Vigan</t>
        </is>
      </c>
      <c r="L323" t="inlineStr">
        <is>
          <t>04 99 54 27 00</t>
        </is>
      </c>
      <c r="M323" s="4" t="inlineStr">
        <is>
          <t>infos@cc-paysviganais.fr</t>
        </is>
      </c>
      <c r="N323" s="4" t="inlineStr">
        <is>
          <t>https://www.cc-paysviganais.fr/</t>
        </is>
      </c>
      <c r="O323" s="4" t="inlineStr">
        <is>
          <t>https://www.cc-paysviganais.fr/systeme/nous-contacter/</t>
        </is>
      </c>
      <c r="P323" s="4" t="inlineStr">
        <is>
          <t>https://lannuaire.service-public.gouv.fr/occitanie/gard/56d9ca2f-e68d-4ffb-b7a8-26460657dead</t>
        </is>
      </c>
      <c r="Q323" t="inlineStr">
        <is>
          <t>Annuaire Service-public.fr</t>
        </is>
      </c>
      <c r="R323" t="inlineStr"/>
      <c r="S323" t="inlineStr"/>
      <c r="T323" t="inlineStr"/>
    </row>
    <row r="324">
      <c r="A324" t="inlineStr">
        <is>
          <t>CC du Pays de Sommières</t>
        </is>
      </c>
      <c r="B324" t="inlineStr">
        <is>
          <t>Communauté de communes</t>
        </is>
      </c>
      <c r="C324" t="inlineStr">
        <is>
          <t>243000296</t>
        </is>
      </c>
      <c r="D324" t="inlineStr">
        <is>
          <t>30</t>
        </is>
      </c>
      <c r="E324" t="inlineStr">
        <is>
          <t>Gard</t>
        </is>
      </c>
      <c r="F324" t="inlineStr">
        <is>
          <t>Occitanie</t>
        </is>
      </c>
      <c r="G324" s="3" t="n">
        <v>24802</v>
      </c>
      <c r="H324" t="n">
        <v>18</v>
      </c>
      <c r="I324" t="inlineStr">
        <is>
          <t>21 rue de la Socomi, ZAC de lArnède</t>
        </is>
      </c>
      <c r="J324" t="inlineStr">
        <is>
          <t>30250</t>
        </is>
      </c>
      <c r="K324" t="inlineStr">
        <is>
          <t>Sommières</t>
        </is>
      </c>
      <c r="L324" t="inlineStr">
        <is>
          <t>04 66 77 70 39</t>
        </is>
      </c>
      <c r="M324" s="4" t="inlineStr">
        <is>
          <t>contact@ccpaysdesommieres.fr</t>
        </is>
      </c>
      <c r="N324" s="4" t="inlineStr">
        <is>
          <t>https://www.ccpaysdesommieres.fr/</t>
        </is>
      </c>
      <c r="O324" s="4" t="inlineStr">
        <is>
          <t>https://www.ccpaysdesommieres.fr/nous-contacter/</t>
        </is>
      </c>
      <c r="P324" s="4" t="inlineStr">
        <is>
          <t>https://lannuaire.service-public.gouv.fr/occitanie/gard/8c6f29cf-8310-4b06-a149-aa6497210883</t>
        </is>
      </c>
      <c r="Q324" t="inlineStr">
        <is>
          <t>Annuaire Service-public.fr</t>
        </is>
      </c>
      <c r="R324" t="inlineStr"/>
      <c r="S324" t="inlineStr"/>
      <c r="T324" t="inlineStr"/>
    </row>
    <row r="325">
      <c r="A325" t="inlineStr">
        <is>
          <t>CC du Piémont Cévenol</t>
        </is>
      </c>
      <c r="B325" t="inlineStr">
        <is>
          <t>Communauté de communes</t>
        </is>
      </c>
      <c r="C325" t="inlineStr">
        <is>
          <t>200034411</t>
        </is>
      </c>
      <c r="D325" t="inlineStr">
        <is>
          <t>30</t>
        </is>
      </c>
      <c r="E325" t="inlineStr">
        <is>
          <t>Gard</t>
        </is>
      </c>
      <c r="F325" t="inlineStr">
        <is>
          <t>Occitanie</t>
        </is>
      </c>
      <c r="G325" s="3" t="n">
        <v>22529</v>
      </c>
      <c r="H325" t="n">
        <v>34</v>
      </c>
      <c r="I325" t="inlineStr">
        <is>
          <t>13 bis rue du Docteur-Rocheblave</t>
        </is>
      </c>
      <c r="J325" t="inlineStr">
        <is>
          <t>30260</t>
        </is>
      </c>
      <c r="K325" t="inlineStr">
        <is>
          <t>Quissac</t>
        </is>
      </c>
      <c r="L325" t="inlineStr">
        <is>
          <t>04 66 93 06 12</t>
        </is>
      </c>
      <c r="M325" s="4" t="inlineStr">
        <is>
          <t>contact@piemont-cevenol.fr</t>
        </is>
      </c>
      <c r="N325" s="4" t="inlineStr">
        <is>
          <t>https://www.piemont-cevenol.fr/</t>
        </is>
      </c>
      <c r="O325" s="4" t="inlineStr">
        <is>
          <t>https://www.piemont-cevenol.fr/nous-contacter/</t>
        </is>
      </c>
      <c r="P325" s="4" t="inlineStr">
        <is>
          <t>https://lannuaire.service-public.gouv.fr/occitanie/gard/c66e3edd-50ad-4a6a-9929-f8b983fe6a4f</t>
        </is>
      </c>
      <c r="Q325" t="inlineStr">
        <is>
          <t>Annuaire Service-public.fr</t>
        </is>
      </c>
      <c r="R325" t="inlineStr"/>
      <c r="S325" t="inlineStr"/>
      <c r="T325" t="inlineStr"/>
    </row>
    <row r="326">
      <c r="A326" t="inlineStr">
        <is>
          <t>CC du Pont du Gard</t>
        </is>
      </c>
      <c r="B326" t="inlineStr">
        <is>
          <t>Communauté de communes</t>
        </is>
      </c>
      <c r="C326" t="inlineStr">
        <is>
          <t>243000684</t>
        </is>
      </c>
      <c r="D326" t="inlineStr">
        <is>
          <t>30</t>
        </is>
      </c>
      <c r="E326" t="inlineStr">
        <is>
          <t>Gard</t>
        </is>
      </c>
      <c r="F326" t="inlineStr">
        <is>
          <t>Occitanie</t>
        </is>
      </c>
      <c r="G326" s="3" t="n">
        <v>23624</v>
      </c>
      <c r="H326" t="n">
        <v>15</v>
      </c>
      <c r="I326" t="inlineStr">
        <is>
          <t>21 bis avenue du Pont-du-Gard</t>
        </is>
      </c>
      <c r="J326" t="inlineStr">
        <is>
          <t>30210</t>
        </is>
      </c>
      <c r="K326" t="inlineStr">
        <is>
          <t>Remoulins</t>
        </is>
      </c>
      <c r="L326" t="inlineStr">
        <is>
          <t>04 66 37 67 67</t>
        </is>
      </c>
      <c r="M326" s="4" t="inlineStr">
        <is>
          <t>contact@cc-pontdugard.fr</t>
        </is>
      </c>
      <c r="N326" s="4" t="inlineStr">
        <is>
          <t>https://www.cc-pontdugard.fr/</t>
        </is>
      </c>
      <c r="O326" s="4" t="inlineStr">
        <is>
          <t>https://www.cc-pontdugard.fr/90-contacts.htm</t>
        </is>
      </c>
      <c r="P326" s="4" t="inlineStr">
        <is>
          <t>https://lannuaire.service-public.gouv.fr/occitanie/gard/a0ccf4d8-2230-487e-beee-54b64c6da782</t>
        </is>
      </c>
      <c r="Q326" t="inlineStr">
        <is>
          <t>Annuaire Service-public.fr</t>
        </is>
      </c>
      <c r="R326" t="inlineStr"/>
      <c r="S326" t="inlineStr"/>
      <c r="T326" t="inlineStr"/>
    </row>
    <row r="327">
      <c r="A327" t="inlineStr">
        <is>
          <t>CC Cagire Garonne Salat</t>
        </is>
      </c>
      <c r="B327" t="inlineStr">
        <is>
          <t>Communauté de communes</t>
        </is>
      </c>
      <c r="C327" t="inlineStr">
        <is>
          <t>200073146</t>
        </is>
      </c>
      <c r="D327" t="inlineStr">
        <is>
          <t>31</t>
        </is>
      </c>
      <c r="E327" t="inlineStr">
        <is>
          <t>Haute-Garonne</t>
        </is>
      </c>
      <c r="F327" t="inlineStr">
        <is>
          <t>Occitanie</t>
        </is>
      </c>
      <c r="G327" s="3" t="n">
        <v>17807</v>
      </c>
      <c r="H327" t="n">
        <v>55</v>
      </c>
      <c r="I327" t="inlineStr">
        <is>
          <t>15 avenue du Comminges</t>
        </is>
      </c>
      <c r="J327" t="inlineStr">
        <is>
          <t>31260</t>
        </is>
      </c>
      <c r="K327" t="inlineStr">
        <is>
          <t>Mane</t>
        </is>
      </c>
      <c r="L327" t="inlineStr">
        <is>
          <t>05 61 98 49 30</t>
        </is>
      </c>
      <c r="M327" s="4" t="inlineStr">
        <is>
          <t>secretariat@cagiregaronnesalat.fr</t>
        </is>
      </c>
      <c r="N327" s="4" t="inlineStr">
        <is>
          <t>https://www.cagiregaronnesalat.fr</t>
        </is>
      </c>
      <c r="O327" t="inlineStr"/>
      <c r="P327" s="4" t="inlineStr">
        <is>
          <t>https://lannuaire.service-public.gouv.fr/occitanie/haute-garonne/c8782446-abc9-4fe1-a2e7-23f4de1030a0</t>
        </is>
      </c>
      <c r="Q327" t="inlineStr">
        <is>
          <t>Annuaire Service-public.fr</t>
        </is>
      </c>
      <c r="R327" t="inlineStr"/>
      <c r="S327" t="inlineStr"/>
      <c r="T327" t="inlineStr"/>
    </row>
    <row r="328">
      <c r="A328" t="inlineStr">
        <is>
          <t>CC Coeur de Garonne</t>
        </is>
      </c>
      <c r="B328" t="inlineStr">
        <is>
          <t>Communauté de communes</t>
        </is>
      </c>
      <c r="C328" t="inlineStr">
        <is>
          <t>200068815</t>
        </is>
      </c>
      <c r="D328" t="inlineStr">
        <is>
          <t>31</t>
        </is>
      </c>
      <c r="E328" t="inlineStr">
        <is>
          <t>Haute-Garonne</t>
        </is>
      </c>
      <c r="F328" t="inlineStr">
        <is>
          <t>Occitanie</t>
        </is>
      </c>
      <c r="G328" s="3" t="n">
        <v>35091</v>
      </c>
      <c r="H328" t="n">
        <v>48</v>
      </c>
      <c r="I328" t="inlineStr">
        <is>
          <t>12 rue Notre-Dame</t>
        </is>
      </c>
      <c r="J328" t="inlineStr">
        <is>
          <t>31370</t>
        </is>
      </c>
      <c r="K328" t="inlineStr">
        <is>
          <t>Rieumes</t>
        </is>
      </c>
      <c r="L328" t="inlineStr">
        <is>
          <t>05 61 91 94 96</t>
        </is>
      </c>
      <c r="M328" s="4" t="inlineStr">
        <is>
          <t>accueil@cc-coeurdegaronne.fr</t>
        </is>
      </c>
      <c r="N328" s="4" t="inlineStr">
        <is>
          <t>https://www.cc-coeurdegaronne.fr/</t>
        </is>
      </c>
      <c r="O328" s="4" t="inlineStr">
        <is>
          <t>https://www.cc-coeurdegaronne.fr/contact</t>
        </is>
      </c>
      <c r="P328" s="4" t="inlineStr">
        <is>
          <t>https://lannuaire.service-public.gouv.fr/occitanie/haute-garonne/87007078-0dc2-463f-bec9-5dd831265ff3</t>
        </is>
      </c>
      <c r="Q328" t="inlineStr">
        <is>
          <t>Annuaire Service-public.fr</t>
        </is>
      </c>
      <c r="R328" t="inlineStr"/>
      <c r="S328" t="inlineStr"/>
      <c r="T328" t="inlineStr"/>
    </row>
    <row r="329">
      <c r="A329" t="inlineStr">
        <is>
          <t>CC Coeur et Coteaux du Comminges</t>
        </is>
      </c>
      <c r="B329" t="inlineStr">
        <is>
          <t>Communauté de communes</t>
        </is>
      </c>
      <c r="C329" t="inlineStr">
        <is>
          <t>200072643</t>
        </is>
      </c>
      <c r="D329" t="inlineStr">
        <is>
          <t>31</t>
        </is>
      </c>
      <c r="E329" t="inlineStr">
        <is>
          <t>Haute-Garonne</t>
        </is>
      </c>
      <c r="F329" t="inlineStr">
        <is>
          <t>Occitanie</t>
        </is>
      </c>
      <c r="G329" s="3" t="n">
        <v>44243</v>
      </c>
      <c r="H329" t="n">
        <v>104</v>
      </c>
      <c r="I329" t="inlineStr">
        <is>
          <t>4 rue de la République</t>
        </is>
      </c>
      <c r="J329" t="inlineStr">
        <is>
          <t>31800</t>
        </is>
      </c>
      <c r="K329" t="inlineStr">
        <is>
          <t>Saint-Gaudens</t>
        </is>
      </c>
      <c r="L329" t="inlineStr">
        <is>
          <t>05 61 89 21 42</t>
        </is>
      </c>
      <c r="M329" s="4" t="inlineStr">
        <is>
          <t>contact@la5c.fr</t>
        </is>
      </c>
      <c r="N329" s="4" t="inlineStr">
        <is>
          <t>https://www.coeurcoteaux-comminges.fr/</t>
        </is>
      </c>
      <c r="O329" s="4" t="inlineStr">
        <is>
          <t>https://www.coeurcoteaux-comminges.fr/contact-9</t>
        </is>
      </c>
      <c r="P329" s="4" t="inlineStr">
        <is>
          <t>https://lannuaire.service-public.gouv.fr/occitanie/haute-garonne/add6a920-f99d-447f-a4dc-1aa2f838e522</t>
        </is>
      </c>
      <c r="Q329" t="inlineStr">
        <is>
          <t>Annuaire Service-public.fr</t>
        </is>
      </c>
      <c r="R329" t="inlineStr"/>
      <c r="S329" t="inlineStr"/>
      <c r="T329" t="inlineStr"/>
    </row>
    <row r="330">
      <c r="A330" t="inlineStr">
        <is>
          <t>CC Le Grand Ouest Toulousain</t>
        </is>
      </c>
      <c r="B330" t="inlineStr">
        <is>
          <t>Communauté de communes</t>
        </is>
      </c>
      <c r="C330" t="inlineStr">
        <is>
          <t>243100781</t>
        </is>
      </c>
      <c r="D330" t="inlineStr">
        <is>
          <t>31</t>
        </is>
      </c>
      <c r="E330" t="inlineStr">
        <is>
          <t>Haute-Garonne</t>
        </is>
      </c>
      <c r="F330" t="inlineStr">
        <is>
          <t>Occitanie</t>
        </is>
      </c>
      <c r="G330" s="3" t="n">
        <v>49059</v>
      </c>
      <c r="H330" t="n">
        <v>8</v>
      </c>
      <c r="I330" t="inlineStr">
        <is>
          <t>10 rue François-Arago</t>
        </is>
      </c>
      <c r="J330" t="inlineStr">
        <is>
          <t>31830</t>
        </is>
      </c>
      <c r="K330" t="inlineStr">
        <is>
          <t>Plaisance-du-Touch</t>
        </is>
      </c>
      <c r="L330" t="inlineStr">
        <is>
          <t>05 34 51 44 33</t>
        </is>
      </c>
      <c r="M330" s="4" t="inlineStr">
        <is>
          <t>contact@grandouesttoulousain.fr</t>
        </is>
      </c>
      <c r="N330" s="4" t="inlineStr">
        <is>
          <t>https://www.grandouesttoulousain.fr/</t>
        </is>
      </c>
      <c r="O330" s="4" t="inlineStr">
        <is>
          <t>https://www.grandouesttoulousain.fr/contact/contactez-nous</t>
        </is>
      </c>
      <c r="P330" s="4" t="inlineStr">
        <is>
          <t>https://lannuaire.service-public.gouv.fr/occitanie/haute-garonne/c4ecc858-a65f-4304-8145-a1b07755a970</t>
        </is>
      </c>
      <c r="Q330" t="inlineStr">
        <is>
          <t>Annuaire Service-public.fr</t>
        </is>
      </c>
      <c r="R330" t="inlineStr"/>
      <c r="S330" t="inlineStr"/>
      <c r="T330" t="inlineStr"/>
    </row>
    <row r="331">
      <c r="A331" t="inlineStr">
        <is>
          <t>CC Pyrénées Haut Garonnaises</t>
        </is>
      </c>
      <c r="B331" t="inlineStr">
        <is>
          <t>Communauté de communes</t>
        </is>
      </c>
      <c r="C331" t="inlineStr">
        <is>
          <t>200072635</t>
        </is>
      </c>
      <c r="D331" t="inlineStr">
        <is>
          <t>31</t>
        </is>
      </c>
      <c r="E331" t="inlineStr">
        <is>
          <t>Haute-Garonne</t>
        </is>
      </c>
      <c r="F331" t="inlineStr">
        <is>
          <t>Occitanie</t>
        </is>
      </c>
      <c r="G331" s="3" t="n">
        <v>15379</v>
      </c>
      <c r="H331" t="n">
        <v>76</v>
      </c>
      <c r="I331" t="inlineStr">
        <is>
          <t>17 avenue de Luchon</t>
        </is>
      </c>
      <c r="J331" t="inlineStr">
        <is>
          <t>31210</t>
        </is>
      </c>
      <c r="K331" t="inlineStr">
        <is>
          <t>Gourdan-Polignan</t>
        </is>
      </c>
      <c r="L331" t="inlineStr">
        <is>
          <t>05 61 94 79 50</t>
        </is>
      </c>
      <c r="M331" s="4" t="inlineStr">
        <is>
          <t>secretariat@ccphg.fr</t>
        </is>
      </c>
      <c r="N331" s="4" t="inlineStr">
        <is>
          <t>https://cc-pyreneeshautgaronnaises.fr/</t>
        </is>
      </c>
      <c r="O331" t="inlineStr"/>
      <c r="P331" s="4" t="inlineStr">
        <is>
          <t>https://lannuaire.service-public.gouv.fr/occitanie/haute-garonne/8afd9139-3d65-4fe4-ba40-f8b5879da947</t>
        </is>
      </c>
      <c r="Q331" t="inlineStr">
        <is>
          <t>Annuaire Service-public.fr</t>
        </is>
      </c>
      <c r="R331" t="inlineStr"/>
      <c r="S331" t="inlineStr"/>
      <c r="T331" t="inlineStr"/>
    </row>
    <row r="332">
      <c r="A332" t="inlineStr">
        <is>
          <t>CC Tarn-Agout</t>
        </is>
      </c>
      <c r="B332" t="inlineStr">
        <is>
          <t>Communauté de communes</t>
        </is>
      </c>
      <c r="C332" t="inlineStr">
        <is>
          <t>200034023</t>
        </is>
      </c>
      <c r="D332" t="inlineStr">
        <is>
          <t>31, 81</t>
        </is>
      </c>
      <c r="E332" t="inlineStr">
        <is>
          <t>Haute-Garonne, Tarn</t>
        </is>
      </c>
      <c r="F332" t="inlineStr">
        <is>
          <t>Occitanie</t>
        </is>
      </c>
      <c r="G332" s="3" t="n">
        <v>29922</v>
      </c>
      <c r="H332" t="n">
        <v>21</v>
      </c>
      <c r="I332" t="inlineStr">
        <is>
          <t>Rond-Point Gabor</t>
        </is>
      </c>
      <c r="J332" t="inlineStr">
        <is>
          <t>81370</t>
        </is>
      </c>
      <c r="K332" t="inlineStr">
        <is>
          <t>Saint-Sulpice</t>
        </is>
      </c>
      <c r="L332" t="inlineStr">
        <is>
          <t>05 63 41 89 12</t>
        </is>
      </c>
      <c r="M332" s="4" t="inlineStr">
        <is>
          <t>accueil@cc-tarnagout.fr</t>
        </is>
      </c>
      <c r="N332" s="4" t="inlineStr">
        <is>
          <t>https://www.cc-tarnagout.fr/</t>
        </is>
      </c>
      <c r="O332" t="inlineStr"/>
      <c r="P332" s="4" t="inlineStr">
        <is>
          <t>https://lannuaire.service-public.gouv.fr/occitanie/tarn/8a507949-c336-46fc-b344-589110d12e54</t>
        </is>
      </c>
      <c r="Q332" t="inlineStr">
        <is>
          <t>Annuaire Service-public.fr</t>
        </is>
      </c>
      <c r="R332" t="inlineStr"/>
      <c r="S332" t="inlineStr"/>
      <c r="T332" t="inlineStr"/>
    </row>
    <row r="333">
      <c r="A333" t="inlineStr">
        <is>
          <t>CC Val'Aïgo</t>
        </is>
      </c>
      <c r="B333" t="inlineStr">
        <is>
          <t>Communauté de communes</t>
        </is>
      </c>
      <c r="C333" t="inlineStr">
        <is>
          <t>243100773</t>
        </is>
      </c>
      <c r="D333" t="inlineStr">
        <is>
          <t>31</t>
        </is>
      </c>
      <c r="E333" t="inlineStr">
        <is>
          <t>Haute-Garonne</t>
        </is>
      </c>
      <c r="F333" t="inlineStr">
        <is>
          <t>Occitanie</t>
        </is>
      </c>
      <c r="G333" s="3" t="n">
        <v>18513</v>
      </c>
      <c r="H333" t="n">
        <v>9</v>
      </c>
      <c r="I333" t="inlineStr">
        <is>
          <t>2 avenue Saint-Exupéry</t>
        </is>
      </c>
      <c r="J333" t="inlineStr">
        <is>
          <t>31340</t>
        </is>
      </c>
      <c r="K333" t="inlineStr">
        <is>
          <t>Villemur-sur-Tarn</t>
        </is>
      </c>
      <c r="L333" t="inlineStr">
        <is>
          <t>05 61 09 91 38</t>
        </is>
      </c>
      <c r="M333" s="4" t="inlineStr">
        <is>
          <t>contact@valaigo.fr</t>
        </is>
      </c>
      <c r="N333" s="4" t="inlineStr">
        <is>
          <t>https://valaigo.com/</t>
        </is>
      </c>
      <c r="O333" t="inlineStr"/>
      <c r="P333" s="4" t="inlineStr">
        <is>
          <t>https://lannuaire.service-public.gouv.fr/occitanie/haute-garonne/5b469453-f428-4a6f-b290-cde189fcc0e5</t>
        </is>
      </c>
      <c r="Q333" t="inlineStr">
        <is>
          <t>Annuaire Service-public.fr</t>
        </is>
      </c>
      <c r="R333" t="inlineStr"/>
      <c r="S333" t="inlineStr"/>
      <c r="T333" t="inlineStr"/>
    </row>
    <row r="334">
      <c r="A334" t="inlineStr">
        <is>
          <t>CC des Coteaux Bellevue</t>
        </is>
      </c>
      <c r="B334" t="inlineStr">
        <is>
          <t>Communauté de communes</t>
        </is>
      </c>
      <c r="C334" t="inlineStr">
        <is>
          <t>243100815</t>
        </is>
      </c>
      <c r="D334" t="inlineStr">
        <is>
          <t>31</t>
        </is>
      </c>
      <c r="E334" t="inlineStr">
        <is>
          <t>Haute-Garonne</t>
        </is>
      </c>
      <c r="F334" t="inlineStr">
        <is>
          <t>Occitanie</t>
        </is>
      </c>
      <c r="G334" s="3" t="n">
        <v>21371</v>
      </c>
      <c r="H334" t="n">
        <v>7</v>
      </c>
      <c r="I334" t="inlineStr">
        <is>
          <t>19 route de Saint-Loup-Cammas</t>
        </is>
      </c>
      <c r="J334" t="inlineStr">
        <is>
          <t>31140</t>
        </is>
      </c>
      <c r="K334" t="inlineStr">
        <is>
          <t>Pechbonnieu</t>
        </is>
      </c>
      <c r="L334" t="inlineStr">
        <is>
          <t>05 34 27 20 50</t>
        </is>
      </c>
      <c r="M334" s="4" t="inlineStr">
        <is>
          <t>coteauxbellevue@cc-coteauxbellevue.fr</t>
        </is>
      </c>
      <c r="N334" s="4" t="inlineStr">
        <is>
          <t>https://cc-coteauxbellevue.fr/</t>
        </is>
      </c>
      <c r="O334" s="4" t="inlineStr">
        <is>
          <t>https://cc-coteauxbellevue.fr/contact/</t>
        </is>
      </c>
      <c r="P334" s="4" t="inlineStr">
        <is>
          <t>https://lannuaire.service-public.gouv.fr/occitanie/haute-garonne/27eb554a-578f-4f77-a4cb-91683bfb9275</t>
        </is>
      </c>
      <c r="Q334" t="inlineStr">
        <is>
          <t>Annuaire Service-public.fr</t>
        </is>
      </c>
      <c r="R334" t="inlineStr"/>
      <c r="S334" t="inlineStr"/>
      <c r="T334" t="inlineStr"/>
    </row>
    <row r="335">
      <c r="A335" t="inlineStr">
        <is>
          <t>CC des Coteaux du Girou</t>
        </is>
      </c>
      <c r="B335" t="inlineStr">
        <is>
          <t>Communauté de communes</t>
        </is>
      </c>
      <c r="C335" t="inlineStr">
        <is>
          <t>243100732</t>
        </is>
      </c>
      <c r="D335" t="inlineStr">
        <is>
          <t>31</t>
        </is>
      </c>
      <c r="E335" t="inlineStr">
        <is>
          <t>Haute-Garonne</t>
        </is>
      </c>
      <c r="F335" t="inlineStr">
        <is>
          <t>Occitanie</t>
        </is>
      </c>
      <c r="G335" s="3" t="n">
        <v>23257</v>
      </c>
      <c r="H335" t="n">
        <v>18</v>
      </c>
      <c r="I335" t="inlineStr">
        <is>
          <t>1 rue du Girou</t>
        </is>
      </c>
      <c r="J335" t="inlineStr">
        <is>
          <t>31380</t>
        </is>
      </c>
      <c r="K335" t="inlineStr">
        <is>
          <t>Gragnague</t>
        </is>
      </c>
      <c r="L335" t="inlineStr">
        <is>
          <t>05 34 27 45 73</t>
        </is>
      </c>
      <c r="M335" s="4" t="inlineStr">
        <is>
          <t>contact@coteauxdugirou.fr</t>
        </is>
      </c>
      <c r="N335" s="4" t="inlineStr">
        <is>
          <t>https://www.cc-coteaux-du-girou.fr/</t>
        </is>
      </c>
      <c r="O335" s="4" t="inlineStr">
        <is>
          <t>https://www.cc-coteaux-du-girou.fr/contact</t>
        </is>
      </c>
      <c r="P335" s="4" t="inlineStr">
        <is>
          <t>https://lannuaire.service-public.gouv.fr/occitanie/haute-garonne/50262b8c-86cb-4e19-b3ac-a32bfc15601f</t>
        </is>
      </c>
      <c r="Q335" t="inlineStr">
        <is>
          <t>Annuaire Service-public.fr</t>
        </is>
      </c>
      <c r="R335" t="inlineStr"/>
      <c r="S335" t="inlineStr"/>
      <c r="T335" t="inlineStr"/>
    </row>
    <row r="336">
      <c r="A336" t="inlineStr">
        <is>
          <t>CC des Hauts-Tolosans</t>
        </is>
      </c>
      <c r="B336" t="inlineStr">
        <is>
          <t>Communauté de communes</t>
        </is>
      </c>
      <c r="C336" t="inlineStr">
        <is>
          <t>200071314</t>
        </is>
      </c>
      <c r="D336" t="inlineStr">
        <is>
          <t>31</t>
        </is>
      </c>
      <c r="E336" t="inlineStr">
        <is>
          <t>Haute-Garonne</t>
        </is>
      </c>
      <c r="F336" t="inlineStr">
        <is>
          <t>Occitanie</t>
        </is>
      </c>
      <c r="G336" s="3" t="n">
        <v>35996</v>
      </c>
      <c r="H336" t="n">
        <v>29</v>
      </c>
      <c r="I336" t="inlineStr">
        <is>
          <t>1237 rue des Pyrénées</t>
        </is>
      </c>
      <c r="J336" t="inlineStr">
        <is>
          <t>31330</t>
        </is>
      </c>
      <c r="K336" t="inlineStr">
        <is>
          <t>Grenade</t>
        </is>
      </c>
      <c r="L336" t="inlineStr">
        <is>
          <t>05 61 82 85 55</t>
        </is>
      </c>
      <c r="M336" s="4" t="inlineStr">
        <is>
          <t>contact@hautstolosans.fr</t>
        </is>
      </c>
      <c r="N336" s="4" t="inlineStr">
        <is>
          <t>https://www.hautstolosans.fr/</t>
        </is>
      </c>
      <c r="O336" s="4" t="inlineStr">
        <is>
          <t>https://www.hautstolosans.fr/demarche-administrative/nous-contacter/</t>
        </is>
      </c>
      <c r="P336" s="4" t="inlineStr">
        <is>
          <t>https://lannuaire.service-public.gouv.fr/occitanie/haute-garonne/14a72b61-2422-4d9e-99ef-fa0dd9ec6129</t>
        </is>
      </c>
      <c r="Q336" t="inlineStr">
        <is>
          <t>Annuaire Service-public.fr</t>
        </is>
      </c>
      <c r="R336" t="inlineStr"/>
      <c r="S336" t="inlineStr"/>
      <c r="T336" t="inlineStr"/>
    </row>
    <row r="337">
      <c r="A337" t="inlineStr">
        <is>
          <t>CC des Terres du Lauragais</t>
        </is>
      </c>
      <c r="B337" t="inlineStr">
        <is>
          <t>Communauté de communes</t>
        </is>
      </c>
      <c r="C337" t="inlineStr">
        <is>
          <t>200071298</t>
        </is>
      </c>
      <c r="D337" t="inlineStr">
        <is>
          <t>31</t>
        </is>
      </c>
      <c r="E337" t="inlineStr">
        <is>
          <t>Haute-Garonne</t>
        </is>
      </c>
      <c r="F337" t="inlineStr">
        <is>
          <t>Occitanie</t>
        </is>
      </c>
      <c r="G337" s="3" t="n">
        <v>42195</v>
      </c>
      <c r="H337" t="n">
        <v>58</v>
      </c>
      <c r="I337" t="inlineStr">
        <is>
          <t>73 avenue de la Fontasse</t>
        </is>
      </c>
      <c r="J337" t="inlineStr">
        <is>
          <t>31290</t>
        </is>
      </c>
      <c r="K337" t="inlineStr">
        <is>
          <t>Villefranche-de-Lauragais</t>
        </is>
      </c>
      <c r="L337" t="inlineStr">
        <is>
          <t>05 31 50 45 50</t>
        </is>
      </c>
      <c r="M337" s="4" t="inlineStr">
        <is>
          <t>accueil@terres-du-lauragais.fr</t>
        </is>
      </c>
      <c r="N337" s="4" t="inlineStr">
        <is>
          <t>https://www.terres-du-lauragais.fr/fr/index.html</t>
        </is>
      </c>
      <c r="O337" t="inlineStr"/>
      <c r="P337" s="4" t="inlineStr">
        <is>
          <t>https://lannuaire.service-public.gouv.fr/occitanie/haute-garonne/107a6b55-17e7-4160-bac9-f9747b74c154</t>
        </is>
      </c>
      <c r="Q337" t="inlineStr">
        <is>
          <t>Annuaire Service-public.fr</t>
        </is>
      </c>
      <c r="R337" t="inlineStr"/>
      <c r="S337" t="inlineStr"/>
      <c r="T337" t="inlineStr"/>
    </row>
    <row r="338">
      <c r="A338" t="inlineStr">
        <is>
          <t>CC du Bassin Auterivain Haut-Garonnais</t>
        </is>
      </c>
      <c r="B338" t="inlineStr">
        <is>
          <t>Communauté de communes</t>
        </is>
      </c>
      <c r="C338" t="inlineStr">
        <is>
          <t>200068807</t>
        </is>
      </c>
      <c r="D338" t="inlineStr">
        <is>
          <t>31</t>
        </is>
      </c>
      <c r="E338" t="inlineStr">
        <is>
          <t>Haute-Garonne</t>
        </is>
      </c>
      <c r="F338" t="inlineStr">
        <is>
          <t>Occitanie</t>
        </is>
      </c>
      <c r="G338" s="3" t="n">
        <v>34207</v>
      </c>
      <c r="H338" t="n">
        <v>19</v>
      </c>
      <c r="I338" t="inlineStr">
        <is>
          <t>Route départementale 820, ZI Robert-Lavigne</t>
        </is>
      </c>
      <c r="J338" t="inlineStr">
        <is>
          <t>31190</t>
        </is>
      </c>
      <c r="K338" t="inlineStr">
        <is>
          <t>Auterive</t>
        </is>
      </c>
      <c r="L338" t="inlineStr">
        <is>
          <t>05 61 50 99 00</t>
        </is>
      </c>
      <c r="M338" s="4" t="inlineStr">
        <is>
          <t>accueil@ccba31.fr</t>
        </is>
      </c>
      <c r="N338" s="4" t="inlineStr">
        <is>
          <t>https://www.ccba31.fr/</t>
        </is>
      </c>
      <c r="O338" t="inlineStr"/>
      <c r="P338" s="4" t="inlineStr">
        <is>
          <t>https://lannuaire.service-public.gouv.fr/occitanie/haute-garonne/4eef5706-bce9-4cb4-9105-33b0923dfb80</t>
        </is>
      </c>
      <c r="Q338" t="inlineStr">
        <is>
          <t>Annuaire Service-public.fr</t>
        </is>
      </c>
      <c r="R338" t="inlineStr"/>
      <c r="S338" t="inlineStr"/>
      <c r="T338" t="inlineStr"/>
    </row>
    <row r="339">
      <c r="A339" t="inlineStr">
        <is>
          <t>CC du Frontonnais</t>
        </is>
      </c>
      <c r="B339" t="inlineStr">
        <is>
          <t>Communauté de communes</t>
        </is>
      </c>
      <c r="C339" t="inlineStr">
        <is>
          <t>200034957</t>
        </is>
      </c>
      <c r="D339" t="inlineStr">
        <is>
          <t>31</t>
        </is>
      </c>
      <c r="E339" t="inlineStr">
        <is>
          <t>Haute-Garonne</t>
        </is>
      </c>
      <c r="F339" t="inlineStr">
        <is>
          <t>Occitanie</t>
        </is>
      </c>
      <c r="G339" s="3" t="n">
        <v>28757</v>
      </c>
      <c r="H339" t="n">
        <v>10</v>
      </c>
      <c r="I339" t="inlineStr">
        <is>
          <t>3 rue du Vigé, CS 20053</t>
        </is>
      </c>
      <c r="J339" t="inlineStr">
        <is>
          <t>31620</t>
        </is>
      </c>
      <c r="K339" t="inlineStr">
        <is>
          <t>Bouloc</t>
        </is>
      </c>
      <c r="L339" t="inlineStr">
        <is>
          <t>05 61 82 13 32</t>
        </is>
      </c>
      <c r="M339" s="4" t="inlineStr">
        <is>
          <t>contact@cc-dufrontonnais.fr</t>
        </is>
      </c>
      <c r="N339" s="4" t="inlineStr">
        <is>
          <t>https://www.cc-dufrontonnais.fr/</t>
        </is>
      </c>
      <c r="O339" t="inlineStr"/>
      <c r="P339" s="4" t="inlineStr">
        <is>
          <t>https://lannuaire.service-public.gouv.fr/occitanie/haute-garonne/9ba033fc-5feb-4830-ad35-5a373fbe032a</t>
        </is>
      </c>
      <c r="Q339" t="inlineStr">
        <is>
          <t>Annuaire Service-public.fr</t>
        </is>
      </c>
      <c r="R339" t="inlineStr"/>
      <c r="S339" t="inlineStr"/>
      <c r="T339" t="inlineStr"/>
    </row>
    <row r="340">
      <c r="A340" t="inlineStr">
        <is>
          <t>CC du Volvestre</t>
        </is>
      </c>
      <c r="B340" t="inlineStr">
        <is>
          <t>Communauté de communes</t>
        </is>
      </c>
      <c r="C340" t="inlineStr">
        <is>
          <t>200066819</t>
        </is>
      </c>
      <c r="D340" t="inlineStr">
        <is>
          <t>31</t>
        </is>
      </c>
      <c r="E340" t="inlineStr">
        <is>
          <t>Haute-Garonne</t>
        </is>
      </c>
      <c r="F340" t="inlineStr">
        <is>
          <t>Occitanie</t>
        </is>
      </c>
      <c r="G340" s="3" t="n">
        <v>30806</v>
      </c>
      <c r="H340" t="n">
        <v>32</v>
      </c>
      <c r="I340" t="inlineStr">
        <is>
          <t>34 avenue de Toulouse</t>
        </is>
      </c>
      <c r="J340" t="inlineStr">
        <is>
          <t>31390</t>
        </is>
      </c>
      <c r="K340" t="inlineStr">
        <is>
          <t>Carbonne</t>
        </is>
      </c>
      <c r="L340" t="inlineStr">
        <is>
          <t>05 61 90 80 70</t>
        </is>
      </c>
      <c r="M340" s="4" t="inlineStr">
        <is>
          <t>contact@cc-volvestre.fr</t>
        </is>
      </c>
      <c r="N340" s="4" t="inlineStr">
        <is>
          <t>https://volvestre.fr/</t>
        </is>
      </c>
      <c r="O340" s="4" t="inlineStr">
        <is>
          <t>https://volvestre.fr/contactez-nous/</t>
        </is>
      </c>
      <c r="P340" s="4" t="inlineStr">
        <is>
          <t>https://lannuaire.service-public.gouv.fr/occitanie/haute-garonne/46f6ee70-306e-4e28-9383-304714e0bc16</t>
        </is>
      </c>
      <c r="Q340" t="inlineStr">
        <is>
          <t>Annuaire Service-public.fr</t>
        </is>
      </c>
      <c r="R340" t="inlineStr"/>
      <c r="S340" t="inlineStr"/>
      <c r="T340" t="inlineStr"/>
    </row>
    <row r="341">
      <c r="A341" t="inlineStr">
        <is>
          <t>CC Armagnac Adour</t>
        </is>
      </c>
      <c r="B341" t="inlineStr">
        <is>
          <t>Communauté de communes</t>
        </is>
      </c>
      <c r="C341" t="inlineStr">
        <is>
          <t>200035632</t>
        </is>
      </c>
      <c r="D341" t="inlineStr">
        <is>
          <t>32</t>
        </is>
      </c>
      <c r="E341" t="inlineStr">
        <is>
          <t>Gers</t>
        </is>
      </c>
      <c r="F341" t="inlineStr">
        <is>
          <t>Occitanie</t>
        </is>
      </c>
      <c r="G341" s="3" t="n">
        <v>6568</v>
      </c>
      <c r="H341" t="n">
        <v>24</v>
      </c>
      <c r="I341" t="inlineStr">
        <is>
          <t>1 lotissement du Bourdalat</t>
        </is>
      </c>
      <c r="J341" t="inlineStr">
        <is>
          <t>32400</t>
        </is>
      </c>
      <c r="K341" t="inlineStr">
        <is>
          <t>Riscle</t>
        </is>
      </c>
      <c r="L341" t="inlineStr">
        <is>
          <t>05 62 69 86 43</t>
        </is>
      </c>
      <c r="M341" s="4" t="inlineStr">
        <is>
          <t>ccaa@armagnacadour.fr</t>
        </is>
      </c>
      <c r="N341" s="4" t="inlineStr">
        <is>
          <t>http://www.armagnacadour.fr</t>
        </is>
      </c>
      <c r="O341" t="inlineStr"/>
      <c r="P341" s="4" t="inlineStr">
        <is>
          <t>https://lannuaire.service-public.gouv.fr/occitanie/gers/e0e62423-119a-4c94-8c47-0ccdf5d43ba3</t>
        </is>
      </c>
      <c r="Q341" t="inlineStr">
        <is>
          <t>Annuaire Service-public.fr</t>
        </is>
      </c>
      <c r="R341" t="inlineStr"/>
      <c r="S341" t="inlineStr"/>
      <c r="T341" t="inlineStr"/>
    </row>
    <row r="342">
      <c r="A342" t="inlineStr">
        <is>
          <t>CC Artagnan de Fezensac</t>
        </is>
      </c>
      <c r="B342" t="inlineStr">
        <is>
          <t>Communauté de communes</t>
        </is>
      </c>
      <c r="C342" t="inlineStr">
        <is>
          <t>243200607</t>
        </is>
      </c>
      <c r="D342" t="inlineStr">
        <is>
          <t>32</t>
        </is>
      </c>
      <c r="E342" t="inlineStr">
        <is>
          <t>Gers</t>
        </is>
      </c>
      <c r="F342" t="inlineStr">
        <is>
          <t>Occitanie</t>
        </is>
      </c>
      <c r="G342" s="3" t="n">
        <v>6953</v>
      </c>
      <c r="H342" t="n">
        <v>25</v>
      </c>
      <c r="I342" t="inlineStr">
        <is>
          <t>18 rue des Cordeliers, Complexe des Cordeliers</t>
        </is>
      </c>
      <c r="J342" t="inlineStr">
        <is>
          <t>32190</t>
        </is>
      </c>
      <c r="K342" t="inlineStr">
        <is>
          <t>Vic-Fezensac</t>
        </is>
      </c>
      <c r="L342" t="inlineStr">
        <is>
          <t>05 62 64 89 63</t>
        </is>
      </c>
      <c r="M342" s="4" t="inlineStr">
        <is>
          <t>accueil@dartagnanenfezensac.com</t>
        </is>
      </c>
      <c r="N342" s="4" t="inlineStr">
        <is>
          <t>https://www.dartagnanenfezensac.com/</t>
        </is>
      </c>
      <c r="O342" t="inlineStr"/>
      <c r="P342" s="4" t="inlineStr">
        <is>
          <t>https://lannuaire.service-public.gouv.fr/occitanie/gers/730ce44f-d282-4569-9da4-0d69ce78f68f</t>
        </is>
      </c>
      <c r="Q342" t="inlineStr">
        <is>
          <t>Annuaire Service-public.fr</t>
        </is>
      </c>
      <c r="R342" t="inlineStr"/>
      <c r="S342" t="inlineStr"/>
      <c r="T342" t="inlineStr"/>
    </row>
    <row r="343">
      <c r="A343" t="inlineStr">
        <is>
          <t>CC Astarac Arros en Gascogne</t>
        </is>
      </c>
      <c r="B343" t="inlineStr">
        <is>
          <t>Communauté de communes</t>
        </is>
      </c>
      <c r="C343" t="inlineStr">
        <is>
          <t>200035756</t>
        </is>
      </c>
      <c r="D343" t="inlineStr">
        <is>
          <t>32</t>
        </is>
      </c>
      <c r="E343" t="inlineStr">
        <is>
          <t>Gers</t>
        </is>
      </c>
      <c r="F343" t="inlineStr">
        <is>
          <t>Occitanie</t>
        </is>
      </c>
      <c r="G343" s="3" t="n">
        <v>7171</v>
      </c>
      <c r="H343" t="n">
        <v>37</v>
      </c>
      <c r="I343" t="inlineStr">
        <is>
          <t>19 avenue de Gascogne</t>
        </is>
      </c>
      <c r="J343" t="inlineStr">
        <is>
          <t>32730</t>
        </is>
      </c>
      <c r="K343" t="inlineStr">
        <is>
          <t>Villecomtal-sur-Arros</t>
        </is>
      </c>
      <c r="L343" t="inlineStr">
        <is>
          <t>05 62 64 84 51</t>
        </is>
      </c>
      <c r="M343" s="4" t="inlineStr">
        <is>
          <t>contact@cdcaag.fr</t>
        </is>
      </c>
      <c r="N343" s="4" t="inlineStr">
        <is>
          <t>https://www.cdcaag.fr/</t>
        </is>
      </c>
      <c r="O343" s="4" t="inlineStr">
        <is>
          <t>https://www.cdcaag.fr/nous-contacter/</t>
        </is>
      </c>
      <c r="P343" s="4" t="inlineStr">
        <is>
          <t>https://lannuaire.service-public.gouv.fr/occitanie/gers/2c1fbf3a-780b-40ef-a45a-a70705ee2006</t>
        </is>
      </c>
      <c r="Q343" t="inlineStr">
        <is>
          <t>Annuaire Service-public.fr</t>
        </is>
      </c>
      <c r="R343" t="inlineStr"/>
      <c r="S343" t="inlineStr"/>
      <c r="T343" t="inlineStr"/>
    </row>
    <row r="344">
      <c r="A344" t="inlineStr">
        <is>
          <t>CC Bastides de Lomagne</t>
        </is>
      </c>
      <c r="B344" t="inlineStr">
        <is>
          <t>Communauté de communes</t>
        </is>
      </c>
      <c r="C344" t="inlineStr">
        <is>
          <t>200034726</t>
        </is>
      </c>
      <c r="D344" t="inlineStr">
        <is>
          <t>32</t>
        </is>
      </c>
      <c r="E344" t="inlineStr">
        <is>
          <t>Gers</t>
        </is>
      </c>
      <c r="F344" t="inlineStr">
        <is>
          <t>Occitanie</t>
        </is>
      </c>
      <c r="G344" s="3" t="n">
        <v>11318</v>
      </c>
      <c r="H344" t="n">
        <v>41</v>
      </c>
      <c r="I344" t="inlineStr">
        <is>
          <t>Route d'Auch, ZA</t>
        </is>
      </c>
      <c r="J344" t="inlineStr">
        <is>
          <t>32120</t>
        </is>
      </c>
      <c r="K344" t="inlineStr">
        <is>
          <t>Mauvezin</t>
        </is>
      </c>
      <c r="L344" t="inlineStr">
        <is>
          <t>05 62 06 84 67</t>
        </is>
      </c>
      <c r="M344" s="4" t="inlineStr">
        <is>
          <t>contact@ccbl32.fr</t>
        </is>
      </c>
      <c r="N344" s="4" t="inlineStr">
        <is>
          <t>https://www.ccbl32.fr/ccbl/index.php</t>
        </is>
      </c>
      <c r="O344" t="inlineStr"/>
      <c r="P344" s="4" t="inlineStr">
        <is>
          <t>https://lannuaire.service-public.gouv.fr/occitanie/gers/a9b33bed-72fc-4be3-8432-bce2d52a51c4</t>
        </is>
      </c>
      <c r="Q344" t="inlineStr">
        <is>
          <t>Annuaire Service-public.fr</t>
        </is>
      </c>
      <c r="R344" t="inlineStr"/>
      <c r="S344" t="inlineStr"/>
      <c r="T344" t="inlineStr"/>
    </row>
    <row r="345">
      <c r="A345" t="inlineStr">
        <is>
          <t>CC Bastides et Vallons du Gers</t>
        </is>
      </c>
      <c r="B345" t="inlineStr">
        <is>
          <t>Communauté de communes</t>
        </is>
      </c>
      <c r="C345" t="inlineStr">
        <is>
          <t>243200508</t>
        </is>
      </c>
      <c r="D345" t="inlineStr">
        <is>
          <t>32</t>
        </is>
      </c>
      <c r="E345" t="inlineStr">
        <is>
          <t>Gers</t>
        </is>
      </c>
      <c r="F345" t="inlineStr">
        <is>
          <t>Occitanie</t>
        </is>
      </c>
      <c r="G345" s="3" t="n">
        <v>6969</v>
      </c>
      <c r="H345" t="n">
        <v>30</v>
      </c>
      <c r="I345" t="inlineStr">
        <is>
          <t>Route du Lac</t>
        </is>
      </c>
      <c r="J345" t="inlineStr">
        <is>
          <t>32230</t>
        </is>
      </c>
      <c r="K345" t="inlineStr">
        <is>
          <t>Marciac</t>
        </is>
      </c>
      <c r="L345" t="inlineStr">
        <is>
          <t>05 62 09 30 68</t>
        </is>
      </c>
      <c r="M345" s="4" t="inlineStr">
        <is>
          <t>accueil@ccbvg.fr</t>
        </is>
      </c>
      <c r="N345" s="4" t="inlineStr">
        <is>
          <t>https://www.ccbvg.fr/</t>
        </is>
      </c>
      <c r="O345" s="4" t="inlineStr">
        <is>
          <t>https://www.ccbvg.fr/contact/</t>
        </is>
      </c>
      <c r="P345" s="4" t="inlineStr">
        <is>
          <t>https://lannuaire.service-public.gouv.fr/occitanie/gers/c294f1e4-0874-4933-9f7a-c54bf885c0e0</t>
        </is>
      </c>
      <c r="Q345" t="inlineStr">
        <is>
          <t>Annuaire Service-public.fr</t>
        </is>
      </c>
      <c r="R345" t="inlineStr"/>
      <c r="S345" t="inlineStr"/>
      <c r="T345" t="inlineStr"/>
    </row>
    <row r="346">
      <c r="A346" t="inlineStr">
        <is>
          <t>CC Coeur d'Astarac en Gascogne</t>
        </is>
      </c>
      <c r="B346" t="inlineStr">
        <is>
          <t>Communauté de communes</t>
        </is>
      </c>
      <c r="C346" t="inlineStr">
        <is>
          <t>243200425</t>
        </is>
      </c>
      <c r="D346" t="inlineStr">
        <is>
          <t>32</t>
        </is>
      </c>
      <c r="E346" t="inlineStr">
        <is>
          <t>Gers</t>
        </is>
      </c>
      <c r="F346" t="inlineStr">
        <is>
          <t>Occitanie</t>
        </is>
      </c>
      <c r="G346" s="3" t="n">
        <v>7720</v>
      </c>
      <c r="H346" t="n">
        <v>19</v>
      </c>
      <c r="I346" t="inlineStr">
        <is>
          <t>4 avenue Jean-d'Antras</t>
        </is>
      </c>
      <c r="J346" t="inlineStr">
        <is>
          <t>32300</t>
        </is>
      </c>
      <c r="K346" t="inlineStr">
        <is>
          <t>Mirande</t>
        </is>
      </c>
      <c r="L346" t="inlineStr">
        <is>
          <t>05 62 66 51 48</t>
        </is>
      </c>
      <c r="M346" s="4" t="inlineStr">
        <is>
          <t>contact@coeur-dastarac.fr</t>
        </is>
      </c>
      <c r="N346" s="4" t="inlineStr">
        <is>
          <t>https://coeur-dastarac.fr/fr/</t>
        </is>
      </c>
      <c r="O346" s="4" t="inlineStr">
        <is>
          <t>https://coeur-dastarac.fr/fr/</t>
        </is>
      </c>
      <c r="P346" s="4" t="inlineStr">
        <is>
          <t>https://lannuaire.service-public.gouv.fr/occitanie/gers/b01fa094-c53a-4397-8225-fcc7870629fe</t>
        </is>
      </c>
      <c r="Q346" t="inlineStr">
        <is>
          <t>Annuaire Service-public.fr</t>
        </is>
      </c>
      <c r="R346" t="inlineStr"/>
      <c r="S346" t="inlineStr"/>
      <c r="T346" t="inlineStr"/>
    </row>
    <row r="347">
      <c r="A347" t="inlineStr">
        <is>
          <t>CC Val de Gers</t>
        </is>
      </c>
      <c r="B347" t="inlineStr">
        <is>
          <t>Communauté de communes</t>
        </is>
      </c>
      <c r="C347" t="inlineStr">
        <is>
          <t>200072320</t>
        </is>
      </c>
      <c r="D347" t="inlineStr">
        <is>
          <t>32</t>
        </is>
      </c>
      <c r="E347" t="inlineStr">
        <is>
          <t>Gers</t>
        </is>
      </c>
      <c r="F347" t="inlineStr">
        <is>
          <t>Occitanie</t>
        </is>
      </c>
      <c r="G347" s="3" t="n">
        <v>9783</v>
      </c>
      <c r="H347" t="n">
        <v>42</v>
      </c>
      <c r="I347" t="inlineStr">
        <is>
          <t>1 place Carnot</t>
        </is>
      </c>
      <c r="J347" t="inlineStr">
        <is>
          <t>32260</t>
        </is>
      </c>
      <c r="K347" t="inlineStr">
        <is>
          <t>Seissan</t>
        </is>
      </c>
      <c r="L347" t="inlineStr">
        <is>
          <t>05 62 05 99 64</t>
        </is>
      </c>
      <c r="M347" s="4" t="inlineStr">
        <is>
          <t>accueil@cc-valdegers.fr</t>
        </is>
      </c>
      <c r="N347" s="4" t="inlineStr">
        <is>
          <t>https://www.cc-valdegers.fr/</t>
        </is>
      </c>
      <c r="O347" t="inlineStr"/>
      <c r="P347" s="4" t="inlineStr">
        <is>
          <t>https://lannuaire.service-public.gouv.fr/occitanie/gers/ac3e3bab-2126-4483-bcf9-5d23bc81829b</t>
        </is>
      </c>
      <c r="Q347" t="inlineStr">
        <is>
          <t>Annuaire Service-public.fr</t>
        </is>
      </c>
      <c r="R347" t="inlineStr"/>
      <c r="S347" t="inlineStr"/>
      <c r="T347" t="inlineStr"/>
    </row>
    <row r="348">
      <c r="A348" t="inlineStr">
        <is>
          <t>CC d'Aire-sur-l'Adour</t>
        </is>
      </c>
      <c r="B348" t="inlineStr">
        <is>
          <t>Communauté de communes</t>
        </is>
      </c>
      <c r="C348" t="inlineStr">
        <is>
          <t>200030435</t>
        </is>
      </c>
      <c r="D348" t="inlineStr">
        <is>
          <t>32, 40</t>
        </is>
      </c>
      <c r="E348" t="inlineStr">
        <is>
          <t>Gers, Landes</t>
        </is>
      </c>
      <c r="F348" t="inlineStr">
        <is>
          <t>Nouvelle-Aquitaine, Occitanie</t>
        </is>
      </c>
      <c r="G348" s="3" t="n">
        <v>12922</v>
      </c>
      <c r="H348" t="n">
        <v>22</v>
      </c>
      <c r="I348" t="inlineStr">
        <is>
          <t>7 boulevard de la Gare</t>
        </is>
      </c>
      <c r="J348" t="inlineStr">
        <is>
          <t>40800</t>
        </is>
      </c>
      <c r="K348" t="inlineStr">
        <is>
          <t>Aire-sur-l'Adour</t>
        </is>
      </c>
      <c r="L348" t="inlineStr">
        <is>
          <t>05 58 45 19 05</t>
        </is>
      </c>
      <c r="M348" s="4" t="inlineStr">
        <is>
          <t>cdc@cdcaire.org</t>
        </is>
      </c>
      <c r="N348" s="4" t="inlineStr">
        <is>
          <t>https://www.cdcaire.org/</t>
        </is>
      </c>
      <c r="O348" t="inlineStr"/>
      <c r="P348" s="4" t="inlineStr">
        <is>
          <t>https://lannuaire.service-public.gouv.fr/nouvelle-aquitaine/landes/5777a985-8940-418f-8498-73dd1a51ae6e</t>
        </is>
      </c>
      <c r="Q348" t="inlineStr">
        <is>
          <t>Annuaire Service-public.fr</t>
        </is>
      </c>
      <c r="R348" t="inlineStr"/>
      <c r="S348" t="inlineStr"/>
      <c r="T348" t="inlineStr"/>
    </row>
    <row r="349">
      <c r="A349" t="inlineStr">
        <is>
          <t>CC de la Gascogne Toulousaine</t>
        </is>
      </c>
      <c r="B349" t="inlineStr">
        <is>
          <t>Communauté de communes</t>
        </is>
      </c>
      <c r="C349" t="inlineStr">
        <is>
          <t>200023620</t>
        </is>
      </c>
      <c r="D349" t="inlineStr">
        <is>
          <t>32</t>
        </is>
      </c>
      <c r="E349" t="inlineStr">
        <is>
          <t>Gers</t>
        </is>
      </c>
      <c r="F349" t="inlineStr">
        <is>
          <t>Occitanie</t>
        </is>
      </c>
      <c r="G349" s="3" t="n">
        <v>17060</v>
      </c>
      <c r="H349" t="n">
        <v>13</v>
      </c>
      <c r="I349" t="inlineStr">
        <is>
          <t>2 Rue Louis-Aygobere, ZA Pont-Peyrin</t>
        </is>
      </c>
      <c r="J349" t="inlineStr">
        <is>
          <t>32600</t>
        </is>
      </c>
      <c r="K349" t="inlineStr">
        <is>
          <t>L'Isle-Jourdain</t>
        </is>
      </c>
      <c r="L349" t="inlineStr">
        <is>
          <t>05 62 07 71 16</t>
        </is>
      </c>
      <c r="M349" s="4" t="inlineStr">
        <is>
          <t>accueil@ccgascognetoulousaine.com</t>
        </is>
      </c>
      <c r="N349" s="4" t="inlineStr">
        <is>
          <t>https://www.ccgascognetoulousaine.com/</t>
        </is>
      </c>
      <c r="O349" s="4" t="inlineStr">
        <is>
          <t>https://www.ccgascognetoulousaine.com/contactez-nous/</t>
        </is>
      </c>
      <c r="P349" s="4" t="inlineStr">
        <is>
          <t>https://lannuaire.service-public.gouv.fr/occitanie/gers/a46e7c9e-2ca4-493f-a5cb-a08607e07bc8</t>
        </is>
      </c>
      <c r="Q349" t="inlineStr">
        <is>
          <t>Annuaire Service-public.fr</t>
        </is>
      </c>
      <c r="R349" t="inlineStr"/>
      <c r="S349" t="inlineStr"/>
      <c r="T349" t="inlineStr"/>
    </row>
    <row r="350">
      <c r="A350" t="inlineStr">
        <is>
          <t>CC de la Lomagne Gersoise</t>
        </is>
      </c>
      <c r="B350" t="inlineStr">
        <is>
          <t>Communauté de communes</t>
        </is>
      </c>
      <c r="C350" t="inlineStr">
        <is>
          <t>243200391</t>
        </is>
      </c>
      <c r="D350" t="inlineStr">
        <is>
          <t>32</t>
        </is>
      </c>
      <c r="E350" t="inlineStr">
        <is>
          <t>Gers</t>
        </is>
      </c>
      <c r="F350" t="inlineStr">
        <is>
          <t>Occitanie</t>
        </is>
      </c>
      <c r="G350" s="3" t="n">
        <v>19309</v>
      </c>
      <c r="H350" t="n">
        <v>43</v>
      </c>
      <c r="I350" t="inlineStr">
        <is>
          <t>8 avenue Pierre-de-Coubertin</t>
        </is>
      </c>
      <c r="J350" t="inlineStr">
        <is>
          <t>32500</t>
        </is>
      </c>
      <c r="K350" t="inlineStr">
        <is>
          <t>Fleurance</t>
        </is>
      </c>
      <c r="L350" t="inlineStr">
        <is>
          <t>05 62 64 22 55</t>
        </is>
      </c>
      <c r="M350" s="4" t="inlineStr">
        <is>
          <t>communaute-de-communes@lomagne-gersoise.com</t>
        </is>
      </c>
      <c r="N350" s="4" t="inlineStr">
        <is>
          <t>https://www.lomagne-gersoise.com</t>
        </is>
      </c>
      <c r="O350" t="inlineStr"/>
      <c r="P350" s="4" t="inlineStr">
        <is>
          <t>https://lannuaire.service-public.gouv.fr/occitanie/gers/ea8ac1f7-0304-4b46-8f3b-729de79ceb6a</t>
        </is>
      </c>
      <c r="Q350" t="inlineStr">
        <is>
          <t>Annuaire Service-public.fr</t>
        </is>
      </c>
      <c r="R350" t="inlineStr"/>
      <c r="S350" t="inlineStr"/>
      <c r="T350" t="inlineStr"/>
    </row>
    <row r="351">
      <c r="A351" t="inlineStr">
        <is>
          <t>CC de la Tenarèze</t>
        </is>
      </c>
      <c r="B351" t="inlineStr">
        <is>
          <t>Communauté de communes</t>
        </is>
      </c>
      <c r="C351" t="inlineStr">
        <is>
          <t>243200417</t>
        </is>
      </c>
      <c r="D351" t="inlineStr">
        <is>
          <t>32</t>
        </is>
      </c>
      <c r="E351" t="inlineStr">
        <is>
          <t>Gers</t>
        </is>
      </c>
      <c r="F351" t="inlineStr">
        <is>
          <t>Occitanie</t>
        </is>
      </c>
      <c r="G351" s="3" t="n">
        <v>14327</v>
      </c>
      <c r="H351" t="n">
        <v>26</v>
      </c>
      <c r="I351" t="inlineStr">
        <is>
          <t>Quai Laboupillère</t>
        </is>
      </c>
      <c r="J351" t="inlineStr">
        <is>
          <t>32100</t>
        </is>
      </c>
      <c r="K351" t="inlineStr">
        <is>
          <t>Condom</t>
        </is>
      </c>
      <c r="L351" t="inlineStr">
        <is>
          <t>05 62 28 73 53</t>
        </is>
      </c>
      <c r="M351" s="4" t="inlineStr">
        <is>
          <t>contact@cc-tenareze.fr</t>
        </is>
      </c>
      <c r="N351" s="4" t="inlineStr">
        <is>
          <t>http://www.cc-tenareze.fr</t>
        </is>
      </c>
      <c r="O351" s="4" t="inlineStr">
        <is>
          <t>http://cc-tenareze.fr/contact</t>
        </is>
      </c>
      <c r="P351" s="4" t="inlineStr">
        <is>
          <t>https://lannuaire.service-public.gouv.fr/occitanie/gers/37e34749-e073-4ef7-a930-67a887e0065a</t>
        </is>
      </c>
      <c r="Q351" t="inlineStr">
        <is>
          <t>Annuaire Service-public.fr</t>
        </is>
      </c>
      <c r="R351" t="inlineStr"/>
      <c r="S351" t="inlineStr"/>
      <c r="T351" t="inlineStr"/>
    </row>
    <row r="352">
      <c r="A352" t="inlineStr">
        <is>
          <t>CC des Coteaux Arrats Gimone</t>
        </is>
      </c>
      <c r="B352" t="inlineStr">
        <is>
          <t>Communauté de communes</t>
        </is>
      </c>
      <c r="C352" t="inlineStr">
        <is>
          <t>200042372</t>
        </is>
      </c>
      <c r="D352" t="inlineStr">
        <is>
          <t>32</t>
        </is>
      </c>
      <c r="E352" t="inlineStr">
        <is>
          <t>Gers</t>
        </is>
      </c>
      <c r="F352" t="inlineStr">
        <is>
          <t>Occitanie</t>
        </is>
      </c>
      <c r="G352" s="3" t="n">
        <v>10784</v>
      </c>
      <c r="H352" t="n">
        <v>30</v>
      </c>
      <c r="I352" t="inlineStr">
        <is>
          <t>53 boulevard du Nord</t>
        </is>
      </c>
      <c r="J352" t="inlineStr">
        <is>
          <t>32200</t>
        </is>
      </c>
      <c r="K352" t="inlineStr">
        <is>
          <t>Gimont</t>
        </is>
      </c>
      <c r="L352" t="inlineStr">
        <is>
          <t>05 62 67 91 67</t>
        </is>
      </c>
      <c r="M352" s="4" t="inlineStr">
        <is>
          <t>secretariat@3cag.fr</t>
        </is>
      </c>
      <c r="N352" s="4" t="inlineStr">
        <is>
          <t>https://3cag.fr/</t>
        </is>
      </c>
      <c r="O352" t="inlineStr"/>
      <c r="P352" s="4" t="inlineStr">
        <is>
          <t>https://lannuaire.service-public.gouv.fr/occitanie/gers/b45a8efe-42ce-4088-ad47-47a46666a460</t>
        </is>
      </c>
      <c r="Q352" t="inlineStr">
        <is>
          <t>Annuaire Service-public.fr</t>
        </is>
      </c>
      <c r="R352" t="inlineStr"/>
      <c r="S352" t="inlineStr"/>
      <c r="T352" t="inlineStr"/>
    </row>
    <row r="353">
      <c r="A353" t="inlineStr">
        <is>
          <t>CC des Deux Rives</t>
        </is>
      </c>
      <c r="B353" t="inlineStr">
        <is>
          <t>Communauté de communes</t>
        </is>
      </c>
      <c r="C353" t="inlineStr">
        <is>
          <t>248200016</t>
        </is>
      </c>
      <c r="D353" t="inlineStr">
        <is>
          <t>32, 47, 82</t>
        </is>
      </c>
      <c r="E353" t="inlineStr">
        <is>
          <t>Gers, Lot-et-Garonne, Tarn-et-Garonne</t>
        </is>
      </c>
      <c r="F353" t="inlineStr">
        <is>
          <t>Nouvelle-Aquitaine, Occitanie</t>
        </is>
      </c>
      <c r="G353" s="3" t="n">
        <v>19013</v>
      </c>
      <c r="H353" t="n">
        <v>28</v>
      </c>
      <c r="I353" t="inlineStr">
        <is>
          <t>2 rue du Général-Vidalot</t>
        </is>
      </c>
      <c r="J353" t="inlineStr">
        <is>
          <t>82400</t>
        </is>
      </c>
      <c r="K353" t="inlineStr">
        <is>
          <t>Valence-d'Agen</t>
        </is>
      </c>
      <c r="L353" t="inlineStr">
        <is>
          <t>05 63 29 92 00</t>
        </is>
      </c>
      <c r="M353" s="4" t="inlineStr">
        <is>
          <t>info@cc-deuxrives.fr</t>
        </is>
      </c>
      <c r="N353" s="4" t="inlineStr">
        <is>
          <t>https://www.cc-deuxrives.fr</t>
        </is>
      </c>
      <c r="O353" t="inlineStr"/>
      <c r="P353" s="4" t="inlineStr">
        <is>
          <t>https://lannuaire.service-public.gouv.fr/occitanie/tarn-et-garonne/6ca6ff4d-8306-448c-a87a-8fff38c74dee</t>
        </is>
      </c>
      <c r="Q353" t="inlineStr">
        <is>
          <t>Annuaire Service-public.fr</t>
        </is>
      </c>
      <c r="R353" t="inlineStr"/>
      <c r="S353" t="inlineStr"/>
      <c r="T353" t="inlineStr"/>
    </row>
    <row r="354">
      <c r="A354" t="inlineStr">
        <is>
          <t>CC du Bas Armagnac</t>
        </is>
      </c>
      <c r="B354" t="inlineStr">
        <is>
          <t>Communauté de communes</t>
        </is>
      </c>
      <c r="C354" t="inlineStr">
        <is>
          <t>243200409</t>
        </is>
      </c>
      <c r="D354" t="inlineStr">
        <is>
          <t>32</t>
        </is>
      </c>
      <c r="E354" t="inlineStr">
        <is>
          <t>Gers</t>
        </is>
      </c>
      <c r="F354" t="inlineStr">
        <is>
          <t>Occitanie</t>
        </is>
      </c>
      <c r="G354" s="3" t="n">
        <v>8714</v>
      </c>
      <c r="H354" t="n">
        <v>26</v>
      </c>
      <c r="I354" t="inlineStr">
        <is>
          <t>2 route du Nogaropôle</t>
        </is>
      </c>
      <c r="J354" t="inlineStr">
        <is>
          <t>32110</t>
        </is>
      </c>
      <c r="K354" t="inlineStr">
        <is>
          <t>Caupenne-d'Armagnac</t>
        </is>
      </c>
      <c r="L354" t="inlineStr">
        <is>
          <t>05 62 69 01 16</t>
        </is>
      </c>
      <c r="M354" s="4" t="inlineStr">
        <is>
          <t>info@cc-basarmagnac.fr</t>
        </is>
      </c>
      <c r="N354" s="4" t="inlineStr">
        <is>
          <t>https://cc-basarmagnac.fr/</t>
        </is>
      </c>
      <c r="O354" s="4" t="inlineStr">
        <is>
          <t>https://cc-basarmagnac.fr/contact/</t>
        </is>
      </c>
      <c r="P354" s="4" t="inlineStr">
        <is>
          <t>https://lannuaire.service-public.gouv.fr/occitanie/gers/876fcb46-6243-4c8f-8211-d3dd4dcfb30b</t>
        </is>
      </c>
      <c r="Q354" t="inlineStr">
        <is>
          <t>Annuaire Service-public.fr</t>
        </is>
      </c>
      <c r="R354" t="inlineStr"/>
      <c r="S354" t="inlineStr"/>
      <c r="T354" t="inlineStr"/>
    </row>
    <row r="355">
      <c r="A355" t="inlineStr">
        <is>
          <t>CC du Grand Armagnac</t>
        </is>
      </c>
      <c r="B355" t="inlineStr">
        <is>
          <t>Communauté de communes</t>
        </is>
      </c>
      <c r="C355" t="inlineStr">
        <is>
          <t>243200458</t>
        </is>
      </c>
      <c r="D355" t="inlineStr">
        <is>
          <t>32</t>
        </is>
      </c>
      <c r="E355" t="inlineStr">
        <is>
          <t>Gers</t>
        </is>
      </c>
      <c r="F355" t="inlineStr">
        <is>
          <t>Occitanie</t>
        </is>
      </c>
      <c r="G355" s="3" t="n">
        <v>13441</v>
      </c>
      <c r="H355" t="n">
        <v>25</v>
      </c>
      <c r="I355" t="inlineStr">
        <is>
          <t>14 allée Julien-Laudet</t>
        </is>
      </c>
      <c r="J355" t="inlineStr">
        <is>
          <t>32800</t>
        </is>
      </c>
      <c r="K355" t="inlineStr">
        <is>
          <t>Éauze</t>
        </is>
      </c>
      <c r="L355" t="inlineStr">
        <is>
          <t>05 62 08 78 22</t>
        </is>
      </c>
      <c r="M355" s="4" t="inlineStr">
        <is>
          <t>dgs@grand-armagnac.fr</t>
        </is>
      </c>
      <c r="N355" s="4" t="inlineStr">
        <is>
          <t>https://grand-armagnac.fr/accueil</t>
        </is>
      </c>
      <c r="O355" t="inlineStr"/>
      <c r="P355" s="4" t="inlineStr">
        <is>
          <t>https://lannuaire.service-public.gouv.fr/occitanie/gers/4e7ba475-f0a5-4a8c-9e95-79a5d3c7e247</t>
        </is>
      </c>
      <c r="Q355" t="inlineStr">
        <is>
          <t>Annuaire Service-public.fr</t>
        </is>
      </c>
      <c r="R355" t="inlineStr"/>
      <c r="S355" t="inlineStr"/>
      <c r="T355" t="inlineStr"/>
    </row>
    <row r="356">
      <c r="A356" t="inlineStr">
        <is>
          <t>CC du Saves</t>
        </is>
      </c>
      <c r="B356" t="inlineStr">
        <is>
          <t>Communauté de communes</t>
        </is>
      </c>
      <c r="C356" t="inlineStr">
        <is>
          <t>243200599</t>
        </is>
      </c>
      <c r="D356" t="inlineStr">
        <is>
          <t>32</t>
        </is>
      </c>
      <c r="E356" t="inlineStr">
        <is>
          <t>Gers</t>
        </is>
      </c>
      <c r="F356" t="inlineStr">
        <is>
          <t>Occitanie</t>
        </is>
      </c>
      <c r="G356" s="3" t="n">
        <v>9849</v>
      </c>
      <c r="H356" t="n">
        <v>32</v>
      </c>
      <c r="I356" t="inlineStr">
        <is>
          <t>37 avenue de la Gailloue</t>
        </is>
      </c>
      <c r="J356" t="inlineStr">
        <is>
          <t>32220</t>
        </is>
      </c>
      <c r="K356" t="inlineStr">
        <is>
          <t>Lombez</t>
        </is>
      </c>
      <c r="L356" t="inlineStr">
        <is>
          <t>05 62 62 68 70</t>
        </is>
      </c>
      <c r="M356" s="4" t="inlineStr">
        <is>
          <t>contact@ccsaves32.fr</t>
        </is>
      </c>
      <c r="N356" s="4" t="inlineStr">
        <is>
          <t>https://www.ccsaves32.fr/</t>
        </is>
      </c>
      <c r="O356" s="4" t="inlineStr">
        <is>
          <t>https://www.ccsaves32.fr/contact/</t>
        </is>
      </c>
      <c r="P356" s="4" t="inlineStr">
        <is>
          <t>https://lannuaire.service-public.gouv.fr/occitanie/gers/2d85dc3c-6719-4e99-9a2e-15904cccf1b8</t>
        </is>
      </c>
      <c r="Q356" t="inlineStr">
        <is>
          <t>Annuaire Service-public.fr</t>
        </is>
      </c>
      <c r="R356" t="inlineStr"/>
      <c r="S356" t="inlineStr"/>
      <c r="T356" t="inlineStr"/>
    </row>
    <row r="357">
      <c r="A357" t="inlineStr">
        <is>
          <t>CC Convergence Garonne</t>
        </is>
      </c>
      <c r="B357" t="inlineStr">
        <is>
          <t>Communauté de communes</t>
        </is>
      </c>
      <c r="C357" t="inlineStr">
        <is>
          <t>200069581</t>
        </is>
      </c>
      <c r="D357" t="inlineStr">
        <is>
          <t>33</t>
        </is>
      </c>
      <c r="E357" t="inlineStr">
        <is>
          <t>Gironde</t>
        </is>
      </c>
      <c r="F357" t="inlineStr">
        <is>
          <t>Nouvelle-Aquitaine</t>
        </is>
      </c>
      <c r="G357" s="3" t="n">
        <v>32781</v>
      </c>
      <c r="H357" t="n">
        <v>27</v>
      </c>
      <c r="I357" t="inlineStr">
        <is>
          <t>12 rue du Maréchal-Leclerc-de-Hauteclocque</t>
        </is>
      </c>
      <c r="J357" t="inlineStr">
        <is>
          <t>33720</t>
        </is>
      </c>
      <c r="K357" t="inlineStr">
        <is>
          <t>Podensac</t>
        </is>
      </c>
      <c r="L357" t="inlineStr">
        <is>
          <t>05 56 76 38 00</t>
        </is>
      </c>
      <c r="M357" s="4" t="inlineStr">
        <is>
          <t>contact@convergence-garonne.fr</t>
        </is>
      </c>
      <c r="N357" s="4" t="inlineStr">
        <is>
          <t>https://convergence-garonne.fr/</t>
        </is>
      </c>
      <c r="O357" t="inlineStr"/>
      <c r="P357" s="4" t="inlineStr">
        <is>
          <t>https://lannuaire.service-public.gouv.fr/nouvelle-aquitaine/gironde/5e51b301-4f57-4723-b1e8-9ab7d54b962a</t>
        </is>
      </c>
      <c r="Q357" t="inlineStr">
        <is>
          <t>Annuaire Service-public.fr</t>
        </is>
      </c>
      <c r="R357" t="inlineStr"/>
      <c r="S357" t="inlineStr"/>
      <c r="T357" t="inlineStr"/>
    </row>
    <row r="358">
      <c r="A358" t="inlineStr">
        <is>
          <t>CC Jalle-Eau-Bourde</t>
        </is>
      </c>
      <c r="B358" t="inlineStr">
        <is>
          <t>Communauté de communes</t>
        </is>
      </c>
      <c r="C358" t="inlineStr">
        <is>
          <t>243301165</t>
        </is>
      </c>
      <c r="D358" t="inlineStr">
        <is>
          <t>33</t>
        </is>
      </c>
      <c r="E358" t="inlineStr">
        <is>
          <t>Gironde</t>
        </is>
      </c>
      <c r="F358" t="inlineStr">
        <is>
          <t>Nouvelle-Aquitaine</t>
        </is>
      </c>
      <c r="G358" s="3" t="n">
        <v>32295</v>
      </c>
      <c r="H358" t="n">
        <v>3</v>
      </c>
      <c r="I358" t="inlineStr">
        <is>
          <t>2 avenue du Baron-Haussmann, Hôtel de Ville</t>
        </is>
      </c>
      <c r="J358" t="inlineStr">
        <is>
          <t>33610</t>
        </is>
      </c>
      <c r="K358" t="inlineStr">
        <is>
          <t>Cestas</t>
        </is>
      </c>
      <c r="L358" t="inlineStr">
        <is>
          <t>05 56 78 13 00</t>
        </is>
      </c>
      <c r="M358" s="4" t="inlineStr">
        <is>
          <t>cdc@jalleeaubourde.fr</t>
        </is>
      </c>
      <c r="N358" s="4" t="inlineStr">
        <is>
          <t>https://jalleeaubourde.fr/</t>
        </is>
      </c>
      <c r="O358" s="4" t="inlineStr">
        <is>
          <t>https://jalleeaubourde.fr/contacter/</t>
        </is>
      </c>
      <c r="P358" s="4" t="inlineStr">
        <is>
          <t>https://lannuaire.service-public.gouv.fr/nouvelle-aquitaine/gironde/289175a4-20e7-42a3-8b2b-8a2dfbdbb0f1</t>
        </is>
      </c>
      <c r="Q358" t="inlineStr">
        <is>
          <t>Annuaire Service-public.fr</t>
        </is>
      </c>
      <c r="R358" t="inlineStr"/>
      <c r="S358" t="inlineStr"/>
      <c r="T358" t="inlineStr"/>
    </row>
    <row r="359">
      <c r="A359" t="inlineStr">
        <is>
          <t>CC Latitude Nord Gironde</t>
        </is>
      </c>
      <c r="B359" t="inlineStr">
        <is>
          <t>Communauté de communes</t>
        </is>
      </c>
      <c r="C359" t="inlineStr">
        <is>
          <t>243301181</t>
        </is>
      </c>
      <c r="D359" t="inlineStr">
        <is>
          <t>33</t>
        </is>
      </c>
      <c r="E359" t="inlineStr">
        <is>
          <t>Gironde</t>
        </is>
      </c>
      <c r="F359" t="inlineStr">
        <is>
          <t>Nouvelle-Aquitaine</t>
        </is>
      </c>
      <c r="G359" s="3" t="n">
        <v>21630</v>
      </c>
      <c r="H359" t="n">
        <v>12</v>
      </c>
      <c r="I359" t="inlineStr">
        <is>
          <t>2 rue de la Gamme, Maison de la communauté de communes</t>
        </is>
      </c>
      <c r="J359" t="inlineStr">
        <is>
          <t>33920</t>
        </is>
      </c>
      <c r="K359" t="inlineStr">
        <is>
          <t>Saint-Savin</t>
        </is>
      </c>
      <c r="L359" t="inlineStr">
        <is>
          <t>05 57 58 98 87</t>
        </is>
      </c>
      <c r="M359" s="4" t="inlineStr">
        <is>
          <t>contact@latitude-nord-gironde.fr</t>
        </is>
      </c>
      <c r="N359" s="4" t="inlineStr">
        <is>
          <t>https://www.latitude-nord-gironde.fr/</t>
        </is>
      </c>
      <c r="O359" t="inlineStr"/>
      <c r="P359" s="4" t="inlineStr">
        <is>
          <t>https://lannuaire.service-public.gouv.fr/nouvelle-aquitaine/gironde/3781c4f7-13f1-4a71-82fc-c3423b208cc0</t>
        </is>
      </c>
      <c r="Q359" t="inlineStr">
        <is>
          <t>Annuaire Service-public.fr</t>
        </is>
      </c>
      <c r="R359" t="inlineStr"/>
      <c r="S359" t="inlineStr"/>
      <c r="T359" t="inlineStr"/>
    </row>
    <row r="360">
      <c r="A360" t="inlineStr">
        <is>
          <t>CC Les Rives de la Laurence</t>
        </is>
      </c>
      <c r="B360" t="inlineStr">
        <is>
          <t>Communauté de communes</t>
        </is>
      </c>
      <c r="C360" t="inlineStr">
        <is>
          <t>243301249</t>
        </is>
      </c>
      <c r="D360" t="inlineStr">
        <is>
          <t>33</t>
        </is>
      </c>
      <c r="E360" t="inlineStr">
        <is>
          <t>Gironde</t>
        </is>
      </c>
      <c r="F360" t="inlineStr">
        <is>
          <t>Nouvelle-Aquitaine</t>
        </is>
      </c>
      <c r="G360" s="3" t="n">
        <v>28873</v>
      </c>
      <c r="H360" t="n">
        <v>6</v>
      </c>
      <c r="I360" t="inlineStr">
        <is>
          <t>30 bis chemin de Nice</t>
        </is>
      </c>
      <c r="J360" t="inlineStr">
        <is>
          <t>33450</t>
        </is>
      </c>
      <c r="K360" t="inlineStr">
        <is>
          <t>Saint-Loubès</t>
        </is>
      </c>
      <c r="L360" t="inlineStr">
        <is>
          <t>05 56 78 91 11</t>
        </is>
      </c>
      <c r="M360" s="4" t="inlineStr">
        <is>
          <t>cdc.saintloubes@free.fr</t>
        </is>
      </c>
      <c r="N360" s="4" t="inlineStr">
        <is>
          <t>https://www.rivesdelalaurence.fr/</t>
        </is>
      </c>
      <c r="O360" s="4" t="inlineStr">
        <is>
          <t>https://www.rivesdelalaurence.fr/nous-contacter/</t>
        </is>
      </c>
      <c r="P360" s="4" t="inlineStr">
        <is>
          <t>https://lannuaire.service-public.gouv.fr/nouvelle-aquitaine/gironde/4bfe7ae6-b0f2-4fbc-84fb-bdd340525708</t>
        </is>
      </c>
      <c r="Q360" t="inlineStr">
        <is>
          <t>Annuaire Service-public.fr</t>
        </is>
      </c>
      <c r="R360" t="inlineStr"/>
      <c r="S360" t="inlineStr"/>
      <c r="T360" t="inlineStr"/>
    </row>
    <row r="361">
      <c r="A361" t="inlineStr">
        <is>
          <t>CC Médoc Atlantique</t>
        </is>
      </c>
      <c r="B361" t="inlineStr">
        <is>
          <t>Communauté de communes</t>
        </is>
      </c>
      <c r="C361" t="inlineStr">
        <is>
          <t>200070720</t>
        </is>
      </c>
      <c r="D361" t="inlineStr">
        <is>
          <t>33</t>
        </is>
      </c>
      <c r="E361" t="inlineStr">
        <is>
          <t>Gironde</t>
        </is>
      </c>
      <c r="F361" t="inlineStr">
        <is>
          <t>Nouvelle-Aquitaine</t>
        </is>
      </c>
      <c r="G361" s="3" t="n">
        <v>28306</v>
      </c>
      <c r="H361" t="n">
        <v>14</v>
      </c>
      <c r="I361" t="inlineStr">
        <is>
          <t>9 rue du Maréchal-d'Ornano</t>
        </is>
      </c>
      <c r="J361" t="inlineStr">
        <is>
          <t>33780</t>
        </is>
      </c>
      <c r="K361" t="inlineStr">
        <is>
          <t>Soulac-sur-Mer</t>
        </is>
      </c>
      <c r="L361" t="inlineStr">
        <is>
          <t>05 56 73 29 26</t>
        </is>
      </c>
      <c r="M361" s="4" t="inlineStr">
        <is>
          <t>sg@ccmedocatlantique.fr</t>
        </is>
      </c>
      <c r="N361" s="4" t="inlineStr">
        <is>
          <t>https://www.ccmedocatlantique.fr/</t>
        </is>
      </c>
      <c r="O361" s="4" t="inlineStr">
        <is>
          <t>https://www.ccmedocatlantique.fr/nouscontacter/</t>
        </is>
      </c>
      <c r="P361" s="4" t="inlineStr">
        <is>
          <t>https://lannuaire.service-public.gouv.fr/nouvelle-aquitaine/gironde/2a175a13-ef96-4c84-a1a3-386c0a12cad3</t>
        </is>
      </c>
      <c r="Q361" t="inlineStr">
        <is>
          <t>Annuaire Service-public.fr</t>
        </is>
      </c>
      <c r="R361" t="inlineStr"/>
      <c r="S361" t="inlineStr"/>
      <c r="T361" t="inlineStr"/>
    </row>
    <row r="362">
      <c r="A362" t="inlineStr">
        <is>
          <t>CC Médoc Coeur de Presqu'île</t>
        </is>
      </c>
      <c r="B362" t="inlineStr">
        <is>
          <t>Communauté de communes</t>
        </is>
      </c>
      <c r="C362" t="inlineStr">
        <is>
          <t>200069995</t>
        </is>
      </c>
      <c r="D362" t="inlineStr">
        <is>
          <t>33</t>
        </is>
      </c>
      <c r="E362" t="inlineStr">
        <is>
          <t>Gironde</t>
        </is>
      </c>
      <c r="F362" t="inlineStr">
        <is>
          <t>Nouvelle-Aquitaine</t>
        </is>
      </c>
      <c r="G362" s="3" t="n">
        <v>30896</v>
      </c>
      <c r="H362" t="n">
        <v>18</v>
      </c>
      <c r="I362" t="inlineStr">
        <is>
          <t>10 place du Maréchal-Foch</t>
        </is>
      </c>
      <c r="J362" t="inlineStr">
        <is>
          <t>33340</t>
        </is>
      </c>
      <c r="K362" t="inlineStr">
        <is>
          <t>Lesparre-Médoc</t>
        </is>
      </c>
      <c r="L362" t="inlineStr">
        <is>
          <t>05 56 41 66 60</t>
        </is>
      </c>
      <c r="M362" s="4" t="inlineStr">
        <is>
          <t>cdc@medoc-cpi.fr</t>
        </is>
      </c>
      <c r="N362" s="4" t="inlineStr">
        <is>
          <t>http://www.medoc-cpi.fr</t>
        </is>
      </c>
      <c r="O362" s="4" t="inlineStr">
        <is>
          <t>http://www.medoc-cpi.fr/Contact</t>
        </is>
      </c>
      <c r="P362" s="4" t="inlineStr">
        <is>
          <t>https://lannuaire.service-public.gouv.fr/nouvelle-aquitaine/gironde/d5ac44e0-5046-4625-8e68-84ea784e9196</t>
        </is>
      </c>
      <c r="Q362" t="inlineStr">
        <is>
          <t>Annuaire Service-public.fr</t>
        </is>
      </c>
      <c r="R362" t="inlineStr"/>
      <c r="S362" t="inlineStr"/>
      <c r="T362" t="inlineStr"/>
    </row>
    <row r="363">
      <c r="A363" t="inlineStr">
        <is>
          <t>CC Médoc Estuaire</t>
        </is>
      </c>
      <c r="B363" t="inlineStr">
        <is>
          <t>Communauté de communes</t>
        </is>
      </c>
      <c r="C363" t="inlineStr">
        <is>
          <t>243301447</t>
        </is>
      </c>
      <c r="D363" t="inlineStr">
        <is>
          <t>33</t>
        </is>
      </c>
      <c r="E363" t="inlineStr">
        <is>
          <t>Gironde</t>
        </is>
      </c>
      <c r="F363" t="inlineStr">
        <is>
          <t>Nouvelle-Aquitaine</t>
        </is>
      </c>
      <c r="G363" s="3" t="n">
        <v>30654</v>
      </c>
      <c r="H363" t="n">
        <v>10</v>
      </c>
      <c r="I363" t="inlineStr">
        <is>
          <t>26 rue de l'Abbé-Frémont</t>
        </is>
      </c>
      <c r="J363" t="inlineStr">
        <is>
          <t>33460</t>
        </is>
      </c>
      <c r="K363" t="inlineStr">
        <is>
          <t>Arsac</t>
        </is>
      </c>
      <c r="L363" t="inlineStr">
        <is>
          <t>05 57 88 08 08</t>
        </is>
      </c>
      <c r="M363" s="4" t="inlineStr">
        <is>
          <t>contact@medoc-estuaire.fr</t>
        </is>
      </c>
      <c r="N363" s="4" t="inlineStr">
        <is>
          <t>http://www.cc-medoc-estuaire.fr</t>
        </is>
      </c>
      <c r="O363" t="inlineStr"/>
      <c r="P363" s="4" t="inlineStr">
        <is>
          <t>https://lannuaire.service-public.gouv.fr/nouvelle-aquitaine/gironde/a609c4b7-87dd-47ac-bca8-35acbfaaae28</t>
        </is>
      </c>
      <c r="Q363" t="inlineStr">
        <is>
          <t>Annuaire Service-public.fr</t>
        </is>
      </c>
      <c r="R363" t="inlineStr"/>
      <c r="S363" t="inlineStr"/>
      <c r="T363" t="inlineStr"/>
    </row>
    <row r="364">
      <c r="A364" t="inlineStr">
        <is>
          <t>CC Médullienne</t>
        </is>
      </c>
      <c r="B364" t="inlineStr">
        <is>
          <t>Communauté de communes</t>
        </is>
      </c>
      <c r="C364" t="inlineStr">
        <is>
          <t>243301389</t>
        </is>
      </c>
      <c r="D364" t="inlineStr">
        <is>
          <t>33</t>
        </is>
      </c>
      <c r="E364" t="inlineStr">
        <is>
          <t>Gironde</t>
        </is>
      </c>
      <c r="F364" t="inlineStr">
        <is>
          <t>Nouvelle-Aquitaine</t>
        </is>
      </c>
      <c r="G364" s="3" t="n">
        <v>22484</v>
      </c>
      <c r="H364" t="n">
        <v>10</v>
      </c>
      <c r="I364" t="inlineStr">
        <is>
          <t>4 place Carnot</t>
        </is>
      </c>
      <c r="J364" t="inlineStr">
        <is>
          <t>33480</t>
        </is>
      </c>
      <c r="K364" t="inlineStr">
        <is>
          <t>Castelnau-de-Médoc</t>
        </is>
      </c>
      <c r="L364" t="inlineStr">
        <is>
          <t>05 56 58 65 20</t>
        </is>
      </c>
      <c r="M364" s="4" t="inlineStr">
        <is>
          <t>medullienne@cdcmedullienne.fr</t>
        </is>
      </c>
      <c r="N364" s="4" t="inlineStr">
        <is>
          <t>https://www.cdcmedullienne.com/</t>
        </is>
      </c>
      <c r="O364" s="4" t="inlineStr">
        <is>
          <t>https://www.cdcmedullienne.com/contact/contacter-la-cdc.html</t>
        </is>
      </c>
      <c r="P364" s="4" t="inlineStr">
        <is>
          <t>https://lannuaire.service-public.gouv.fr/nouvelle-aquitaine/gironde/ffc81e6a-117b-4eb2-b952-e6e79723381e</t>
        </is>
      </c>
      <c r="Q364" t="inlineStr">
        <is>
          <t>Annuaire Service-public.fr</t>
        </is>
      </c>
      <c r="R364" t="inlineStr"/>
      <c r="S364" t="inlineStr"/>
      <c r="T364" t="inlineStr"/>
    </row>
    <row r="365">
      <c r="A365" t="inlineStr">
        <is>
          <t>CC Rurales de l'Entre-Deux-Mers</t>
        </is>
      </c>
      <c r="B365" t="inlineStr">
        <is>
          <t>Communauté de communes</t>
        </is>
      </c>
      <c r="C365" t="inlineStr">
        <is>
          <t>200069599</t>
        </is>
      </c>
      <c r="D365" t="inlineStr">
        <is>
          <t>33</t>
        </is>
      </c>
      <c r="E365" t="inlineStr">
        <is>
          <t>Gironde</t>
        </is>
      </c>
      <c r="F365" t="inlineStr">
        <is>
          <t>Nouvelle-Aquitaine</t>
        </is>
      </c>
      <c r="G365" s="3" t="n">
        <v>16615</v>
      </c>
      <c r="H365" t="n">
        <v>49</v>
      </c>
      <c r="I365" t="inlineStr">
        <is>
          <t>Esplanade Bonard, 82 rue des Martyrs-de-la-Résistance-et-de-la-Déportation</t>
        </is>
      </c>
      <c r="J365" t="inlineStr">
        <is>
          <t>33540</t>
        </is>
      </c>
      <c r="K365" t="inlineStr">
        <is>
          <t>Sauveterre-de-Guyenne</t>
        </is>
      </c>
      <c r="L365" t="inlineStr">
        <is>
          <t>05 56 71 81 76</t>
        </is>
      </c>
      <c r="M365" s="4" t="inlineStr">
        <is>
          <t>accueil@ruralesentredeuxmers.fr</t>
        </is>
      </c>
      <c r="N365" s="4" t="inlineStr">
        <is>
          <t>https://www.ruralesentredeuxmers.fr/</t>
        </is>
      </c>
      <c r="O365" s="4" t="inlineStr">
        <is>
          <t>https://www.ruralesentredeuxmers.fr/contact/</t>
        </is>
      </c>
      <c r="P365" s="4" t="inlineStr">
        <is>
          <t>https://lannuaire.service-public.gouv.fr/nouvelle-aquitaine/gironde/9fe9623c-b24a-45de-878b-254abf045a1a</t>
        </is>
      </c>
      <c r="Q365" t="inlineStr">
        <is>
          <t>Annuaire Service-public.fr</t>
        </is>
      </c>
      <c r="R365" t="inlineStr"/>
      <c r="S365" t="inlineStr"/>
      <c r="T365" t="inlineStr"/>
    </row>
    <row r="366">
      <c r="A366" t="inlineStr">
        <is>
          <t>CC de Blaye</t>
        </is>
      </c>
      <c r="B366" t="inlineStr">
        <is>
          <t>Communauté de communes</t>
        </is>
      </c>
      <c r="C366" t="inlineStr">
        <is>
          <t>200023794</t>
        </is>
      </c>
      <c r="D366" t="inlineStr">
        <is>
          <t>33</t>
        </is>
      </c>
      <c r="E366" t="inlineStr">
        <is>
          <t>Gironde</t>
        </is>
      </c>
      <c r="F366" t="inlineStr">
        <is>
          <t>Nouvelle-Aquitaine</t>
        </is>
      </c>
      <c r="G366" s="3" t="n">
        <v>20458</v>
      </c>
      <c r="H366" t="n">
        <v>20</v>
      </c>
      <c r="I366" t="inlineStr">
        <is>
          <t>32 rue des Maçons</t>
        </is>
      </c>
      <c r="J366" t="inlineStr">
        <is>
          <t>33393</t>
        </is>
      </c>
      <c r="K366" t="inlineStr">
        <is>
          <t>Blaye</t>
        </is>
      </c>
      <c r="L366" t="inlineStr">
        <is>
          <t>05 57 42 33 33</t>
        </is>
      </c>
      <c r="M366" s="4" t="inlineStr">
        <is>
          <t>ccb@ccb-blaye.com</t>
        </is>
      </c>
      <c r="N366" s="4" t="inlineStr">
        <is>
          <t>https://ccb-blaye.com/</t>
        </is>
      </c>
      <c r="O366" s="4" t="inlineStr">
        <is>
          <t>https://ccb-blaye.com/pages-pratiques/contact/</t>
        </is>
      </c>
      <c r="P366" s="4" t="inlineStr">
        <is>
          <t>https://lannuaire.service-public.gouv.fr/nouvelle-aquitaine/gironde/beb43613-3747-4f37-a927-ab02b2c9957c</t>
        </is>
      </c>
      <c r="Q366" t="inlineStr">
        <is>
          <t>Annuaire Service-public.fr</t>
        </is>
      </c>
      <c r="R366" t="inlineStr"/>
      <c r="S366" t="inlineStr"/>
      <c r="T366" t="inlineStr"/>
    </row>
    <row r="367">
      <c r="A367" t="inlineStr">
        <is>
          <t>CC de Montesquieu</t>
        </is>
      </c>
      <c r="B367" t="inlineStr">
        <is>
          <t>Communauté de communes</t>
        </is>
      </c>
      <c r="C367" t="inlineStr">
        <is>
          <t>243301264</t>
        </is>
      </c>
      <c r="D367" t="inlineStr">
        <is>
          <t>33</t>
        </is>
      </c>
      <c r="E367" t="inlineStr">
        <is>
          <t>Gironde</t>
        </is>
      </c>
      <c r="F367" t="inlineStr">
        <is>
          <t>Nouvelle-Aquitaine</t>
        </is>
      </c>
      <c r="G367" s="3" t="n">
        <v>47276</v>
      </c>
      <c r="H367" t="n">
        <v>13</v>
      </c>
      <c r="I367" t="inlineStr">
        <is>
          <t>1 allée Jean-Rostand</t>
        </is>
      </c>
      <c r="J367" t="inlineStr">
        <is>
          <t>33650</t>
        </is>
      </c>
      <c r="K367" t="inlineStr">
        <is>
          <t>Martillac</t>
        </is>
      </c>
      <c r="L367" t="inlineStr">
        <is>
          <t>05 57 96 01 20</t>
        </is>
      </c>
      <c r="M367" s="4" t="inlineStr">
        <is>
          <t>contact@cc-montesquieu.fr</t>
        </is>
      </c>
      <c r="N367" s="4" t="inlineStr">
        <is>
          <t>https://www.cc-montesquieu.fr/accueil</t>
        </is>
      </c>
      <c r="O367" s="4" t="inlineStr">
        <is>
          <t>https://www.cc-montesquieu.fr/contactez-nous</t>
        </is>
      </c>
      <c r="P367" s="4" t="inlineStr">
        <is>
          <t>https://lannuaire.service-public.gouv.fr/nouvelle-aquitaine/gironde/959b3e5e-05b6-49a1-893c-40e84b87fdbd</t>
        </is>
      </c>
      <c r="Q367" t="inlineStr">
        <is>
          <t>Annuaire Service-public.fr</t>
        </is>
      </c>
      <c r="R367" t="inlineStr"/>
      <c r="S367" t="inlineStr"/>
      <c r="T367" t="inlineStr"/>
    </row>
    <row r="368">
      <c r="A368" t="inlineStr">
        <is>
          <t>CC de l'Estuaire</t>
        </is>
      </c>
      <c r="B368" t="inlineStr">
        <is>
          <t>Communauté de communes</t>
        </is>
      </c>
      <c r="C368" t="inlineStr">
        <is>
          <t>243300811</t>
        </is>
      </c>
      <c r="D368" t="inlineStr">
        <is>
          <t>33</t>
        </is>
      </c>
      <c r="E368" t="inlineStr">
        <is>
          <t>Gironde</t>
        </is>
      </c>
      <c r="F368" t="inlineStr">
        <is>
          <t>Nouvelle-Aquitaine</t>
        </is>
      </c>
      <c r="G368" s="3" t="n">
        <v>16099</v>
      </c>
      <c r="H368" t="n">
        <v>14</v>
      </c>
      <c r="I368" t="inlineStr">
        <is>
          <t>38 avenue de la République</t>
        </is>
      </c>
      <c r="J368" t="inlineStr">
        <is>
          <t>33820</t>
        </is>
      </c>
      <c r="K368" t="inlineStr">
        <is>
          <t>Braud-et-Saint-Louis</t>
        </is>
      </c>
      <c r="L368" t="inlineStr">
        <is>
          <t>05 57 42 61 99</t>
        </is>
      </c>
      <c r="M368" s="4" t="inlineStr">
        <is>
          <t>contact@cc-estuaire.fr</t>
        </is>
      </c>
      <c r="N368" s="4" t="inlineStr">
        <is>
          <t>https://www.cc-estuaire.fr/</t>
        </is>
      </c>
      <c r="O368" s="4" t="inlineStr">
        <is>
          <t>https://www.cc-estuaire.fr/nous-ecrire/</t>
        </is>
      </c>
      <c r="P368" s="4" t="inlineStr">
        <is>
          <t>https://lannuaire.service-public.gouv.fr/nouvelle-aquitaine/gironde/b6910302-2502-4a63-a686-a57d6580f7ad</t>
        </is>
      </c>
      <c r="Q368" t="inlineStr">
        <is>
          <t>Annuaire Service-public.fr</t>
        </is>
      </c>
      <c r="R368" t="inlineStr"/>
      <c r="S368" t="inlineStr"/>
      <c r="T368" t="inlineStr"/>
    </row>
    <row r="369">
      <c r="A369" t="inlineStr">
        <is>
          <t>CC des Portes de l'Entre-Deux-Mers</t>
        </is>
      </c>
      <c r="B369" t="inlineStr">
        <is>
          <t>Communauté de communes</t>
        </is>
      </c>
      <c r="C369" t="inlineStr">
        <is>
          <t>243301439</t>
        </is>
      </c>
      <c r="D369" t="inlineStr">
        <is>
          <t>33</t>
        </is>
      </c>
      <c r="E369" t="inlineStr">
        <is>
          <t>Gironde</t>
        </is>
      </c>
      <c r="F369" t="inlineStr">
        <is>
          <t>Nouvelle-Aquitaine</t>
        </is>
      </c>
      <c r="G369" s="3" t="n">
        <v>22414</v>
      </c>
      <c r="H369" t="n">
        <v>11</v>
      </c>
      <c r="I369" t="inlineStr">
        <is>
          <t>51 chemin du Port-de-l'Homme</t>
        </is>
      </c>
      <c r="J369" t="inlineStr">
        <is>
          <t>33360</t>
        </is>
      </c>
      <c r="K369" t="inlineStr">
        <is>
          <t>Latresne</t>
        </is>
      </c>
      <c r="L369" t="inlineStr">
        <is>
          <t>05 56 20 83 60</t>
        </is>
      </c>
      <c r="M369" s="4" t="inlineStr">
        <is>
          <t>accueil@cdc-portesentredeuxmers.fr</t>
        </is>
      </c>
      <c r="N369" s="4" t="inlineStr">
        <is>
          <t>http://www.cdc-portesentredeuxmers.fr</t>
        </is>
      </c>
      <c r="O369" t="inlineStr"/>
      <c r="P369" s="4" t="inlineStr">
        <is>
          <t>https://lannuaire.service-public.gouv.fr/nouvelle-aquitaine/gironde/a923a07a-5be4-4211-9deb-5f0904fddd51</t>
        </is>
      </c>
      <c r="Q369" t="inlineStr">
        <is>
          <t>Annuaire Service-public.fr</t>
        </is>
      </c>
      <c r="R369" t="inlineStr"/>
      <c r="S369" t="inlineStr"/>
      <c r="T369" t="inlineStr"/>
    </row>
    <row r="370">
      <c r="A370" t="inlineStr">
        <is>
          <t>CC du Bazadais</t>
        </is>
      </c>
      <c r="B370" t="inlineStr">
        <is>
          <t>Communauté de communes</t>
        </is>
      </c>
      <c r="C370" t="inlineStr">
        <is>
          <t>200043982</t>
        </is>
      </c>
      <c r="D370" t="inlineStr">
        <is>
          <t>33</t>
        </is>
      </c>
      <c r="E370" t="inlineStr">
        <is>
          <t>Gironde</t>
        </is>
      </c>
      <c r="F370" t="inlineStr">
        <is>
          <t>Nouvelle-Aquitaine</t>
        </is>
      </c>
      <c r="G370" s="3" t="n">
        <v>15905</v>
      </c>
      <c r="H370" t="n">
        <v>31</v>
      </c>
      <c r="I370" t="inlineStr">
        <is>
          <t>Route de Lerm, Lieu-dit Coucut</t>
        </is>
      </c>
      <c r="J370" t="inlineStr">
        <is>
          <t>33430</t>
        </is>
      </c>
      <c r="K370" t="inlineStr">
        <is>
          <t>Bazas</t>
        </is>
      </c>
      <c r="L370" t="inlineStr">
        <is>
          <t>05 56 25 28 81</t>
        </is>
      </c>
      <c r="M370" s="4" t="inlineStr">
        <is>
          <t>contactbazas@cdcdubazadais.fr</t>
        </is>
      </c>
      <c r="N370" s="4" t="inlineStr">
        <is>
          <t>https://cdcdubazadais.fr/</t>
        </is>
      </c>
      <c r="O370" s="4" t="inlineStr">
        <is>
          <t>https://cdcdubazadais.fr/contacts/</t>
        </is>
      </c>
      <c r="P370" s="4" t="inlineStr">
        <is>
          <t>https://lannuaire.service-public.gouv.fr/nouvelle-aquitaine/gironde/45b5b3f2-bd09-405e-a575-29ad94fc1403</t>
        </is>
      </c>
      <c r="Q370" t="inlineStr">
        <is>
          <t>Annuaire Service-public.fr</t>
        </is>
      </c>
      <c r="R370" t="inlineStr"/>
      <c r="S370" t="inlineStr"/>
      <c r="T370" t="inlineStr"/>
    </row>
    <row r="371">
      <c r="A371" t="inlineStr">
        <is>
          <t>CC du Créonnais</t>
        </is>
      </c>
      <c r="B371" t="inlineStr">
        <is>
          <t>Communauté de communes</t>
        </is>
      </c>
      <c r="C371" t="inlineStr">
        <is>
          <t>243301215</t>
        </is>
      </c>
      <c r="D371" t="inlineStr">
        <is>
          <t>33</t>
        </is>
      </c>
      <c r="E371" t="inlineStr">
        <is>
          <t>Gironde</t>
        </is>
      </c>
      <c r="F371" t="inlineStr">
        <is>
          <t>Nouvelle-Aquitaine</t>
        </is>
      </c>
      <c r="G371" s="3" t="n">
        <v>18263</v>
      </c>
      <c r="H371" t="n">
        <v>15</v>
      </c>
      <c r="I371" t="inlineStr">
        <is>
          <t>39 boulevard Victor-Hugo</t>
        </is>
      </c>
      <c r="J371" t="inlineStr">
        <is>
          <t>33670</t>
        </is>
      </c>
      <c r="K371" t="inlineStr">
        <is>
          <t>Créon</t>
        </is>
      </c>
      <c r="L371" t="inlineStr">
        <is>
          <t>05 57 34 57 00</t>
        </is>
      </c>
      <c r="M371" s="4" t="inlineStr">
        <is>
          <t>contact.cdc@cc-creonnais.fr</t>
        </is>
      </c>
      <c r="N371" s="4" t="inlineStr">
        <is>
          <t>http://www.cc-creonnais.fr</t>
        </is>
      </c>
      <c r="O371" t="inlineStr"/>
      <c r="P371" s="4" t="inlineStr">
        <is>
          <t>https://lannuaire.service-public.gouv.fr/nouvelle-aquitaine/gironde/d4e3da63-be44-4c59-94bd-8d7afdbab54b</t>
        </is>
      </c>
      <c r="Q371" t="inlineStr">
        <is>
          <t>Annuaire Service-public.fr</t>
        </is>
      </c>
      <c r="R371" t="inlineStr"/>
      <c r="S371" t="inlineStr"/>
      <c r="T371" t="inlineStr"/>
    </row>
    <row r="372">
      <c r="A372" t="inlineStr">
        <is>
          <t>CC du Fronsadais</t>
        </is>
      </c>
      <c r="B372" t="inlineStr">
        <is>
          <t>Communauté de communes</t>
        </is>
      </c>
      <c r="C372" t="inlineStr">
        <is>
          <t>243301397</t>
        </is>
      </c>
      <c r="D372" t="inlineStr">
        <is>
          <t>33</t>
        </is>
      </c>
      <c r="E372" t="inlineStr">
        <is>
          <t>Gironde</t>
        </is>
      </c>
      <c r="F372" t="inlineStr">
        <is>
          <t>Nouvelle-Aquitaine</t>
        </is>
      </c>
      <c r="G372" s="3" t="n">
        <v>17712</v>
      </c>
      <c r="H372" t="n">
        <v>18</v>
      </c>
      <c r="I372" t="inlineStr">
        <is>
          <t>1 avenue Charles-de-Gaulle</t>
        </is>
      </c>
      <c r="J372" t="inlineStr">
        <is>
          <t>33240</t>
        </is>
      </c>
      <c r="K372" t="inlineStr">
        <is>
          <t>Saint-Germain-de-la-Rivière</t>
        </is>
      </c>
      <c r="L372" t="inlineStr">
        <is>
          <t>05 57 84 40 18</t>
        </is>
      </c>
      <c r="M372" s="4" t="inlineStr">
        <is>
          <t>dgs@cdc-fronsadais.com</t>
        </is>
      </c>
      <c r="N372" s="4" t="inlineStr">
        <is>
          <t>https://www.cdc-fronsadais.com/</t>
        </is>
      </c>
      <c r="O372" t="inlineStr"/>
      <c r="P372" s="4" t="inlineStr">
        <is>
          <t>https://lannuaire.service-public.gouv.fr/nouvelle-aquitaine/gironde/a076c504-64f4-4605-b0a4-82c0eaa8abd9</t>
        </is>
      </c>
      <c r="Q372" t="inlineStr">
        <is>
          <t>Annuaire Service-public.fr</t>
        </is>
      </c>
      <c r="R372" t="inlineStr"/>
      <c r="S372" t="inlineStr"/>
      <c r="T372" t="inlineStr"/>
    </row>
    <row r="373">
      <c r="A373" t="inlineStr">
        <is>
          <t>CC du Grand Cubzaguais</t>
        </is>
      </c>
      <c r="B373" t="inlineStr">
        <is>
          <t>Communauté de communes</t>
        </is>
      </c>
      <c r="C373" t="inlineStr">
        <is>
          <t>243301223</t>
        </is>
      </c>
      <c r="D373" t="inlineStr">
        <is>
          <t>33</t>
        </is>
      </c>
      <c r="E373" t="inlineStr">
        <is>
          <t>Gironde</t>
        </is>
      </c>
      <c r="F373" t="inlineStr">
        <is>
          <t>Nouvelle-Aquitaine</t>
        </is>
      </c>
      <c r="G373" s="3" t="n">
        <v>37566</v>
      </c>
      <c r="H373" t="n">
        <v>16</v>
      </c>
      <c r="I373" t="inlineStr">
        <is>
          <t>365 avenue Boucicaut</t>
        </is>
      </c>
      <c r="J373" t="inlineStr">
        <is>
          <t>33240</t>
        </is>
      </c>
      <c r="K373" t="inlineStr">
        <is>
          <t>Saint-André-de-Cubzac</t>
        </is>
      </c>
      <c r="L373" t="inlineStr">
        <is>
          <t>05 57 43 96 37</t>
        </is>
      </c>
      <c r="M373" s="4" t="inlineStr">
        <is>
          <t>accueil@grand-cubzaguais.fr</t>
        </is>
      </c>
      <c r="N373" s="4" t="inlineStr">
        <is>
          <t>https://www.grand-cubzaguais.fr/</t>
        </is>
      </c>
      <c r="O373" s="4" t="inlineStr">
        <is>
          <t>https://www.grand-cubzaguais.fr/contact/</t>
        </is>
      </c>
      <c r="P373" s="4" t="inlineStr">
        <is>
          <t>https://lannuaire.service-public.gouv.fr/nouvelle-aquitaine/gironde/f8e36faa-7c90-4caf-b963-96df882cb1ac</t>
        </is>
      </c>
      <c r="Q373" t="inlineStr">
        <is>
          <t>Annuaire Service-public.fr</t>
        </is>
      </c>
      <c r="R373" t="inlineStr"/>
      <c r="S373" t="inlineStr"/>
      <c r="T373" t="inlineStr"/>
    </row>
    <row r="374">
      <c r="A374" t="inlineStr">
        <is>
          <t>CC du Grand Saint Emilionnais</t>
        </is>
      </c>
      <c r="B374" t="inlineStr">
        <is>
          <t>Communauté de communes</t>
        </is>
      </c>
      <c r="C374" t="inlineStr">
        <is>
          <t>200035533</t>
        </is>
      </c>
      <c r="D374" t="inlineStr">
        <is>
          <t>33</t>
        </is>
      </c>
      <c r="E374" t="inlineStr">
        <is>
          <t>Gironde</t>
        </is>
      </c>
      <c r="F374" t="inlineStr">
        <is>
          <t>Nouvelle-Aquitaine</t>
        </is>
      </c>
      <c r="G374" s="3" t="n">
        <v>14033</v>
      </c>
      <c r="H374" t="n">
        <v>22</v>
      </c>
      <c r="I374" t="inlineStr">
        <is>
          <t>1109 route de la Gare</t>
        </is>
      </c>
      <c r="J374" t="inlineStr">
        <is>
          <t>33330</t>
        </is>
      </c>
      <c r="K374" t="inlineStr">
        <is>
          <t>Saint-Emilion</t>
        </is>
      </c>
      <c r="L374" t="inlineStr">
        <is>
          <t>05 57 55 21 60</t>
        </is>
      </c>
      <c r="M374" s="4" t="inlineStr">
        <is>
          <t>contact@grand-st-emilionnais.org</t>
        </is>
      </c>
      <c r="N374" s="4" t="inlineStr">
        <is>
          <t>https://www.grand-saint-emilionnais.fr</t>
        </is>
      </c>
      <c r="O374" t="inlineStr"/>
      <c r="P374" s="4" t="inlineStr">
        <is>
          <t>https://lannuaire.service-public.gouv.fr/nouvelle-aquitaine/gironde/0a9a9400-439f-4e5b-a615-c2d0ce13116f</t>
        </is>
      </c>
      <c r="Q374" t="inlineStr">
        <is>
          <t>Annuaire Service-public.fr</t>
        </is>
      </c>
      <c r="R374" t="inlineStr"/>
      <c r="S374" t="inlineStr"/>
      <c r="T374" t="inlineStr"/>
    </row>
    <row r="375">
      <c r="A375" t="inlineStr">
        <is>
          <t>CC du Réolais en Sud Gironde</t>
        </is>
      </c>
      <c r="B375" t="inlineStr">
        <is>
          <t>Communauté de communes</t>
        </is>
      </c>
      <c r="C375" t="inlineStr">
        <is>
          <t>200044394</t>
        </is>
      </c>
      <c r="D375" t="inlineStr">
        <is>
          <t>33</t>
        </is>
      </c>
      <c r="E375" t="inlineStr">
        <is>
          <t>Gironde</t>
        </is>
      </c>
      <c r="F375" t="inlineStr">
        <is>
          <t>Nouvelle-Aquitaine</t>
        </is>
      </c>
      <c r="G375" s="3" t="n">
        <v>24011</v>
      </c>
      <c r="H375" t="n">
        <v>41</v>
      </c>
      <c r="I375" t="inlineStr">
        <is>
          <t>1 Rue Rosa-Bonheur</t>
        </is>
      </c>
      <c r="J375" t="inlineStr">
        <is>
          <t>33190</t>
        </is>
      </c>
      <c r="K375" t="inlineStr">
        <is>
          <t>La Réole</t>
        </is>
      </c>
      <c r="L375" t="inlineStr">
        <is>
          <t>05 56 71 71 55</t>
        </is>
      </c>
      <c r="M375" s="4" t="inlineStr">
        <is>
          <t>contact@reolaisensudgironde.fr</t>
        </is>
      </c>
      <c r="N375" s="4" t="inlineStr">
        <is>
          <t>https://www.reolaisensudgironde.fr/</t>
        </is>
      </c>
      <c r="O375" s="4" t="inlineStr">
        <is>
          <t>https://www.reolaisensudgironde.fr/nous-contacter/</t>
        </is>
      </c>
      <c r="P375" s="4" t="inlineStr">
        <is>
          <t>https://lannuaire.service-public.gouv.fr/nouvelle-aquitaine/gironde/8869c034-4b2c-458b-a6db-92a786d9a60b</t>
        </is>
      </c>
      <c r="Q375" t="inlineStr">
        <is>
          <t>Annuaire Service-public.fr</t>
        </is>
      </c>
      <c r="R375" t="inlineStr"/>
      <c r="S375" t="inlineStr"/>
      <c r="T375" t="inlineStr"/>
    </row>
    <row r="376">
      <c r="A376" t="inlineStr">
        <is>
          <t>CC du Sud Gironde</t>
        </is>
      </c>
      <c r="B376" t="inlineStr">
        <is>
          <t>Communauté de communes</t>
        </is>
      </c>
      <c r="C376" t="inlineStr">
        <is>
          <t>200043974</t>
        </is>
      </c>
      <c r="D376" t="inlineStr">
        <is>
          <t>33</t>
        </is>
      </c>
      <c r="E376" t="inlineStr">
        <is>
          <t>Gironde</t>
        </is>
      </c>
      <c r="F376" t="inlineStr">
        <is>
          <t>Nouvelle-Aquitaine</t>
        </is>
      </c>
      <c r="G376" s="3" t="n">
        <v>39775</v>
      </c>
      <c r="H376" t="n">
        <v>37</v>
      </c>
      <c r="I376" t="inlineStr">
        <is>
          <t>Parc d'activités du Pays de Langon, 21 rue des Acacias</t>
        </is>
      </c>
      <c r="J376" t="inlineStr">
        <is>
          <t>33210</t>
        </is>
      </c>
      <c r="K376" t="inlineStr">
        <is>
          <t>Mazères</t>
        </is>
      </c>
      <c r="L376" t="inlineStr">
        <is>
          <t>05 56 63 81 10</t>
        </is>
      </c>
      <c r="M376" s="4" t="inlineStr">
        <is>
          <t>contact@cdcsudgironde.fr</t>
        </is>
      </c>
      <c r="N376" s="4" t="inlineStr">
        <is>
          <t>http://www.cdcsudgironde.fr</t>
        </is>
      </c>
      <c r="O376" t="inlineStr"/>
      <c r="P376" s="4" t="inlineStr">
        <is>
          <t>https://lannuaire.service-public.gouv.fr/nouvelle-aquitaine/gironde/138fbb08-3aa5-4bc3-b0bf-27b49b4c6e90</t>
        </is>
      </c>
      <c r="Q376" t="inlineStr">
        <is>
          <t>Annuaire Service-public.fr</t>
        </is>
      </c>
      <c r="R376" t="inlineStr"/>
      <c r="S376" t="inlineStr"/>
      <c r="T376" t="inlineStr"/>
    </row>
    <row r="377">
      <c r="A377" t="inlineStr">
        <is>
          <t>CC du Val de l'Eyre</t>
        </is>
      </c>
      <c r="B377" t="inlineStr">
        <is>
          <t>Communauté de communes</t>
        </is>
      </c>
      <c r="C377" t="inlineStr">
        <is>
          <t>243301405</t>
        </is>
      </c>
      <c r="D377" t="inlineStr">
        <is>
          <t>33</t>
        </is>
      </c>
      <c r="E377" t="inlineStr">
        <is>
          <t>Gironde</t>
        </is>
      </c>
      <c r="F377" t="inlineStr">
        <is>
          <t>Nouvelle-Aquitaine</t>
        </is>
      </c>
      <c r="G377" s="3" t="n">
        <v>22418</v>
      </c>
      <c r="H377" t="n">
        <v>5</v>
      </c>
      <c r="I377" t="inlineStr">
        <is>
          <t>20 route de Suzon</t>
        </is>
      </c>
      <c r="J377" t="inlineStr">
        <is>
          <t>33830</t>
        </is>
      </c>
      <c r="K377" t="inlineStr">
        <is>
          <t>Belin-Béliet</t>
        </is>
      </c>
      <c r="L377" t="inlineStr">
        <is>
          <t>05 56 88 85 88</t>
        </is>
      </c>
      <c r="M377" s="4" t="inlineStr">
        <is>
          <t>cdc@valdeleyre.fr</t>
        </is>
      </c>
      <c r="N377" s="4" t="inlineStr">
        <is>
          <t>https://www.valdeleyre.fr/</t>
        </is>
      </c>
      <c r="O377" s="4" t="inlineStr">
        <is>
          <t>https://www.valdeleyre.fr/contactez-nous/</t>
        </is>
      </c>
      <c r="P377" s="4" t="inlineStr">
        <is>
          <t>https://lannuaire.service-public.gouv.fr/nouvelle-aquitaine/gironde/c684d1be-87fd-4fb0-96a2-6526dba38c23</t>
        </is>
      </c>
      <c r="Q377" t="inlineStr">
        <is>
          <t>Annuaire Service-public.fr</t>
        </is>
      </c>
      <c r="R377" t="inlineStr"/>
      <c r="S377" t="inlineStr"/>
      <c r="T377" t="inlineStr"/>
    </row>
    <row r="378">
      <c r="A378" t="inlineStr">
        <is>
          <t>CC les Coteaux Bordelais</t>
        </is>
      </c>
      <c r="B378" t="inlineStr">
        <is>
          <t>Communauté de communes</t>
        </is>
      </c>
      <c r="C378" t="inlineStr">
        <is>
          <t>243301355</t>
        </is>
      </c>
      <c r="D378" t="inlineStr">
        <is>
          <t>33</t>
        </is>
      </c>
      <c r="E378" t="inlineStr">
        <is>
          <t>Gironde</t>
        </is>
      </c>
      <c r="F378" t="inlineStr">
        <is>
          <t>Nouvelle-Aquitaine</t>
        </is>
      </c>
      <c r="G378" s="3" t="n">
        <v>22075</v>
      </c>
      <c r="H378" t="n">
        <v>8</v>
      </c>
      <c r="I378" t="inlineStr">
        <is>
          <t>Parc d'activités, 8 rue Newton</t>
        </is>
      </c>
      <c r="J378" t="inlineStr">
        <is>
          <t>33370</t>
        </is>
      </c>
      <c r="K378" t="inlineStr">
        <is>
          <t>Tresses</t>
        </is>
      </c>
      <c r="L378" t="inlineStr">
        <is>
          <t>05 57 34 26 37</t>
        </is>
      </c>
      <c r="M378" s="4" t="inlineStr">
        <is>
          <t>contact@cdc-coteaux-bordelais.fr</t>
        </is>
      </c>
      <c r="N378" s="4" t="inlineStr">
        <is>
          <t>https://www.coteaux-bordelais.fr/</t>
        </is>
      </c>
      <c r="O378" s="4" t="inlineStr">
        <is>
          <t>https://www.coteaux-bordelais.fr/nous-contacter/</t>
        </is>
      </c>
      <c r="P378" s="4" t="inlineStr">
        <is>
          <t>https://lannuaire.service-public.gouv.fr/nouvelle-aquitaine/gironde/1c36e910-c27a-4bf4-a462-3923dc86e22a</t>
        </is>
      </c>
      <c r="Q378" t="inlineStr">
        <is>
          <t>Annuaire Service-public.fr</t>
        </is>
      </c>
      <c r="R378" t="inlineStr"/>
      <c r="S378" t="inlineStr"/>
      <c r="T378" t="inlineStr"/>
    </row>
    <row r="379">
      <c r="A379" t="inlineStr">
        <is>
          <t>CC Grand Orb Communauté de Communes en Languedoc</t>
        </is>
      </c>
      <c r="B379" t="inlineStr">
        <is>
          <t>Communauté de communes</t>
        </is>
      </c>
      <c r="C379" t="inlineStr">
        <is>
          <t>200042646</t>
        </is>
      </c>
      <c r="D379" t="inlineStr">
        <is>
          <t>34</t>
        </is>
      </c>
      <c r="E379" t="inlineStr">
        <is>
          <t>Hérault</t>
        </is>
      </c>
      <c r="F379" t="inlineStr">
        <is>
          <t>Occitanie</t>
        </is>
      </c>
      <c r="G379" s="3" t="n">
        <v>19955</v>
      </c>
      <c r="H379" t="n">
        <v>23</v>
      </c>
      <c r="I379" t="inlineStr">
        <is>
          <t>6 ter rue René-Cassin</t>
        </is>
      </c>
      <c r="J379" t="inlineStr">
        <is>
          <t>34600</t>
        </is>
      </c>
      <c r="K379" t="inlineStr">
        <is>
          <t>Bédarieux</t>
        </is>
      </c>
      <c r="L379" t="inlineStr">
        <is>
          <t>04 67 23 78 03</t>
        </is>
      </c>
      <c r="M379" s="4" t="inlineStr">
        <is>
          <t>contact@grandorb.fr</t>
        </is>
      </c>
      <c r="N379" s="4" t="inlineStr">
        <is>
          <t>https://www.grandorb.fr/</t>
        </is>
      </c>
      <c r="O379" s="4" t="inlineStr">
        <is>
          <t>https://www.grandorb.fr/contact.php</t>
        </is>
      </c>
      <c r="P379" s="4" t="inlineStr">
        <is>
          <t>https://lannuaire.service-public.gouv.fr/occitanie/herault/7a19f1c5-cdc3-4573-a285-5dbdd6d190fe</t>
        </is>
      </c>
      <c r="Q379" t="inlineStr">
        <is>
          <t>Annuaire Service-public.fr</t>
        </is>
      </c>
      <c r="R379" t="inlineStr"/>
      <c r="S379" t="inlineStr"/>
      <c r="T379" t="inlineStr"/>
    </row>
    <row r="380">
      <c r="A380" t="inlineStr">
        <is>
          <t>CC Les Avant-Monts</t>
        </is>
      </c>
      <c r="B380" t="inlineStr">
        <is>
          <t>Communauté de communes</t>
        </is>
      </c>
      <c r="C380" t="inlineStr">
        <is>
          <t>200071058</t>
        </is>
      </c>
      <c r="D380" t="inlineStr">
        <is>
          <t>34</t>
        </is>
      </c>
      <c r="E380" t="inlineStr">
        <is>
          <t>Hérault</t>
        </is>
      </c>
      <c r="F380" t="inlineStr">
        <is>
          <t>Occitanie</t>
        </is>
      </c>
      <c r="G380" s="3" t="n">
        <v>27969</v>
      </c>
      <c r="H380" t="n">
        <v>25</v>
      </c>
      <c r="I380" t="inlineStr">
        <is>
          <t>ZAE l'Audacieuse</t>
        </is>
      </c>
      <c r="J380" t="inlineStr">
        <is>
          <t>34480</t>
        </is>
      </c>
      <c r="K380" t="inlineStr">
        <is>
          <t>Magalas</t>
        </is>
      </c>
      <c r="L380" t="inlineStr">
        <is>
          <t>04 67 36 07 51</t>
        </is>
      </c>
      <c r="M380" s="4" t="inlineStr">
        <is>
          <t>contact@avant-monts.fr</t>
        </is>
      </c>
      <c r="N380" s="4" t="inlineStr">
        <is>
          <t>https://www.avant-monts.fr/</t>
        </is>
      </c>
      <c r="O380" s="4" t="inlineStr">
        <is>
          <t>https://www.avant-monts.fr/contact/</t>
        </is>
      </c>
      <c r="P380" s="4" t="inlineStr">
        <is>
          <t>https://lannuaire.service-public.gouv.fr/occitanie/herault/cb842c86-0841-46aa-b214-825326010b35</t>
        </is>
      </c>
      <c r="Q380" t="inlineStr">
        <is>
          <t>Annuaire Service-public.fr</t>
        </is>
      </c>
      <c r="R380" t="inlineStr"/>
      <c r="S380" t="inlineStr"/>
      <c r="T380" t="inlineStr"/>
    </row>
    <row r="381">
      <c r="A381" t="inlineStr">
        <is>
          <t>CC Lodévois et Larzac</t>
        </is>
      </c>
      <c r="B381" t="inlineStr">
        <is>
          <t>Communauté de communes</t>
        </is>
      </c>
      <c r="C381" t="inlineStr">
        <is>
          <t>200017341</t>
        </is>
      </c>
      <c r="D381" t="inlineStr">
        <is>
          <t>34</t>
        </is>
      </c>
      <c r="E381" t="inlineStr">
        <is>
          <t>Hérault</t>
        </is>
      </c>
      <c r="F381" t="inlineStr">
        <is>
          <t>Occitanie</t>
        </is>
      </c>
      <c r="G381" s="3" t="n">
        <v>14824</v>
      </c>
      <c r="H381" t="n">
        <v>28</v>
      </c>
      <c r="I381" t="inlineStr">
        <is>
          <t>1 place Francis-Morand</t>
        </is>
      </c>
      <c r="J381" t="inlineStr">
        <is>
          <t>34700</t>
        </is>
      </c>
      <c r="K381" t="inlineStr">
        <is>
          <t>Lodève</t>
        </is>
      </c>
      <c r="L381" t="inlineStr">
        <is>
          <t>04 67 88 90 90</t>
        </is>
      </c>
      <c r="M381" s="4" t="inlineStr">
        <is>
          <t>contact@lodevoisetlarzac.fr</t>
        </is>
      </c>
      <c r="N381" s="4" t="inlineStr">
        <is>
          <t>https://lodevoisetlarzac.fr/</t>
        </is>
      </c>
      <c r="O381" s="4" t="inlineStr">
        <is>
          <t>https://lodevoisetlarzac.fr/contact/</t>
        </is>
      </c>
      <c r="P381" s="4" t="inlineStr">
        <is>
          <t>https://lannuaire.service-public.gouv.fr/occitanie/herault/4abc9373-a7d0-4d29-92a7-5447c3a1489a</t>
        </is>
      </c>
      <c r="Q381" t="inlineStr">
        <is>
          <t>Annuaire Service-public.fr</t>
        </is>
      </c>
      <c r="R381" t="inlineStr"/>
      <c r="S381" t="inlineStr"/>
      <c r="T381" t="inlineStr"/>
    </row>
    <row r="382">
      <c r="A382" t="inlineStr">
        <is>
          <t>CC Sud-Hérault</t>
        </is>
      </c>
      <c r="B382" t="inlineStr">
        <is>
          <t>Communauté de communes</t>
        </is>
      </c>
      <c r="C382" t="inlineStr">
        <is>
          <t>200042653</t>
        </is>
      </c>
      <c r="D382" t="inlineStr">
        <is>
          <t>34</t>
        </is>
      </c>
      <c r="E382" t="inlineStr">
        <is>
          <t>Hérault</t>
        </is>
      </c>
      <c r="F382" t="inlineStr">
        <is>
          <t>Occitanie</t>
        </is>
      </c>
      <c r="G382" s="3" t="n">
        <v>18369</v>
      </c>
      <c r="H382" t="n">
        <v>17</v>
      </c>
      <c r="I382" t="inlineStr">
        <is>
          <t>1 allée du Languedoc</t>
        </is>
      </c>
      <c r="J382" t="inlineStr">
        <is>
          <t>34620</t>
        </is>
      </c>
      <c r="K382" t="inlineStr">
        <is>
          <t>Puisserguier</t>
        </is>
      </c>
      <c r="L382" t="inlineStr">
        <is>
          <t>04 67 93 89 54</t>
        </is>
      </c>
      <c r="M382" s="4" t="inlineStr">
        <is>
          <t>accueil@cc-sud-herault.fr</t>
        </is>
      </c>
      <c r="N382" s="4" t="inlineStr">
        <is>
          <t>https://www.cc-sud-herault.fr/</t>
        </is>
      </c>
      <c r="O382" s="4" t="inlineStr">
        <is>
          <t>https://www.cc-sud-herault.fr/nous-contacter/</t>
        </is>
      </c>
      <c r="P382" s="4" t="inlineStr">
        <is>
          <t>https://lannuaire.service-public.gouv.fr/occitanie/herault/ea8c3529-629e-460c-b31a-5266830cdcc6</t>
        </is>
      </c>
      <c r="Q382" t="inlineStr">
        <is>
          <t>Annuaire Service-public.fr</t>
        </is>
      </c>
      <c r="R382" t="inlineStr"/>
      <c r="S382" t="inlineStr"/>
      <c r="T382" t="inlineStr"/>
    </row>
    <row r="383">
      <c r="A383" t="inlineStr">
        <is>
          <t>CC Vallée de l'Hérault</t>
        </is>
      </c>
      <c r="B383" t="inlineStr">
        <is>
          <t>Communauté de communes</t>
        </is>
      </c>
      <c r="C383" t="inlineStr">
        <is>
          <t>243400694</t>
        </is>
      </c>
      <c r="D383" t="inlineStr">
        <is>
          <t>34</t>
        </is>
      </c>
      <c r="E383" t="inlineStr">
        <is>
          <t>Hérault</t>
        </is>
      </c>
      <c r="F383" t="inlineStr">
        <is>
          <t>Occitanie</t>
        </is>
      </c>
      <c r="G383" s="3" t="n">
        <v>41749</v>
      </c>
      <c r="H383" t="n">
        <v>28</v>
      </c>
      <c r="I383" t="inlineStr">
        <is>
          <t>2 parc d'activités de Camalcé</t>
        </is>
      </c>
      <c r="J383" t="inlineStr">
        <is>
          <t>34150</t>
        </is>
      </c>
      <c r="K383" t="inlineStr">
        <is>
          <t>Gignac</t>
        </is>
      </c>
      <c r="L383" t="inlineStr">
        <is>
          <t>04 67 57 04 50</t>
        </is>
      </c>
      <c r="M383" s="4" t="inlineStr">
        <is>
          <t>contact@cc-vallee-herault.fr</t>
        </is>
      </c>
      <c r="N383" s="4" t="inlineStr">
        <is>
          <t>https://www.cc-vallee-herault.fr/accueil-3.html</t>
        </is>
      </c>
      <c r="O383" t="inlineStr"/>
      <c r="P383" s="4" t="inlineStr">
        <is>
          <t>https://lannuaire.service-public.gouv.fr/occitanie/herault/129280fd-f6f3-403b-8375-348d751d4c01</t>
        </is>
      </c>
      <c r="Q383" t="inlineStr">
        <is>
          <t>Annuaire Service-public.fr</t>
        </is>
      </c>
      <c r="R383" t="inlineStr"/>
      <c r="S383" t="inlineStr"/>
      <c r="T383" t="inlineStr"/>
    </row>
    <row r="384">
      <c r="A384" t="inlineStr">
        <is>
          <t>CC du Clermontais</t>
        </is>
      </c>
      <c r="B384" t="inlineStr">
        <is>
          <t>Communauté de communes</t>
        </is>
      </c>
      <c r="C384" t="inlineStr">
        <is>
          <t>243400355</t>
        </is>
      </c>
      <c r="D384" t="inlineStr">
        <is>
          <t>34</t>
        </is>
      </c>
      <c r="E384" t="inlineStr">
        <is>
          <t>Hérault</t>
        </is>
      </c>
      <c r="F384" t="inlineStr">
        <is>
          <t>Occitanie</t>
        </is>
      </c>
      <c r="G384" s="3" t="n">
        <v>28964</v>
      </c>
      <c r="H384" t="n">
        <v>21</v>
      </c>
      <c r="I384" t="inlineStr">
        <is>
          <t>20 avenue Raymond-Lacombe</t>
        </is>
      </c>
      <c r="J384" t="inlineStr">
        <is>
          <t>34800</t>
        </is>
      </c>
      <c r="K384" t="inlineStr">
        <is>
          <t>Clermont-l'Hérault</t>
        </is>
      </c>
      <c r="L384" t="inlineStr">
        <is>
          <t>04 67 88 95 50</t>
        </is>
      </c>
      <c r="M384" s="4" t="inlineStr">
        <is>
          <t>accueil@cc-clermontais.fr</t>
        </is>
      </c>
      <c r="N384" s="4" t="inlineStr">
        <is>
          <t>https://www.cc-clermontais.fr/</t>
        </is>
      </c>
      <c r="O384" t="inlineStr"/>
      <c r="P384" s="4" t="inlineStr">
        <is>
          <t>https://lannuaire.service-public.gouv.fr/occitanie/herault/29a0c231-04eb-408a-bdf0-20ffe858b1b8</t>
        </is>
      </c>
      <c r="Q384" t="inlineStr">
        <is>
          <t>Annuaire Service-public.fr</t>
        </is>
      </c>
      <c r="R384" t="inlineStr"/>
      <c r="S384" t="inlineStr"/>
      <c r="T384" t="inlineStr"/>
    </row>
    <row r="385">
      <c r="A385" t="inlineStr">
        <is>
          <t>CC du Grand Pic Saint-Loup</t>
        </is>
      </c>
      <c r="B385" t="inlineStr">
        <is>
          <t>Communauté de communes</t>
        </is>
      </c>
      <c r="C385" t="inlineStr">
        <is>
          <t>200022986</t>
        </is>
      </c>
      <c r="D385" t="inlineStr">
        <is>
          <t>34</t>
        </is>
      </c>
      <c r="E385" t="inlineStr">
        <is>
          <t>Hérault</t>
        </is>
      </c>
      <c r="F385" t="inlineStr">
        <is>
          <t>Occitanie</t>
        </is>
      </c>
      <c r="G385" s="3" t="n">
        <v>51217</v>
      </c>
      <c r="H385" t="n">
        <v>36</v>
      </c>
      <c r="I385" t="inlineStr">
        <is>
          <t>25 allée de l'Espérance, Hôtel de la communauté</t>
        </is>
      </c>
      <c r="J385" t="inlineStr">
        <is>
          <t>34270</t>
        </is>
      </c>
      <c r="K385" t="inlineStr">
        <is>
          <t>Saint-Mathieu-de-Tréviers</t>
        </is>
      </c>
      <c r="L385" t="inlineStr">
        <is>
          <t>04 67 55 17 00</t>
        </is>
      </c>
      <c r="M385" s="4" t="inlineStr">
        <is>
          <t>grandpicsaintloup@ccgpsl.fr</t>
        </is>
      </c>
      <c r="N385" s="4" t="inlineStr">
        <is>
          <t>https://grandpicsaintloup.fr/</t>
        </is>
      </c>
      <c r="O385" s="4" t="inlineStr">
        <is>
          <t>https://grandpicsaintloup.fr/contactez-nous/</t>
        </is>
      </c>
      <c r="P385" s="4" t="inlineStr">
        <is>
          <t>https://lannuaire.service-public.gouv.fr/occitanie/herault/ee2fa83d-9b36-44c0-9da9-9bd0f1a571d9</t>
        </is>
      </c>
      <c r="Q385" t="inlineStr">
        <is>
          <t>Annuaire Service-public.fr</t>
        </is>
      </c>
      <c r="R385" t="inlineStr"/>
      <c r="S385" t="inlineStr"/>
      <c r="T385" t="inlineStr"/>
    </row>
    <row r="386">
      <c r="A386" t="inlineStr">
        <is>
          <t>CC du Haut-Languedoc</t>
        </is>
      </c>
      <c r="B386" t="inlineStr">
        <is>
          <t>Communauté de communes</t>
        </is>
      </c>
      <c r="C386" t="inlineStr">
        <is>
          <t>200066553</t>
        </is>
      </c>
      <c r="D386" t="inlineStr">
        <is>
          <t>34, 81</t>
        </is>
      </c>
      <c r="E386" t="inlineStr">
        <is>
          <t>Hérault, Tarn</t>
        </is>
      </c>
      <c r="F386" t="inlineStr">
        <is>
          <t>Occitanie</t>
        </is>
      </c>
      <c r="G386" s="3" t="n">
        <v>7954</v>
      </c>
      <c r="H386" t="n">
        <v>20</v>
      </c>
      <c r="I386" t="inlineStr">
        <is>
          <t>5 rue de l'Artisanat</t>
        </is>
      </c>
      <c r="J386" t="inlineStr">
        <is>
          <t>81230</t>
        </is>
      </c>
      <c r="K386" t="inlineStr">
        <is>
          <t>Lacaune</t>
        </is>
      </c>
      <c r="L386" t="inlineStr">
        <is>
          <t>05 32 11 09 25</t>
        </is>
      </c>
      <c r="M386" s="4" t="inlineStr">
        <is>
          <t>contact@ccmlhl.fr</t>
        </is>
      </c>
      <c r="N386" s="4" t="inlineStr">
        <is>
          <t>https://www.montsdelacauneetmontagneduhautlanguedoc.fr/</t>
        </is>
      </c>
      <c r="O386" s="4" t="inlineStr">
        <is>
          <t>https://www.montsdelacauneetmontagneduhautlanguedoc.fr/contact/</t>
        </is>
      </c>
      <c r="P386" s="4" t="inlineStr">
        <is>
          <t>https://lannuaire.service-public.gouv.fr/occitanie/tarn/bfafffb1-3fee-4917-b243-8260e20faeb4</t>
        </is>
      </c>
      <c r="Q386" t="inlineStr">
        <is>
          <t>Annuaire Service-public.fr</t>
        </is>
      </c>
      <c r="R386" t="inlineStr"/>
      <c r="S386" t="inlineStr"/>
      <c r="T386" t="inlineStr"/>
    </row>
    <row r="387">
      <c r="A387" t="inlineStr">
        <is>
          <t>CC du Minervois au Caroux</t>
        </is>
      </c>
      <c r="B387" t="inlineStr">
        <is>
          <t>Communauté de communes</t>
        </is>
      </c>
      <c r="C387" t="inlineStr">
        <is>
          <t>200066348</t>
        </is>
      </c>
      <c r="D387" t="inlineStr">
        <is>
          <t>34</t>
        </is>
      </c>
      <c r="E387" t="inlineStr">
        <is>
          <t>Hérault</t>
        </is>
      </c>
      <c r="F387" t="inlineStr">
        <is>
          <t>Occitanie</t>
        </is>
      </c>
      <c r="G387" s="3" t="n">
        <v>14372</v>
      </c>
      <c r="H387" t="n">
        <v>36</v>
      </c>
      <c r="I387" t="inlineStr">
        <is>
          <t>16 place du Foirail</t>
        </is>
      </c>
      <c r="J387" t="inlineStr">
        <is>
          <t>34220</t>
        </is>
      </c>
      <c r="K387" t="inlineStr">
        <is>
          <t>Saint-Pons-de-Thomières</t>
        </is>
      </c>
      <c r="L387" t="inlineStr">
        <is>
          <t>04 67 97 39 34</t>
        </is>
      </c>
      <c r="M387" s="4" t="inlineStr">
        <is>
          <t>cdcmc@cdcmc.fr</t>
        </is>
      </c>
      <c r="N387" s="4" t="inlineStr">
        <is>
          <t>https://www.cc-minervois-caroux.fr/</t>
        </is>
      </c>
      <c r="O387" t="inlineStr"/>
      <c r="P387" s="4" t="inlineStr">
        <is>
          <t>https://lannuaire.service-public.gouv.fr/occitanie/herault/7dfc40b1-901f-4c20-8a4c-317ad972a5b2</t>
        </is>
      </c>
      <c r="Q387" t="inlineStr">
        <is>
          <t>Annuaire Service-public.fr</t>
        </is>
      </c>
      <c r="R387" t="inlineStr"/>
      <c r="S387" t="inlineStr"/>
      <c r="T387" t="inlineStr"/>
    </row>
    <row r="388">
      <c r="A388" t="inlineStr">
        <is>
          <t>CC la Domitienne</t>
        </is>
      </c>
      <c r="B388" t="inlineStr">
        <is>
          <t>Communauté de communes</t>
        </is>
      </c>
      <c r="C388" t="inlineStr">
        <is>
          <t>243400488</t>
        </is>
      </c>
      <c r="D388" t="inlineStr">
        <is>
          <t>34</t>
        </is>
      </c>
      <c r="E388" t="inlineStr">
        <is>
          <t>Hérault</t>
        </is>
      </c>
      <c r="F388" t="inlineStr">
        <is>
          <t>Occitanie</t>
        </is>
      </c>
      <c r="G388" s="3" t="n">
        <v>29221</v>
      </c>
      <c r="H388" t="n">
        <v>8</v>
      </c>
      <c r="I388" t="inlineStr">
        <is>
          <t>1 avenue de l'Europe</t>
        </is>
      </c>
      <c r="J388" t="inlineStr">
        <is>
          <t>34370</t>
        </is>
      </c>
      <c r="K388" t="inlineStr">
        <is>
          <t>Maureilhan</t>
        </is>
      </c>
      <c r="L388" t="inlineStr">
        <is>
          <t>04 67 90 40 90</t>
        </is>
      </c>
      <c r="M388" s="4" t="inlineStr">
        <is>
          <t>courrier@ladomitienne.com</t>
        </is>
      </c>
      <c r="N388" s="4" t="inlineStr">
        <is>
          <t>https://www.ladomitienne.com/</t>
        </is>
      </c>
      <c r="O388" s="4" t="inlineStr">
        <is>
          <t>https://www.ladomitienne.com/nous-contacter/</t>
        </is>
      </c>
      <c r="P388" s="4" t="inlineStr">
        <is>
          <t>https://lannuaire.service-public.gouv.fr/occitanie/herault/cf89ffe0-6d73-484c-b138-a25d11140991</t>
        </is>
      </c>
      <c r="Q388" t="inlineStr">
        <is>
          <t>Annuaire Service-public.fr</t>
        </is>
      </c>
      <c r="R388" t="inlineStr"/>
      <c r="S388" t="inlineStr"/>
      <c r="T388" t="inlineStr"/>
    </row>
    <row r="389">
      <c r="A389" t="inlineStr">
        <is>
          <t>CC Bretagne Porte de Loire Communauté</t>
        </is>
      </c>
      <c r="B389" t="inlineStr">
        <is>
          <t>Communauté de communes</t>
        </is>
      </c>
      <c r="C389" t="inlineStr">
        <is>
          <t>200070662</t>
        </is>
      </c>
      <c r="D389" t="inlineStr">
        <is>
          <t>35</t>
        </is>
      </c>
      <c r="E389" t="inlineStr">
        <is>
          <t>Ille-et-Vilaine</t>
        </is>
      </c>
      <c r="F389" t="inlineStr">
        <is>
          <t>Bretagne</t>
        </is>
      </c>
      <c r="G389" s="3" t="n">
        <v>32801</v>
      </c>
      <c r="H389" t="n">
        <v>20</v>
      </c>
      <c r="I389" t="inlineStr">
        <is>
          <t>Immeuble le Steriad, 2 allée de l'Ille</t>
        </is>
      </c>
      <c r="J389" t="inlineStr">
        <is>
          <t>35470</t>
        </is>
      </c>
      <c r="K389" t="inlineStr">
        <is>
          <t>Bain-de-Bretagne</t>
        </is>
      </c>
      <c r="L389" t="inlineStr">
        <is>
          <t>02 99 43 70 80</t>
        </is>
      </c>
      <c r="M389" s="4" t="inlineStr">
        <is>
          <t>accueil@bretagneportedeloire.fr</t>
        </is>
      </c>
      <c r="N389" s="4" t="inlineStr">
        <is>
          <t>https://www.bretagneportedeloire.fr/</t>
        </is>
      </c>
      <c r="O389" s="4" t="inlineStr">
        <is>
          <t>https://www.bretagneportedeloire.fr/systeme/contact/</t>
        </is>
      </c>
      <c r="P389" s="4" t="inlineStr">
        <is>
          <t>https://lannuaire.service-public.gouv.fr/bretagne/ille-et-vilaine/5fecb856-9da6-4488-b1df-8a3a0dca977b</t>
        </is>
      </c>
      <c r="Q389" t="inlineStr">
        <is>
          <t>Annuaire Service-public.fr</t>
        </is>
      </c>
      <c r="R389" t="inlineStr"/>
      <c r="S389" t="inlineStr"/>
      <c r="T389" t="inlineStr"/>
    </row>
    <row r="390">
      <c r="A390" t="inlineStr">
        <is>
          <t>CC Bretagne Romantique</t>
        </is>
      </c>
      <c r="B390" t="inlineStr">
        <is>
          <t>Communauté de communes</t>
        </is>
      </c>
      <c r="C390" t="inlineStr">
        <is>
          <t>243500733</t>
        </is>
      </c>
      <c r="D390" t="inlineStr">
        <is>
          <t>35</t>
        </is>
      </c>
      <c r="E390" t="inlineStr">
        <is>
          <t>Ille-et-Vilaine</t>
        </is>
      </c>
      <c r="F390" t="inlineStr">
        <is>
          <t>Bretagne</t>
        </is>
      </c>
      <c r="G390" s="3" t="n">
        <v>36515</v>
      </c>
      <c r="H390" t="n">
        <v>25</v>
      </c>
      <c r="I390" t="inlineStr">
        <is>
          <t>22 rue des Coteaux</t>
        </is>
      </c>
      <c r="J390" t="inlineStr">
        <is>
          <t>35190</t>
        </is>
      </c>
      <c r="K390" t="inlineStr">
        <is>
          <t>La Chapelle-aux-Filtzméens</t>
        </is>
      </c>
      <c r="L390" t="inlineStr">
        <is>
          <t>02 99 45 23 45</t>
        </is>
      </c>
      <c r="M390" s="4" t="inlineStr">
        <is>
          <t>accueil@bretagneromantique.fr</t>
        </is>
      </c>
      <c r="N390" s="4" t="inlineStr">
        <is>
          <t>https://bretagneromantique.fr/</t>
        </is>
      </c>
      <c r="O390" s="4" t="inlineStr">
        <is>
          <t>https://bretagneromantique.fr/formulaire-de-contact/</t>
        </is>
      </c>
      <c r="P390" s="4" t="inlineStr">
        <is>
          <t>https://lannuaire.service-public.gouv.fr/bretagne/ille-et-vilaine/ba1debb3-158a-4a1f-b4d5-8c76a9fbdfc6</t>
        </is>
      </c>
      <c r="Q390" t="inlineStr">
        <is>
          <t>Annuaire Service-public.fr</t>
        </is>
      </c>
      <c r="R390" t="inlineStr"/>
      <c r="S390" t="inlineStr"/>
      <c r="T390" t="inlineStr"/>
    </row>
    <row r="391">
      <c r="A391" t="inlineStr">
        <is>
          <t>CC Brocéliande Communauté</t>
        </is>
      </c>
      <c r="B391" t="inlineStr">
        <is>
          <t>Communauté de communes</t>
        </is>
      </c>
      <c r="C391" t="inlineStr">
        <is>
          <t>243500618</t>
        </is>
      </c>
      <c r="D391" t="inlineStr">
        <is>
          <t>35</t>
        </is>
      </c>
      <c r="E391" t="inlineStr">
        <is>
          <t>Ille-et-Vilaine</t>
        </is>
      </c>
      <c r="F391" t="inlineStr">
        <is>
          <t>Bretagne</t>
        </is>
      </c>
      <c r="G391" s="3" t="n">
        <v>18987</v>
      </c>
      <c r="H391" t="n">
        <v>8</v>
      </c>
      <c r="I391" t="inlineStr">
        <is>
          <t>1 rue des Korrigans</t>
        </is>
      </c>
      <c r="J391" t="inlineStr">
        <is>
          <t>35380</t>
        </is>
      </c>
      <c r="K391" t="inlineStr">
        <is>
          <t>Plélan-le-Grand</t>
        </is>
      </c>
      <c r="L391" t="inlineStr">
        <is>
          <t>02 99 06 84 45</t>
        </is>
      </c>
      <c r="M391" s="4" t="inlineStr">
        <is>
          <t>accueil@cc-broceliande.bzh</t>
        </is>
      </c>
      <c r="N391" s="4" t="inlineStr">
        <is>
          <t>https://www.cc-broceliande.bzh/</t>
        </is>
      </c>
      <c r="O391" s="4" t="inlineStr">
        <is>
          <t>https://www.cc-broceliande.bzh/nous-contacter/</t>
        </is>
      </c>
      <c r="P391" s="4" t="inlineStr">
        <is>
          <t>https://lannuaire.service-public.gouv.fr/bretagne/ille-et-vilaine/5db04e0b-1d49-47e1-b243-1825a834572d</t>
        </is>
      </c>
      <c r="Q391" t="inlineStr">
        <is>
          <t>Annuaire Service-public.fr</t>
        </is>
      </c>
      <c r="R391" t="inlineStr"/>
      <c r="S391" t="inlineStr"/>
      <c r="T391" t="inlineStr"/>
    </row>
    <row r="392">
      <c r="A392" t="inlineStr">
        <is>
          <t>CC Couesnon Marches de Bretagne</t>
        </is>
      </c>
      <c r="B392" t="inlineStr">
        <is>
          <t>Communauté de communes</t>
        </is>
      </c>
      <c r="C392" t="inlineStr">
        <is>
          <t>200070688</t>
        </is>
      </c>
      <c r="D392" t="inlineStr">
        <is>
          <t>35</t>
        </is>
      </c>
      <c r="E392" t="inlineStr">
        <is>
          <t>Ille-et-Vilaine</t>
        </is>
      </c>
      <c r="F392" t="inlineStr">
        <is>
          <t>Bretagne</t>
        </is>
      </c>
      <c r="G392" s="3" t="n">
        <v>21947</v>
      </c>
      <c r="H392" t="n">
        <v>15</v>
      </c>
      <c r="I392" t="inlineStr">
        <is>
          <t>Parc d'activités Coglais-Saint-Eustache</t>
        </is>
      </c>
      <c r="J392" t="inlineStr">
        <is>
          <t>35460</t>
        </is>
      </c>
      <c r="K392" t="inlineStr">
        <is>
          <t>Saint-Étienne-en-Coglés</t>
        </is>
      </c>
      <c r="L392" t="inlineStr">
        <is>
          <t>02 99 97 71 80</t>
        </is>
      </c>
      <c r="M392" s="4" t="inlineStr">
        <is>
          <t>contact@couesnon-marchesdebretagne.fr</t>
        </is>
      </c>
      <c r="N392" s="4" t="inlineStr">
        <is>
          <t>https://www.couesnon-marchesdebretagne.fr/</t>
        </is>
      </c>
      <c r="O392" s="4" t="inlineStr">
        <is>
          <t>https://www.couesnon-marchesdebretagne.fr/nous-contacter/</t>
        </is>
      </c>
      <c r="P392" s="4" t="inlineStr">
        <is>
          <t>https://lannuaire.service-public.gouv.fr/bretagne/ille-et-vilaine/836dca8e-4bb9-4207-8f7d-6ce3bf4e5926</t>
        </is>
      </c>
      <c r="Q392" t="inlineStr">
        <is>
          <t>Annuaire Service-public.fr</t>
        </is>
      </c>
      <c r="R392" t="inlineStr"/>
      <c r="S392" t="inlineStr"/>
      <c r="T392" t="inlineStr"/>
    </row>
    <row r="393">
      <c r="A393" t="inlineStr">
        <is>
          <t>CC Liffré-Cormier Communauté</t>
        </is>
      </c>
      <c r="B393" t="inlineStr">
        <is>
          <t>Communauté de communes</t>
        </is>
      </c>
      <c r="C393" t="inlineStr">
        <is>
          <t>243500774</t>
        </is>
      </c>
      <c r="D393" t="inlineStr">
        <is>
          <t>35</t>
        </is>
      </c>
      <c r="E393" t="inlineStr">
        <is>
          <t>Ille-et-Vilaine</t>
        </is>
      </c>
      <c r="F393" t="inlineStr">
        <is>
          <t>Bretagne</t>
        </is>
      </c>
      <c r="G393" s="3" t="n">
        <v>28241</v>
      </c>
      <c r="H393" t="n">
        <v>9</v>
      </c>
      <c r="I393" t="inlineStr">
        <is>
          <t>8 le carfour</t>
        </is>
      </c>
      <c r="J393" t="inlineStr">
        <is>
          <t>35340</t>
        </is>
      </c>
      <c r="K393" t="inlineStr">
        <is>
          <t>la bouëxière</t>
        </is>
      </c>
      <c r="L393" t="inlineStr">
        <is>
          <t>02 99 68 31 31</t>
        </is>
      </c>
      <c r="M393" s="4" t="inlineStr">
        <is>
          <t>contact@liffre-cormier.fr</t>
        </is>
      </c>
      <c r="N393" s="4" t="inlineStr">
        <is>
          <t>https://www.liffre-cormier.fr/</t>
        </is>
      </c>
      <c r="O393" s="4" t="inlineStr">
        <is>
          <t>https://www.liffre-cormier.fr/nous-contacter</t>
        </is>
      </c>
      <c r="P393" s="4" t="inlineStr">
        <is>
          <t>https://lannuaire.service-public.gouv.fr/bretagne/ille-et-vilaine/2749543a-a46a-4da1-a981-dabf1d7c31ff</t>
        </is>
      </c>
      <c r="Q393" t="inlineStr">
        <is>
          <t>Annuaire Service-public.fr</t>
        </is>
      </c>
      <c r="R393" t="inlineStr"/>
      <c r="S393" t="inlineStr"/>
      <c r="T393" t="inlineStr"/>
    </row>
    <row r="394">
      <c r="A394" t="inlineStr">
        <is>
          <t>CC Montfort Communauté</t>
        </is>
      </c>
      <c r="B394" t="inlineStr">
        <is>
          <t>Communauté de communes</t>
        </is>
      </c>
      <c r="C394" t="inlineStr">
        <is>
          <t>243500550</t>
        </is>
      </c>
      <c r="D394" t="inlineStr">
        <is>
          <t>35</t>
        </is>
      </c>
      <c r="E394" t="inlineStr">
        <is>
          <t>Ille-et-Vilaine</t>
        </is>
      </c>
      <c r="F394" t="inlineStr">
        <is>
          <t>Bretagne</t>
        </is>
      </c>
      <c r="G394" s="3" t="n">
        <v>26422</v>
      </c>
      <c r="H394" t="n">
        <v>8</v>
      </c>
      <c r="I394" t="inlineStr">
        <is>
          <t>4 place du Tribunal</t>
        </is>
      </c>
      <c r="J394" t="inlineStr">
        <is>
          <t>35160</t>
        </is>
      </c>
      <c r="K394" t="inlineStr">
        <is>
          <t>Montfort-sur-Meu</t>
        </is>
      </c>
      <c r="L394" t="inlineStr">
        <is>
          <t>02 99 09 88 10</t>
        </is>
      </c>
      <c r="M394" s="4" t="inlineStr">
        <is>
          <t>contact@montfortcommunaute.bzh</t>
        </is>
      </c>
      <c r="N394" s="4" t="inlineStr">
        <is>
          <t>https://www.montfortcommunaute.bzh/</t>
        </is>
      </c>
      <c r="O394" s="4" t="inlineStr">
        <is>
          <t>https://www.montfortcommunaute.bzh/mes-demarches/contacter-un-service/contacter-un-service/</t>
        </is>
      </c>
      <c r="P394" s="4" t="inlineStr">
        <is>
          <t>https://lannuaire.service-public.gouv.fr/bretagne/ille-et-vilaine/a247a9c1-b89e-4e57-81a1-27255ca8b0e6</t>
        </is>
      </c>
      <c r="Q394" t="inlineStr">
        <is>
          <t>Annuaire Service-public.fr</t>
        </is>
      </c>
      <c r="R394" t="inlineStr"/>
      <c r="S394" t="inlineStr"/>
      <c r="T394" t="inlineStr"/>
    </row>
    <row r="395">
      <c r="A395" t="inlineStr">
        <is>
          <t>CC Pays de Châteaugiron Communauté</t>
        </is>
      </c>
      <c r="B395" t="inlineStr">
        <is>
          <t>Communauté de communes</t>
        </is>
      </c>
      <c r="C395" t="inlineStr">
        <is>
          <t>243500659</t>
        </is>
      </c>
      <c r="D395" t="inlineStr">
        <is>
          <t>35</t>
        </is>
      </c>
      <c r="E395" t="inlineStr">
        <is>
          <t>Ille-et-Vilaine</t>
        </is>
      </c>
      <c r="F395" t="inlineStr">
        <is>
          <t>Bretagne</t>
        </is>
      </c>
      <c r="G395" s="3" t="n">
        <v>27986</v>
      </c>
      <c r="H395" t="n">
        <v>5</v>
      </c>
      <c r="I395" t="inlineStr">
        <is>
          <t>16 rue de Rennes</t>
        </is>
      </c>
      <c r="J395" t="inlineStr">
        <is>
          <t>35410</t>
        </is>
      </c>
      <c r="K395" t="inlineStr">
        <is>
          <t>Châteaugiron</t>
        </is>
      </c>
      <c r="L395" t="inlineStr">
        <is>
          <t>02 99 37 67 68</t>
        </is>
      </c>
      <c r="M395" s="4" t="inlineStr">
        <is>
          <t>contact@pcc.bzh</t>
        </is>
      </c>
      <c r="N395" s="4" t="inlineStr">
        <is>
          <t>https://www.communaute.paysdechateaugiron.bzh/</t>
        </is>
      </c>
      <c r="O395" s="4" t="inlineStr">
        <is>
          <t>https://www.communaute.paysdechateaugiron.bzh/systeme/nous-contacter/</t>
        </is>
      </c>
      <c r="P395" s="4" t="inlineStr">
        <is>
          <t>https://lannuaire.service-public.gouv.fr/bretagne/ille-et-vilaine/dee69927-f78d-482b-a80e-0860a72c2b2c</t>
        </is>
      </c>
      <c r="Q395" t="inlineStr">
        <is>
          <t>Annuaire Service-public.fr</t>
        </is>
      </c>
      <c r="R395" t="inlineStr"/>
      <c r="S395" t="inlineStr"/>
      <c r="T395" t="inlineStr"/>
    </row>
    <row r="396">
      <c r="A396" t="inlineStr">
        <is>
          <t>CC Roche aux Fées Communauté</t>
        </is>
      </c>
      <c r="B396" t="inlineStr">
        <is>
          <t>Communauté de communes</t>
        </is>
      </c>
      <c r="C396" t="inlineStr">
        <is>
          <t>243500634</t>
        </is>
      </c>
      <c r="D396" t="inlineStr">
        <is>
          <t>35</t>
        </is>
      </c>
      <c r="E396" t="inlineStr">
        <is>
          <t>Ille-et-Vilaine</t>
        </is>
      </c>
      <c r="F396" t="inlineStr">
        <is>
          <t>Bretagne</t>
        </is>
      </c>
      <c r="G396" s="3" t="n">
        <v>27025</v>
      </c>
      <c r="H396" t="n">
        <v>16</v>
      </c>
      <c r="I396" t="inlineStr">
        <is>
          <t>16 rue Louis-Pasteur</t>
        </is>
      </c>
      <c r="J396" t="inlineStr">
        <is>
          <t>35240</t>
        </is>
      </c>
      <c r="K396" t="inlineStr">
        <is>
          <t>Retiers</t>
        </is>
      </c>
      <c r="L396" t="inlineStr">
        <is>
          <t>02 99 43 64 87</t>
        </is>
      </c>
      <c r="M396" s="4" t="inlineStr">
        <is>
          <t>accueil@rafcom.bzh</t>
        </is>
      </c>
      <c r="N396" s="4" t="inlineStr">
        <is>
          <t>https://www.rafcom.bzh/</t>
        </is>
      </c>
      <c r="O396" s="4" t="inlineStr">
        <is>
          <t>https://www.rafcom.bzh/contact</t>
        </is>
      </c>
      <c r="P396" s="4" t="inlineStr">
        <is>
          <t>https://lannuaire.service-public.gouv.fr/bretagne/ille-et-vilaine/4fb521dd-3cb0-48b1-9b7e-d45ecfa80c21</t>
        </is>
      </c>
      <c r="Q396" t="inlineStr">
        <is>
          <t>Annuaire Service-public.fr</t>
        </is>
      </c>
      <c r="R396" t="inlineStr"/>
      <c r="S396" t="inlineStr"/>
      <c r="T396" t="inlineStr"/>
    </row>
    <row r="397">
      <c r="A397" t="inlineStr">
        <is>
          <t>CC Val d'Ille-Aubigné</t>
        </is>
      </c>
      <c r="B397" t="inlineStr">
        <is>
          <t>Communauté de communes</t>
        </is>
      </c>
      <c r="C397" t="inlineStr">
        <is>
          <t>243500667</t>
        </is>
      </c>
      <c r="D397" t="inlineStr">
        <is>
          <t>35</t>
        </is>
      </c>
      <c r="E397" t="inlineStr">
        <is>
          <t>Ille-et-Vilaine</t>
        </is>
      </c>
      <c r="F397" t="inlineStr">
        <is>
          <t>Bretagne</t>
        </is>
      </c>
      <c r="G397" s="3" t="n">
        <v>38971</v>
      </c>
      <c r="H397" t="n">
        <v>19</v>
      </c>
      <c r="I397" t="inlineStr">
        <is>
          <t>1 La Métairie</t>
        </is>
      </c>
      <c r="J397" t="inlineStr">
        <is>
          <t>35520</t>
        </is>
      </c>
      <c r="K397" t="inlineStr">
        <is>
          <t>Montreuil-le-Gast</t>
        </is>
      </c>
      <c r="L397" t="inlineStr">
        <is>
          <t>02 99 69 86 86</t>
        </is>
      </c>
      <c r="M397" s="4" t="inlineStr">
        <is>
          <t>contact@valdille-aubigne.fr</t>
        </is>
      </c>
      <c r="N397" s="4" t="inlineStr">
        <is>
          <t>https://www.valdille-aubigne.fr</t>
        </is>
      </c>
      <c r="O397" t="inlineStr"/>
      <c r="P397" s="4" t="inlineStr">
        <is>
          <t>https://lannuaire.service-public.gouv.fr/bretagne/ille-et-vilaine/da8f346b-34a1-45e8-8172-34596ba16f5c</t>
        </is>
      </c>
      <c r="Q397" t="inlineStr">
        <is>
          <t>Annuaire Service-public.fr</t>
        </is>
      </c>
      <c r="R397" t="inlineStr"/>
      <c r="S397" t="inlineStr"/>
      <c r="T397" t="inlineStr"/>
    </row>
    <row r="398">
      <c r="A398" t="inlineStr">
        <is>
          <t>CC Vallons de Haute-Bretagne Communauté</t>
        </is>
      </c>
      <c r="B398" t="inlineStr">
        <is>
          <t>Communauté de communes</t>
        </is>
      </c>
      <c r="C398" t="inlineStr">
        <is>
          <t>200043990</t>
        </is>
      </c>
      <c r="D398" t="inlineStr">
        <is>
          <t>35</t>
        </is>
      </c>
      <c r="E398" t="inlineStr">
        <is>
          <t>Ille-et-Vilaine</t>
        </is>
      </c>
      <c r="F398" t="inlineStr">
        <is>
          <t>Bretagne</t>
        </is>
      </c>
      <c r="G398" s="3" t="n">
        <v>45066</v>
      </c>
      <c r="H398" t="n">
        <v>18</v>
      </c>
      <c r="I398" t="inlineStr">
        <is>
          <t>12 rue Blaise-Pascal, ZA La Lande-Rose</t>
        </is>
      </c>
      <c r="J398" t="inlineStr">
        <is>
          <t>35580</t>
        </is>
      </c>
      <c r="K398" t="inlineStr">
        <is>
          <t>Guichen</t>
        </is>
      </c>
      <c r="L398" t="inlineStr">
        <is>
          <t>02 99 57 03 80</t>
        </is>
      </c>
      <c r="M398" s="4" t="inlineStr">
        <is>
          <t>accueil@vallonsdehautebretagne.fr</t>
        </is>
      </c>
      <c r="N398" s="4" t="inlineStr">
        <is>
          <t>https://www.vallons-de-haute-bretagne-communaute.fr/</t>
        </is>
      </c>
      <c r="O398" s="4" t="inlineStr">
        <is>
          <t>https://www.vallons-de-haute-bretagne-communaute.fr/systeme/contact/</t>
        </is>
      </c>
      <c r="P398" s="4" t="inlineStr">
        <is>
          <t>https://lannuaire.service-public.gouv.fr/bretagne/ille-et-vilaine/f7614f4b-abf8-4bd6-9520-4effc9da6e68</t>
        </is>
      </c>
      <c r="Q398" t="inlineStr">
        <is>
          <t>Annuaire Service-public.fr</t>
        </is>
      </c>
      <c r="R398" t="inlineStr"/>
      <c r="S398" t="inlineStr"/>
      <c r="T398" t="inlineStr"/>
    </row>
    <row r="399">
      <c r="A399" t="inlineStr">
        <is>
          <t>CC de Saint-Méen Montauban</t>
        </is>
      </c>
      <c r="B399" t="inlineStr">
        <is>
          <t>Communauté de communes</t>
        </is>
      </c>
      <c r="C399" t="inlineStr">
        <is>
          <t>200038990</t>
        </is>
      </c>
      <c r="D399" t="inlineStr">
        <is>
          <t>35</t>
        </is>
      </c>
      <c r="E399" t="inlineStr">
        <is>
          <t>Ille-et-Vilaine</t>
        </is>
      </c>
      <c r="F399" t="inlineStr">
        <is>
          <t>Bretagne</t>
        </is>
      </c>
      <c r="G399" s="3" t="n">
        <v>27350</v>
      </c>
      <c r="H399" t="n">
        <v>17</v>
      </c>
      <c r="I399" t="inlineStr">
        <is>
          <t>Manoir de la Ville Cotterel, 46 rue de Saint-Malo, BP 26042</t>
        </is>
      </c>
      <c r="J399" t="inlineStr">
        <is>
          <t>35360</t>
        </is>
      </c>
      <c r="K399" t="inlineStr">
        <is>
          <t>Montauban-de-Bretagne</t>
        </is>
      </c>
      <c r="L399" t="inlineStr">
        <is>
          <t>02 99 06 54 92</t>
        </is>
      </c>
      <c r="M399" s="4" t="inlineStr">
        <is>
          <t>accueil@stmeen-montauban.fr</t>
        </is>
      </c>
      <c r="N399" s="4" t="inlineStr">
        <is>
          <t>https://www.stmeen-montauban.fr/</t>
        </is>
      </c>
      <c r="O399" s="4" t="inlineStr">
        <is>
          <t>https://stmeen-montauban.fr/contact/</t>
        </is>
      </c>
      <c r="P399" s="4" t="inlineStr">
        <is>
          <t>https://lannuaire.service-public.gouv.fr/bretagne/ille-et-vilaine/f412ba09-36fc-4f9d-8566-f1271abde6e0</t>
        </is>
      </c>
      <c r="Q399" t="inlineStr">
        <is>
          <t>Annuaire Service-public.fr</t>
        </is>
      </c>
      <c r="R399" t="inlineStr"/>
      <c r="S399" t="inlineStr"/>
      <c r="T399" t="inlineStr"/>
    </row>
    <row r="400">
      <c r="A400" t="inlineStr">
        <is>
          <t>CC du Pays de Dol et de la Baie du Mont Saint-Michel</t>
        </is>
      </c>
      <c r="B400" t="inlineStr">
        <is>
          <t>Communauté de communes</t>
        </is>
      </c>
      <c r="C400" t="inlineStr">
        <is>
          <t>200070670</t>
        </is>
      </c>
      <c r="D400" t="inlineStr">
        <is>
          <t>35</t>
        </is>
      </c>
      <c r="E400" t="inlineStr">
        <is>
          <t>Ille-et-Vilaine</t>
        </is>
      </c>
      <c r="F400" t="inlineStr">
        <is>
          <t>Bretagne</t>
        </is>
      </c>
      <c r="G400" s="3" t="n">
        <v>23907</v>
      </c>
      <c r="H400" t="n">
        <v>19</v>
      </c>
      <c r="I400" t="inlineStr">
        <is>
          <t>17 rue de la Rouelle, Synergy</t>
        </is>
      </c>
      <c r="J400" t="inlineStr">
        <is>
          <t>35120</t>
        </is>
      </c>
      <c r="K400" t="inlineStr">
        <is>
          <t>Dol-de-Bretagne</t>
        </is>
      </c>
      <c r="L400" t="inlineStr">
        <is>
          <t>02 99 80 90 57</t>
        </is>
      </c>
      <c r="M400" s="4" t="inlineStr">
        <is>
          <t>info@ccdol-baiemsm.bzh</t>
        </is>
      </c>
      <c r="N400" s="4" t="inlineStr">
        <is>
          <t>https://www.ccdol-baiemsm.bzh/</t>
        </is>
      </c>
      <c r="O400" t="inlineStr"/>
      <c r="P400" s="4" t="inlineStr">
        <is>
          <t>https://lannuaire.service-public.gouv.fr/bretagne/ille-et-vilaine/7c5ba5ba-9873-4991-bd0b-1e78e24a8e08</t>
        </is>
      </c>
      <c r="Q400" t="inlineStr">
        <is>
          <t>Annuaire Service-public.fr</t>
        </is>
      </c>
      <c r="R400" t="inlineStr"/>
      <c r="S400" t="inlineStr"/>
      <c r="T400" t="inlineStr"/>
    </row>
    <row r="401">
      <c r="A401" t="inlineStr">
        <is>
          <t>CC Brenne - Val de Creuse</t>
        </is>
      </c>
      <c r="B401" t="inlineStr">
        <is>
          <t>Communauté de communes</t>
        </is>
      </c>
      <c r="C401" t="inlineStr">
        <is>
          <t>243600319</t>
        </is>
      </c>
      <c r="D401" t="inlineStr">
        <is>
          <t>36</t>
        </is>
      </c>
      <c r="E401" t="inlineStr">
        <is>
          <t>Indre</t>
        </is>
      </c>
      <c r="F401" t="inlineStr">
        <is>
          <t>Centre-Val de Loire</t>
        </is>
      </c>
      <c r="G401" s="3" t="n">
        <v>17565</v>
      </c>
      <c r="H401" t="n">
        <v>28</v>
      </c>
      <c r="I401" t="inlineStr">
        <is>
          <t>5 rue de l'Église</t>
        </is>
      </c>
      <c r="J401" t="inlineStr">
        <is>
          <t>36300</t>
        </is>
      </c>
      <c r="K401" t="inlineStr">
        <is>
          <t>Ruffec</t>
        </is>
      </c>
      <c r="L401" t="inlineStr">
        <is>
          <t>02 54 28 33 60</t>
        </is>
      </c>
      <c r="M401" s="4" t="inlineStr">
        <is>
          <t>contact@cc-brennevaldecreuse.fr</t>
        </is>
      </c>
      <c r="N401" s="4" t="inlineStr">
        <is>
          <t>https://www.cc-brennevaldecreuse.fr/</t>
        </is>
      </c>
      <c r="O401" s="4" t="inlineStr">
        <is>
          <t>https://www.cc-brennevaldecreuse.fr/la-communaute-de-communes/territoire/contacts-comcom</t>
        </is>
      </c>
      <c r="P401" s="4" t="inlineStr">
        <is>
          <t>https://lannuaire.service-public.gouv.fr/centre-val-de-loire/indre/1857b010-b436-4d1d-8d1f-1d4098d47aa6</t>
        </is>
      </c>
      <c r="Q401" t="inlineStr">
        <is>
          <t>Annuaire Service-public.fr</t>
        </is>
      </c>
      <c r="R401" t="inlineStr"/>
      <c r="S401" t="inlineStr"/>
      <c r="T401" t="inlineStr"/>
    </row>
    <row r="402">
      <c r="A402" t="inlineStr">
        <is>
          <t>CC Chabris - Pays de Bazelle</t>
        </is>
      </c>
      <c r="B402" t="inlineStr">
        <is>
          <t>Communauté de communes</t>
        </is>
      </c>
      <c r="C402" t="inlineStr">
        <is>
          <t>243600202</t>
        </is>
      </c>
      <c r="D402" t="inlineStr">
        <is>
          <t>36</t>
        </is>
      </c>
      <c r="E402" t="inlineStr">
        <is>
          <t>Indre</t>
        </is>
      </c>
      <c r="F402" t="inlineStr">
        <is>
          <t>Centre-Val de Loire</t>
        </is>
      </c>
      <c r="G402" s="3" t="n">
        <v>6185</v>
      </c>
      <c r="H402" t="n">
        <v>10</v>
      </c>
      <c r="I402" t="inlineStr">
        <is>
          <t>8 place Albert-Boivin</t>
        </is>
      </c>
      <c r="J402" t="inlineStr">
        <is>
          <t>36210</t>
        </is>
      </c>
      <c r="K402" t="inlineStr">
        <is>
          <t>Chabris</t>
        </is>
      </c>
      <c r="L402" t="inlineStr">
        <is>
          <t>02 54 40 15 88</t>
        </is>
      </c>
      <c r="M402" s="4" t="inlineStr">
        <is>
          <t>contact@chabris-bazelle.fr</t>
        </is>
      </c>
      <c r="N402" s="4" t="inlineStr">
        <is>
          <t>https://www.chabris-bazelle.fr/</t>
        </is>
      </c>
      <c r="O402" t="inlineStr"/>
      <c r="P402" s="4" t="inlineStr">
        <is>
          <t>https://lannuaire.service-public.gouv.fr/centre-val-de-loire/indre/86fded55-d7c1-4c37-9afa-ecf5a2a3ac78</t>
        </is>
      </c>
      <c r="Q402" t="inlineStr">
        <is>
          <t>Annuaire Service-public.fr</t>
        </is>
      </c>
      <c r="R402" t="inlineStr"/>
      <c r="S402" t="inlineStr"/>
      <c r="T402" t="inlineStr"/>
    </row>
    <row r="403">
      <c r="A403" t="inlineStr">
        <is>
          <t>CC Champagne Boischauts</t>
        </is>
      </c>
      <c r="B403" t="inlineStr">
        <is>
          <t>Communauté de communes</t>
        </is>
      </c>
      <c r="C403" t="inlineStr">
        <is>
          <t>200068880</t>
        </is>
      </c>
      <c r="D403" t="inlineStr">
        <is>
          <t>36</t>
        </is>
      </c>
      <c r="E403" t="inlineStr">
        <is>
          <t>Indre</t>
        </is>
      </c>
      <c r="F403" t="inlineStr">
        <is>
          <t>Centre-Val de Loire</t>
        </is>
      </c>
      <c r="G403" s="3" t="n">
        <v>9691</v>
      </c>
      <c r="H403" t="n">
        <v>30</v>
      </c>
      <c r="I403" t="inlineStr">
        <is>
          <t>24 rue de la République</t>
        </is>
      </c>
      <c r="J403" t="inlineStr">
        <is>
          <t>36150</t>
        </is>
      </c>
      <c r="K403" t="inlineStr">
        <is>
          <t>Vatan</t>
        </is>
      </c>
      <c r="L403" t="inlineStr">
        <is>
          <t>02 54 49 77 07</t>
        </is>
      </c>
      <c r="M403" s="4" t="inlineStr">
        <is>
          <t>accueil@cc-champagne-boischauts.fr</t>
        </is>
      </c>
      <c r="N403" s="4" t="inlineStr">
        <is>
          <t>https://www.cc-champagne-boischauts.fr/</t>
        </is>
      </c>
      <c r="O403" s="4" t="inlineStr">
        <is>
          <t>https://www.cc-champagne-boischauts.fr/contact</t>
        </is>
      </c>
      <c r="P403" s="4" t="inlineStr">
        <is>
          <t>https://lannuaire.service-public.gouv.fr/centre-val-de-loire/indre/9c535081-7522-4c6d-997a-b1add2809bab</t>
        </is>
      </c>
      <c r="Q403" t="inlineStr">
        <is>
          <t>Annuaire Service-public.fr</t>
        </is>
      </c>
      <c r="R403" t="inlineStr"/>
      <c r="S403" t="inlineStr"/>
      <c r="T403" t="inlineStr"/>
    </row>
    <row r="404">
      <c r="A404" t="inlineStr">
        <is>
          <t>CC Coeur de Brenne</t>
        </is>
      </c>
      <c r="B404" t="inlineStr">
        <is>
          <t>Communauté de communes</t>
        </is>
      </c>
      <c r="C404" t="inlineStr">
        <is>
          <t>243600343</t>
        </is>
      </c>
      <c r="D404" t="inlineStr">
        <is>
          <t>36</t>
        </is>
      </c>
      <c r="E404" t="inlineStr">
        <is>
          <t>Indre</t>
        </is>
      </c>
      <c r="F404" t="inlineStr">
        <is>
          <t>Centre-Val de Loire</t>
        </is>
      </c>
      <c r="G404" s="3" t="n">
        <v>4659</v>
      </c>
      <c r="H404" t="n">
        <v>11</v>
      </c>
      <c r="I404" t="inlineStr">
        <is>
          <t>1 rue du Prieuré</t>
        </is>
      </c>
      <c r="J404" t="inlineStr">
        <is>
          <t>36290</t>
        </is>
      </c>
      <c r="K404" t="inlineStr">
        <is>
          <t>Saint-Michel-en-Brenne</t>
        </is>
      </c>
      <c r="L404" t="inlineStr">
        <is>
          <t>02 54 38 18 60</t>
        </is>
      </c>
      <c r="M404" s="4" t="inlineStr">
        <is>
          <t>cdc@coeurdebrenne.fr</t>
        </is>
      </c>
      <c r="N404" s="4" t="inlineStr">
        <is>
          <t>https://www.coeurdebrenne.fr/</t>
        </is>
      </c>
      <c r="O404" s="4" t="inlineStr">
        <is>
          <t>https://www.coeurdebrenne.fr/fr/contacter</t>
        </is>
      </c>
      <c r="P404" s="4" t="inlineStr">
        <is>
          <t>https://lannuaire.service-public.gouv.fr/centre-val-de-loire/indre/dbe4cfad-ec31-4026-9a50-5019c889c426</t>
        </is>
      </c>
      <c r="Q404" t="inlineStr">
        <is>
          <t>Annuaire Service-public.fr</t>
        </is>
      </c>
      <c r="R404" t="inlineStr"/>
      <c r="S404" t="inlineStr"/>
      <c r="T404" t="inlineStr"/>
    </row>
    <row r="405">
      <c r="A405" t="inlineStr">
        <is>
          <t>CC Levroux Boischaut Champagne</t>
        </is>
      </c>
      <c r="B405" t="inlineStr">
        <is>
          <t>Communauté de communes</t>
        </is>
      </c>
      <c r="C405" t="inlineStr">
        <is>
          <t>243600293</t>
        </is>
      </c>
      <c r="D405" t="inlineStr">
        <is>
          <t>36</t>
        </is>
      </c>
      <c r="E405" t="inlineStr">
        <is>
          <t>Indre</t>
        </is>
      </c>
      <c r="F405" t="inlineStr">
        <is>
          <t>Centre-Val de Loire</t>
        </is>
      </c>
      <c r="G405" s="3" t="n">
        <v>6162</v>
      </c>
      <c r="H405" t="n">
        <v>10</v>
      </c>
      <c r="I405" t="inlineStr">
        <is>
          <t>10 place de l'Hôtel-de-Ville</t>
        </is>
      </c>
      <c r="J405" t="inlineStr">
        <is>
          <t>36110</t>
        </is>
      </c>
      <c r="K405" t="inlineStr">
        <is>
          <t>Levroux</t>
        </is>
      </c>
      <c r="L405" t="inlineStr">
        <is>
          <t>02 54 35 70 54</t>
        </is>
      </c>
      <c r="M405" s="4" t="inlineStr">
        <is>
          <t>accueil@levroux.fr</t>
        </is>
      </c>
      <c r="N405" s="4" t="inlineStr">
        <is>
          <t>https://www.ville-levroux.fr/interco.html</t>
        </is>
      </c>
      <c r="O405" t="inlineStr"/>
      <c r="P405" s="4" t="inlineStr">
        <is>
          <t>https://lannuaire.service-public.gouv.fr/centre-val-de-loire/indre/81a1a97c-ca46-4ce4-a380-48bc29327eb6</t>
        </is>
      </c>
      <c r="Q405" t="inlineStr">
        <is>
          <t>Annuaire Service-public.fr</t>
        </is>
      </c>
      <c r="R405" t="inlineStr"/>
      <c r="S405" t="inlineStr"/>
      <c r="T405" t="inlineStr"/>
    </row>
    <row r="406">
      <c r="A406" t="inlineStr">
        <is>
          <t>CC Marche Occitane - Val d'Anglin</t>
        </is>
      </c>
      <c r="B406" t="inlineStr">
        <is>
          <t>Communauté de communes</t>
        </is>
      </c>
      <c r="C406" t="inlineStr">
        <is>
          <t>200035137</t>
        </is>
      </c>
      <c r="D406" t="inlineStr">
        <is>
          <t>36</t>
        </is>
      </c>
      <c r="E406" t="inlineStr">
        <is>
          <t>Indre</t>
        </is>
      </c>
      <c r="F406" t="inlineStr">
        <is>
          <t>Centre-Val de Loire</t>
        </is>
      </c>
      <c r="G406" s="3" t="n">
        <v>6517</v>
      </c>
      <c r="H406" t="n">
        <v>17</v>
      </c>
      <c r="I406" t="inlineStr">
        <is>
          <t>2 place Saint-Christophe</t>
        </is>
      </c>
      <c r="J406" t="inlineStr">
        <is>
          <t>36370</t>
        </is>
      </c>
      <c r="K406" t="inlineStr">
        <is>
          <t>Lignac</t>
        </is>
      </c>
      <c r="L406" t="inlineStr">
        <is>
          <t>02 54 24 31 40</t>
        </is>
      </c>
      <c r="M406" s="4" t="inlineStr">
        <is>
          <t>contact@cdcmova.fr</t>
        </is>
      </c>
      <c r="N406" s="4" t="inlineStr">
        <is>
          <t>https://cdc-mova.fr/</t>
        </is>
      </c>
      <c r="O406" s="4" t="inlineStr">
        <is>
          <t>https://cdc-mova.fr/accueil/autres/contactez-nous</t>
        </is>
      </c>
      <c r="P406" s="4" t="inlineStr">
        <is>
          <t>https://lannuaire.service-public.gouv.fr/centre-val-de-loire/indre/3ec0cc7e-0cb4-4013-98fd-f4023b16cf93</t>
        </is>
      </c>
      <c r="Q406" t="inlineStr">
        <is>
          <t>Annuaire Service-public.fr</t>
        </is>
      </c>
      <c r="R406" t="inlineStr"/>
      <c r="S406" t="inlineStr"/>
      <c r="T406" t="inlineStr"/>
    </row>
    <row r="407">
      <c r="A407" t="inlineStr">
        <is>
          <t>CC Val de l'Indre - Brenne</t>
        </is>
      </c>
      <c r="B407" t="inlineStr">
        <is>
          <t>Communauté de communes</t>
        </is>
      </c>
      <c r="C407" t="inlineStr">
        <is>
          <t>243600301</t>
        </is>
      </c>
      <c r="D407" t="inlineStr">
        <is>
          <t>36</t>
        </is>
      </c>
      <c r="E407" t="inlineStr">
        <is>
          <t>Indre</t>
        </is>
      </c>
      <c r="F407" t="inlineStr">
        <is>
          <t>Centre-Val de Loire</t>
        </is>
      </c>
      <c r="G407" s="3" t="n">
        <v>13242</v>
      </c>
      <c r="H407" t="n">
        <v>12</v>
      </c>
      <c r="I407" t="inlineStr">
        <is>
          <t>1 rue Jean-Jaurès</t>
        </is>
      </c>
      <c r="J407" t="inlineStr">
        <is>
          <t>36320</t>
        </is>
      </c>
      <c r="K407" t="inlineStr">
        <is>
          <t>Villedieu-sur-Indre</t>
        </is>
      </c>
      <c r="L407" t="inlineStr">
        <is>
          <t>02 54 26 91 11</t>
        </is>
      </c>
      <c r="M407" s="4" t="inlineStr">
        <is>
          <t>cdc.valdelindre-brenne@wanadoo.fr</t>
        </is>
      </c>
      <c r="N407" s="4" t="inlineStr">
        <is>
          <t>https://www.valdelindrebrenne.com</t>
        </is>
      </c>
      <c r="O407" t="inlineStr"/>
      <c r="P407" s="4" t="inlineStr">
        <is>
          <t>https://lannuaire.service-public.gouv.fr/centre-val-de-loire/indre/44a81c2d-0a39-4922-919b-eb96985cc907</t>
        </is>
      </c>
      <c r="Q407" t="inlineStr">
        <is>
          <t>Annuaire Service-public.fr</t>
        </is>
      </c>
      <c r="R407" t="inlineStr"/>
      <c r="S407" t="inlineStr"/>
      <c r="T407" t="inlineStr"/>
    </row>
    <row r="408">
      <c r="A408" t="inlineStr">
        <is>
          <t>CC de la Châtre et Sainte-Sévère</t>
        </is>
      </c>
      <c r="B408" t="inlineStr">
        <is>
          <t>Communauté de communes</t>
        </is>
      </c>
      <c r="C408" t="inlineStr">
        <is>
          <t>243600350</t>
        </is>
      </c>
      <c r="D408" t="inlineStr">
        <is>
          <t>36</t>
        </is>
      </c>
      <c r="E408" t="inlineStr">
        <is>
          <t>Indre</t>
        </is>
      </c>
      <c r="F408" t="inlineStr">
        <is>
          <t>Centre-Val de Loire</t>
        </is>
      </c>
      <c r="G408" s="3" t="n">
        <v>16134</v>
      </c>
      <c r="H408" t="n">
        <v>30</v>
      </c>
      <c r="I408" t="inlineStr">
        <is>
          <t>22 place du Général-de-Gaulle</t>
        </is>
      </c>
      <c r="J408" t="inlineStr">
        <is>
          <t>36400</t>
        </is>
      </c>
      <c r="K408" t="inlineStr">
        <is>
          <t>La Châtre</t>
        </is>
      </c>
      <c r="L408" t="inlineStr">
        <is>
          <t>02 54 62 10 10</t>
        </is>
      </c>
      <c r="M408" s="4" t="inlineStr">
        <is>
          <t>s.administratif@cdc-lcss.fr</t>
        </is>
      </c>
      <c r="N408" s="4" t="inlineStr">
        <is>
          <t>https://cdc-lcss.fr/</t>
        </is>
      </c>
      <c r="O408" t="inlineStr"/>
      <c r="P408" s="4" t="inlineStr">
        <is>
          <t>https://lannuaire.service-public.gouv.fr/centre-val-de-loire/indre/4b465cad-5642-4673-9e43-fb91cb0344ff</t>
        </is>
      </c>
      <c r="Q408" t="inlineStr">
        <is>
          <t>Annuaire Service-public.fr</t>
        </is>
      </c>
      <c r="R408" t="inlineStr"/>
      <c r="S408" t="inlineStr"/>
      <c r="T408" t="inlineStr"/>
    </row>
    <row r="409">
      <c r="A409" t="inlineStr">
        <is>
          <t>CC de la Marche Berrichonne</t>
        </is>
      </c>
      <c r="B409" t="inlineStr">
        <is>
          <t>Communauté de communes</t>
        </is>
      </c>
      <c r="C409" t="inlineStr">
        <is>
          <t>200007052</t>
        </is>
      </c>
      <c r="D409" t="inlineStr">
        <is>
          <t>36</t>
        </is>
      </c>
      <c r="E409" t="inlineStr">
        <is>
          <t>Indre</t>
        </is>
      </c>
      <c r="F409" t="inlineStr">
        <is>
          <t>Centre-Val de Loire</t>
        </is>
      </c>
      <c r="G409" s="3" t="n">
        <v>5504</v>
      </c>
      <c r="H409" t="n">
        <v>9</v>
      </c>
      <c r="I409" t="inlineStr">
        <is>
          <t>8 rue Jean-Marien-Messant</t>
        </is>
      </c>
      <c r="J409" t="inlineStr">
        <is>
          <t>36140</t>
        </is>
      </c>
      <c r="K409" t="inlineStr">
        <is>
          <t>Aigurande</t>
        </is>
      </c>
      <c r="L409" t="inlineStr">
        <is>
          <t>02 54 06 37 33</t>
        </is>
      </c>
      <c r="M409" s="4" t="inlineStr">
        <is>
          <t>contact@ccmarcheberrichonne.fr</t>
        </is>
      </c>
      <c r="N409" s="4" t="inlineStr">
        <is>
          <t>https://www.ccmarcheberrichonne.fr/site/</t>
        </is>
      </c>
      <c r="O409" s="4" t="inlineStr">
        <is>
          <t>https://www.ccmarcheberrichonne.fr/site/contact/</t>
        </is>
      </c>
      <c r="P409" s="4" t="inlineStr">
        <is>
          <t>https://lannuaire.service-public.gouv.fr/centre-val-de-loire/indre/4ecbd536-488d-466a-901f-c751f51161ad</t>
        </is>
      </c>
      <c r="Q409" t="inlineStr">
        <is>
          <t>Annuaire Service-public.fr</t>
        </is>
      </c>
      <c r="R409" t="inlineStr"/>
      <c r="S409" t="inlineStr"/>
      <c r="T409" t="inlineStr"/>
    </row>
    <row r="410">
      <c r="A410" t="inlineStr">
        <is>
          <t>CC du Châtillonnais en Berry</t>
        </is>
      </c>
      <c r="B410" t="inlineStr">
        <is>
          <t>Communauté de communes</t>
        </is>
      </c>
      <c r="C410" t="inlineStr">
        <is>
          <t>200035848</t>
        </is>
      </c>
      <c r="D410" t="inlineStr">
        <is>
          <t>36</t>
        </is>
      </c>
      <c r="E410" t="inlineStr">
        <is>
          <t>Indre</t>
        </is>
      </c>
      <c r="F410" t="inlineStr">
        <is>
          <t>Centre-Val de Loire</t>
        </is>
      </c>
      <c r="G410" s="3" t="n">
        <v>5638</v>
      </c>
      <c r="H410" t="n">
        <v>10</v>
      </c>
      <c r="I410" t="inlineStr">
        <is>
          <t>1 rue Maurice-Davaillon</t>
        </is>
      </c>
      <c r="J410" t="inlineStr">
        <is>
          <t>36700</t>
        </is>
      </c>
      <c r="K410" t="inlineStr">
        <is>
          <t>Chatillon-sur-Indre</t>
        </is>
      </c>
      <c r="L410" t="inlineStr">
        <is>
          <t>02 54 39 01 16</t>
        </is>
      </c>
      <c r="M410" s="4" t="inlineStr">
        <is>
          <t>accueil@chatillonnais-en-berry.fr</t>
        </is>
      </c>
      <c r="N410" s="4" t="inlineStr">
        <is>
          <t>https://chatillonnais-en-berry.fr/</t>
        </is>
      </c>
      <c r="O410" t="inlineStr"/>
      <c r="P410" s="4" t="inlineStr">
        <is>
          <t>https://lannuaire.service-public.gouv.fr/centre-val-de-loire/indre/48a68787-1b62-46a2-a3cd-2590a6ede86a</t>
        </is>
      </c>
      <c r="Q410" t="inlineStr">
        <is>
          <t>Annuaire Service-public.fr</t>
        </is>
      </c>
      <c r="R410" t="inlineStr"/>
      <c r="S410" t="inlineStr"/>
      <c r="T410" t="inlineStr"/>
    </row>
    <row r="411">
      <c r="A411" t="inlineStr">
        <is>
          <t>CC du Val de Bouzanne</t>
        </is>
      </c>
      <c r="B411" t="inlineStr">
        <is>
          <t>Communauté de communes</t>
        </is>
      </c>
      <c r="C411" t="inlineStr">
        <is>
          <t>200018521</t>
        </is>
      </c>
      <c r="D411" t="inlineStr">
        <is>
          <t>36</t>
        </is>
      </c>
      <c r="E411" t="inlineStr">
        <is>
          <t>Indre</t>
        </is>
      </c>
      <c r="F411" t="inlineStr">
        <is>
          <t>Centre-Val de Loire</t>
        </is>
      </c>
      <c r="G411" s="3" t="n">
        <v>5969</v>
      </c>
      <c r="H411" t="n">
        <v>12</v>
      </c>
      <c r="I411" t="inlineStr">
        <is>
          <t>20 rue Émile-Forichon</t>
        </is>
      </c>
      <c r="J411" t="inlineStr">
        <is>
          <t>36230</t>
        </is>
      </c>
      <c r="K411" t="inlineStr">
        <is>
          <t>Neuvy-Saint-Sépulcre</t>
        </is>
      </c>
      <c r="L411" t="inlineStr">
        <is>
          <t>02 54 31 20 06</t>
        </is>
      </c>
      <c r="M411" s="4" t="inlineStr">
        <is>
          <t>cdsbouzanne@orange.fr</t>
        </is>
      </c>
      <c r="N411" s="4" t="inlineStr">
        <is>
          <t>https://www.valdebouzanne.fr/</t>
        </is>
      </c>
      <c r="O411" s="4" t="inlineStr">
        <is>
          <t>https://www.valdebouzanne.fr/contact</t>
        </is>
      </c>
      <c r="P411" s="4" t="inlineStr">
        <is>
          <t>https://lannuaire.service-public.gouv.fr/centre-val-de-loire/indre/dd15c5ab-032d-4c7f-8cae-75cdd2ab1639</t>
        </is>
      </c>
      <c r="Q411" t="inlineStr">
        <is>
          <t>Annuaire Service-public.fr</t>
        </is>
      </c>
      <c r="R411" t="inlineStr"/>
      <c r="S411" t="inlineStr"/>
      <c r="T411" t="inlineStr"/>
    </row>
    <row r="412">
      <c r="A412" t="inlineStr">
        <is>
          <t>CC Écueillé-Valençay</t>
        </is>
      </c>
      <c r="B412" t="inlineStr">
        <is>
          <t>Communauté de communes</t>
        </is>
      </c>
      <c r="C412" t="inlineStr">
        <is>
          <t>200040558</t>
        </is>
      </c>
      <c r="D412" t="inlineStr">
        <is>
          <t>36</t>
        </is>
      </c>
      <c r="E412" t="inlineStr">
        <is>
          <t>Indre</t>
        </is>
      </c>
      <c r="F412" t="inlineStr">
        <is>
          <t>Centre-Val de Loire</t>
        </is>
      </c>
      <c r="G412" s="3" t="n">
        <v>10933</v>
      </c>
      <c r="H412" t="n">
        <v>18</v>
      </c>
      <c r="I412" t="inlineStr">
        <is>
          <t>23 avenue de la Résistance</t>
        </is>
      </c>
      <c r="J412" t="inlineStr">
        <is>
          <t>36600</t>
        </is>
      </c>
      <c r="K412" t="inlineStr">
        <is>
          <t>Valençay</t>
        </is>
      </c>
      <c r="L412" t="inlineStr">
        <is>
          <t>02 54 00 32 38</t>
        </is>
      </c>
      <c r="M412" s="4" t="inlineStr">
        <is>
          <t>accueil@ccev.fr</t>
        </is>
      </c>
      <c r="N412" s="4" t="inlineStr">
        <is>
          <t>https://cc-ecueille-valencay.fr/</t>
        </is>
      </c>
      <c r="O412" t="inlineStr"/>
      <c r="P412" s="4" t="inlineStr">
        <is>
          <t>https://lannuaire.service-public.gouv.fr/centre-val-de-loire/indre/b8f37db2-16e3-460d-ab0e-7d438ff15784</t>
        </is>
      </c>
      <c r="Q412" t="inlineStr">
        <is>
          <t>Annuaire Service-public.fr</t>
        </is>
      </c>
      <c r="R412" t="inlineStr"/>
      <c r="S412" t="inlineStr"/>
      <c r="T412" t="inlineStr"/>
    </row>
    <row r="413">
      <c r="A413" t="inlineStr">
        <is>
          <t>CC Éguzon - Argenton - Vallée de la Creuse</t>
        </is>
      </c>
      <c r="B413" t="inlineStr">
        <is>
          <t>Communauté de communes</t>
        </is>
      </c>
      <c r="C413" t="inlineStr">
        <is>
          <t>200068872</t>
        </is>
      </c>
      <c r="D413" t="inlineStr">
        <is>
          <t>36</t>
        </is>
      </c>
      <c r="E413" t="inlineStr">
        <is>
          <t>Indre</t>
        </is>
      </c>
      <c r="F413" t="inlineStr">
        <is>
          <t>Centre-Val de Loire</t>
        </is>
      </c>
      <c r="G413" s="3" t="n">
        <v>19302</v>
      </c>
      <c r="H413" t="n">
        <v>21</v>
      </c>
      <c r="I413" t="inlineStr">
        <is>
          <t>8 rue Simone-de-Beauvoir</t>
        </is>
      </c>
      <c r="J413" t="inlineStr">
        <is>
          <t>36200</t>
        </is>
      </c>
      <c r="K413" t="inlineStr">
        <is>
          <t>Argenton-sur-Creuse</t>
        </is>
      </c>
      <c r="L413" t="inlineStr">
        <is>
          <t>02 54 01 09 00</t>
        </is>
      </c>
      <c r="M413" s="4" t="inlineStr">
        <is>
          <t>info@cc-valleedelacreuse.fr</t>
        </is>
      </c>
      <c r="N413" s="4" t="inlineStr">
        <is>
          <t>https://lavalleedelacreuse.fr/</t>
        </is>
      </c>
      <c r="O413" s="4" t="inlineStr">
        <is>
          <t>https://lavalleedelacreuse.fr/vivre/contact/</t>
        </is>
      </c>
      <c r="P413" s="4" t="inlineStr">
        <is>
          <t>https://lannuaire.service-public.gouv.fr/centre-val-de-loire/indre/1c6e3600-c126-41c5-b417-bdc62a0f3de5</t>
        </is>
      </c>
      <c r="Q413" t="inlineStr">
        <is>
          <t>Annuaire Service-public.fr</t>
        </is>
      </c>
      <c r="R413" t="inlineStr"/>
      <c r="S413" t="inlineStr"/>
      <c r="T413" t="inlineStr"/>
    </row>
    <row r="414">
      <c r="A414" t="inlineStr">
        <is>
          <t>CC Autour de Chenonceaux Bléré-Val de Cher</t>
        </is>
      </c>
      <c r="B414" t="inlineStr">
        <is>
          <t>Communauté de communes</t>
        </is>
      </c>
      <c r="C414" t="inlineStr">
        <is>
          <t>243700820</t>
        </is>
      </c>
      <c r="D414" t="inlineStr">
        <is>
          <t>37</t>
        </is>
      </c>
      <c r="E414" t="inlineStr">
        <is>
          <t>Indre-et-Loire</t>
        </is>
      </c>
      <c r="F414" t="inlineStr">
        <is>
          <t>Centre-Val de Loire</t>
        </is>
      </c>
      <c r="G414" s="3" t="n">
        <v>21948</v>
      </c>
      <c r="H414" t="n">
        <v>15</v>
      </c>
      <c r="I414" t="inlineStr">
        <is>
          <t>39 rue Gambetta</t>
        </is>
      </c>
      <c r="J414" t="inlineStr">
        <is>
          <t>37150</t>
        </is>
      </c>
      <c r="K414" t="inlineStr">
        <is>
          <t>Bléré</t>
        </is>
      </c>
      <c r="L414" t="inlineStr">
        <is>
          <t>02 47 23 58 63</t>
        </is>
      </c>
      <c r="M414" s="4" t="inlineStr">
        <is>
          <t>info@cc-autourdechenonceaux.fr</t>
        </is>
      </c>
      <c r="N414" s="4" t="inlineStr">
        <is>
          <t>https://www.cc-autourdechenonceaux.fr/</t>
        </is>
      </c>
      <c r="O414" s="4" t="inlineStr">
        <is>
          <t>https://www.cc-autourdechenonceaux.fr/non-classe/formulaire-de-contact/</t>
        </is>
      </c>
      <c r="P414" s="4" t="inlineStr">
        <is>
          <t>https://lannuaire.service-public.gouv.fr/centre-val-de-loire/indre-et-loire/eb1a1b5a-6a23-47d1-a8fe-de23b56ed687</t>
        </is>
      </c>
      <c r="Q414" t="inlineStr">
        <is>
          <t>Annuaire Service-public.fr</t>
        </is>
      </c>
      <c r="R414" t="inlineStr"/>
      <c r="S414" t="inlineStr"/>
      <c r="T414" t="inlineStr"/>
    </row>
    <row r="415">
      <c r="A415" t="inlineStr">
        <is>
          <t>CC Chinon, Vienne et Loire</t>
        </is>
      </c>
      <c r="B415" t="inlineStr">
        <is>
          <t>Communauté de communes</t>
        </is>
      </c>
      <c r="C415" t="inlineStr">
        <is>
          <t>200043081</t>
        </is>
      </c>
      <c r="D415" t="inlineStr">
        <is>
          <t>37</t>
        </is>
      </c>
      <c r="E415" t="inlineStr">
        <is>
          <t>Indre-et-Loire</t>
        </is>
      </c>
      <c r="F415" t="inlineStr">
        <is>
          <t>Centre-Val de Loire</t>
        </is>
      </c>
      <c r="G415" s="3" t="n">
        <v>23735</v>
      </c>
      <c r="H415" t="n">
        <v>19</v>
      </c>
      <c r="I415" t="inlineStr">
        <is>
          <t>32 rue Marcel-Vignaud</t>
        </is>
      </c>
      <c r="J415" t="inlineStr">
        <is>
          <t>37420</t>
        </is>
      </c>
      <c r="K415" t="inlineStr">
        <is>
          <t>Avoine</t>
        </is>
      </c>
      <c r="L415" t="inlineStr">
        <is>
          <t>02 47 93 78 78</t>
        </is>
      </c>
      <c r="M415" s="4" t="inlineStr">
        <is>
          <t>communication@cc-cvl.fr</t>
        </is>
      </c>
      <c r="N415" s="4" t="inlineStr">
        <is>
          <t>https://www.chinon-vienne-loire.fr/</t>
        </is>
      </c>
      <c r="O415" t="inlineStr"/>
      <c r="P415" s="4" t="inlineStr">
        <is>
          <t>https://lannuaire.service-public.gouv.fr/centre-val-de-loire/indre-et-loire/a36af3ad-32b3-4010-80a7-0ce69675aef9</t>
        </is>
      </c>
      <c r="Q415" t="inlineStr">
        <is>
          <t>Annuaire Service-public.fr</t>
        </is>
      </c>
      <c r="R415" t="inlineStr"/>
      <c r="S415" t="inlineStr"/>
      <c r="T415" t="inlineStr"/>
    </row>
    <row r="416">
      <c r="A416" t="inlineStr">
        <is>
          <t>CC Loches Sud Touraine</t>
        </is>
      </c>
      <c r="B416" t="inlineStr">
        <is>
          <t>Communauté de communes</t>
        </is>
      </c>
      <c r="C416" t="inlineStr">
        <is>
          <t>200071587</t>
        </is>
      </c>
      <c r="D416" t="inlineStr">
        <is>
          <t>37</t>
        </is>
      </c>
      <c r="E416" t="inlineStr">
        <is>
          <t>Indre-et-Loire</t>
        </is>
      </c>
      <c r="F416" t="inlineStr">
        <is>
          <t>Centre-Val de Loire</t>
        </is>
      </c>
      <c r="G416" s="3" t="n">
        <v>50822</v>
      </c>
      <c r="H416" t="n">
        <v>67</v>
      </c>
      <c r="I416" t="inlineStr">
        <is>
          <t>12 avenue de la Liberté</t>
        </is>
      </c>
      <c r="J416" t="inlineStr">
        <is>
          <t>37600</t>
        </is>
      </c>
      <c r="K416" t="inlineStr">
        <is>
          <t>Loches</t>
        </is>
      </c>
      <c r="L416" t="inlineStr">
        <is>
          <t>02 47 91 19 20</t>
        </is>
      </c>
      <c r="M416" s="4" t="inlineStr">
        <is>
          <t>accueil@lochessudtouraine.com</t>
        </is>
      </c>
      <c r="N416" s="4" t="inlineStr">
        <is>
          <t>https://www.lochessudtouraine.com/</t>
        </is>
      </c>
      <c r="O416" t="inlineStr"/>
      <c r="P416" s="4" t="inlineStr">
        <is>
          <t>https://lannuaire.service-public.gouv.fr/centre-val-de-loire/indre-et-loire/1a0a6d88-b4f2-4f16-b2b5-2c69934e06d5</t>
        </is>
      </c>
      <c r="Q416" t="inlineStr">
        <is>
          <t>Annuaire Service-public.fr</t>
        </is>
      </c>
      <c r="R416" t="inlineStr"/>
      <c r="S416" t="inlineStr"/>
      <c r="T416" t="inlineStr"/>
    </row>
    <row r="417">
      <c r="A417" t="inlineStr">
        <is>
          <t>CC Touraine Ouest Val de Loire</t>
        </is>
      </c>
      <c r="B417" t="inlineStr">
        <is>
          <t>Communauté de communes</t>
        </is>
      </c>
      <c r="C417" t="inlineStr">
        <is>
          <t>200072981</t>
        </is>
      </c>
      <c r="D417" t="inlineStr">
        <is>
          <t>37</t>
        </is>
      </c>
      <c r="E417" t="inlineStr">
        <is>
          <t>Indre-et-Loire</t>
        </is>
      </c>
      <c r="F417" t="inlineStr">
        <is>
          <t>Centre-Val de Loire</t>
        </is>
      </c>
      <c r="G417" s="3" t="n">
        <v>33284</v>
      </c>
      <c r="H417" t="n">
        <v>28</v>
      </c>
      <c r="I417" t="inlineStr">
        <is>
          <t>2 rue des Sablons</t>
        </is>
      </c>
      <c r="J417" t="inlineStr">
        <is>
          <t>37340</t>
        </is>
      </c>
      <c r="K417" t="inlineStr">
        <is>
          <t>Cléré-les-Pins</t>
        </is>
      </c>
      <c r="L417" t="inlineStr">
        <is>
          <t>02 47 24 06 32</t>
        </is>
      </c>
      <c r="M417" s="4" t="inlineStr">
        <is>
          <t>contact@cctoval.fr</t>
        </is>
      </c>
      <c r="N417" s="4" t="inlineStr">
        <is>
          <t>https://cctoval.fr/</t>
        </is>
      </c>
      <c r="O417" s="4" t="inlineStr">
        <is>
          <t>https://cctoval.fr/nous-ecrire/</t>
        </is>
      </c>
      <c r="P417" s="4" t="inlineStr">
        <is>
          <t>https://lannuaire.service-public.gouv.fr/centre-val-de-loire/indre-et-loire/8ee26224-c2bd-4c0a-ad3d-2586841e2fa1</t>
        </is>
      </c>
      <c r="Q417" t="inlineStr">
        <is>
          <t>Annuaire Service-public.fr</t>
        </is>
      </c>
      <c r="R417" t="inlineStr"/>
      <c r="S417" t="inlineStr"/>
      <c r="T417" t="inlineStr"/>
    </row>
    <row r="418">
      <c r="A418" t="inlineStr">
        <is>
          <t>CC Touraine Val de Vienne</t>
        </is>
      </c>
      <c r="B418" t="inlineStr">
        <is>
          <t>Communauté de communes</t>
        </is>
      </c>
      <c r="C418" t="inlineStr">
        <is>
          <t>200072668</t>
        </is>
      </c>
      <c r="D418" t="inlineStr">
        <is>
          <t>37</t>
        </is>
      </c>
      <c r="E418" t="inlineStr">
        <is>
          <t>Indre-et-Loire</t>
        </is>
      </c>
      <c r="F418" t="inlineStr">
        <is>
          <t>Centre-Val de Loire</t>
        </is>
      </c>
      <c r="G418" s="3" t="n">
        <v>24681</v>
      </c>
      <c r="H418" t="n">
        <v>40</v>
      </c>
      <c r="I418" t="inlineStr">
        <is>
          <t>14 route de Chinon</t>
        </is>
      </c>
      <c r="J418" t="inlineStr">
        <is>
          <t>37220</t>
        </is>
      </c>
      <c r="K418" t="inlineStr">
        <is>
          <t>Panzoult</t>
        </is>
      </c>
      <c r="L418" t="inlineStr">
        <is>
          <t>02 47 97 03 26</t>
        </is>
      </c>
      <c r="M418" s="4" t="inlineStr">
        <is>
          <t>contact@cc-tvv.fr</t>
        </is>
      </c>
      <c r="N418" s="4" t="inlineStr">
        <is>
          <t>https://www.cc-tvv.fr/</t>
        </is>
      </c>
      <c r="O418" t="inlineStr"/>
      <c r="P418" s="4" t="inlineStr">
        <is>
          <t>https://lannuaire.service-public.gouv.fr/centre-val-de-loire/indre-et-loire/788ff095-f031-4dde-84bb-aec870f45f34</t>
        </is>
      </c>
      <c r="Q418" t="inlineStr">
        <is>
          <t>Annuaire Service-public.fr</t>
        </is>
      </c>
      <c r="R418" t="inlineStr"/>
      <c r="S418" t="inlineStr"/>
      <c r="T418" t="inlineStr"/>
    </row>
    <row r="419">
      <c r="A419" t="inlineStr">
        <is>
          <t>CC Touraine Vallée de l'Indre</t>
        </is>
      </c>
      <c r="B419" t="inlineStr">
        <is>
          <t>Communauté de communes</t>
        </is>
      </c>
      <c r="C419" t="inlineStr">
        <is>
          <t>200072650</t>
        </is>
      </c>
      <c r="D419" t="inlineStr">
        <is>
          <t>37</t>
        </is>
      </c>
      <c r="E419" t="inlineStr">
        <is>
          <t>Indre-et-Loire</t>
        </is>
      </c>
      <c r="F419" t="inlineStr">
        <is>
          <t>Centre-Val de Loire</t>
        </is>
      </c>
      <c r="G419" s="3" t="n">
        <v>54651</v>
      </c>
      <c r="H419" t="n">
        <v>22</v>
      </c>
      <c r="I419" t="inlineStr">
        <is>
          <t>6 place Antoine-de-Saint-Exupéry</t>
        </is>
      </c>
      <c r="J419" t="inlineStr">
        <is>
          <t>37250</t>
        </is>
      </c>
      <c r="K419" t="inlineStr">
        <is>
          <t>Sorigny</t>
        </is>
      </c>
      <c r="L419" t="inlineStr">
        <is>
          <t>02 47 34 29 00</t>
        </is>
      </c>
      <c r="M419" s="4" t="inlineStr">
        <is>
          <t>contact@tourainevalleedelindre.fr</t>
        </is>
      </c>
      <c r="N419" s="4" t="inlineStr">
        <is>
          <t>https://www.tourainevalleedelindre.fr</t>
        </is>
      </c>
      <c r="O419" s="4" t="inlineStr">
        <is>
          <t>https://tourainevalleedelindre.fr/entre-vous-et-nous/contact/</t>
        </is>
      </c>
      <c r="P419" s="4" t="inlineStr">
        <is>
          <t>https://lannuaire.service-public.gouv.fr/centre-val-de-loire/indre-et-loire/f5a5f10f-f4f1-47ee-8150-98f5460db5a3</t>
        </is>
      </c>
      <c r="Q419" t="inlineStr">
        <is>
          <t>Annuaire Service-public.fr</t>
        </is>
      </c>
      <c r="R419" t="inlineStr"/>
      <c r="S419" t="inlineStr"/>
      <c r="T419" t="inlineStr"/>
    </row>
    <row r="420">
      <c r="A420" t="inlineStr">
        <is>
          <t>CC Touraine-Est Vallées</t>
        </is>
      </c>
      <c r="B420" t="inlineStr">
        <is>
          <t>Communauté de communes</t>
        </is>
      </c>
      <c r="C420" t="inlineStr">
        <is>
          <t>200073161</t>
        </is>
      </c>
      <c r="D420" t="inlineStr">
        <is>
          <t>37</t>
        </is>
      </c>
      <c r="E420" t="inlineStr">
        <is>
          <t>Indre-et-Loire</t>
        </is>
      </c>
      <c r="F420" t="inlineStr">
        <is>
          <t>Centre-Val de Loire</t>
        </is>
      </c>
      <c r="G420" s="3" t="n">
        <v>41162</v>
      </c>
      <c r="H420" t="n">
        <v>10</v>
      </c>
      <c r="I420" t="inlineStr">
        <is>
          <t>48 rue de la Frelonnerie</t>
        </is>
      </c>
      <c r="J420" t="inlineStr">
        <is>
          <t>37270</t>
        </is>
      </c>
      <c r="K420" t="inlineStr">
        <is>
          <t>Montlouis-sur-Loire</t>
        </is>
      </c>
      <c r="L420" t="inlineStr">
        <is>
          <t>02 47 50 80 94</t>
        </is>
      </c>
      <c r="M420" s="4" t="inlineStr">
        <is>
          <t>contact@touraineestvallees.fr</t>
        </is>
      </c>
      <c r="N420" s="4" t="inlineStr">
        <is>
          <t>https://www.touraineestvallees.fr/</t>
        </is>
      </c>
      <c r="O420" t="inlineStr"/>
      <c r="P420" s="4" t="inlineStr">
        <is>
          <t>https://lannuaire.service-public.gouv.fr/centre-val-de-loire/indre-et-loire/130842cd-8f92-44ba-b451-f6fbcfe7037d</t>
        </is>
      </c>
      <c r="Q420" t="inlineStr">
        <is>
          <t>Annuaire Service-public.fr</t>
        </is>
      </c>
      <c r="R420" t="inlineStr"/>
      <c r="S420" t="inlineStr"/>
      <c r="T420" t="inlineStr"/>
    </row>
    <row r="421">
      <c r="A421" t="inlineStr">
        <is>
          <t>CC de Gâtine-Racan</t>
        </is>
      </c>
      <c r="B421" t="inlineStr">
        <is>
          <t>Communauté de communes</t>
        </is>
      </c>
      <c r="C421" t="inlineStr">
        <is>
          <t>200073237</t>
        </is>
      </c>
      <c r="D421" t="inlineStr">
        <is>
          <t>37</t>
        </is>
      </c>
      <c r="E421" t="inlineStr">
        <is>
          <t>Indre-et-Loire</t>
        </is>
      </c>
      <c r="F421" t="inlineStr">
        <is>
          <t>Centre-Val de Loire</t>
        </is>
      </c>
      <c r="G421" s="3" t="n">
        <v>22444</v>
      </c>
      <c r="H421" t="n">
        <v>19</v>
      </c>
      <c r="I421" t="inlineStr">
        <is>
          <t>6 rue du Chêne-Baudet</t>
        </is>
      </c>
      <c r="J421" t="inlineStr">
        <is>
          <t>37360</t>
        </is>
      </c>
      <c r="K421" t="inlineStr">
        <is>
          <t>Saint-Antoine-du-Rocher</t>
        </is>
      </c>
      <c r="L421" t="inlineStr">
        <is>
          <t>02 47 29 81 00</t>
        </is>
      </c>
      <c r="M421" s="4" t="inlineStr">
        <is>
          <t>accueil@gatine-racan.fr</t>
        </is>
      </c>
      <c r="N421" s="4" t="inlineStr">
        <is>
          <t>https://www.gatine-racan.fr/</t>
        </is>
      </c>
      <c r="O421" s="4" t="inlineStr">
        <is>
          <t>https://www.gatine-racan.fr/contact/</t>
        </is>
      </c>
      <c r="P421" s="4" t="inlineStr">
        <is>
          <t>https://lannuaire.service-public.gouv.fr/centre-val-de-loire/indre-et-loire/71f09065-1991-4510-ae71-2da9c9a4d665</t>
        </is>
      </c>
      <c r="Q421" t="inlineStr">
        <is>
          <t>Annuaire Service-public.fr</t>
        </is>
      </c>
      <c r="R421" t="inlineStr"/>
      <c r="S421" t="inlineStr"/>
      <c r="T421" t="inlineStr"/>
    </row>
    <row r="422">
      <c r="A422" t="inlineStr">
        <is>
          <t>CC du Castelrenaudais</t>
        </is>
      </c>
      <c r="B422" t="inlineStr">
        <is>
          <t>Communauté de communes</t>
        </is>
      </c>
      <c r="C422" t="inlineStr">
        <is>
          <t>243700499</t>
        </is>
      </c>
      <c r="D422" t="inlineStr">
        <is>
          <t>37</t>
        </is>
      </c>
      <c r="E422" t="inlineStr">
        <is>
          <t>Indre-et-Loire</t>
        </is>
      </c>
      <c r="F422" t="inlineStr">
        <is>
          <t>Centre-Val de Loire</t>
        </is>
      </c>
      <c r="G422" s="3" t="n">
        <v>16011</v>
      </c>
      <c r="H422" t="n">
        <v>16</v>
      </c>
      <c r="I422" t="inlineStr">
        <is>
          <t>5 rue du Four-Brûlé</t>
        </is>
      </c>
      <c r="J422" t="inlineStr">
        <is>
          <t>37110</t>
        </is>
      </c>
      <c r="K422" t="inlineStr">
        <is>
          <t>Château-Renault</t>
        </is>
      </c>
      <c r="L422" t="inlineStr">
        <is>
          <t>02 47 29 57 40</t>
        </is>
      </c>
      <c r="M422" s="4" t="inlineStr">
        <is>
          <t>contact@cc-castelrenaudais.fr</t>
        </is>
      </c>
      <c r="N422" s="4" t="inlineStr">
        <is>
          <t>https://www.cc-castelrenaudais.fr/</t>
        </is>
      </c>
      <c r="O422" s="4" t="inlineStr">
        <is>
          <t>https://www.cc-castelrenaudais.fr/nous-contacter/</t>
        </is>
      </c>
      <c r="P422" s="4" t="inlineStr">
        <is>
          <t>https://lannuaire.service-public.gouv.fr/centre-val-de-loire/indre-et-loire/b581007e-68f1-4caa-b3da-40d112762f85</t>
        </is>
      </c>
      <c r="Q422" t="inlineStr">
        <is>
          <t>Annuaire Service-public.fr</t>
        </is>
      </c>
      <c r="R422" t="inlineStr"/>
      <c r="S422" t="inlineStr"/>
      <c r="T422" t="inlineStr"/>
    </row>
    <row r="423">
      <c r="A423" t="inlineStr">
        <is>
          <t>CC du Val d'Amboise</t>
        </is>
      </c>
      <c r="B423" t="inlineStr">
        <is>
          <t>Communauté de communes</t>
        </is>
      </c>
      <c r="C423" t="inlineStr">
        <is>
          <t>200043065</t>
        </is>
      </c>
      <c r="D423" t="inlineStr">
        <is>
          <t>37</t>
        </is>
      </c>
      <c r="E423" t="inlineStr">
        <is>
          <t>Indre-et-Loire</t>
        </is>
      </c>
      <c r="F423" t="inlineStr">
        <is>
          <t>Centre-Val de Loire</t>
        </is>
      </c>
      <c r="G423" s="3" t="n">
        <v>28569</v>
      </c>
      <c r="H423" t="n">
        <v>14</v>
      </c>
      <c r="I423" t="inlineStr">
        <is>
          <t>9 bis rue d'Amboise</t>
        </is>
      </c>
      <c r="J423" t="inlineStr">
        <is>
          <t>37530</t>
        </is>
      </c>
      <c r="K423" t="inlineStr">
        <is>
          <t>Nazelles-Négron</t>
        </is>
      </c>
      <c r="L423" t="inlineStr">
        <is>
          <t>02 47 23 47 44</t>
        </is>
      </c>
      <c r="M423" s="4" t="inlineStr">
        <is>
          <t>accueil@cc-valdamboise.fr</t>
        </is>
      </c>
      <c r="N423" s="4" t="inlineStr">
        <is>
          <t>http://www.cc-valdamboise.fr</t>
        </is>
      </c>
      <c r="O423" t="inlineStr"/>
      <c r="P423" s="4" t="inlineStr">
        <is>
          <t>https://lannuaire.service-public.gouv.fr/centre-val-de-loire/indre-et-loire/06eced13-422f-4cd5-b815-3565870eefec</t>
        </is>
      </c>
      <c r="Q423" t="inlineStr">
        <is>
          <t>Annuaire Service-public.fr</t>
        </is>
      </c>
      <c r="R423" t="inlineStr"/>
      <c r="S423" t="inlineStr"/>
      <c r="T423" t="inlineStr"/>
    </row>
    <row r="424">
      <c r="A424" t="inlineStr">
        <is>
          <t>CC Bièvre Isère</t>
        </is>
      </c>
      <c r="B424" t="inlineStr">
        <is>
          <t>Communauté de communes</t>
        </is>
      </c>
      <c r="C424" t="inlineStr">
        <is>
          <t>200059392</t>
        </is>
      </c>
      <c r="D424" t="inlineStr">
        <is>
          <t>38</t>
        </is>
      </c>
      <c r="E424" t="inlineStr">
        <is>
          <t>Isère</t>
        </is>
      </c>
      <c r="F424" t="inlineStr">
        <is>
          <t>Auvergne-Rhône-Alpes</t>
        </is>
      </c>
      <c r="G424" s="3" t="n">
        <v>56117</v>
      </c>
      <c r="H424" t="n">
        <v>50</v>
      </c>
      <c r="I424" t="inlineStr">
        <is>
          <t>1 avenue Roland-Garros, ZAC Grenoble-Air-Parc</t>
        </is>
      </c>
      <c r="J424" t="inlineStr">
        <is>
          <t>38590</t>
        </is>
      </c>
      <c r="K424" t="inlineStr">
        <is>
          <t>Saint-Étienne-de-Saint-Geoirs</t>
        </is>
      </c>
      <c r="L424" t="inlineStr">
        <is>
          <t>04 76 93 51 46</t>
        </is>
      </c>
      <c r="M424" s="4" t="inlineStr">
        <is>
          <t>contact@bievre-isere.com</t>
        </is>
      </c>
      <c r="N424" s="4" t="inlineStr">
        <is>
          <t>https://bievre-isere.com/</t>
        </is>
      </c>
      <c r="O424" s="4" t="inlineStr">
        <is>
          <t>https://bievre-isere.com/institution/organisation/adresse-et-coordonnees/</t>
        </is>
      </c>
      <c r="P424" s="4" t="inlineStr">
        <is>
          <t>https://lannuaire.service-public.gouv.fr/auvergne-rhone-alpes/isere/8d191f1a-6a6c-460a-9f7b-c25daa2bd115</t>
        </is>
      </c>
      <c r="Q424" t="inlineStr">
        <is>
          <t>Annuaire Service-public.fr</t>
        </is>
      </c>
      <c r="R424" t="inlineStr"/>
      <c r="S424" t="inlineStr"/>
      <c r="T424" t="inlineStr"/>
    </row>
    <row r="425">
      <c r="A425" t="inlineStr">
        <is>
          <t>CC Coeur de Chartreuse</t>
        </is>
      </c>
      <c r="B425" t="inlineStr">
        <is>
          <t>Communauté de communes</t>
        </is>
      </c>
      <c r="C425" t="inlineStr">
        <is>
          <t>200040111</t>
        </is>
      </c>
      <c r="D425" t="inlineStr">
        <is>
          <t>38, 73</t>
        </is>
      </c>
      <c r="E425" t="inlineStr">
        <is>
          <t>Isère, Savoie</t>
        </is>
      </c>
      <c r="F425" t="inlineStr">
        <is>
          <t>Auvergne-Rhône-Alpes</t>
        </is>
      </c>
      <c r="G425" s="3" t="n">
        <v>17165</v>
      </c>
      <c r="H425" t="n">
        <v>17</v>
      </c>
      <c r="I425" t="inlineStr">
        <is>
          <t>2 ZI Chartreuse-Guiers, Pôle tertiaire</t>
        </is>
      </c>
      <c r="J425" t="inlineStr">
        <is>
          <t>38380</t>
        </is>
      </c>
      <c r="K425" t="inlineStr">
        <is>
          <t>Entre-deux-Guiers</t>
        </is>
      </c>
      <c r="L425" t="inlineStr">
        <is>
          <t>04 76 66 81 74</t>
        </is>
      </c>
      <c r="M425" s="4" t="inlineStr">
        <is>
          <t>accueil@cc-coeurdechartreuse.fr</t>
        </is>
      </c>
      <c r="N425" s="4" t="inlineStr">
        <is>
          <t>https://coeurdechartreuse.fr/</t>
        </is>
      </c>
      <c r="O425" t="inlineStr"/>
      <c r="P425" s="4" t="inlineStr">
        <is>
          <t>https://lannuaire.service-public.gouv.fr/auvergne-rhone-alpes/isere/6306a198-e90d-49a5-8ee3-a174c4e9e216</t>
        </is>
      </c>
      <c r="Q425" t="inlineStr">
        <is>
          <t>Annuaire Service-public.fr</t>
        </is>
      </c>
      <c r="R425" t="inlineStr"/>
      <c r="S425" t="inlineStr"/>
      <c r="T425" t="inlineStr"/>
    </row>
    <row r="426">
      <c r="A426" t="inlineStr">
        <is>
          <t>CC Collines Isère Nord Communauté</t>
        </is>
      </c>
      <c r="B426" t="inlineStr">
        <is>
          <t>Communauté de communes</t>
        </is>
      </c>
      <c r="C426" t="inlineStr">
        <is>
          <t>243801255</t>
        </is>
      </c>
      <c r="D426" t="inlineStr">
        <is>
          <t>38</t>
        </is>
      </c>
      <c r="E426" t="inlineStr">
        <is>
          <t>Isère</t>
        </is>
      </c>
      <c r="F426" t="inlineStr">
        <is>
          <t>Auvergne-Rhône-Alpes</t>
        </is>
      </c>
      <c r="G426" s="3" t="n">
        <v>25455</v>
      </c>
      <c r="H426" t="n">
        <v>10</v>
      </c>
      <c r="I426" t="inlineStr">
        <is>
          <t>316 rue du Colombier</t>
        </is>
      </c>
      <c r="J426" t="inlineStr">
        <is>
          <t>38540</t>
        </is>
      </c>
      <c r="K426" t="inlineStr">
        <is>
          <t>Heyrieux</t>
        </is>
      </c>
      <c r="L426" t="inlineStr">
        <is>
          <t>04 72 48 19 89</t>
        </is>
      </c>
      <c r="M426" s="4" t="inlineStr">
        <is>
          <t>communaute@collines.org</t>
        </is>
      </c>
      <c r="N426" s="4" t="inlineStr">
        <is>
          <t>https://www.collines.org/</t>
        </is>
      </c>
      <c r="O426" t="inlineStr"/>
      <c r="P426" s="4" t="inlineStr">
        <is>
          <t>https://lannuaire.service-public.gouv.fr/auvergne-rhone-alpes/isere/9178dd69-1a83-4232-9400-d3fe812bea02</t>
        </is>
      </c>
      <c r="Q426" t="inlineStr">
        <is>
          <t>Annuaire Service-public.fr</t>
        </is>
      </c>
      <c r="R426" t="inlineStr"/>
      <c r="S426" t="inlineStr"/>
      <c r="T426" t="inlineStr"/>
    </row>
    <row r="427">
      <c r="A427" t="inlineStr">
        <is>
          <t>CC Entre Bièvre et Rhône</t>
        </is>
      </c>
      <c r="B427" t="inlineStr">
        <is>
          <t>Communauté de communes</t>
        </is>
      </c>
      <c r="C427" t="inlineStr">
        <is>
          <t>200085751</t>
        </is>
      </c>
      <c r="D427" t="inlineStr">
        <is>
          <t>38</t>
        </is>
      </c>
      <c r="E427" t="inlineStr">
        <is>
          <t>Isère</t>
        </is>
      </c>
      <c r="F427" t="inlineStr">
        <is>
          <t>Auvergne-Rhône-Alpes</t>
        </is>
      </c>
      <c r="G427" s="3" t="n">
        <v>69968</v>
      </c>
      <c r="H427" t="n">
        <v>37</v>
      </c>
      <c r="I427" t="inlineStr">
        <is>
          <t>Rue du 19-Mars-1962</t>
        </is>
      </c>
      <c r="J427" t="inlineStr">
        <is>
          <t>38550</t>
        </is>
      </c>
      <c r="K427" t="inlineStr">
        <is>
          <t>Saint-Maurice-l'Exil</t>
        </is>
      </c>
      <c r="L427" t="inlineStr">
        <is>
          <t>04 74 29 31 00</t>
        </is>
      </c>
      <c r="M427" s="4" t="inlineStr">
        <is>
          <t>accueil@entre-bievreetrhone.fr</t>
        </is>
      </c>
      <c r="N427" s="4" t="inlineStr">
        <is>
          <t>https://www.entre-bievreetrhone.fr/</t>
        </is>
      </c>
      <c r="O427" s="4" t="inlineStr">
        <is>
          <t>https://www.entre-bievreetrhone.fr/contact</t>
        </is>
      </c>
      <c r="P427" s="4" t="inlineStr">
        <is>
          <t>https://lannuaire.service-public.gouv.fr/auvergne-rhone-alpes/isere/7d889506-69c8-4a9e-b8d8-1fab21b8fa01</t>
        </is>
      </c>
      <c r="Q427" t="inlineStr">
        <is>
          <t>Annuaire Service-public.fr</t>
        </is>
      </c>
      <c r="R427" t="inlineStr"/>
      <c r="S427" t="inlineStr"/>
      <c r="T427" t="inlineStr"/>
    </row>
    <row r="428">
      <c r="A428" t="inlineStr">
        <is>
          <t>CC Le Grésivaudan</t>
        </is>
      </c>
      <c r="B428" t="inlineStr">
        <is>
          <t>Communauté de communes</t>
        </is>
      </c>
      <c r="C428" t="inlineStr">
        <is>
          <t>200018166</t>
        </is>
      </c>
      <c r="D428" t="inlineStr">
        <is>
          <t>38</t>
        </is>
      </c>
      <c r="E428" t="inlineStr">
        <is>
          <t>Isère</t>
        </is>
      </c>
      <c r="F428" t="inlineStr">
        <is>
          <t>Auvergne-Rhône-Alpes</t>
        </is>
      </c>
      <c r="G428" s="3" t="n">
        <v>103196</v>
      </c>
      <c r="H428" t="n">
        <v>43</v>
      </c>
      <c r="I428" t="inlineStr">
        <is>
          <t>390 rue Henri-Fabre</t>
        </is>
      </c>
      <c r="J428" t="inlineStr">
        <is>
          <t>38920</t>
        </is>
      </c>
      <c r="K428" t="inlineStr">
        <is>
          <t>Crolles</t>
        </is>
      </c>
      <c r="L428" t="inlineStr">
        <is>
          <t>04 76 08 04 57</t>
        </is>
      </c>
      <c r="M428" s="4" t="inlineStr">
        <is>
          <t>accueil@le-gresivaudan.fr</t>
        </is>
      </c>
      <c r="N428" s="4" t="inlineStr">
        <is>
          <t>https://www.le-gresivaudan.fr/</t>
        </is>
      </c>
      <c r="O428" s="4" t="inlineStr">
        <is>
          <t>https://www.le-gresivaudan.fr/151-contact.htm</t>
        </is>
      </c>
      <c r="P428" s="4" t="inlineStr">
        <is>
          <t>https://lannuaire.service-public.gouv.fr/auvergne-rhone-alpes/isere/dbe09bdc-9ee1-49f6-a1d8-33e05b917ea7</t>
        </is>
      </c>
      <c r="Q428" t="inlineStr">
        <is>
          <t>Annuaire Service-public.fr</t>
        </is>
      </c>
      <c r="R428" t="inlineStr"/>
      <c r="S428" t="inlineStr"/>
      <c r="T428" t="inlineStr"/>
    </row>
    <row r="429">
      <c r="A429" t="inlineStr">
        <is>
          <t>CC Les Balcons du Dauphiné</t>
        </is>
      </c>
      <c r="B429" t="inlineStr">
        <is>
          <t>Communauté de communes</t>
        </is>
      </c>
      <c r="C429" t="inlineStr">
        <is>
          <t>200068542</t>
        </is>
      </c>
      <c r="D429" t="inlineStr">
        <is>
          <t>38</t>
        </is>
      </c>
      <c r="E429" t="inlineStr">
        <is>
          <t>Isère</t>
        </is>
      </c>
      <c r="F429" t="inlineStr">
        <is>
          <t>Auvergne-Rhône-Alpes</t>
        </is>
      </c>
      <c r="G429" s="3" t="n">
        <v>78705</v>
      </c>
      <c r="H429" t="n">
        <v>47</v>
      </c>
      <c r="I429" t="inlineStr">
        <is>
          <t>100 allée des Charmilles</t>
        </is>
      </c>
      <c r="J429" t="inlineStr">
        <is>
          <t>38510</t>
        </is>
      </c>
      <c r="K429" t="inlineStr">
        <is>
          <t>Arandon-Passins</t>
        </is>
      </c>
      <c r="L429" t="inlineStr">
        <is>
          <t>04 74 80 23 30</t>
        </is>
      </c>
      <c r="M429" s="4" t="inlineStr">
        <is>
          <t>contact@balconsdudauphine.fr</t>
        </is>
      </c>
      <c r="N429" s="4" t="inlineStr">
        <is>
          <t>https://www.balconsdudauphine.fr/</t>
        </is>
      </c>
      <c r="O429" t="inlineStr"/>
      <c r="P429" s="4" t="inlineStr">
        <is>
          <t>https://lannuaire.service-public.gouv.fr/auvergne-rhone-alpes/isere/6903bf3e-ad98-4448-a430-26ed6ee33f84</t>
        </is>
      </c>
      <c r="Q429" t="inlineStr">
        <is>
          <t>Annuaire Service-public.fr</t>
        </is>
      </c>
      <c r="R429" t="inlineStr"/>
      <c r="S429" t="inlineStr"/>
      <c r="T429" t="inlineStr"/>
    </row>
    <row r="430">
      <c r="A430" t="inlineStr">
        <is>
          <t>CC Les Vals du Dauphiné</t>
        </is>
      </c>
      <c r="B430" t="inlineStr">
        <is>
          <t>Communauté de communes</t>
        </is>
      </c>
      <c r="C430" t="inlineStr">
        <is>
          <t>200068567</t>
        </is>
      </c>
      <c r="D430" t="inlineStr">
        <is>
          <t>38</t>
        </is>
      </c>
      <c r="E430" t="inlineStr">
        <is>
          <t>Isère</t>
        </is>
      </c>
      <c r="F430" t="inlineStr">
        <is>
          <t>Auvergne-Rhône-Alpes</t>
        </is>
      </c>
      <c r="G430" s="3" t="n">
        <v>64457</v>
      </c>
      <c r="H430" t="n">
        <v>36</v>
      </c>
      <c r="I430" t="inlineStr">
        <is>
          <t>22 rue de l'Hôtel-de-Ville</t>
        </is>
      </c>
      <c r="J430" t="inlineStr">
        <is>
          <t>38110</t>
        </is>
      </c>
      <c r="K430" t="inlineStr">
        <is>
          <t>La Tour-du-Pin</t>
        </is>
      </c>
      <c r="L430" t="inlineStr">
        <is>
          <t>04 74 97 05 79</t>
        </is>
      </c>
      <c r="M430" s="4" t="inlineStr">
        <is>
          <t>contact@valsdudauphine.fr</t>
        </is>
      </c>
      <c r="N430" s="4" t="inlineStr">
        <is>
          <t>https://www.valsdudauphine.fr/</t>
        </is>
      </c>
      <c r="O430" s="4" t="inlineStr">
        <is>
          <t>https://www.valsdudauphine.fr/pratique/contactez-nous/vous-etes-un-particulier/</t>
        </is>
      </c>
      <c r="P430" s="4" t="inlineStr">
        <is>
          <t>https://lannuaire.service-public.gouv.fr/auvergne-rhone-alpes/isere/32d6414c-1667-41c7-882f-4ab257679a58</t>
        </is>
      </c>
      <c r="Q430" t="inlineStr">
        <is>
          <t>Annuaire Service-public.fr</t>
        </is>
      </c>
      <c r="R430" t="inlineStr"/>
      <c r="S430" t="inlineStr"/>
      <c r="T430" t="inlineStr"/>
    </row>
    <row r="431">
      <c r="A431" t="inlineStr">
        <is>
          <t>CC Lyon-Saint-Exupéry en Dauphiné</t>
        </is>
      </c>
      <c r="B431" t="inlineStr">
        <is>
          <t>Communauté de communes</t>
        </is>
      </c>
      <c r="C431" t="inlineStr">
        <is>
          <t>243800935</t>
        </is>
      </c>
      <c r="D431" t="inlineStr">
        <is>
          <t>38</t>
        </is>
      </c>
      <c r="E431" t="inlineStr">
        <is>
          <t>Isère</t>
        </is>
      </c>
      <c r="F431" t="inlineStr">
        <is>
          <t>Auvergne-Rhône-Alpes</t>
        </is>
      </c>
      <c r="G431" s="3" t="n">
        <v>29944</v>
      </c>
      <c r="H431" t="n">
        <v>6</v>
      </c>
      <c r="I431" t="inlineStr">
        <is>
          <t>4 avenue Alexandre-Grammont</t>
        </is>
      </c>
      <c r="J431" t="inlineStr">
        <is>
          <t>38230</t>
        </is>
      </c>
      <c r="K431" t="inlineStr">
        <is>
          <t>Charvieu-Chavagneux</t>
        </is>
      </c>
      <c r="L431" t="inlineStr">
        <is>
          <t>04 72 46 19 80</t>
        </is>
      </c>
      <c r="M431" s="4" t="inlineStr">
        <is>
          <t>accueil@lysed.fr</t>
        </is>
      </c>
      <c r="N431" s="4" t="inlineStr">
        <is>
          <t>https://www.lysed.fr/</t>
        </is>
      </c>
      <c r="O431" s="4" t="inlineStr">
        <is>
          <t>https://www.lysed.fr/contact/</t>
        </is>
      </c>
      <c r="P431" s="4" t="inlineStr">
        <is>
          <t>https://lannuaire.service-public.gouv.fr/auvergne-rhone-alpes/isere/8fc2a400-0e3c-447b-bb33-02a7ab4b15b2</t>
        </is>
      </c>
      <c r="Q431" t="inlineStr">
        <is>
          <t>Annuaire Service-public.fr</t>
        </is>
      </c>
      <c r="R431" t="inlineStr"/>
      <c r="S431" t="inlineStr"/>
      <c r="T431" t="inlineStr"/>
    </row>
    <row r="432">
      <c r="A432" t="inlineStr">
        <is>
          <t>CC Saint-Marcellin Vercors Isère Communauté</t>
        </is>
      </c>
      <c r="B432" t="inlineStr">
        <is>
          <t>Communauté de communes</t>
        </is>
      </c>
      <c r="C432" t="inlineStr">
        <is>
          <t>200070431</t>
        </is>
      </c>
      <c r="D432" t="inlineStr">
        <is>
          <t>38</t>
        </is>
      </c>
      <c r="E432" t="inlineStr">
        <is>
          <t>Isère</t>
        </is>
      </c>
      <c r="F432" t="inlineStr">
        <is>
          <t>Auvergne-Rhône-Alpes</t>
        </is>
      </c>
      <c r="G432" s="3" t="n">
        <v>45048</v>
      </c>
      <c r="H432" t="n">
        <v>47</v>
      </c>
      <c r="I432" t="inlineStr">
        <is>
          <t>7 rue du Colombier, Maison de l'intercommunalité</t>
        </is>
      </c>
      <c r="J432" t="inlineStr">
        <is>
          <t>38160</t>
        </is>
      </c>
      <c r="K432" t="inlineStr">
        <is>
          <t>Saint-Marcellin</t>
        </is>
      </c>
      <c r="L432" t="inlineStr">
        <is>
          <t>04 76 38 45 48</t>
        </is>
      </c>
      <c r="M432" s="4" t="inlineStr">
        <is>
          <t>secretariat@smvic.fr</t>
        </is>
      </c>
      <c r="N432" s="4" t="inlineStr">
        <is>
          <t>http://www.saintmarcellin-vercors-isere.fr/</t>
        </is>
      </c>
      <c r="O432" s="4" t="inlineStr">
        <is>
          <t>https://saintmarcellin-vercors-isere.fr/index.php?alias=contact</t>
        </is>
      </c>
      <c r="P432" s="4" t="inlineStr">
        <is>
          <t>https://lannuaire.service-public.gouv.fr/auvergne-rhone-alpes/isere/0fd7da40-9088-4adc-9c51-1b1b53519f5e</t>
        </is>
      </c>
      <c r="Q432" t="inlineStr">
        <is>
          <t>Annuaire Service-public.fr</t>
        </is>
      </c>
      <c r="R432" t="inlineStr"/>
      <c r="S432" t="inlineStr"/>
      <c r="T432" t="inlineStr"/>
    </row>
    <row r="433">
      <c r="A433" t="inlineStr">
        <is>
          <t>CC de Bièvre Est</t>
        </is>
      </c>
      <c r="B433" t="inlineStr">
        <is>
          <t>Communauté de communes</t>
        </is>
      </c>
      <c r="C433" t="inlineStr">
        <is>
          <t>243801073</t>
        </is>
      </c>
      <c r="D433" t="inlineStr">
        <is>
          <t>38</t>
        </is>
      </c>
      <c r="E433" t="inlineStr">
        <is>
          <t>Isère</t>
        </is>
      </c>
      <c r="F433" t="inlineStr">
        <is>
          <t>Auvergne-Rhône-Alpes</t>
        </is>
      </c>
      <c r="G433" s="3" t="n">
        <v>23032</v>
      </c>
      <c r="H433" t="n">
        <v>14</v>
      </c>
      <c r="I433" t="inlineStr">
        <is>
          <t>Parc d'activité Bièvre-Dauphine, 1352 rue Augustin-Blanchet</t>
        </is>
      </c>
      <c r="J433" t="inlineStr">
        <is>
          <t>38690</t>
        </is>
      </c>
      <c r="K433" t="inlineStr">
        <is>
          <t>Colombe</t>
        </is>
      </c>
      <c r="L433" t="inlineStr">
        <is>
          <t>04 76 06 10 94</t>
        </is>
      </c>
      <c r="M433" s="4" t="inlineStr">
        <is>
          <t>correspondances@cc-bievre-est.fr</t>
        </is>
      </c>
      <c r="N433" s="4" t="inlineStr">
        <is>
          <t>https://www.bievre-est.fr/</t>
        </is>
      </c>
      <c r="O433" t="inlineStr"/>
      <c r="P433" s="4" t="inlineStr">
        <is>
          <t>https://lannuaire.service-public.gouv.fr/auvergne-rhone-alpes/isere/63efa973-7536-4599-92c2-dcc59341f98c</t>
        </is>
      </c>
      <c r="Q433" t="inlineStr">
        <is>
          <t>Annuaire Service-public.fr</t>
        </is>
      </c>
      <c r="R433" t="inlineStr"/>
      <c r="S433" t="inlineStr"/>
      <c r="T433" t="inlineStr"/>
    </row>
    <row r="434">
      <c r="A434" t="inlineStr">
        <is>
          <t>CC de l'Oisans</t>
        </is>
      </c>
      <c r="B434" t="inlineStr">
        <is>
          <t>Communauté de communes</t>
        </is>
      </c>
      <c r="C434" t="inlineStr">
        <is>
          <t>243800745</t>
        </is>
      </c>
      <c r="D434" t="inlineStr">
        <is>
          <t>38</t>
        </is>
      </c>
      <c r="E434" t="inlineStr">
        <is>
          <t>Isère</t>
        </is>
      </c>
      <c r="F434" t="inlineStr">
        <is>
          <t>Auvergne-Rhône-Alpes</t>
        </is>
      </c>
      <c r="G434" s="3" t="n">
        <v>10172</v>
      </c>
      <c r="H434" t="n">
        <v>19</v>
      </c>
      <c r="I434" t="inlineStr">
        <is>
          <t>1 bis rue Hunbert</t>
        </is>
      </c>
      <c r="J434" t="inlineStr">
        <is>
          <t>38520</t>
        </is>
      </c>
      <c r="K434" t="inlineStr">
        <is>
          <t>Le Bourg d'Oisans</t>
        </is>
      </c>
      <c r="L434" t="inlineStr">
        <is>
          <t>04 76 11 01 09</t>
        </is>
      </c>
      <c r="M434" s="4" t="inlineStr">
        <is>
          <t>accueil@ccoisans.fr</t>
        </is>
      </c>
      <c r="N434" s="4" t="inlineStr">
        <is>
          <t>https://www.ccoisans.fr/</t>
        </is>
      </c>
      <c r="O434" s="4" t="inlineStr">
        <is>
          <t>https://www.ccoisans.fr/contactez-nous/</t>
        </is>
      </c>
      <c r="P434" s="4" t="inlineStr">
        <is>
          <t>https://lannuaire.service-public.gouv.fr/auvergne-rhone-alpes/isere/5a41dab3-1ffe-479b-94a7-17e5b0747d13</t>
        </is>
      </c>
      <c r="Q434" t="inlineStr">
        <is>
          <t>Annuaire Service-public.fr</t>
        </is>
      </c>
      <c r="R434" t="inlineStr"/>
      <c r="S434" t="inlineStr"/>
      <c r="T434" t="inlineStr"/>
    </row>
    <row r="435">
      <c r="A435" t="inlineStr">
        <is>
          <t>CC de la Matheysine</t>
        </is>
      </c>
      <c r="B435" t="inlineStr">
        <is>
          <t>Communauté de communes</t>
        </is>
      </c>
      <c r="C435" t="inlineStr">
        <is>
          <t>200040657</t>
        </is>
      </c>
      <c r="D435" t="inlineStr">
        <is>
          <t>38</t>
        </is>
      </c>
      <c r="E435" t="inlineStr">
        <is>
          <t>Isère</t>
        </is>
      </c>
      <c r="F435" t="inlineStr">
        <is>
          <t>Auvergne-Rhône-Alpes</t>
        </is>
      </c>
      <c r="G435" s="3" t="n">
        <v>19010</v>
      </c>
      <c r="H435" t="n">
        <v>43</v>
      </c>
      <c r="I435" t="inlineStr">
        <is>
          <t>13 route du Terril</t>
        </is>
      </c>
      <c r="J435" t="inlineStr">
        <is>
          <t>38350</t>
        </is>
      </c>
      <c r="K435" t="inlineStr">
        <is>
          <t>Susville</t>
        </is>
      </c>
      <c r="L435" t="inlineStr">
        <is>
          <t>04 76 81 18 24</t>
        </is>
      </c>
      <c r="M435" s="4" t="inlineStr">
        <is>
          <t>contact@ccmatheysine.fr</t>
        </is>
      </c>
      <c r="N435" s="4" t="inlineStr">
        <is>
          <t>https://www.ccmatheysine.fr/web/</t>
        </is>
      </c>
      <c r="O435" s="4" t="inlineStr">
        <is>
          <t>https://www.ccmatheysine.fr/web/acces-rapides/contact/</t>
        </is>
      </c>
      <c r="P435" s="4" t="inlineStr">
        <is>
          <t>https://lannuaire.service-public.gouv.fr/auvergne-rhone-alpes/isere/7c3c3cbb-1640-45bf-8a34-837554a851ec</t>
        </is>
      </c>
      <c r="Q435" t="inlineStr">
        <is>
          <t>Annuaire Service-public.fr</t>
        </is>
      </c>
      <c r="R435" t="inlineStr"/>
      <c r="S435" t="inlineStr"/>
      <c r="T435" t="inlineStr"/>
    </row>
    <row r="436">
      <c r="A436" t="inlineStr">
        <is>
          <t>CC du Massif du Vercors</t>
        </is>
      </c>
      <c r="B436" t="inlineStr">
        <is>
          <t>Communauté de communes</t>
        </is>
      </c>
      <c r="C436" t="inlineStr">
        <is>
          <t>243801024</t>
        </is>
      </c>
      <c r="D436" t="inlineStr">
        <is>
          <t>38</t>
        </is>
      </c>
      <c r="E436" t="inlineStr">
        <is>
          <t>Isère</t>
        </is>
      </c>
      <c r="F436" t="inlineStr">
        <is>
          <t>Auvergne-Rhône-Alpes</t>
        </is>
      </c>
      <c r="G436" s="3" t="n">
        <v>11997</v>
      </c>
      <c r="H436" t="n">
        <v>6</v>
      </c>
      <c r="I436" t="inlineStr">
        <is>
          <t>19 chemin de la Croix-Margo, Maison de l'intercommunalité</t>
        </is>
      </c>
      <c r="J436" t="inlineStr">
        <is>
          <t>38250</t>
        </is>
      </c>
      <c r="K436" t="inlineStr">
        <is>
          <t>Villard-de-Lans</t>
        </is>
      </c>
      <c r="L436" t="inlineStr">
        <is>
          <t>04 76 95 08 96</t>
        </is>
      </c>
      <c r="M436" s="4" t="inlineStr">
        <is>
          <t>cc-massifduvercors@vercors.org</t>
        </is>
      </c>
      <c r="N436" s="4" t="inlineStr">
        <is>
          <t>https://www.vercors.org/fr/</t>
        </is>
      </c>
      <c r="O436" s="4" t="inlineStr">
        <is>
          <t>https://www.vercors.org/fr/contact/</t>
        </is>
      </c>
      <c r="P436" s="4" t="inlineStr">
        <is>
          <t>https://lannuaire.service-public.gouv.fr/auvergne-rhone-alpes/isere/a7e9fd0e-c66a-4a43-b16b-d28d4bc311eb</t>
        </is>
      </c>
      <c r="Q436" t="inlineStr">
        <is>
          <t>Annuaire Service-public.fr</t>
        </is>
      </c>
      <c r="R436" t="inlineStr"/>
      <c r="S436" t="inlineStr"/>
      <c r="T436" t="inlineStr"/>
    </row>
    <row r="437">
      <c r="A437" t="inlineStr">
        <is>
          <t>CC du Trièves</t>
        </is>
      </c>
      <c r="B437" t="inlineStr">
        <is>
          <t>Communauté de communes</t>
        </is>
      </c>
      <c r="C437" t="inlineStr">
        <is>
          <t>200030658</t>
        </is>
      </c>
      <c r="D437" t="inlineStr">
        <is>
          <t>38</t>
        </is>
      </c>
      <c r="E437" t="inlineStr">
        <is>
          <t>Isère</t>
        </is>
      </c>
      <c r="F437" t="inlineStr">
        <is>
          <t>Auvergne-Rhône-Alpes</t>
        </is>
      </c>
      <c r="G437" s="3" t="n">
        <v>10338</v>
      </c>
      <c r="H437" t="n">
        <v>27</v>
      </c>
      <c r="I437" t="inlineStr">
        <is>
          <t>300 chemin de Ferrier</t>
        </is>
      </c>
      <c r="J437" t="inlineStr">
        <is>
          <t>38650</t>
        </is>
      </c>
      <c r="K437" t="inlineStr">
        <is>
          <t>Monestier-de-Clermont</t>
        </is>
      </c>
      <c r="L437" t="inlineStr">
        <is>
          <t>04 76 34 11 22</t>
        </is>
      </c>
      <c r="M437" s="4" t="inlineStr">
        <is>
          <t>accueil@cdctrieves.fr</t>
        </is>
      </c>
      <c r="N437" s="4" t="inlineStr">
        <is>
          <t>https://www.cdctrieves.fr/</t>
        </is>
      </c>
      <c r="O437" t="inlineStr"/>
      <c r="P437" s="4" t="inlineStr">
        <is>
          <t>https://lannuaire.service-public.gouv.fr/auvergne-rhone-alpes/isere/68fdef02-b5c4-471a-802e-1c3fe5e89509</t>
        </is>
      </c>
      <c r="Q437" t="inlineStr">
        <is>
          <t>Annuaire Service-public.fr</t>
        </is>
      </c>
      <c r="R437" t="inlineStr"/>
      <c r="S437" t="inlineStr"/>
      <c r="T437" t="inlineStr"/>
    </row>
    <row r="438">
      <c r="A438" t="inlineStr">
        <is>
          <t>CC Arbois, Poligny, Salins, Coeur du Jura</t>
        </is>
      </c>
      <c r="B438" t="inlineStr">
        <is>
          <t>Communauté de communes</t>
        </is>
      </c>
      <c r="C438" t="inlineStr">
        <is>
          <t>200071595</t>
        </is>
      </c>
      <c r="D438" t="inlineStr">
        <is>
          <t>39</t>
        </is>
      </c>
      <c r="E438" t="inlineStr">
        <is>
          <t>Jura</t>
        </is>
      </c>
      <c r="F438" t="inlineStr">
        <is>
          <t>Bourgogne-Franche-Comté</t>
        </is>
      </c>
      <c r="G438" s="3" t="n">
        <v>21429</v>
      </c>
      <c r="H438" t="n">
        <v>65</v>
      </c>
      <c r="I438" t="inlineStr">
        <is>
          <t>4 rue du Champ-de-foire, Pôle administratif Coeur du Jura</t>
        </is>
      </c>
      <c r="J438" t="inlineStr">
        <is>
          <t>39800</t>
        </is>
      </c>
      <c r="K438" t="inlineStr">
        <is>
          <t>Poligny</t>
        </is>
      </c>
      <c r="L438" t="inlineStr">
        <is>
          <t>03 84 73 71 71</t>
        </is>
      </c>
      <c r="M438" s="4" t="inlineStr">
        <is>
          <t>contact@ville-poligny.fr</t>
        </is>
      </c>
      <c r="N438" s="4" t="inlineStr">
        <is>
          <t>https://www.cc-coeurdujura.fr/</t>
        </is>
      </c>
      <c r="O438" s="4" t="inlineStr">
        <is>
          <t>https://www.cc-coeurdujura.fr/contact</t>
        </is>
      </c>
      <c r="P438" s="4" t="inlineStr">
        <is>
          <t>https://lannuaire.service-public.gouv.fr/bourgogne-franche-comte/jura/39350034-45aa-4227-8bf6-28b2a481fba8</t>
        </is>
      </c>
      <c r="Q438" t="inlineStr">
        <is>
          <t>Annuaire Service-public.fr</t>
        </is>
      </c>
      <c r="R438" t="inlineStr"/>
      <c r="S438" t="inlineStr"/>
      <c r="T438" t="inlineStr"/>
    </row>
    <row r="439">
      <c r="A439" t="inlineStr">
        <is>
          <t>CC Bresse Haute Seille</t>
        </is>
      </c>
      <c r="B439" t="inlineStr">
        <is>
          <t>Communauté de communes</t>
        </is>
      </c>
      <c r="C439" t="inlineStr">
        <is>
          <t>200069615</t>
        </is>
      </c>
      <c r="D439" t="inlineStr">
        <is>
          <t>39</t>
        </is>
      </c>
      <c r="E439" t="inlineStr">
        <is>
          <t>Jura</t>
        </is>
      </c>
      <c r="F439" t="inlineStr">
        <is>
          <t>Bourgogne-Franche-Comté</t>
        </is>
      </c>
      <c r="G439" s="3" t="n">
        <v>19149</v>
      </c>
      <c r="H439" t="n">
        <v>54</v>
      </c>
      <c r="I439" t="inlineStr">
        <is>
          <t>1 place de la Mairie</t>
        </is>
      </c>
      <c r="J439" t="inlineStr">
        <is>
          <t>39140</t>
        </is>
      </c>
      <c r="K439" t="inlineStr">
        <is>
          <t>Bletterans</t>
        </is>
      </c>
      <c r="L439" t="inlineStr">
        <is>
          <t>03 84 44 46 80</t>
        </is>
      </c>
      <c r="M439" s="4" t="inlineStr">
        <is>
          <t>accueil@bressehauteseille.fr</t>
        </is>
      </c>
      <c r="N439" s="4" t="inlineStr">
        <is>
          <t>https://www.bressehauteseille.fr/</t>
        </is>
      </c>
      <c r="O439" t="inlineStr"/>
      <c r="P439" s="4" t="inlineStr">
        <is>
          <t>https://lannuaire.service-public.gouv.fr/bourgogne-franche-comte/jura/2009d45f-40ad-42ce-a70e-f62aeb66d950</t>
        </is>
      </c>
      <c r="Q439" t="inlineStr">
        <is>
          <t>Annuaire Service-public.fr</t>
        </is>
      </c>
      <c r="R439" t="inlineStr"/>
      <c r="S439" t="inlineStr"/>
      <c r="T439" t="inlineStr"/>
    </row>
    <row r="440">
      <c r="A440" t="inlineStr">
        <is>
          <t>CC Champagnole Nozeroy Jura</t>
        </is>
      </c>
      <c r="B440" t="inlineStr">
        <is>
          <t>Communauté de communes</t>
        </is>
      </c>
      <c r="C440" t="inlineStr">
        <is>
          <t>200069623</t>
        </is>
      </c>
      <c r="D440" t="inlineStr">
        <is>
          <t>39</t>
        </is>
      </c>
      <c r="E440" t="inlineStr">
        <is>
          <t>Jura</t>
        </is>
      </c>
      <c r="F440" t="inlineStr">
        <is>
          <t>Bourgogne-Franche-Comté</t>
        </is>
      </c>
      <c r="G440" s="3" t="n">
        <v>22936</v>
      </c>
      <c r="H440" t="n">
        <v>66</v>
      </c>
      <c r="I440" t="inlineStr">
        <is>
          <t>3 rue Victor-Bérard</t>
        </is>
      </c>
      <c r="J440" t="inlineStr">
        <is>
          <t>39300</t>
        </is>
      </c>
      <c r="K440" t="inlineStr">
        <is>
          <t>Champagnole</t>
        </is>
      </c>
      <c r="L440" t="inlineStr">
        <is>
          <t>03 84 52 06 20</t>
        </is>
      </c>
      <c r="M440" s="4" t="inlineStr">
        <is>
          <t>contact@champagnolenozeroyjura.fr</t>
        </is>
      </c>
      <c r="N440" s="4" t="inlineStr">
        <is>
          <t>https://www.champagnolenozeroyjura.fr/</t>
        </is>
      </c>
      <c r="O440" s="4" t="inlineStr">
        <is>
          <t>https://www.champagnolenozeroyjura.fr/contact/</t>
        </is>
      </c>
      <c r="P440" s="4" t="inlineStr">
        <is>
          <t>https://lannuaire.service-public.gouv.fr/bourgogne-franche-comte/jura/df7f979f-d349-4ca6-b54a-98a5dcac9a7e</t>
        </is>
      </c>
      <c r="Q440" t="inlineStr">
        <is>
          <t>Annuaire Service-public.fr</t>
        </is>
      </c>
      <c r="R440" t="inlineStr"/>
      <c r="S440" t="inlineStr"/>
      <c r="T440" t="inlineStr"/>
    </row>
    <row r="441">
      <c r="A441" t="inlineStr">
        <is>
          <t>CC Haut-Jura Arcade Communauté</t>
        </is>
      </c>
      <c r="B441" t="inlineStr">
        <is>
          <t>Communauté de communes</t>
        </is>
      </c>
      <c r="C441" t="inlineStr">
        <is>
          <t>243900479</t>
        </is>
      </c>
      <c r="D441" t="inlineStr">
        <is>
          <t>39</t>
        </is>
      </c>
      <c r="E441" t="inlineStr">
        <is>
          <t>Jura</t>
        </is>
      </c>
      <c r="F441" t="inlineStr">
        <is>
          <t>Bourgogne-Franche-Comté</t>
        </is>
      </c>
      <c r="G441" s="3" t="n">
        <v>9097</v>
      </c>
      <c r="H441" t="n">
        <v>4</v>
      </c>
      <c r="I441" t="inlineStr">
        <is>
          <t>112 rue de la République</t>
        </is>
      </c>
      <c r="J441" t="inlineStr">
        <is>
          <t>39400</t>
        </is>
      </c>
      <c r="K441" t="inlineStr">
        <is>
          <t>Hauts-de-Bienne</t>
        </is>
      </c>
      <c r="L441" t="inlineStr">
        <is>
          <t>03 84 34 11 30</t>
        </is>
      </c>
      <c r="M441" s="4" t="inlineStr">
        <is>
          <t>secretariat@arcade-cchj.fr</t>
        </is>
      </c>
      <c r="N441" s="4" t="inlineStr">
        <is>
          <t>https://www.hautjura-arcade.com/</t>
        </is>
      </c>
      <c r="O441" s="4" t="inlineStr">
        <is>
          <t>https://www.hautjura-arcade.com/contact</t>
        </is>
      </c>
      <c r="P441" s="4" t="inlineStr">
        <is>
          <t>https://lannuaire.service-public.gouv.fr/bourgogne-franche-comte/jura/dc6c092d-05eb-437a-b078-e7e48874b523</t>
        </is>
      </c>
      <c r="Q441" t="inlineStr">
        <is>
          <t>Annuaire Service-public.fr</t>
        </is>
      </c>
      <c r="R441" t="inlineStr"/>
      <c r="S441" t="inlineStr"/>
      <c r="T441" t="inlineStr"/>
    </row>
    <row r="442">
      <c r="A442" t="inlineStr">
        <is>
          <t>CC Haut-Jura Saint-Claude</t>
        </is>
      </c>
      <c r="B442" t="inlineStr">
        <is>
          <t>Communauté de communes</t>
        </is>
      </c>
      <c r="C442" t="inlineStr">
        <is>
          <t>200026573</t>
        </is>
      </c>
      <c r="D442" t="inlineStr">
        <is>
          <t>39</t>
        </is>
      </c>
      <c r="E442" t="inlineStr">
        <is>
          <t>Jura</t>
        </is>
      </c>
      <c r="F442" t="inlineStr">
        <is>
          <t>Bourgogne-Franche-Comté</t>
        </is>
      </c>
      <c r="G442" s="3" t="n">
        <v>19431</v>
      </c>
      <c r="H442" t="n">
        <v>22</v>
      </c>
      <c r="I442" t="inlineStr">
        <is>
          <t>13 bis boulevard de la République</t>
        </is>
      </c>
      <c r="J442" t="inlineStr">
        <is>
          <t>39200</t>
        </is>
      </c>
      <c r="K442" t="inlineStr">
        <is>
          <t>Saint-Claude</t>
        </is>
      </c>
      <c r="L442" t="inlineStr">
        <is>
          <t>03 84 45 89 00</t>
        </is>
      </c>
      <c r="M442" s="4" t="inlineStr">
        <is>
          <t>contact@hautjurasaintclaude.fr</t>
        </is>
      </c>
      <c r="N442" s="4" t="inlineStr">
        <is>
          <t>https://www.hautjurasaintclaude.fr/</t>
        </is>
      </c>
      <c r="O442" t="inlineStr"/>
      <c r="P442" s="4" t="inlineStr">
        <is>
          <t>https://lannuaire.service-public.gouv.fr/bourgogne-franche-comte/jura/e8c0a63e-106b-4f39-8d82-213179176b6f</t>
        </is>
      </c>
      <c r="Q442" t="inlineStr">
        <is>
          <t>Annuaire Service-public.fr</t>
        </is>
      </c>
      <c r="R442" t="inlineStr"/>
      <c r="S442" t="inlineStr"/>
      <c r="T442" t="inlineStr"/>
    </row>
    <row r="443">
      <c r="A443" t="inlineStr">
        <is>
          <t>CC Jura Nord</t>
        </is>
      </c>
      <c r="B443" t="inlineStr">
        <is>
          <t>Communauté de communes</t>
        </is>
      </c>
      <c r="C443" t="inlineStr">
        <is>
          <t>243900560</t>
        </is>
      </c>
      <c r="D443" t="inlineStr">
        <is>
          <t>39</t>
        </is>
      </c>
      <c r="E443" t="inlineStr">
        <is>
          <t>Jura</t>
        </is>
      </c>
      <c r="F443" t="inlineStr">
        <is>
          <t>Bourgogne-Franche-Comté</t>
        </is>
      </c>
      <c r="G443" s="3" t="n">
        <v>11804</v>
      </c>
      <c r="H443" t="n">
        <v>32</v>
      </c>
      <c r="I443" t="inlineStr">
        <is>
          <t>1 rue du Tissage</t>
        </is>
      </c>
      <c r="J443" t="inlineStr">
        <is>
          <t>39700</t>
        </is>
      </c>
      <c r="K443" t="inlineStr">
        <is>
          <t>Dampierre</t>
        </is>
      </c>
      <c r="L443" t="inlineStr">
        <is>
          <t>03 84 71 12 17</t>
        </is>
      </c>
      <c r="M443" s="4" t="inlineStr">
        <is>
          <t>contact@jura-nord.com</t>
        </is>
      </c>
      <c r="N443" s="4" t="inlineStr">
        <is>
          <t>https://www.jura-nord.com/</t>
        </is>
      </c>
      <c r="O443" t="inlineStr"/>
      <c r="P443" s="4" t="inlineStr">
        <is>
          <t>https://lannuaire.service-public.gouv.fr/bourgogne-franche-comte/jura/05e2ff87-9b59-44ba-b7a5-6d5439dbcd5b</t>
        </is>
      </c>
      <c r="Q443" t="inlineStr">
        <is>
          <t>Annuaire Service-public.fr</t>
        </is>
      </c>
      <c r="R443" t="inlineStr"/>
      <c r="S443" t="inlineStr"/>
      <c r="T443" t="inlineStr"/>
    </row>
    <row r="444">
      <c r="A444" t="inlineStr">
        <is>
          <t>CC Porte du Jura</t>
        </is>
      </c>
      <c r="B444" t="inlineStr">
        <is>
          <t>Communauté de communes</t>
        </is>
      </c>
      <c r="C444" t="inlineStr">
        <is>
          <t>200072056</t>
        </is>
      </c>
      <c r="D444" t="inlineStr">
        <is>
          <t>39</t>
        </is>
      </c>
      <c r="E444" t="inlineStr">
        <is>
          <t>Jura</t>
        </is>
      </c>
      <c r="F444" t="inlineStr">
        <is>
          <t>Bourgogne-Franche-Comté</t>
        </is>
      </c>
      <c r="G444" s="3" t="n">
        <v>10520</v>
      </c>
      <c r="H444" t="n">
        <v>21</v>
      </c>
      <c r="I444" t="inlineStr">
        <is>
          <t>10 Grande rue</t>
        </is>
      </c>
      <c r="J444" t="inlineStr">
        <is>
          <t>39190</t>
        </is>
      </c>
      <c r="K444" t="inlineStr">
        <is>
          <t>Beaufort-Orbagna</t>
        </is>
      </c>
      <c r="L444" t="inlineStr">
        <is>
          <t>03 84 48 96 67</t>
        </is>
      </c>
      <c r="M444" s="4" t="inlineStr">
        <is>
          <t>accueil@ccportedujura.fr</t>
        </is>
      </c>
      <c r="N444" s="4" t="inlineStr">
        <is>
          <t>https://www.ccportedujura.fr/</t>
        </is>
      </c>
      <c r="O444" s="4" t="inlineStr">
        <is>
          <t>https://www.ccportedujura.fr/contact/</t>
        </is>
      </c>
      <c r="P444" s="4" t="inlineStr">
        <is>
          <t>https://lannuaire.service-public.gouv.fr/bourgogne-franche-comte/jura/38b74bec-9779-433b-82d5-ed15d44a7e8c</t>
        </is>
      </c>
      <c r="Q444" t="inlineStr">
        <is>
          <t>Annuaire Service-public.fr</t>
        </is>
      </c>
      <c r="R444" t="inlineStr"/>
      <c r="S444" t="inlineStr"/>
      <c r="T444" t="inlineStr"/>
    </row>
    <row r="445">
      <c r="A445" t="inlineStr">
        <is>
          <t>CC Terre d'Émeraude Communauté</t>
        </is>
      </c>
      <c r="B445" t="inlineStr">
        <is>
          <t>Communauté de communes</t>
        </is>
      </c>
      <c r="C445" t="inlineStr">
        <is>
          <t>200090579</t>
        </is>
      </c>
      <c r="D445" t="inlineStr">
        <is>
          <t>39</t>
        </is>
      </c>
      <c r="E445" t="inlineStr">
        <is>
          <t>Jura</t>
        </is>
      </c>
      <c r="F445" t="inlineStr">
        <is>
          <t>Bourgogne-Franche-Comté</t>
        </is>
      </c>
      <c r="G445" s="3" t="n">
        <v>24295</v>
      </c>
      <c r="H445" t="n">
        <v>92</v>
      </c>
      <c r="I445" t="inlineStr">
        <is>
          <t>4 chemin du Quart</t>
        </is>
      </c>
      <c r="J445" t="inlineStr">
        <is>
          <t>39270</t>
        </is>
      </c>
      <c r="K445" t="inlineStr">
        <is>
          <t>Orgelet</t>
        </is>
      </c>
      <c r="L445" t="inlineStr">
        <is>
          <t>03 84 25 41 13</t>
        </is>
      </c>
      <c r="M445" s="4" t="inlineStr">
        <is>
          <t>contact@terredemeraude.fr</t>
        </is>
      </c>
      <c r="N445" s="4" t="inlineStr">
        <is>
          <t>https://www.terredemeraude.fr</t>
        </is>
      </c>
      <c r="O445" s="4" t="inlineStr">
        <is>
          <t>https://www.terredemeraude.fr/nous-contacter/</t>
        </is>
      </c>
      <c r="P445" s="4" t="inlineStr">
        <is>
          <t>https://lannuaire.service-public.gouv.fr/bourgogne-franche-comte/jura/9a91597d-92a6-4e94-99ad-5a5ba2c7a089</t>
        </is>
      </c>
      <c r="Q445" t="inlineStr">
        <is>
          <t>Annuaire Service-public.fr</t>
        </is>
      </c>
      <c r="R445" t="inlineStr"/>
      <c r="S445" t="inlineStr"/>
      <c r="T445" t="inlineStr"/>
    </row>
    <row r="446">
      <c r="A446" t="inlineStr">
        <is>
          <t>CC de la Plaine Jurassienne</t>
        </is>
      </c>
      <c r="B446" t="inlineStr">
        <is>
          <t>Communauté de communes</t>
        </is>
      </c>
      <c r="C446" t="inlineStr">
        <is>
          <t>243901089</t>
        </is>
      </c>
      <c r="D446" t="inlineStr">
        <is>
          <t>39</t>
        </is>
      </c>
      <c r="E446" t="inlineStr">
        <is>
          <t>Jura</t>
        </is>
      </c>
      <c r="F446" t="inlineStr">
        <is>
          <t>Bourgogne-Franche-Comté</t>
        </is>
      </c>
      <c r="G446" s="3" t="n">
        <v>9077</v>
      </c>
      <c r="H446" t="n">
        <v>21</v>
      </c>
      <c r="I446" t="inlineStr">
        <is>
          <t>3 place du Collège</t>
        </is>
      </c>
      <c r="J446" t="inlineStr">
        <is>
          <t>39120</t>
        </is>
      </c>
      <c r="K446" t="inlineStr">
        <is>
          <t>Chaussin</t>
        </is>
      </c>
      <c r="L446" t="inlineStr">
        <is>
          <t>03 84 81 70 22</t>
        </is>
      </c>
      <c r="M446" s="4" t="inlineStr">
        <is>
          <t>administration@cc-laplaine-jurassienne.com</t>
        </is>
      </c>
      <c r="N446" s="4" t="inlineStr">
        <is>
          <t>https://www.cc-laplaine-jurassienne.fr/</t>
        </is>
      </c>
      <c r="O446" s="4" t="inlineStr">
        <is>
          <t>https://www.cc-laplaine-jurassienne.fr/index.php/contact/</t>
        </is>
      </c>
      <c r="P446" s="4" t="inlineStr">
        <is>
          <t>https://lannuaire.service-public.gouv.fr/bourgogne-franche-comte/jura/210060a0-4c1f-4fd8-9663-0821c7c20f47</t>
        </is>
      </c>
      <c r="Q446" t="inlineStr">
        <is>
          <t>Annuaire Service-public.fr</t>
        </is>
      </c>
      <c r="R446" t="inlineStr"/>
      <c r="S446" t="inlineStr"/>
      <c r="T446" t="inlineStr"/>
    </row>
    <row r="447">
      <c r="A447" t="inlineStr">
        <is>
          <t>CC de la Station des Rousses-Haut Jura</t>
        </is>
      </c>
      <c r="B447" t="inlineStr">
        <is>
          <t>Communauté de communes</t>
        </is>
      </c>
      <c r="C447" t="inlineStr">
        <is>
          <t>243900354</t>
        </is>
      </c>
      <c r="D447" t="inlineStr">
        <is>
          <t>39</t>
        </is>
      </c>
      <c r="E447" t="inlineStr">
        <is>
          <t>Jura</t>
        </is>
      </c>
      <c r="F447" t="inlineStr">
        <is>
          <t>Bourgogne-Franche-Comté</t>
        </is>
      </c>
      <c r="G447" s="3" t="n">
        <v>7300</v>
      </c>
      <c r="H447" t="n">
        <v>4</v>
      </c>
      <c r="I447" t="inlineStr">
        <is>
          <t>Rue du Sergent-Chef-Benoît-Lizon, Fort des Rousses</t>
        </is>
      </c>
      <c r="J447" t="inlineStr">
        <is>
          <t>39220</t>
        </is>
      </c>
      <c r="K447" t="inlineStr">
        <is>
          <t>Les Rousses</t>
        </is>
      </c>
      <c r="L447" t="inlineStr">
        <is>
          <t>03 84 60 52 60</t>
        </is>
      </c>
      <c r="M447" s="4" t="inlineStr">
        <is>
          <t>contact@cc-stationdesrousses.fr</t>
        </is>
      </c>
      <c r="N447" s="4" t="inlineStr">
        <is>
          <t>https://www.cc-stationdesrousses.fr/</t>
        </is>
      </c>
      <c r="O447" s="4" t="inlineStr">
        <is>
          <t>https://www.cc-stationdesrousses.fr/contact/</t>
        </is>
      </c>
      <c r="P447" s="4" t="inlineStr">
        <is>
          <t>https://lannuaire.service-public.gouv.fr/bourgogne-franche-comte/jura/0f10504b-5482-4e73-83d0-e1aede2b228f</t>
        </is>
      </c>
      <c r="Q447" t="inlineStr">
        <is>
          <t>Annuaire Service-public.fr</t>
        </is>
      </c>
      <c r="R447" t="inlineStr"/>
      <c r="S447" t="inlineStr"/>
      <c r="T447" t="inlineStr"/>
    </row>
    <row r="448">
      <c r="A448" t="inlineStr">
        <is>
          <t>CC du Val d'Amour</t>
        </is>
      </c>
      <c r="B448" t="inlineStr">
        <is>
          <t>Communauté de communes</t>
        </is>
      </c>
      <c r="C448" t="inlineStr">
        <is>
          <t>243900420</t>
        </is>
      </c>
      <c r="D448" t="inlineStr">
        <is>
          <t>39</t>
        </is>
      </c>
      <c r="E448" t="inlineStr">
        <is>
          <t>Jura</t>
        </is>
      </c>
      <c r="F448" t="inlineStr">
        <is>
          <t>Bourgogne-Franche-Comté</t>
        </is>
      </c>
      <c r="G448" s="3" t="n">
        <v>9054</v>
      </c>
      <c r="H448" t="n">
        <v>24</v>
      </c>
      <c r="I448" t="inlineStr">
        <is>
          <t>74 Grande rue</t>
        </is>
      </c>
      <c r="J448" t="inlineStr">
        <is>
          <t>39380</t>
        </is>
      </c>
      <c r="K448" t="inlineStr">
        <is>
          <t>Chamblay</t>
        </is>
      </c>
      <c r="L448" t="inlineStr">
        <is>
          <t>03 84 37 74 74</t>
        </is>
      </c>
      <c r="M448" s="4" t="inlineStr">
        <is>
          <t>contact@valdamour.com</t>
        </is>
      </c>
      <c r="N448" s="4" t="inlineStr">
        <is>
          <t>https://www.valdamour.com/</t>
        </is>
      </c>
      <c r="O448" s="4" t="inlineStr">
        <is>
          <t>https://www.valdamour.com/nous-contacter.htm</t>
        </is>
      </c>
      <c r="P448" s="4" t="inlineStr">
        <is>
          <t>https://lannuaire.service-public.gouv.fr/bourgogne-franche-comte/jura/1b3563e3-a2cd-46cd-bf75-09fadaa41d29</t>
        </is>
      </c>
      <c r="Q448" t="inlineStr">
        <is>
          <t>Annuaire Service-public.fr</t>
        </is>
      </c>
      <c r="R448" t="inlineStr"/>
      <c r="S448" t="inlineStr"/>
      <c r="T448" t="inlineStr"/>
    </row>
    <row r="449">
      <c r="A449" t="inlineStr">
        <is>
          <t>CC la Grandvallière</t>
        </is>
      </c>
      <c r="B449" t="inlineStr">
        <is>
          <t>Communauté de communes</t>
        </is>
      </c>
      <c r="C449" t="inlineStr">
        <is>
          <t>243900610</t>
        </is>
      </c>
      <c r="D449" t="inlineStr">
        <is>
          <t>39</t>
        </is>
      </c>
      <c r="E449" t="inlineStr">
        <is>
          <t>Jura</t>
        </is>
      </c>
      <c r="F449" t="inlineStr">
        <is>
          <t>Bourgogne-Franche-Comté</t>
        </is>
      </c>
      <c r="G449" s="3" t="n">
        <v>5406</v>
      </c>
      <c r="H449" t="n">
        <v>8</v>
      </c>
      <c r="I449" t="inlineStr">
        <is>
          <t>31 rue du de Paris</t>
        </is>
      </c>
      <c r="J449" t="inlineStr">
        <is>
          <t>39150</t>
        </is>
      </c>
      <c r="K449" t="inlineStr">
        <is>
          <t>Saint- Laurent-Grandvaux</t>
        </is>
      </c>
      <c r="L449" t="inlineStr">
        <is>
          <t>03 84 60 20 63</t>
        </is>
      </c>
      <c r="M449" s="4" t="inlineStr">
        <is>
          <t>secretariat@lagrandvalliere.fr</t>
        </is>
      </c>
      <c r="N449" s="4" t="inlineStr">
        <is>
          <t>http://www.lagrandvalliere.fr</t>
        </is>
      </c>
      <c r="O449" t="inlineStr"/>
      <c r="P449" s="4" t="inlineStr">
        <is>
          <t>https://lannuaire.service-public.gouv.fr/bourgogne-franche-comte/jura/1f3d682e-6ffb-4855-be70-34752026b549</t>
        </is>
      </c>
      <c r="Q449" t="inlineStr">
        <is>
          <t>Annuaire Service-public.fr</t>
        </is>
      </c>
      <c r="R449" t="inlineStr"/>
      <c r="S449" t="inlineStr"/>
      <c r="T449" t="inlineStr"/>
    </row>
    <row r="450">
      <c r="A450" t="inlineStr">
        <is>
          <t>CC Chalosse Tursan</t>
        </is>
      </c>
      <c r="B450" t="inlineStr">
        <is>
          <t>Communauté de communes</t>
        </is>
      </c>
      <c r="C450" t="inlineStr">
        <is>
          <t>200069649</t>
        </is>
      </c>
      <c r="D450" t="inlineStr">
        <is>
          <t>40</t>
        </is>
      </c>
      <c r="E450" t="inlineStr">
        <is>
          <t>Landes</t>
        </is>
      </c>
      <c r="F450" t="inlineStr">
        <is>
          <t>Nouvelle-Aquitaine</t>
        </is>
      </c>
      <c r="G450" s="3" t="n">
        <v>26170</v>
      </c>
      <c r="H450" t="n">
        <v>50</v>
      </c>
      <c r="I450" t="inlineStr">
        <is>
          <t>Immeuble Les Violettes, 1 rue du Bellocq</t>
        </is>
      </c>
      <c r="J450" t="inlineStr">
        <is>
          <t>40500</t>
        </is>
      </c>
      <c r="K450" t="inlineStr">
        <is>
          <t>Saint-Sever</t>
        </is>
      </c>
      <c r="L450" t="inlineStr">
        <is>
          <t>05 58 76 41 41</t>
        </is>
      </c>
      <c r="M450" s="4" t="inlineStr">
        <is>
          <t>cias@chalossetursan.fr</t>
        </is>
      </c>
      <c r="N450" s="4" t="inlineStr">
        <is>
          <t>https://www.chalossetursan.fr/</t>
        </is>
      </c>
      <c r="O450" t="inlineStr"/>
      <c r="P450" s="4" t="inlineStr">
        <is>
          <t>https://lannuaire.service-public.gouv.fr/nouvelle-aquitaine/landes/5ced6950-d266-4e9e-9d64-ae2c85cf1db4</t>
        </is>
      </c>
      <c r="Q450" t="inlineStr">
        <is>
          <t>Annuaire Service-public.fr</t>
        </is>
      </c>
      <c r="R450" t="inlineStr"/>
      <c r="S450" t="inlineStr"/>
      <c r="T450" t="inlineStr"/>
    </row>
    <row r="451">
      <c r="A451" t="inlineStr">
        <is>
          <t>CC Coeur Haute Lande</t>
        </is>
      </c>
      <c r="B451" t="inlineStr">
        <is>
          <t>Communauté de communes</t>
        </is>
      </c>
      <c r="C451" t="inlineStr">
        <is>
          <t>200069656</t>
        </is>
      </c>
      <c r="D451" t="inlineStr">
        <is>
          <t>40</t>
        </is>
      </c>
      <c r="E451" t="inlineStr">
        <is>
          <t>Landes</t>
        </is>
      </c>
      <c r="F451" t="inlineStr">
        <is>
          <t>Nouvelle-Aquitaine</t>
        </is>
      </c>
      <c r="G451" s="3" t="n">
        <v>16305</v>
      </c>
      <c r="H451" t="n">
        <v>26</v>
      </c>
      <c r="I451" t="inlineStr">
        <is>
          <t>131 place Gambetta</t>
        </is>
      </c>
      <c r="J451" t="inlineStr">
        <is>
          <t>40630</t>
        </is>
      </c>
      <c r="K451" t="inlineStr">
        <is>
          <t>Sabres</t>
        </is>
      </c>
      <c r="L451" t="inlineStr">
        <is>
          <t>05 58 51 03 71</t>
        </is>
      </c>
      <c r="M451" s="4" t="inlineStr">
        <is>
          <t>accueil.chl@coeurhautelande.fr</t>
        </is>
      </c>
      <c r="N451" s="4" t="inlineStr">
        <is>
          <t>https://www.coeurhautelande.fr/</t>
        </is>
      </c>
      <c r="O451" s="4" t="inlineStr">
        <is>
          <t>https://www.coeurhautelande.fr/Communaute-de-communes/Coeur-Haute-Lande/Contacter-la-Communaute-de-Communes</t>
        </is>
      </c>
      <c r="P451" s="4" t="inlineStr">
        <is>
          <t>https://lannuaire.service-public.gouv.fr/nouvelle-aquitaine/landes/03f19b56-01e1-4d56-9fd1-4e76039783b1</t>
        </is>
      </c>
      <c r="Q451" t="inlineStr">
        <is>
          <t>Annuaire Service-public.fr</t>
        </is>
      </c>
      <c r="R451" t="inlineStr"/>
      <c r="S451" t="inlineStr"/>
      <c r="T451" t="inlineStr"/>
    </row>
    <row r="452">
      <c r="A452" t="inlineStr">
        <is>
          <t>CC Coteaux et Vallées des Luys</t>
        </is>
      </c>
      <c r="B452" t="inlineStr">
        <is>
          <t>Communauté de communes</t>
        </is>
      </c>
      <c r="C452" t="inlineStr">
        <is>
          <t>244000881</t>
        </is>
      </c>
      <c r="D452" t="inlineStr">
        <is>
          <t>40</t>
        </is>
      </c>
      <c r="E452" t="inlineStr">
        <is>
          <t>Landes</t>
        </is>
      </c>
      <c r="F452" t="inlineStr">
        <is>
          <t>Nouvelle-Aquitaine</t>
        </is>
      </c>
      <c r="G452" s="3" t="n">
        <v>7647</v>
      </c>
      <c r="H452" t="n">
        <v>16</v>
      </c>
      <c r="I452" t="inlineStr">
        <is>
          <t>19 place de la Técouère</t>
        </is>
      </c>
      <c r="J452" t="inlineStr">
        <is>
          <t>40330</t>
        </is>
      </c>
      <c r="K452" t="inlineStr">
        <is>
          <t>Amou</t>
        </is>
      </c>
      <c r="L452" t="inlineStr">
        <is>
          <t>05 58 89 00 50</t>
        </is>
      </c>
      <c r="M452" s="4" t="inlineStr">
        <is>
          <t>contact@cc-luys.fr</t>
        </is>
      </c>
      <c r="N452" s="4" t="inlineStr">
        <is>
          <t>https://www.cc-luys.fr/</t>
        </is>
      </c>
      <c r="O452" t="inlineStr"/>
      <c r="P452" s="4" t="inlineStr">
        <is>
          <t>https://lannuaire.service-public.gouv.fr/nouvelle-aquitaine/landes/23d8004f-e45b-4a3d-be96-4afff5d82f52</t>
        </is>
      </c>
      <c r="Q452" t="inlineStr">
        <is>
          <t>Annuaire Service-public.fr</t>
        </is>
      </c>
      <c r="R452" t="inlineStr"/>
      <c r="S452" t="inlineStr"/>
      <c r="T452" t="inlineStr"/>
    </row>
    <row r="453">
      <c r="A453" t="inlineStr">
        <is>
          <t>CC Côte Landes Nature</t>
        </is>
      </c>
      <c r="B453" t="inlineStr">
        <is>
          <t>Communauté de communes</t>
        </is>
      </c>
      <c r="C453" t="inlineStr">
        <is>
          <t>244000857</t>
        </is>
      </c>
      <c r="D453" t="inlineStr">
        <is>
          <t>40</t>
        </is>
      </c>
      <c r="E453" t="inlineStr">
        <is>
          <t>Landes</t>
        </is>
      </c>
      <c r="F453" t="inlineStr">
        <is>
          <t>Nouvelle-Aquitaine</t>
        </is>
      </c>
      <c r="G453" s="3" t="n">
        <v>12672</v>
      </c>
      <c r="H453" t="n">
        <v>10</v>
      </c>
      <c r="I453" t="inlineStr">
        <is>
          <t>272 avenue Jean-Noël-Serret</t>
        </is>
      </c>
      <c r="J453" t="inlineStr">
        <is>
          <t>40260</t>
        </is>
      </c>
      <c r="K453" t="inlineStr">
        <is>
          <t>Castets</t>
        </is>
      </c>
      <c r="L453" t="inlineStr">
        <is>
          <t>05 58 55 08 75</t>
        </is>
      </c>
      <c r="M453" s="4" t="inlineStr">
        <is>
          <t>secretariat@cc-cln.fr</t>
        </is>
      </c>
      <c r="N453" s="4" t="inlineStr">
        <is>
          <t>https://www.cc-cln.fr/</t>
        </is>
      </c>
      <c r="O453" s="4" t="inlineStr">
        <is>
          <t>https://www.cc-cln.fr/communaute-de-communes/contact</t>
        </is>
      </c>
      <c r="P453" s="4" t="inlineStr">
        <is>
          <t>https://lannuaire.service-public.gouv.fr/nouvelle-aquitaine/landes/d45a48a5-111b-45c9-9d4e-73ce623f4cb4</t>
        </is>
      </c>
      <c r="Q453" t="inlineStr">
        <is>
          <t>Annuaire Service-public.fr</t>
        </is>
      </c>
      <c r="R453" t="inlineStr"/>
      <c r="S453" t="inlineStr"/>
      <c r="T453" t="inlineStr"/>
    </row>
    <row r="454">
      <c r="A454" t="inlineStr">
        <is>
          <t>CC Maremne Adour Côte Sud</t>
        </is>
      </c>
      <c r="B454" t="inlineStr">
        <is>
          <t>Communauté de communes</t>
        </is>
      </c>
      <c r="C454" t="inlineStr">
        <is>
          <t>244000865</t>
        </is>
      </c>
      <c r="D454" t="inlineStr">
        <is>
          <t>40</t>
        </is>
      </c>
      <c r="E454" t="inlineStr">
        <is>
          <t>Landes</t>
        </is>
      </c>
      <c r="F454" t="inlineStr">
        <is>
          <t>Nouvelle-Aquitaine</t>
        </is>
      </c>
      <c r="G454" s="3" t="n">
        <v>71315</v>
      </c>
      <c r="H454" t="n">
        <v>23</v>
      </c>
      <c r="I454" t="inlineStr">
        <is>
          <t>Allée des Camélias</t>
        </is>
      </c>
      <c r="J454" t="inlineStr">
        <is>
          <t>40230</t>
        </is>
      </c>
      <c r="K454" t="inlineStr">
        <is>
          <t>Saint-Vincent-de-Tyrosse</t>
        </is>
      </c>
      <c r="L454" t="inlineStr">
        <is>
          <t>05 58 77 23 23</t>
        </is>
      </c>
      <c r="M454" s="4" t="inlineStr">
        <is>
          <t>contact@cc-macs.org</t>
        </is>
      </c>
      <c r="N454" s="4" t="inlineStr">
        <is>
          <t>https://www.cc-macs.org/</t>
        </is>
      </c>
      <c r="O454" t="inlineStr"/>
      <c r="P454" s="4" t="inlineStr">
        <is>
          <t>https://lannuaire.service-public.gouv.fr/nouvelle-aquitaine/landes/04d10a79-1573-4e01-9279-22ba46ff80ef</t>
        </is>
      </c>
      <c r="Q454" t="inlineStr">
        <is>
          <t>Annuaire Service-public.fr</t>
        </is>
      </c>
      <c r="R454" t="inlineStr"/>
      <c r="S454" t="inlineStr"/>
      <c r="T454" t="inlineStr"/>
    </row>
    <row r="455">
      <c r="A455" t="inlineStr">
        <is>
          <t>CC Pays d'Orthe et Arrigans</t>
        </is>
      </c>
      <c r="B455" t="inlineStr">
        <is>
          <t>Communauté de communes</t>
        </is>
      </c>
      <c r="C455" t="inlineStr">
        <is>
          <t>200069417</t>
        </is>
      </c>
      <c r="D455" t="inlineStr">
        <is>
          <t>40</t>
        </is>
      </c>
      <c r="E455" t="inlineStr">
        <is>
          <t>Landes</t>
        </is>
      </c>
      <c r="F455" t="inlineStr">
        <is>
          <t>Nouvelle-Aquitaine</t>
        </is>
      </c>
      <c r="G455" s="3" t="n">
        <v>24363</v>
      </c>
      <c r="H455" t="n">
        <v>24</v>
      </c>
      <c r="I455" t="inlineStr">
        <is>
          <t>156 route de Mahoumic</t>
        </is>
      </c>
      <c r="J455" t="inlineStr">
        <is>
          <t>40300</t>
        </is>
      </c>
      <c r="K455" t="inlineStr">
        <is>
          <t>Peyrehorade</t>
        </is>
      </c>
      <c r="L455" t="inlineStr">
        <is>
          <t>05 58 73 60 03</t>
        </is>
      </c>
      <c r="M455" s="4" t="inlineStr">
        <is>
          <t>contact@orthe-arrigans.fr</t>
        </is>
      </c>
      <c r="N455" s="4" t="inlineStr">
        <is>
          <t>https://www.pays-orthe-arrigans.fr/</t>
        </is>
      </c>
      <c r="O455" s="4" t="inlineStr">
        <is>
          <t>https://www.pays-orthe-arrigans.fr/contact.html</t>
        </is>
      </c>
      <c r="P455" s="4" t="inlineStr">
        <is>
          <t>https://lannuaire.service-public.gouv.fr/nouvelle-aquitaine/landes/23ce6b07-68a0-40e7-bf15-54dc32d8f07c</t>
        </is>
      </c>
      <c r="Q455" t="inlineStr">
        <is>
          <t>Annuaire Service-public.fr</t>
        </is>
      </c>
      <c r="R455" t="inlineStr"/>
      <c r="S455" t="inlineStr"/>
      <c r="T455" t="inlineStr"/>
    </row>
    <row r="456">
      <c r="A456" t="inlineStr">
        <is>
          <t>CC Terres de Chalosse</t>
        </is>
      </c>
      <c r="B456" t="inlineStr">
        <is>
          <t>Communauté de communes</t>
        </is>
      </c>
      <c r="C456" t="inlineStr">
        <is>
          <t>200069631</t>
        </is>
      </c>
      <c r="D456" t="inlineStr">
        <is>
          <t>40</t>
        </is>
      </c>
      <c r="E456" t="inlineStr">
        <is>
          <t>Landes</t>
        </is>
      </c>
      <c r="F456" t="inlineStr">
        <is>
          <t>Nouvelle-Aquitaine</t>
        </is>
      </c>
      <c r="G456" s="3" t="n">
        <v>18276</v>
      </c>
      <c r="H456" t="n">
        <v>34</v>
      </c>
      <c r="I456" t="inlineStr">
        <is>
          <t>55 place Foch</t>
        </is>
      </c>
      <c r="J456" t="inlineStr">
        <is>
          <t>40380</t>
        </is>
      </c>
      <c r="K456" t="inlineStr">
        <is>
          <t>Montfort-en-Chalosse</t>
        </is>
      </c>
      <c r="L456" t="inlineStr">
        <is>
          <t>05 58 98 45 88</t>
        </is>
      </c>
      <c r="M456" s="4" t="inlineStr">
        <is>
          <t>contact@terresdechalosse.fr</t>
        </is>
      </c>
      <c r="N456" s="4" t="inlineStr">
        <is>
          <t>https://www.terresdechalosse.fr/</t>
        </is>
      </c>
      <c r="O456" s="4" t="inlineStr">
        <is>
          <t>https://www.terresdechalosse.fr/Communaute-de-communes/Terres-de-Chalosse/Contactez-nous</t>
        </is>
      </c>
      <c r="P456" s="4" t="inlineStr">
        <is>
          <t>https://lannuaire.service-public.gouv.fr/nouvelle-aquitaine/landes/c56a0986-6bfe-49f1-b795-9e0ca967cea2</t>
        </is>
      </c>
      <c r="Q456" t="inlineStr">
        <is>
          <t>Annuaire Service-public.fr</t>
        </is>
      </c>
      <c r="R456" t="inlineStr"/>
      <c r="S456" t="inlineStr"/>
      <c r="T456" t="inlineStr"/>
    </row>
    <row r="457">
      <c r="A457" t="inlineStr">
        <is>
          <t>CC de Mimizan</t>
        </is>
      </c>
      <c r="B457" t="inlineStr">
        <is>
          <t>Communauté de communes</t>
        </is>
      </c>
      <c r="C457" t="inlineStr">
        <is>
          <t>244000543</t>
        </is>
      </c>
      <c r="D457" t="inlineStr">
        <is>
          <t>40</t>
        </is>
      </c>
      <c r="E457" t="inlineStr">
        <is>
          <t>Landes</t>
        </is>
      </c>
      <c r="F457" t="inlineStr">
        <is>
          <t>Nouvelle-Aquitaine</t>
        </is>
      </c>
      <c r="G457" s="3" t="n">
        <v>12927</v>
      </c>
      <c r="H457" t="n">
        <v>6</v>
      </c>
      <c r="I457" t="inlineStr">
        <is>
          <t>3 avenue de la Gare</t>
        </is>
      </c>
      <c r="J457" t="inlineStr">
        <is>
          <t>40200</t>
        </is>
      </c>
      <c r="K457" t="inlineStr">
        <is>
          <t>Mimizan</t>
        </is>
      </c>
      <c r="L457" t="inlineStr">
        <is>
          <t>05 58 09 44 55</t>
        </is>
      </c>
      <c r="M457" s="4" t="inlineStr">
        <is>
          <t>contact@mimizan.net</t>
        </is>
      </c>
      <c r="N457" s="4" t="inlineStr">
        <is>
          <t>https://www.cc-mimizan.fr/</t>
        </is>
      </c>
      <c r="O457" t="inlineStr"/>
      <c r="P457" s="4" t="inlineStr">
        <is>
          <t>https://lannuaire.service-public.gouv.fr/nouvelle-aquitaine/landes/ceef7e34-3c83-4dfa-ba66-b61d58412db7</t>
        </is>
      </c>
      <c r="Q457" t="inlineStr">
        <is>
          <t>Annuaire Service-public.fr</t>
        </is>
      </c>
      <c r="R457" t="inlineStr"/>
      <c r="S457" t="inlineStr"/>
      <c r="T457" t="inlineStr"/>
    </row>
    <row r="458">
      <c r="A458" t="inlineStr">
        <is>
          <t>CC des Grands Lacs</t>
        </is>
      </c>
      <c r="B458" t="inlineStr">
        <is>
          <t>Communauté de communes</t>
        </is>
      </c>
      <c r="C458" t="inlineStr">
        <is>
          <t>244000873</t>
        </is>
      </c>
      <c r="D458" t="inlineStr">
        <is>
          <t>40</t>
        </is>
      </c>
      <c r="E458" t="inlineStr">
        <is>
          <t>Landes</t>
        </is>
      </c>
      <c r="F458" t="inlineStr">
        <is>
          <t>Nouvelle-Aquitaine</t>
        </is>
      </c>
      <c r="G458" s="3" t="n">
        <v>32874</v>
      </c>
      <c r="H458" t="n">
        <v>7</v>
      </c>
      <c r="I458" t="inlineStr">
        <is>
          <t>29 avenue Léopold-Darmuzey, centre administratif</t>
        </is>
      </c>
      <c r="J458" t="inlineStr">
        <is>
          <t>40160</t>
        </is>
      </c>
      <c r="K458" t="inlineStr">
        <is>
          <t>Parentis-en-Born</t>
        </is>
      </c>
      <c r="L458" t="inlineStr">
        <is>
          <t>05 58 78 54 63</t>
        </is>
      </c>
      <c r="M458" s="4" t="inlineStr">
        <is>
          <t>secretariat.general@ccgrandslacs.fr</t>
        </is>
      </c>
      <c r="N458" s="4" t="inlineStr">
        <is>
          <t>https://www.ccgrandslacs.fr/</t>
        </is>
      </c>
      <c r="O458" t="inlineStr"/>
      <c r="P458" s="4" t="inlineStr">
        <is>
          <t>https://lannuaire.service-public.gouv.fr/nouvelle-aquitaine/landes/4c3cce19-076f-49df-b890-af92a3fd7f34</t>
        </is>
      </c>
      <c r="Q458" t="inlineStr">
        <is>
          <t>Annuaire Service-public.fr</t>
        </is>
      </c>
      <c r="R458" t="inlineStr"/>
      <c r="S458" t="inlineStr"/>
      <c r="T458" t="inlineStr"/>
    </row>
    <row r="459">
      <c r="A459" t="inlineStr">
        <is>
          <t>CC des Landes d'Armagnac</t>
        </is>
      </c>
      <c r="B459" t="inlineStr">
        <is>
          <t>Communauté de communes</t>
        </is>
      </c>
      <c r="C459" t="inlineStr">
        <is>
          <t>200035541</t>
        </is>
      </c>
      <c r="D459" t="inlineStr">
        <is>
          <t>40</t>
        </is>
      </c>
      <c r="E459" t="inlineStr">
        <is>
          <t>Landes</t>
        </is>
      </c>
      <c r="F459" t="inlineStr">
        <is>
          <t>Nouvelle-Aquitaine</t>
        </is>
      </c>
      <c r="G459" s="3" t="n">
        <v>10743</v>
      </c>
      <c r="H459" t="n">
        <v>27</v>
      </c>
      <c r="I459" t="inlineStr">
        <is>
          <t>31 chemin de Bas-de-Haut</t>
        </is>
      </c>
      <c r="J459" t="inlineStr">
        <is>
          <t>40120</t>
        </is>
      </c>
      <c r="K459" t="inlineStr">
        <is>
          <t>Roquefort</t>
        </is>
      </c>
      <c r="L459" t="inlineStr">
        <is>
          <t>05 58 45 66 93</t>
        </is>
      </c>
      <c r="M459" s="4" t="inlineStr">
        <is>
          <t>contact@ccla40.fr</t>
        </is>
      </c>
      <c r="N459" s="4" t="inlineStr">
        <is>
          <t>https://www.landesdarmagnac.fr/</t>
        </is>
      </c>
      <c r="O459" t="inlineStr"/>
      <c r="P459" s="4" t="inlineStr">
        <is>
          <t>https://lannuaire.service-public.gouv.fr/nouvelle-aquitaine/landes/c3476eaa-4cee-4812-a45b-3da879670f71</t>
        </is>
      </c>
      <c r="Q459" t="inlineStr">
        <is>
          <t>Annuaire Service-public.fr</t>
        </is>
      </c>
      <c r="R459" t="inlineStr"/>
      <c r="S459" t="inlineStr"/>
      <c r="T459" t="inlineStr"/>
    </row>
    <row r="460">
      <c r="A460" t="inlineStr">
        <is>
          <t>CC du Pays Grenadois</t>
        </is>
      </c>
      <c r="B460" t="inlineStr">
        <is>
          <t>Communauté de communes</t>
        </is>
      </c>
      <c r="C460" t="inlineStr">
        <is>
          <t>244000824</t>
        </is>
      </c>
      <c r="D460" t="inlineStr">
        <is>
          <t>40</t>
        </is>
      </c>
      <c r="E460" t="inlineStr">
        <is>
          <t>Landes</t>
        </is>
      </c>
      <c r="F460" t="inlineStr">
        <is>
          <t>Nouvelle-Aquitaine</t>
        </is>
      </c>
      <c r="G460" s="3" t="n">
        <v>7713</v>
      </c>
      <c r="H460" t="n">
        <v>11</v>
      </c>
      <c r="I460" t="inlineStr">
        <is>
          <t>14 place des Tilleuls</t>
        </is>
      </c>
      <c r="J460" t="inlineStr">
        <is>
          <t>40270</t>
        </is>
      </c>
      <c r="K460" t="inlineStr">
        <is>
          <t>Grenade-sur-l'Adour</t>
        </is>
      </c>
      <c r="L460" t="inlineStr">
        <is>
          <t>05 58 45 44 42</t>
        </is>
      </c>
      <c r="M460" s="4" t="inlineStr">
        <is>
          <t>secretariat@cc-paysgrenadois.fr</t>
        </is>
      </c>
      <c r="N460" s="4" t="inlineStr">
        <is>
          <t>https://www.cc-paysgrenadois.fr</t>
        </is>
      </c>
      <c r="O460" t="inlineStr"/>
      <c r="P460" s="4" t="inlineStr">
        <is>
          <t>https://lannuaire.service-public.gouv.fr/nouvelle-aquitaine/landes/be3612dc-6b96-4d92-a00a-b95f22f1ce8e</t>
        </is>
      </c>
      <c r="Q460" t="inlineStr">
        <is>
          <t>Annuaire Service-public.fr</t>
        </is>
      </c>
      <c r="R460" t="inlineStr"/>
      <c r="S460" t="inlineStr"/>
      <c r="T460" t="inlineStr"/>
    </row>
    <row r="461">
      <c r="A461" t="inlineStr">
        <is>
          <t>CC du Pays Morcenais</t>
        </is>
      </c>
      <c r="B461" t="inlineStr">
        <is>
          <t>Communauté de communes</t>
        </is>
      </c>
      <c r="C461" t="inlineStr">
        <is>
          <t>244000691</t>
        </is>
      </c>
      <c r="D461" t="inlineStr">
        <is>
          <t>40</t>
        </is>
      </c>
      <c r="E461" t="inlineStr">
        <is>
          <t>Landes</t>
        </is>
      </c>
      <c r="F461" t="inlineStr">
        <is>
          <t>Nouvelle-Aquitaine</t>
        </is>
      </c>
      <c r="G461" s="3" t="n">
        <v>9434</v>
      </c>
      <c r="H461" t="n">
        <v>6</v>
      </c>
      <c r="I461" t="inlineStr">
        <is>
          <t>16 place Léo-Bouyssou</t>
        </is>
      </c>
      <c r="J461" t="inlineStr">
        <is>
          <t>40110</t>
        </is>
      </c>
      <c r="K461" t="inlineStr">
        <is>
          <t>Morcenx-la-Nouvelle</t>
        </is>
      </c>
      <c r="L461" t="inlineStr">
        <is>
          <t>05 58 04 14 15</t>
        </is>
      </c>
      <c r="M461" s="4" t="inlineStr">
        <is>
          <t>contact@paysmorcenais.fr</t>
        </is>
      </c>
      <c r="N461" s="4" t="inlineStr">
        <is>
          <t>https://www.paysmorcenais.fr/</t>
        </is>
      </c>
      <c r="O461" s="4" t="inlineStr">
        <is>
          <t>https://www.paysmorcenais.fr/communaute-de-communes/contact</t>
        </is>
      </c>
      <c r="P461" s="4" t="inlineStr">
        <is>
          <t>https://lannuaire.service-public.gouv.fr/nouvelle-aquitaine/landes/22ee9784-f723-4d87-9d5f-619d71aefe90</t>
        </is>
      </c>
      <c r="Q461" t="inlineStr">
        <is>
          <t>Annuaire Service-public.fr</t>
        </is>
      </c>
      <c r="R461" t="inlineStr"/>
      <c r="S461" t="inlineStr"/>
      <c r="T461" t="inlineStr"/>
    </row>
    <row r="462">
      <c r="A462" t="inlineStr">
        <is>
          <t>CC du Pays Tarusate</t>
        </is>
      </c>
      <c r="B462" t="inlineStr">
        <is>
          <t>Communauté de communes</t>
        </is>
      </c>
      <c r="C462" t="inlineStr">
        <is>
          <t>244000766</t>
        </is>
      </c>
      <c r="D462" t="inlineStr">
        <is>
          <t>40</t>
        </is>
      </c>
      <c r="E462" t="inlineStr">
        <is>
          <t>Landes</t>
        </is>
      </c>
      <c r="F462" t="inlineStr">
        <is>
          <t>Nouvelle-Aquitaine</t>
        </is>
      </c>
      <c r="G462" s="3" t="n">
        <v>18074</v>
      </c>
      <c r="H462" t="n">
        <v>17</v>
      </c>
      <c r="I462" t="inlineStr">
        <is>
          <t>143 rue Jules-Ferry</t>
        </is>
      </c>
      <c r="J462" t="inlineStr">
        <is>
          <t>40400</t>
        </is>
      </c>
      <c r="K462" t="inlineStr">
        <is>
          <t>Tartas</t>
        </is>
      </c>
      <c r="L462" t="inlineStr">
        <is>
          <t>05 58 73 31 28</t>
        </is>
      </c>
      <c r="M462" s="4" t="inlineStr">
        <is>
          <t>accueil@pays-tarusate.fr</t>
        </is>
      </c>
      <c r="N462" s="4" t="inlineStr">
        <is>
          <t>https://www.pays-tarusate.fr/</t>
        </is>
      </c>
      <c r="O462" s="4" t="inlineStr">
        <is>
          <t>https://www.facebook.com/paystarusate/</t>
        </is>
      </c>
      <c r="P462" s="4" t="inlineStr">
        <is>
          <t>https://lannuaire.service-public.gouv.fr/nouvelle-aquitaine/landes/c69718a1-0a9c-4094-bfe0-9922eb508d99</t>
        </is>
      </c>
      <c r="Q462" t="inlineStr">
        <is>
          <t>Annuaire Service-public.fr</t>
        </is>
      </c>
      <c r="R462" t="inlineStr"/>
      <c r="S462" t="inlineStr"/>
      <c r="T462" t="inlineStr"/>
    </row>
    <row r="463">
      <c r="A463" t="inlineStr">
        <is>
          <t>CC du Pays de Villeneuve en Armagnac Landais</t>
        </is>
      </c>
      <c r="B463" t="inlineStr">
        <is>
          <t>Communauté de communes</t>
        </is>
      </c>
      <c r="C463" t="inlineStr">
        <is>
          <t>244000774</t>
        </is>
      </c>
      <c r="D463" t="inlineStr">
        <is>
          <t>40</t>
        </is>
      </c>
      <c r="E463" t="inlineStr">
        <is>
          <t>Landes</t>
        </is>
      </c>
      <c r="F463" t="inlineStr">
        <is>
          <t>Nouvelle-Aquitaine</t>
        </is>
      </c>
      <c r="G463" s="3" t="n">
        <v>6249</v>
      </c>
      <c r="H463" t="n">
        <v>12</v>
      </c>
      <c r="I463" t="inlineStr">
        <is>
          <t>7 rue de la Birol</t>
        </is>
      </c>
      <c r="J463" t="inlineStr">
        <is>
          <t>40190</t>
        </is>
      </c>
      <c r="K463" t="inlineStr">
        <is>
          <t>Villeneuve-de-Marsan</t>
        </is>
      </c>
      <c r="L463" t="inlineStr">
        <is>
          <t>05 58 93 08 00</t>
        </is>
      </c>
      <c r="M463" s="4" t="inlineStr">
        <is>
          <t>accueil@cc-vdm.com</t>
        </is>
      </c>
      <c r="N463" s="4" t="inlineStr">
        <is>
          <t>https://www.cc-vdm.com/</t>
        </is>
      </c>
      <c r="O463" s="4" t="inlineStr">
        <is>
          <t>https://www.cc-vdm.com/CDC-Pays-de-Villeneuve/La-Communaute-de-Communes/Nous-contacter</t>
        </is>
      </c>
      <c r="P463" s="4" t="inlineStr">
        <is>
          <t>https://lannuaire.service-public.gouv.fr/nouvelle-aquitaine/landes/ed61e58d-b3d6-44aa-8875-c651b808526e</t>
        </is>
      </c>
      <c r="Q463" t="inlineStr">
        <is>
          <t>Annuaire Service-public.fr</t>
        </is>
      </c>
      <c r="R463" t="inlineStr"/>
      <c r="S463" t="inlineStr"/>
      <c r="T463" t="inlineStr"/>
    </row>
    <row r="464">
      <c r="A464" t="inlineStr">
        <is>
          <t>CC du Seignanx</t>
        </is>
      </c>
      <c r="B464" t="inlineStr">
        <is>
          <t>Communauté de communes</t>
        </is>
      </c>
      <c r="C464" t="inlineStr">
        <is>
          <t>244000659</t>
        </is>
      </c>
      <c r="D464" t="inlineStr">
        <is>
          <t>40</t>
        </is>
      </c>
      <c r="E464" t="inlineStr">
        <is>
          <t>Landes</t>
        </is>
      </c>
      <c r="F464" t="inlineStr">
        <is>
          <t>Nouvelle-Aquitaine</t>
        </is>
      </c>
      <c r="G464" s="3" t="n">
        <v>29658</v>
      </c>
      <c r="H464" t="n">
        <v>8</v>
      </c>
      <c r="I464" t="inlineStr">
        <is>
          <t>1526 avenue de Barrère, Maison Clairbois</t>
        </is>
      </c>
      <c r="J464" t="inlineStr">
        <is>
          <t>40390</t>
        </is>
      </c>
      <c r="K464" t="inlineStr">
        <is>
          <t>Saint-Martin-de-Seignanx</t>
        </is>
      </c>
      <c r="L464" t="inlineStr">
        <is>
          <t>05 59 56 61 61</t>
        </is>
      </c>
      <c r="M464" s="4" t="inlineStr">
        <is>
          <t>accueil@cc-seignanx.fr</t>
        </is>
      </c>
      <c r="N464" s="4" t="inlineStr">
        <is>
          <t>https://www.cc-seignanx.fr/</t>
        </is>
      </c>
      <c r="O464" s="4" t="inlineStr">
        <is>
          <t>https://www.cc-seignanx.fr/Communaute-de-Communes/Votre-Communaute/Nous-contacter</t>
        </is>
      </c>
      <c r="P464" s="4" t="inlineStr">
        <is>
          <t>https://lannuaire.service-public.gouv.fr/nouvelle-aquitaine/landes/d3a5d630-81bb-466c-9e52-0af25638c816</t>
        </is>
      </c>
      <c r="Q464" t="inlineStr">
        <is>
          <t>Annuaire Service-public.fr</t>
        </is>
      </c>
      <c r="R464" t="inlineStr"/>
      <c r="S464" t="inlineStr"/>
      <c r="T464" t="inlineStr"/>
    </row>
    <row r="465">
      <c r="A465" t="inlineStr">
        <is>
          <t>CC Beauce Val de Loire</t>
        </is>
      </c>
      <c r="B465" t="inlineStr">
        <is>
          <t>Communauté de communes</t>
        </is>
      </c>
      <c r="C465" t="inlineStr">
        <is>
          <t>200055481</t>
        </is>
      </c>
      <c r="D465" t="inlineStr">
        <is>
          <t>41</t>
        </is>
      </c>
      <c r="E465" t="inlineStr">
        <is>
          <t>Loir-et-Cher</t>
        </is>
      </c>
      <c r="F465" t="inlineStr">
        <is>
          <t>Centre-Val de Loire</t>
        </is>
      </c>
      <c r="G465" s="3" t="n">
        <v>19658</v>
      </c>
      <c r="H465" t="n">
        <v>30</v>
      </c>
      <c r="I465" t="inlineStr">
        <is>
          <t>9 rue Nationale</t>
        </is>
      </c>
      <c r="J465" t="inlineStr">
        <is>
          <t>41500</t>
        </is>
      </c>
      <c r="K465" t="inlineStr">
        <is>
          <t>Mer</t>
        </is>
      </c>
      <c r="L465" t="inlineStr">
        <is>
          <t>02 54 81 40 80</t>
        </is>
      </c>
      <c r="M465" s="4" t="inlineStr">
        <is>
          <t>contact@beaucevaldeloire.fr</t>
        </is>
      </c>
      <c r="N465" s="4" t="inlineStr">
        <is>
          <t>https://www.beaucevaldeloire.fr/</t>
        </is>
      </c>
      <c r="O465" s="4" t="inlineStr">
        <is>
          <t>https://www.beaucevaldeloire.fr/contact/</t>
        </is>
      </c>
      <c r="P465" s="4" t="inlineStr">
        <is>
          <t>https://lannuaire.service-public.gouv.fr/centre-val-de-loire/loir-et-cher/f5646667-ab43-497e-b222-2dc572278cea</t>
        </is>
      </c>
      <c r="Q465" t="inlineStr">
        <is>
          <t>Annuaire Service-public.fr</t>
        </is>
      </c>
      <c r="R465" t="inlineStr"/>
      <c r="S465" t="inlineStr"/>
      <c r="T465" t="inlineStr"/>
    </row>
    <row r="466">
      <c r="A466" t="inlineStr">
        <is>
          <t>CC Coeur de Sologne</t>
        </is>
      </c>
      <c r="B466" t="inlineStr">
        <is>
          <t>Communauté de communes</t>
        </is>
      </c>
      <c r="C466" t="inlineStr">
        <is>
          <t>200000800</t>
        </is>
      </c>
      <c r="D466" t="inlineStr">
        <is>
          <t>41</t>
        </is>
      </c>
      <c r="E466" t="inlineStr">
        <is>
          <t>Loir-et-Cher</t>
        </is>
      </c>
      <c r="F466" t="inlineStr">
        <is>
          <t>Centre-Val de Loire</t>
        </is>
      </c>
      <c r="G466" s="3" t="n">
        <v>10230</v>
      </c>
      <c r="H466" t="n">
        <v>6</v>
      </c>
      <c r="I466" t="inlineStr">
        <is>
          <t>Place Simone-Veil</t>
        </is>
      </c>
      <c r="J466" t="inlineStr">
        <is>
          <t>41600</t>
        </is>
      </c>
      <c r="K466" t="inlineStr">
        <is>
          <t>Lamotte-Beuvron</t>
        </is>
      </c>
      <c r="L466" t="inlineStr">
        <is>
          <t>02 54 83 09 92</t>
        </is>
      </c>
      <c r="M466" s="4" t="inlineStr">
        <is>
          <t>contact@coeurdesologne.com</t>
        </is>
      </c>
      <c r="N466" t="inlineStr"/>
      <c r="O466" t="inlineStr"/>
      <c r="P466" s="4" t="inlineStr">
        <is>
          <t>https://lannuaire.service-public.gouv.fr/centre-val-de-loire/loir-et-cher/47f5514b-2401-49dc-94d3-cd14c4eece86</t>
        </is>
      </c>
      <c r="Q466" t="inlineStr">
        <is>
          <t>Annuaire Service-public.fr</t>
        </is>
      </c>
      <c r="R466" t="inlineStr"/>
      <c r="S466" t="inlineStr"/>
      <c r="T466" t="inlineStr"/>
    </row>
    <row r="467">
      <c r="A467" t="inlineStr">
        <is>
          <t>CC Val-de-Cher-Controis</t>
        </is>
      </c>
      <c r="B467" t="inlineStr">
        <is>
          <t>Communauté de communes</t>
        </is>
      </c>
      <c r="C467" t="inlineStr">
        <is>
          <t>200072064</t>
        </is>
      </c>
      <c r="D467" t="inlineStr">
        <is>
          <t>41</t>
        </is>
      </c>
      <c r="E467" t="inlineStr">
        <is>
          <t>Loir-et-Cher</t>
        </is>
      </c>
      <c r="F467" t="inlineStr">
        <is>
          <t>Centre-Val de Loire</t>
        </is>
      </c>
      <c r="G467" s="3" t="n">
        <v>46974</v>
      </c>
      <c r="H467" t="n">
        <v>33</v>
      </c>
      <c r="I467" t="inlineStr">
        <is>
          <t>15 A rue des Entrepreneurs, ZI des Barreliers</t>
        </is>
      </c>
      <c r="J467" t="inlineStr">
        <is>
          <t>41700</t>
        </is>
      </c>
      <c r="K467" t="inlineStr">
        <is>
          <t>Le-Controis-en-Sologne</t>
        </is>
      </c>
      <c r="L467" t="inlineStr">
        <is>
          <t>02 54 79 15 50</t>
        </is>
      </c>
      <c r="M467" s="4" t="inlineStr">
        <is>
          <t>contact@val2c.fr</t>
        </is>
      </c>
      <c r="N467" s="4" t="inlineStr">
        <is>
          <t>https://www.val2c.fr/</t>
        </is>
      </c>
      <c r="O467" s="4" t="inlineStr">
        <is>
          <t>https://www.val2c.fr/contact/</t>
        </is>
      </c>
      <c r="P467" s="4" t="inlineStr">
        <is>
          <t>https://lannuaire.service-public.gouv.fr/centre-val-de-loire/loir-et-cher/8ee96140-871c-4db8-8edf-e5223bd24bf6</t>
        </is>
      </c>
      <c r="Q467" t="inlineStr">
        <is>
          <t>Annuaire Service-public.fr</t>
        </is>
      </c>
      <c r="R467" t="inlineStr"/>
      <c r="S467" t="inlineStr"/>
      <c r="T467" t="inlineStr"/>
    </row>
    <row r="468">
      <c r="A468" t="inlineStr">
        <is>
          <t>CC de la Sologne des Etangs</t>
        </is>
      </c>
      <c r="B468" t="inlineStr">
        <is>
          <t>Communauté de communes</t>
        </is>
      </c>
      <c r="C468" t="inlineStr">
        <is>
          <t>244100780</t>
        </is>
      </c>
      <c r="D468" t="inlineStr">
        <is>
          <t>41</t>
        </is>
      </c>
      <c r="E468" t="inlineStr">
        <is>
          <t>Loir-et-Cher</t>
        </is>
      </c>
      <c r="F468" t="inlineStr">
        <is>
          <t>Centre-Val de Loire</t>
        </is>
      </c>
      <c r="G468" s="3" t="n">
        <v>8651</v>
      </c>
      <c r="H468" t="n">
        <v>12</v>
      </c>
      <c r="I468" t="inlineStr">
        <is>
          <t>Domaine de Villemorant</t>
        </is>
      </c>
      <c r="J468" t="inlineStr">
        <is>
          <t>41210</t>
        </is>
      </c>
      <c r="K468" t="inlineStr">
        <is>
          <t>Neung-sur-Beuvron</t>
        </is>
      </c>
      <c r="L468" t="inlineStr">
        <is>
          <t>02 54 94 62 00</t>
        </is>
      </c>
      <c r="M468" s="4" t="inlineStr">
        <is>
          <t>contact@sologne-des-etangs.fr</t>
        </is>
      </c>
      <c r="N468" s="4" t="inlineStr">
        <is>
          <t>https://www.sologne-des-etangs.fr</t>
        </is>
      </c>
      <c r="O468" t="inlineStr"/>
      <c r="P468" s="4" t="inlineStr">
        <is>
          <t>https://lannuaire.service-public.gouv.fr/centre-val-de-loire/loir-et-cher/0f8bded0-705c-44ba-9290-032087f1504c</t>
        </is>
      </c>
      <c r="Q468" t="inlineStr">
        <is>
          <t>Annuaire Service-public.fr</t>
        </is>
      </c>
      <c r="R468" t="inlineStr"/>
      <c r="S468" t="inlineStr"/>
      <c r="T468" t="inlineStr"/>
    </row>
    <row r="469">
      <c r="A469" t="inlineStr">
        <is>
          <t>CC de la Sologne des Rivières</t>
        </is>
      </c>
      <c r="B469" t="inlineStr">
        <is>
          <t>Communauté de communes</t>
        </is>
      </c>
      <c r="C469" t="inlineStr">
        <is>
          <t>244100806</t>
        </is>
      </c>
      <c r="D469" t="inlineStr">
        <is>
          <t>41</t>
        </is>
      </c>
      <c r="E469" t="inlineStr">
        <is>
          <t>Loir-et-Cher</t>
        </is>
      </c>
      <c r="F469" t="inlineStr">
        <is>
          <t>Centre-Val de Loire</t>
        </is>
      </c>
      <c r="G469" s="3" t="n">
        <v>10404</v>
      </c>
      <c r="H469" t="n">
        <v>7</v>
      </c>
      <c r="I469" t="inlineStr">
        <is>
          <t>33 boulevard de la République</t>
        </is>
      </c>
      <c r="J469" t="inlineStr">
        <is>
          <t>41300</t>
        </is>
      </c>
      <c r="K469" t="inlineStr">
        <is>
          <t>Salbris</t>
        </is>
      </c>
      <c r="L469" t="inlineStr">
        <is>
          <t>02 54 97 10 40</t>
        </is>
      </c>
      <c r="M469" s="4" t="inlineStr">
        <is>
          <t>solognedesrivieres@ccsr.fr</t>
        </is>
      </c>
      <c r="N469" s="4" t="inlineStr">
        <is>
          <t>https://sologne-des-rivieres.fr/</t>
        </is>
      </c>
      <c r="O469" t="inlineStr"/>
      <c r="P469" s="4" t="inlineStr">
        <is>
          <t>https://lannuaire.service-public.gouv.fr/centre-val-de-loire/loir-et-cher/86399de6-2317-47e7-80fc-dc72d64a8f7c</t>
        </is>
      </c>
      <c r="Q469" t="inlineStr">
        <is>
          <t>Annuaire Service-public.fr</t>
        </is>
      </c>
      <c r="R469" t="inlineStr"/>
      <c r="S469" t="inlineStr"/>
      <c r="T469" t="inlineStr"/>
    </row>
    <row r="470">
      <c r="A470" t="inlineStr">
        <is>
          <t>CC des Collines du Perche</t>
        </is>
      </c>
      <c r="B470" t="inlineStr">
        <is>
          <t>Communauté de communes</t>
        </is>
      </c>
      <c r="C470" t="inlineStr">
        <is>
          <t>244100293</t>
        </is>
      </c>
      <c r="D470" t="inlineStr">
        <is>
          <t>41</t>
        </is>
      </c>
      <c r="E470" t="inlineStr">
        <is>
          <t>Loir-et-Cher</t>
        </is>
      </c>
      <c r="F470" t="inlineStr">
        <is>
          <t>Centre-Val de Loire</t>
        </is>
      </c>
      <c r="G470" s="3" t="n">
        <v>5885</v>
      </c>
      <c r="H470" t="n">
        <v>12</v>
      </c>
      <c r="I470" t="inlineStr">
        <is>
          <t>36 rue Gheerbrant</t>
        </is>
      </c>
      <c r="J470" t="inlineStr">
        <is>
          <t>41170</t>
        </is>
      </c>
      <c r="K470" t="inlineStr">
        <is>
          <t>Mondoubleau</t>
        </is>
      </c>
      <c r="L470" t="inlineStr">
        <is>
          <t>02 54 89 71 14</t>
        </is>
      </c>
      <c r="M470" s="4" t="inlineStr">
        <is>
          <t>dgs@cc-collinesperche.fr</t>
        </is>
      </c>
      <c r="N470" s="4" t="inlineStr">
        <is>
          <t>https://www.cc-collinesperche.fr/</t>
        </is>
      </c>
      <c r="O470" s="4" t="inlineStr">
        <is>
          <t>https://www.cc-collinesperche.fr/contact</t>
        </is>
      </c>
      <c r="P470" s="4" t="inlineStr">
        <is>
          <t>https://lannuaire.service-public.gouv.fr/centre-val-de-loire/loir-et-cher/2b2f19e4-aa7a-44c8-95b8-64d3613d77cc</t>
        </is>
      </c>
      <c r="Q470" t="inlineStr">
        <is>
          <t>Annuaire Service-public.fr</t>
        </is>
      </c>
      <c r="R470" t="inlineStr"/>
      <c r="S470" t="inlineStr"/>
      <c r="T470" t="inlineStr"/>
    </row>
    <row r="471">
      <c r="A471" t="inlineStr">
        <is>
          <t>CC des Terres du Val de Loire</t>
        </is>
      </c>
      <c r="B471" t="inlineStr">
        <is>
          <t>Communauté de communes</t>
        </is>
      </c>
      <c r="C471" t="inlineStr">
        <is>
          <t>200070183</t>
        </is>
      </c>
      <c r="D471" t="inlineStr">
        <is>
          <t>41, 45</t>
        </is>
      </c>
      <c r="E471" t="inlineStr">
        <is>
          <t>Loir-et-Cher, Loiret</t>
        </is>
      </c>
      <c r="F471" t="inlineStr">
        <is>
          <t>Centre-Val de Loire</t>
        </is>
      </c>
      <c r="G471" s="3" t="n">
        <v>50078</v>
      </c>
      <c r="H471" t="n">
        <v>25</v>
      </c>
      <c r="I471" t="inlineStr">
        <is>
          <t>32 rue du Général-de-Gaulle</t>
        </is>
      </c>
      <c r="J471" t="inlineStr">
        <is>
          <t>45130</t>
        </is>
      </c>
      <c r="K471" t="inlineStr">
        <is>
          <t>Meung-sur-Loire</t>
        </is>
      </c>
      <c r="L471" t="inlineStr">
        <is>
          <t>02 38 45 11 11</t>
        </is>
      </c>
      <c r="M471" s="4" t="inlineStr">
        <is>
          <t>accueil@ccterresduvaldeloire.fr</t>
        </is>
      </c>
      <c r="N471" s="4" t="inlineStr">
        <is>
          <t>https://www.ccterresduvaldeloire.fr/</t>
        </is>
      </c>
      <c r="O471" s="4" t="inlineStr">
        <is>
          <t>https://www.ccterresduvaldeloire.fr/systeme/contact/</t>
        </is>
      </c>
      <c r="P471" s="4" t="inlineStr">
        <is>
          <t>https://lannuaire.service-public.gouv.fr/centre-val-de-loire/loiret/aca18a15-0241-4886-81f7-c048e4b5846f</t>
        </is>
      </c>
      <c r="Q471" t="inlineStr">
        <is>
          <t>Annuaire Service-public.fr</t>
        </is>
      </c>
      <c r="R471" t="inlineStr"/>
      <c r="S471" t="inlineStr"/>
      <c r="T471" t="inlineStr"/>
    </row>
    <row r="472">
      <c r="A472" t="inlineStr">
        <is>
          <t>CC du Grand Chambord</t>
        </is>
      </c>
      <c r="B472" t="inlineStr">
        <is>
          <t>Communauté de communes</t>
        </is>
      </c>
      <c r="C472" t="inlineStr">
        <is>
          <t>244100798</t>
        </is>
      </c>
      <c r="D472" t="inlineStr">
        <is>
          <t>41</t>
        </is>
      </c>
      <c r="E472" t="inlineStr">
        <is>
          <t>Loir-et-Cher</t>
        </is>
      </c>
      <c r="F472" t="inlineStr">
        <is>
          <t>Centre-Val de Loire</t>
        </is>
      </c>
      <c r="G472" s="3" t="n">
        <v>20640</v>
      </c>
      <c r="H472" t="n">
        <v>16</v>
      </c>
      <c r="I472" t="inlineStr">
        <is>
          <t>22 avenue de la Sablière</t>
        </is>
      </c>
      <c r="J472" t="inlineStr">
        <is>
          <t>41250</t>
        </is>
      </c>
      <c r="K472" t="inlineStr">
        <is>
          <t>Bracieux</t>
        </is>
      </c>
      <c r="L472" t="inlineStr">
        <is>
          <t>02 54 46 53 80</t>
        </is>
      </c>
      <c r="M472" s="4" t="inlineStr">
        <is>
          <t>contact@grandchambord.fr</t>
        </is>
      </c>
      <c r="N472" s="4" t="inlineStr">
        <is>
          <t>https://www.grandchambord.fr/</t>
        </is>
      </c>
      <c r="O472" s="4" t="inlineStr">
        <is>
          <t>https://www.grandchambord.fr/nous-contacter/</t>
        </is>
      </c>
      <c r="P472" s="4" t="inlineStr">
        <is>
          <t>https://lannuaire.service-public.gouv.fr/centre-val-de-loire/loir-et-cher/0746a14a-affb-43f7-a6db-92cd10ff06bb</t>
        </is>
      </c>
      <c r="Q472" t="inlineStr">
        <is>
          <t>Annuaire Service-public.fr</t>
        </is>
      </c>
      <c r="R472" t="inlineStr"/>
      <c r="S472" t="inlineStr"/>
      <c r="T472" t="inlineStr"/>
    </row>
    <row r="473">
      <c r="A473" t="inlineStr">
        <is>
          <t>CC du Perche et Haut Vendômois</t>
        </is>
      </c>
      <c r="B473" t="inlineStr">
        <is>
          <t>Communauté de communes</t>
        </is>
      </c>
      <c r="C473" t="inlineStr">
        <is>
          <t>200040772</t>
        </is>
      </c>
      <c r="D473" t="inlineStr">
        <is>
          <t>41</t>
        </is>
      </c>
      <c r="E473" t="inlineStr">
        <is>
          <t>Loir-et-Cher</t>
        </is>
      </c>
      <c r="F473" t="inlineStr">
        <is>
          <t>Centre-Val de Loire</t>
        </is>
      </c>
      <c r="G473" s="3" t="n">
        <v>9155</v>
      </c>
      <c r="H473" t="n">
        <v>23</v>
      </c>
      <c r="I473" t="inlineStr">
        <is>
          <t>Place Pierre-Genevée</t>
        </is>
      </c>
      <c r="J473" t="inlineStr">
        <is>
          <t>41160</t>
        </is>
      </c>
      <c r="K473" t="inlineStr">
        <is>
          <t>Freteval</t>
        </is>
      </c>
      <c r="L473" t="inlineStr">
        <is>
          <t>02 54 82 74 91</t>
        </is>
      </c>
      <c r="M473" s="4" t="inlineStr">
        <is>
          <t>cchv@cchv41.fr</t>
        </is>
      </c>
      <c r="N473" s="4" t="inlineStr">
        <is>
          <t>https://cphv41.fr/</t>
        </is>
      </c>
      <c r="O473" s="4" t="inlineStr">
        <is>
          <t>https://cphv41.fr/fr/</t>
        </is>
      </c>
      <c r="P473" s="4" t="inlineStr">
        <is>
          <t>https://lannuaire.service-public.gouv.fr/centre-val-de-loire/loir-et-cher/48f284d1-650a-41ab-b5ef-287623247236</t>
        </is>
      </c>
      <c r="Q473" t="inlineStr">
        <is>
          <t>Annuaire Service-public.fr</t>
        </is>
      </c>
      <c r="R473" t="inlineStr"/>
      <c r="S473" t="inlineStr"/>
      <c r="T473" t="inlineStr"/>
    </row>
    <row r="474">
      <c r="A474" t="inlineStr">
        <is>
          <t>CC du Romorantinais et du Monestois</t>
        </is>
      </c>
      <c r="B474" t="inlineStr">
        <is>
          <t>Communauté de communes</t>
        </is>
      </c>
      <c r="C474" t="inlineStr">
        <is>
          <t>200018406</t>
        </is>
      </c>
      <c r="D474" t="inlineStr">
        <is>
          <t>41</t>
        </is>
      </c>
      <c r="E474" t="inlineStr">
        <is>
          <t>Loir-et-Cher</t>
        </is>
      </c>
      <c r="F474" t="inlineStr">
        <is>
          <t>Centre-Val de Loire</t>
        </is>
      </c>
      <c r="G474" s="3" t="n">
        <v>33921</v>
      </c>
      <c r="H474" t="n">
        <v>16</v>
      </c>
      <c r="I474" t="inlineStr">
        <is>
          <t>Porte des Béliers, Rue Normant</t>
        </is>
      </c>
      <c r="J474" t="inlineStr">
        <is>
          <t>41200</t>
        </is>
      </c>
      <c r="K474" t="inlineStr">
        <is>
          <t>Romorantin-Lanthenay</t>
        </is>
      </c>
      <c r="L474" t="inlineStr">
        <is>
          <t>02 54 94 41 61</t>
        </is>
      </c>
      <c r="M474" s="4" t="inlineStr">
        <is>
          <t>direction.generale@ccrm41.fr</t>
        </is>
      </c>
      <c r="N474" s="4" t="inlineStr">
        <is>
          <t>https://ccrm41.fr/</t>
        </is>
      </c>
      <c r="O474" s="4" t="inlineStr">
        <is>
          <t>https://ccrm41.fr/contact/</t>
        </is>
      </c>
      <c r="P474" s="4" t="inlineStr">
        <is>
          <t>https://lannuaire.service-public.gouv.fr/centre-val-de-loire/loir-et-cher/dc6b0502-a130-430f-8e68-b89ec96cb0dc</t>
        </is>
      </c>
      <c r="Q474" t="inlineStr">
        <is>
          <t>Annuaire Service-public.fr</t>
        </is>
      </c>
      <c r="R474" t="inlineStr"/>
      <c r="S474" t="inlineStr"/>
      <c r="T474" t="inlineStr"/>
    </row>
    <row r="475">
      <c r="A475" t="inlineStr">
        <is>
          <t>CC Charlieu-Belmont</t>
        </is>
      </c>
      <c r="B475" t="inlineStr">
        <is>
          <t>Communauté de communes</t>
        </is>
      </c>
      <c r="C475" t="inlineStr">
        <is>
          <t>200035202</t>
        </is>
      </c>
      <c r="D475" t="inlineStr">
        <is>
          <t>42</t>
        </is>
      </c>
      <c r="E475" t="inlineStr">
        <is>
          <t>Loire</t>
        </is>
      </c>
      <c r="F475" t="inlineStr">
        <is>
          <t>Auvergne-Rhône-Alpes</t>
        </is>
      </c>
      <c r="G475" s="3" t="n">
        <v>23400</v>
      </c>
      <c r="H475" t="n">
        <v>25</v>
      </c>
      <c r="I475" t="inlineStr">
        <is>
          <t>9 place de la Bouverie</t>
        </is>
      </c>
      <c r="J475" t="inlineStr">
        <is>
          <t>42190</t>
        </is>
      </c>
      <c r="K475" t="inlineStr">
        <is>
          <t>Charlieu</t>
        </is>
      </c>
      <c r="L475" t="inlineStr">
        <is>
          <t>04 77 69 03 06</t>
        </is>
      </c>
      <c r="M475" s="4" t="inlineStr">
        <is>
          <t>contact@charlieubelmont.com</t>
        </is>
      </c>
      <c r="N475" s="4" t="inlineStr">
        <is>
          <t>https://www.charlieubelmont.com/</t>
        </is>
      </c>
      <c r="O475" s="4" t="inlineStr">
        <is>
          <t>https://www.charlieubelmont.com/nous-contacter/</t>
        </is>
      </c>
      <c r="P475" s="4" t="inlineStr">
        <is>
          <t>https://lannuaire.service-public.gouv.fr/auvergne-rhone-alpes/loire/1c40356e-a86e-4680-806e-80d8b250f679</t>
        </is>
      </c>
      <c r="Q475" t="inlineStr">
        <is>
          <t>Annuaire Service-public.fr</t>
        </is>
      </c>
      <c r="R475" t="inlineStr"/>
      <c r="S475" t="inlineStr"/>
      <c r="T475" t="inlineStr"/>
    </row>
    <row r="476">
      <c r="A476" t="inlineStr">
        <is>
          <t>CC de Forez-Est</t>
        </is>
      </c>
      <c r="B476" t="inlineStr">
        <is>
          <t>Communauté de communes</t>
        </is>
      </c>
      <c r="C476" t="inlineStr">
        <is>
          <t>200065894</t>
        </is>
      </c>
      <c r="D476" t="inlineStr">
        <is>
          <t>42</t>
        </is>
      </c>
      <c r="E476" t="inlineStr">
        <is>
          <t>Loire</t>
        </is>
      </c>
      <c r="F476" t="inlineStr">
        <is>
          <t>Auvergne-Rhône-Alpes</t>
        </is>
      </c>
      <c r="G476" s="3" t="n">
        <v>64654</v>
      </c>
      <c r="H476" t="n">
        <v>42</v>
      </c>
      <c r="I476" t="inlineStr">
        <is>
          <t>6 Place Paul Larue, BP 13</t>
        </is>
      </c>
      <c r="J476" t="inlineStr">
        <is>
          <t>42110</t>
        </is>
      </c>
      <c r="K476" t="inlineStr">
        <is>
          <t>Feurs</t>
        </is>
      </c>
      <c r="L476" t="inlineStr">
        <is>
          <t>04 77 28 29 30</t>
        </is>
      </c>
      <c r="M476" s="4" t="inlineStr">
        <is>
          <t>direction-generale@forez-est.fr</t>
        </is>
      </c>
      <c r="N476" s="4" t="inlineStr">
        <is>
          <t>https://www.forez-est.fr/</t>
        </is>
      </c>
      <c r="O476" s="4" t="inlineStr">
        <is>
          <t>https://www.forez-est.fr/</t>
        </is>
      </c>
      <c r="P476" s="4" t="inlineStr">
        <is>
          <t>https://lannuaire.service-public.gouv.fr/auvergne-rhone-alpes/loire/c4523d51-7d32-4b54-94a4-64700d643aaf</t>
        </is>
      </c>
      <c r="Q476" t="inlineStr">
        <is>
          <t>Annuaire Service-public.fr</t>
        </is>
      </c>
      <c r="R476" t="inlineStr"/>
      <c r="S476" t="inlineStr"/>
      <c r="T476" t="inlineStr"/>
    </row>
    <row r="477">
      <c r="A477" t="inlineStr">
        <is>
          <t>CC des Monts du Lyonnais</t>
        </is>
      </c>
      <c r="B477" t="inlineStr">
        <is>
          <t>Communauté de communes</t>
        </is>
      </c>
      <c r="C477" t="inlineStr">
        <is>
          <t>200066587</t>
        </is>
      </c>
      <c r="D477" t="inlineStr">
        <is>
          <t>42, 69</t>
        </is>
      </c>
      <c r="E477" t="inlineStr">
        <is>
          <t>Loire, Rhône</t>
        </is>
      </c>
      <c r="F477" t="inlineStr">
        <is>
          <t>Auvergne-Rhône-Alpes</t>
        </is>
      </c>
      <c r="G477" s="3" t="n">
        <v>35237</v>
      </c>
      <c r="H477" t="n">
        <v>32</v>
      </c>
      <c r="I477" t="inlineStr">
        <is>
          <t>790 allée de Pluvy</t>
        </is>
      </c>
      <c r="J477" t="inlineStr">
        <is>
          <t>69590</t>
        </is>
      </c>
      <c r="K477" t="inlineStr">
        <is>
          <t>Pomeys</t>
        </is>
      </c>
      <c r="L477" t="inlineStr">
        <is>
          <t>04 37 20 13 09</t>
        </is>
      </c>
      <c r="M477" s="4" t="inlineStr">
        <is>
          <t>contact@cc-mdl.fr</t>
        </is>
      </c>
      <c r="N477" s="4" t="inlineStr">
        <is>
          <t>https://www.cc-montsdulyonnais.fr/</t>
        </is>
      </c>
      <c r="O477" s="4" t="inlineStr">
        <is>
          <t>https://www.cc-montsdulyonnais.fr/contact/</t>
        </is>
      </c>
      <c r="P477" s="4" t="inlineStr">
        <is>
          <t>https://lannuaire.service-public.gouv.fr/auvergne-rhone-alpes/rhone/3dce566a-862f-4e81-b65c-f11b3d1ce3ab</t>
        </is>
      </c>
      <c r="Q477" t="inlineStr">
        <is>
          <t>Annuaire Service-public.fr</t>
        </is>
      </c>
      <c r="R477" t="inlineStr"/>
      <c r="S477" t="inlineStr"/>
      <c r="T477" t="inlineStr"/>
    </row>
    <row r="478">
      <c r="A478" t="inlineStr">
        <is>
          <t>CC des Monts du Pilat</t>
        </is>
      </c>
      <c r="B478" t="inlineStr">
        <is>
          <t>Communauté de communes</t>
        </is>
      </c>
      <c r="C478" t="inlineStr">
        <is>
          <t>244200622</t>
        </is>
      </c>
      <c r="D478" t="inlineStr">
        <is>
          <t>42</t>
        </is>
      </c>
      <c r="E478" t="inlineStr">
        <is>
          <t>Loire</t>
        </is>
      </c>
      <c r="F478" t="inlineStr">
        <is>
          <t>Auvergne-Rhône-Alpes</t>
        </is>
      </c>
      <c r="G478" s="3" t="n">
        <v>15463</v>
      </c>
      <c r="H478" t="n">
        <v>16</v>
      </c>
      <c r="I478" t="inlineStr">
        <is>
          <t>3 place de l'Hôtel-de-Ville</t>
        </is>
      </c>
      <c r="J478" t="inlineStr">
        <is>
          <t>42220</t>
        </is>
      </c>
      <c r="K478" t="inlineStr">
        <is>
          <t>Bourg-Argental</t>
        </is>
      </c>
      <c r="L478" t="inlineStr">
        <is>
          <t>04 77 39 69 21</t>
        </is>
      </c>
      <c r="M478" s="4" t="inlineStr">
        <is>
          <t>info@cc-montsdupilat.fr</t>
        </is>
      </c>
      <c r="N478" s="4" t="inlineStr">
        <is>
          <t>https://www.cc-montsdupilat.fr/</t>
        </is>
      </c>
      <c r="O478" s="4" t="inlineStr">
        <is>
          <t>https://www.cc-montsdupilat.fr/contact/</t>
        </is>
      </c>
      <c r="P478" s="4" t="inlineStr">
        <is>
          <t>https://lannuaire.service-public.gouv.fr/auvergne-rhone-alpes/loire/9294d86e-69d3-4c04-8e5f-053336627726</t>
        </is>
      </c>
      <c r="Q478" t="inlineStr">
        <is>
          <t>Annuaire Service-public.fr</t>
        </is>
      </c>
      <c r="R478" t="inlineStr"/>
      <c r="S478" t="inlineStr"/>
      <c r="T478" t="inlineStr"/>
    </row>
    <row r="479">
      <c r="A479" t="inlineStr">
        <is>
          <t>CC des Vals d'Aix et Isable</t>
        </is>
      </c>
      <c r="B479" t="inlineStr">
        <is>
          <t>Communauté de communes</t>
        </is>
      </c>
      <c r="C479" t="inlineStr">
        <is>
          <t>244200614</t>
        </is>
      </c>
      <c r="D479" t="inlineStr">
        <is>
          <t>42</t>
        </is>
      </c>
      <c r="E479" t="inlineStr">
        <is>
          <t>Loire</t>
        </is>
      </c>
      <c r="F479" t="inlineStr">
        <is>
          <t>Auvergne-Rhône-Alpes</t>
        </is>
      </c>
      <c r="G479" s="3" t="n">
        <v>5943</v>
      </c>
      <c r="H479" t="n">
        <v>12</v>
      </c>
      <c r="I479" t="inlineStr">
        <is>
          <t>28 rue Robert-Lugnier</t>
        </is>
      </c>
      <c r="J479" t="inlineStr">
        <is>
          <t>42260</t>
        </is>
      </c>
      <c r="K479" t="inlineStr">
        <is>
          <t>Saint-Germain-Laval</t>
        </is>
      </c>
      <c r="L479" t="inlineStr">
        <is>
          <t>04 77 65 48 75</t>
        </is>
      </c>
      <c r="M479" s="4" t="inlineStr">
        <is>
          <t>accueil@ccvai.fr</t>
        </is>
      </c>
      <c r="N479" s="4" t="inlineStr">
        <is>
          <t>https://www.ccvai.fr/</t>
        </is>
      </c>
      <c r="O479" s="4" t="inlineStr">
        <is>
          <t>https://www.ccvai.fr/contact-ccvai-art-13.html</t>
        </is>
      </c>
      <c r="P479" s="4" t="inlineStr">
        <is>
          <t>https://lannuaire.service-public.gouv.fr/auvergne-rhone-alpes/loire/1fcb4106-9517-4614-be7b-c342bd751544</t>
        </is>
      </c>
      <c r="Q479" t="inlineStr">
        <is>
          <t>Annuaire Service-public.fr</t>
        </is>
      </c>
      <c r="R479" t="inlineStr"/>
      <c r="S479" t="inlineStr"/>
      <c r="T479" t="inlineStr"/>
    </row>
    <row r="480">
      <c r="A480" t="inlineStr">
        <is>
          <t>CC du Pays Entre Loire et Rhône</t>
        </is>
      </c>
      <c r="B480" t="inlineStr">
        <is>
          <t>Communauté de communes</t>
        </is>
      </c>
      <c r="C480" t="inlineStr">
        <is>
          <t>244200630</t>
        </is>
      </c>
      <c r="D480" t="inlineStr">
        <is>
          <t>42</t>
        </is>
      </c>
      <c r="E480" t="inlineStr">
        <is>
          <t>Loire</t>
        </is>
      </c>
      <c r="F480" t="inlineStr">
        <is>
          <t>Auvergne-Rhône-Alpes</t>
        </is>
      </c>
      <c r="G480" s="3" t="n">
        <v>14105</v>
      </c>
      <c r="H480" t="n">
        <v>16</v>
      </c>
      <c r="I480" t="inlineStr">
        <is>
          <t>44 rue de la Tête-Noire</t>
        </is>
      </c>
      <c r="J480" t="inlineStr">
        <is>
          <t>42470</t>
        </is>
      </c>
      <c r="K480" t="inlineStr">
        <is>
          <t>Saint-Symphorien-de-Lay</t>
        </is>
      </c>
      <c r="L480" t="inlineStr">
        <is>
          <t>04 77 62 77 62</t>
        </is>
      </c>
      <c r="M480" s="4" t="inlineStr">
        <is>
          <t>copler@copler.fr</t>
        </is>
      </c>
      <c r="N480" s="4" t="inlineStr">
        <is>
          <t>https://www.copler.fr/</t>
        </is>
      </c>
      <c r="O480" s="4" t="inlineStr">
        <is>
          <t>https://www.copler.fr/</t>
        </is>
      </c>
      <c r="P480" s="4" t="inlineStr">
        <is>
          <t>https://lannuaire.service-public.gouv.fr/auvergne-rhone-alpes/loire/3f94349e-a952-4ec4-9629-117db099b3fa</t>
        </is>
      </c>
      <c r="Q480" t="inlineStr">
        <is>
          <t>Annuaire Service-public.fr</t>
        </is>
      </c>
      <c r="R480" t="inlineStr"/>
      <c r="S480" t="inlineStr"/>
      <c r="T480" t="inlineStr"/>
    </row>
    <row r="481">
      <c r="A481" t="inlineStr">
        <is>
          <t>CC du Pays d'Urfé</t>
        </is>
      </c>
      <c r="B481" t="inlineStr">
        <is>
          <t>Communauté de communes</t>
        </is>
      </c>
      <c r="C481" t="inlineStr">
        <is>
          <t>244200820</t>
        </is>
      </c>
      <c r="D481" t="inlineStr">
        <is>
          <t>42</t>
        </is>
      </c>
      <c r="E481" t="inlineStr">
        <is>
          <t>Loire</t>
        </is>
      </c>
      <c r="F481" t="inlineStr">
        <is>
          <t>Auvergne-Rhône-Alpes</t>
        </is>
      </c>
      <c r="G481" s="3" t="n">
        <v>5104</v>
      </c>
      <c r="H481" t="n">
        <v>11</v>
      </c>
      <c r="I481" t="inlineStr">
        <is>
          <t>55 rue rené cassin</t>
        </is>
      </c>
      <c r="J481" t="inlineStr">
        <is>
          <t>42430</t>
        </is>
      </c>
      <c r="K481" t="inlineStr">
        <is>
          <t>Saint-Just-en-Chevalet</t>
        </is>
      </c>
      <c r="L481" t="inlineStr">
        <is>
          <t>04 77 65 12 24</t>
        </is>
      </c>
      <c r="M481" s="4" t="inlineStr">
        <is>
          <t>contact@ccpu.fr</t>
        </is>
      </c>
      <c r="N481" s="4" t="inlineStr">
        <is>
          <t>https://www.ccpu.fr/</t>
        </is>
      </c>
      <c r="O481" s="4" t="inlineStr">
        <is>
          <t>https://www.ccpu.fr/contact-comcom-pays-durfe-loire-42_fr.html</t>
        </is>
      </c>
      <c r="P481" s="4" t="inlineStr">
        <is>
          <t>https://lannuaire.service-public.gouv.fr/auvergne-rhone-alpes/loire/664da76a-141e-4238-ae51-420e7fc05f75</t>
        </is>
      </c>
      <c r="Q481" t="inlineStr">
        <is>
          <t>Annuaire Service-public.fr</t>
        </is>
      </c>
      <c r="R481" t="inlineStr"/>
      <c r="S481" t="inlineStr"/>
      <c r="T481" t="inlineStr"/>
    </row>
    <row r="482">
      <c r="A482" t="inlineStr">
        <is>
          <t>CC du Pilat Rhodanien</t>
        </is>
      </c>
      <c r="B482" t="inlineStr">
        <is>
          <t>Communauté de communes</t>
        </is>
      </c>
      <c r="C482" t="inlineStr">
        <is>
          <t>244200895</t>
        </is>
      </c>
      <c r="D482" t="inlineStr">
        <is>
          <t>42</t>
        </is>
      </c>
      <c r="E482" t="inlineStr">
        <is>
          <t>Loire</t>
        </is>
      </c>
      <c r="F482" t="inlineStr">
        <is>
          <t>Auvergne-Rhône-Alpes</t>
        </is>
      </c>
      <c r="G482" s="3" t="n">
        <v>16953</v>
      </c>
      <c r="H482" t="n">
        <v>14</v>
      </c>
      <c r="I482" t="inlineStr">
        <is>
          <t>9 rue des Prairies</t>
        </is>
      </c>
      <c r="J482" t="inlineStr">
        <is>
          <t>42410</t>
        </is>
      </c>
      <c r="K482" t="inlineStr">
        <is>
          <t>Pélussin</t>
        </is>
      </c>
      <c r="L482" t="inlineStr">
        <is>
          <t>04 74 87 30 13</t>
        </is>
      </c>
      <c r="M482" s="4" t="inlineStr">
        <is>
          <t>ccpr@pilatrhodanien.fr</t>
        </is>
      </c>
      <c r="N482" s="4" t="inlineStr">
        <is>
          <t>https://www.pilatrhodanien.fr/</t>
        </is>
      </c>
      <c r="O482" s="4" t="inlineStr">
        <is>
          <t>https://www.pilatrhodanien.fr/contact/</t>
        </is>
      </c>
      <c r="P482" s="4" t="inlineStr">
        <is>
          <t>https://lannuaire.service-public.gouv.fr/auvergne-rhone-alpes/loire/d4d94e5e-ac87-42c7-969c-bbd27aa4748f</t>
        </is>
      </c>
      <c r="Q482" t="inlineStr">
        <is>
          <t>Annuaire Service-public.fr</t>
        </is>
      </c>
      <c r="R482" t="inlineStr"/>
      <c r="S482" t="inlineStr"/>
      <c r="T482" t="inlineStr"/>
    </row>
    <row r="483">
      <c r="A483" t="inlineStr">
        <is>
          <t>CC Auzon Communauté</t>
        </is>
      </c>
      <c r="B483" t="inlineStr">
        <is>
          <t>Communauté de communes</t>
        </is>
      </c>
      <c r="C483" t="inlineStr">
        <is>
          <t>244301099</t>
        </is>
      </c>
      <c r="D483" t="inlineStr">
        <is>
          <t>43</t>
        </is>
      </c>
      <c r="E483" t="inlineStr">
        <is>
          <t>Haute-Loire</t>
        </is>
      </c>
      <c r="F483" t="inlineStr">
        <is>
          <t>Auvergne-Rhône-Alpes</t>
        </is>
      </c>
      <c r="G483" s="3" t="n">
        <v>9348</v>
      </c>
      <c r="H483" t="n">
        <v>12</v>
      </c>
      <c r="I483" t="inlineStr">
        <is>
          <t>Rue Jean-Catinot</t>
        </is>
      </c>
      <c r="J483" t="inlineStr">
        <is>
          <t>43250</t>
        </is>
      </c>
      <c r="K483" t="inlineStr">
        <is>
          <t>Sainte-Florine</t>
        </is>
      </c>
      <c r="L483" t="inlineStr">
        <is>
          <t>04 73 54 02 28</t>
        </is>
      </c>
      <c r="M483" s="4" t="inlineStr">
        <is>
          <t>contact@cc-auzon.fr</t>
        </is>
      </c>
      <c r="N483" s="4" t="inlineStr">
        <is>
          <t>https://www.cc-auzon.fr/</t>
        </is>
      </c>
      <c r="O483" s="4" t="inlineStr">
        <is>
          <t>https://www.cc-auzon.fr/contact_fr.html</t>
        </is>
      </c>
      <c r="P483" s="4" t="inlineStr">
        <is>
          <t>https://lannuaire.service-public.gouv.fr/auvergne-rhone-alpes/haute-loire/0599b0d5-64b1-4742-a00d-7795cc5118da</t>
        </is>
      </c>
      <c r="Q483" t="inlineStr">
        <is>
          <t>Annuaire Service-public.fr</t>
        </is>
      </c>
      <c r="R483" t="inlineStr"/>
      <c r="S483" t="inlineStr"/>
      <c r="T483" t="inlineStr"/>
    </row>
    <row r="484">
      <c r="A484" t="inlineStr">
        <is>
          <t>CC Brioude Sud Auvergne</t>
        </is>
      </c>
      <c r="B484" t="inlineStr">
        <is>
          <t>Communauté de communes</t>
        </is>
      </c>
      <c r="C484" t="inlineStr">
        <is>
          <t>200085728</t>
        </is>
      </c>
      <c r="D484" t="inlineStr">
        <is>
          <t>43</t>
        </is>
      </c>
      <c r="E484" t="inlineStr">
        <is>
          <t>Haute-Loire</t>
        </is>
      </c>
      <c r="F484" t="inlineStr">
        <is>
          <t>Auvergne-Rhône-Alpes</t>
        </is>
      </c>
      <c r="G484" s="3" t="n">
        <v>16706</v>
      </c>
      <c r="H484" t="n">
        <v>27</v>
      </c>
      <c r="I484" t="inlineStr">
        <is>
          <t>Rue du 21-Juin-1944, BP 55</t>
        </is>
      </c>
      <c r="J484" t="inlineStr">
        <is>
          <t>43102</t>
        </is>
      </c>
      <c r="K484" t="inlineStr">
        <is>
          <t>Brioude</t>
        </is>
      </c>
      <c r="L484" t="inlineStr">
        <is>
          <t>04 71 50 89 10</t>
        </is>
      </c>
      <c r="M484" s="4" t="inlineStr">
        <is>
          <t>accueil@brioudesudauvergne.fr</t>
        </is>
      </c>
      <c r="N484" s="4" t="inlineStr">
        <is>
          <t>https://www.cc-brivadois.fr/</t>
        </is>
      </c>
      <c r="O484" t="inlineStr"/>
      <c r="P484" s="4" t="inlineStr">
        <is>
          <t>https://lannuaire.service-public.gouv.fr/auvergne-rhone-alpes/haute-loire/de712671-35bb-4119-ba82-17e4180e0a2c</t>
        </is>
      </c>
      <c r="Q484" t="inlineStr">
        <is>
          <t>Annuaire Service-public.fr</t>
        </is>
      </c>
      <c r="R484" t="inlineStr"/>
      <c r="S484" t="inlineStr"/>
      <c r="T484" t="inlineStr"/>
    </row>
    <row r="485">
      <c r="A485" t="inlineStr">
        <is>
          <t>CC Haut Pays du Velay</t>
        </is>
      </c>
      <c r="B485" t="inlineStr">
        <is>
          <t>Communauté de communes</t>
        </is>
      </c>
      <c r="C485" t="inlineStr">
        <is>
          <t>244300307</t>
        </is>
      </c>
      <c r="D485" t="inlineStr">
        <is>
          <t>43</t>
        </is>
      </c>
      <c r="E485" t="inlineStr">
        <is>
          <t>Haute-Loire</t>
        </is>
      </c>
      <c r="F485" t="inlineStr">
        <is>
          <t>Auvergne-Rhône-Alpes</t>
        </is>
      </c>
      <c r="G485" s="3" t="n">
        <v>8025</v>
      </c>
      <c r="H485" t="n">
        <v>8</v>
      </c>
      <c r="I485" t="inlineStr">
        <is>
          <t>37 rue Centrale</t>
        </is>
      </c>
      <c r="J485" t="inlineStr">
        <is>
          <t>43290</t>
        </is>
      </c>
      <c r="K485" t="inlineStr">
        <is>
          <t>Montfaucon-en-Velay</t>
        </is>
      </c>
      <c r="L485" t="inlineStr">
        <is>
          <t>04 71 65 74 10</t>
        </is>
      </c>
      <c r="M485" s="4" t="inlineStr">
        <is>
          <t>accueil@hautpaysduvelay.fr</t>
        </is>
      </c>
      <c r="N485" s="4" t="inlineStr">
        <is>
          <t>https://hautpaysduvelay-communaute.fr/</t>
        </is>
      </c>
      <c r="O485" s="4" t="inlineStr">
        <is>
          <t>https://hautpaysduvelay-communaute.fr/contact/</t>
        </is>
      </c>
      <c r="P485" s="4" t="inlineStr">
        <is>
          <t>https://lannuaire.service-public.gouv.fr/auvergne-rhone-alpes/haute-loire/fd7b9ee7-d62a-49cc-9520-b8a2e13bc530</t>
        </is>
      </c>
      <c r="Q485" t="inlineStr">
        <is>
          <t>Annuaire Service-public.fr</t>
        </is>
      </c>
      <c r="R485" t="inlineStr"/>
      <c r="S485" t="inlineStr"/>
      <c r="T485" t="inlineStr"/>
    </row>
    <row r="486">
      <c r="A486" t="inlineStr">
        <is>
          <t>CC Loire et Semène</t>
        </is>
      </c>
      <c r="B486" t="inlineStr">
        <is>
          <t>Communauté de communes</t>
        </is>
      </c>
      <c r="C486" t="inlineStr">
        <is>
          <t>244301131</t>
        </is>
      </c>
      <c r="D486" t="inlineStr">
        <is>
          <t>43</t>
        </is>
      </c>
      <c r="E486" t="inlineStr">
        <is>
          <t>Haute-Loire</t>
        </is>
      </c>
      <c r="F486" t="inlineStr">
        <is>
          <t>Auvergne-Rhône-Alpes</t>
        </is>
      </c>
      <c r="G486" s="3" t="n">
        <v>20448</v>
      </c>
      <c r="H486" t="n">
        <v>7</v>
      </c>
      <c r="I486" t="inlineStr">
        <is>
          <t>1 place de l'Abbaye</t>
        </is>
      </c>
      <c r="J486" t="inlineStr">
        <is>
          <t>43140</t>
        </is>
      </c>
      <c r="K486" t="inlineStr">
        <is>
          <t>La Séauve-sur-Semène</t>
        </is>
      </c>
      <c r="L486" t="inlineStr">
        <is>
          <t>04 71 75 69 50</t>
        </is>
      </c>
      <c r="M486" s="4" t="inlineStr">
        <is>
          <t>accueil@loire-semene.fr</t>
        </is>
      </c>
      <c r="N486" s="4" t="inlineStr">
        <is>
          <t>https://loire-semene.fr/</t>
        </is>
      </c>
      <c r="O486" s="4" t="inlineStr">
        <is>
          <t>https://loire-semene.fr/contact/</t>
        </is>
      </c>
      <c r="P486" s="4" t="inlineStr">
        <is>
          <t>https://lannuaire.service-public.gouv.fr/auvergne-rhone-alpes/haute-loire/2efa5cc7-f0d5-4ad0-ba9d-de02d29a52eb</t>
        </is>
      </c>
      <c r="Q486" t="inlineStr">
        <is>
          <t>Annuaire Service-public.fr</t>
        </is>
      </c>
      <c r="R486" t="inlineStr"/>
      <c r="S486" t="inlineStr"/>
      <c r="T486" t="inlineStr"/>
    </row>
    <row r="487">
      <c r="A487" t="inlineStr">
        <is>
          <t>CC Marches du Velay-Rochebaron</t>
        </is>
      </c>
      <c r="B487" t="inlineStr">
        <is>
          <t>Communauté de communes</t>
        </is>
      </c>
      <c r="C487" t="inlineStr">
        <is>
          <t>200073427</t>
        </is>
      </c>
      <c r="D487" t="inlineStr">
        <is>
          <t>43</t>
        </is>
      </c>
      <c r="E487" t="inlineStr">
        <is>
          <t>Haute-Loire</t>
        </is>
      </c>
      <c r="F487" t="inlineStr">
        <is>
          <t>Auvergne-Rhône-Alpes</t>
        </is>
      </c>
      <c r="G487" s="3" t="n">
        <v>31339</v>
      </c>
      <c r="H487" t="n">
        <v>14</v>
      </c>
      <c r="I487" t="inlineStr">
        <is>
          <t>9 rue de l'Épée, ZA La Borie, BP 70060</t>
        </is>
      </c>
      <c r="J487" t="inlineStr">
        <is>
          <t>43120</t>
        </is>
      </c>
      <c r="K487" t="inlineStr">
        <is>
          <t>Monistrol-sur-Loire</t>
        </is>
      </c>
      <c r="L487" t="inlineStr">
        <is>
          <t>04 71 61 74 34</t>
        </is>
      </c>
      <c r="M487" s="4" t="inlineStr">
        <is>
          <t>contact@marchesduvelayrochebaron.fr</t>
        </is>
      </c>
      <c r="N487" s="4" t="inlineStr">
        <is>
          <t>https://www.marchesduvelayrochebaron.fr/</t>
        </is>
      </c>
      <c r="O487" s="4" t="inlineStr">
        <is>
          <t>https://www.marchesduvelayrochebaron.fr/contact/</t>
        </is>
      </c>
      <c r="P487" s="4" t="inlineStr">
        <is>
          <t>https://lannuaire.service-public.gouv.fr/auvergne-rhone-alpes/haute-loire/29e3b0d7-373b-4007-a42d-3cffff32a256</t>
        </is>
      </c>
      <c r="Q487" t="inlineStr">
        <is>
          <t>Annuaire Service-public.fr</t>
        </is>
      </c>
      <c r="R487" t="inlineStr"/>
      <c r="S487" t="inlineStr"/>
      <c r="T487" t="inlineStr"/>
    </row>
    <row r="488">
      <c r="A488" t="inlineStr">
        <is>
          <t>CC Mézenc-Loire-Meygal</t>
        </is>
      </c>
      <c r="B488" t="inlineStr">
        <is>
          <t>Communauté de communes</t>
        </is>
      </c>
      <c r="C488" t="inlineStr">
        <is>
          <t>200073401</t>
        </is>
      </c>
      <c r="D488" t="inlineStr">
        <is>
          <t>43</t>
        </is>
      </c>
      <c r="E488" t="inlineStr">
        <is>
          <t>Haute-Loire</t>
        </is>
      </c>
      <c r="F488" t="inlineStr">
        <is>
          <t>Auvergne-Rhône-Alpes</t>
        </is>
      </c>
      <c r="G488" s="3" t="n">
        <v>11429</v>
      </c>
      <c r="H488" t="n">
        <v>22</v>
      </c>
      <c r="I488" t="inlineStr">
        <is>
          <t>10 place Saint-Robert</t>
        </is>
      </c>
      <c r="J488" t="inlineStr">
        <is>
          <t>43260</t>
        </is>
      </c>
      <c r="K488" t="inlineStr">
        <is>
          <t>Saint-Julien-Chapteuil</t>
        </is>
      </c>
      <c r="L488" t="inlineStr">
        <is>
          <t>04 71 01 14 34</t>
        </is>
      </c>
      <c r="M488" s="4" t="inlineStr">
        <is>
          <t>contact@mezencloiremeygal.fr</t>
        </is>
      </c>
      <c r="N488" s="4" t="inlineStr">
        <is>
          <t>https://www.mezencloiremeygal.fr</t>
        </is>
      </c>
      <c r="O488" t="inlineStr"/>
      <c r="P488" s="4" t="inlineStr">
        <is>
          <t>https://lannuaire.service-public.gouv.fr/auvergne-rhone-alpes/haute-loire/de7acbc9-b1dd-44e1-9aeb-25954f431e80</t>
        </is>
      </c>
      <c r="Q488" t="inlineStr">
        <is>
          <t>Annuaire Service-public.fr</t>
        </is>
      </c>
      <c r="R488" t="inlineStr"/>
      <c r="S488" t="inlineStr"/>
      <c r="T488" t="inlineStr"/>
    </row>
    <row r="489">
      <c r="A489" t="inlineStr">
        <is>
          <t>CC des Pays de Cayres et de Pradelles</t>
        </is>
      </c>
      <c r="B489" t="inlineStr">
        <is>
          <t>Communauté de communes</t>
        </is>
      </c>
      <c r="C489" t="inlineStr">
        <is>
          <t>244301123</t>
        </is>
      </c>
      <c r="D489" t="inlineStr">
        <is>
          <t>43</t>
        </is>
      </c>
      <c r="E489" t="inlineStr">
        <is>
          <t>Haute-Loire</t>
        </is>
      </c>
      <c r="F489" t="inlineStr">
        <is>
          <t>Auvergne-Rhône-Alpes</t>
        </is>
      </c>
      <c r="G489" s="3" t="n">
        <v>5148</v>
      </c>
      <c r="H489" t="n">
        <v>20</v>
      </c>
      <c r="I489" t="inlineStr">
        <is>
          <t>Place de l'Église</t>
        </is>
      </c>
      <c r="J489" t="inlineStr">
        <is>
          <t>43490</t>
        </is>
      </c>
      <c r="K489" t="inlineStr">
        <is>
          <t>Costaros</t>
        </is>
      </c>
      <c r="L489" t="inlineStr">
        <is>
          <t>04 71 57 88 00</t>
        </is>
      </c>
      <c r="M489" s="4" t="inlineStr">
        <is>
          <t>contact@ccpcp.fr</t>
        </is>
      </c>
      <c r="N489" s="4" t="inlineStr">
        <is>
          <t>https://www.ccpcp.fr/</t>
        </is>
      </c>
      <c r="O489" s="4" t="inlineStr">
        <is>
          <t>https://www.ccpcp.fr/nous-contacter/</t>
        </is>
      </c>
      <c r="P489" s="4" t="inlineStr">
        <is>
          <t>https://lannuaire.service-public.gouv.fr/auvergne-rhone-alpes/haute-loire/2f5c0f05-1bfd-46d5-b2fd-f1343cb83a4b</t>
        </is>
      </c>
      <c r="Q489" t="inlineStr">
        <is>
          <t>Annuaire Service-public.fr</t>
        </is>
      </c>
      <c r="R489" t="inlineStr"/>
      <c r="S489" t="inlineStr"/>
      <c r="T489" t="inlineStr"/>
    </row>
    <row r="490">
      <c r="A490" t="inlineStr">
        <is>
          <t>CC des Rives du Haut Allier</t>
        </is>
      </c>
      <c r="B490" t="inlineStr">
        <is>
          <t>Communauté de communes</t>
        </is>
      </c>
      <c r="C490" t="inlineStr">
        <is>
          <t>200073393</t>
        </is>
      </c>
      <c r="D490" t="inlineStr">
        <is>
          <t>43</t>
        </is>
      </c>
      <c r="E490" t="inlineStr">
        <is>
          <t>Haute-Loire</t>
        </is>
      </c>
      <c r="F490" t="inlineStr">
        <is>
          <t>Auvergne-Rhône-Alpes</t>
        </is>
      </c>
      <c r="G490" s="3" t="n">
        <v>16416</v>
      </c>
      <c r="H490" t="n">
        <v>60</v>
      </c>
      <c r="I490" t="inlineStr">
        <is>
          <t>6 place André-Roux</t>
        </is>
      </c>
      <c r="J490" t="inlineStr">
        <is>
          <t>43300</t>
        </is>
      </c>
      <c r="K490" t="inlineStr">
        <is>
          <t>Langeac</t>
        </is>
      </c>
      <c r="L490" t="inlineStr">
        <is>
          <t>04 71 77 26 51</t>
        </is>
      </c>
      <c r="M490" s="4" t="inlineStr">
        <is>
          <t>cc@rivesduhautallier.fr</t>
        </is>
      </c>
      <c r="N490" s="4" t="inlineStr">
        <is>
          <t>https://www.rivesduhautallier.fr/</t>
        </is>
      </c>
      <c r="O490" s="4" t="inlineStr">
        <is>
          <t>https://www.rivesduhautallier.fr/</t>
        </is>
      </c>
      <c r="P490" s="4" t="inlineStr">
        <is>
          <t>https://lannuaire.service-public.gouv.fr/auvergne-rhone-alpes/haute-loire/2b4dd47f-cd8e-4ed8-89dd-af7c76cef38a</t>
        </is>
      </c>
      <c r="Q490" t="inlineStr">
        <is>
          <t>Annuaire Service-public.fr</t>
        </is>
      </c>
      <c r="R490" t="inlineStr"/>
      <c r="S490" t="inlineStr"/>
      <c r="T490" t="inlineStr"/>
    </row>
    <row r="491">
      <c r="A491" t="inlineStr">
        <is>
          <t>CC des Sucs</t>
        </is>
      </c>
      <c r="B491" t="inlineStr">
        <is>
          <t>Communauté de communes</t>
        </is>
      </c>
      <c r="C491" t="inlineStr">
        <is>
          <t>244301016</t>
        </is>
      </c>
      <c r="D491" t="inlineStr">
        <is>
          <t>43</t>
        </is>
      </c>
      <c r="E491" t="inlineStr">
        <is>
          <t>Haute-Loire</t>
        </is>
      </c>
      <c r="F491" t="inlineStr">
        <is>
          <t>Auvergne-Rhône-Alpes</t>
        </is>
      </c>
      <c r="G491" s="3" t="n">
        <v>18332</v>
      </c>
      <c r="H491" t="n">
        <v>9</v>
      </c>
      <c r="I491" t="inlineStr">
        <is>
          <t>Place Charles-de-Gaulle</t>
        </is>
      </c>
      <c r="J491" t="inlineStr">
        <is>
          <t>43200</t>
        </is>
      </c>
      <c r="K491" t="inlineStr">
        <is>
          <t>Yssingeaux</t>
        </is>
      </c>
      <c r="L491" t="inlineStr">
        <is>
          <t>04 71 59 07 67</t>
        </is>
      </c>
      <c r="M491" s="4" t="inlineStr">
        <is>
          <t>contact@cc-des-sucs.fr</t>
        </is>
      </c>
      <c r="N491" s="4" t="inlineStr">
        <is>
          <t>https://www.cc-des-sucs.fr/</t>
        </is>
      </c>
      <c r="O491" s="4" t="inlineStr">
        <is>
          <t>https://www.cc-des-sucs.fr/contact/</t>
        </is>
      </c>
      <c r="P491" s="4" t="inlineStr">
        <is>
          <t>https://lannuaire.service-public.gouv.fr/auvergne-rhone-alpes/haute-loire/71cead4b-b2c2-4bd1-9938-7fa6daf0cd1c</t>
        </is>
      </c>
      <c r="Q491" t="inlineStr">
        <is>
          <t>Annuaire Service-public.fr</t>
        </is>
      </c>
      <c r="R491" t="inlineStr"/>
      <c r="S491" t="inlineStr"/>
      <c r="T491" t="inlineStr"/>
    </row>
    <row r="492">
      <c r="A492" t="inlineStr">
        <is>
          <t>CC du Haut Lignon</t>
        </is>
      </c>
      <c r="B492" t="inlineStr">
        <is>
          <t>Communauté de communes</t>
        </is>
      </c>
      <c r="C492" t="inlineStr">
        <is>
          <t>244301107</t>
        </is>
      </c>
      <c r="D492" t="inlineStr">
        <is>
          <t>43</t>
        </is>
      </c>
      <c r="E492" t="inlineStr">
        <is>
          <t>Haute-Loire</t>
        </is>
      </c>
      <c r="F492" t="inlineStr">
        <is>
          <t>Auvergne-Rhône-Alpes</t>
        </is>
      </c>
      <c r="G492" s="3" t="n">
        <v>8151</v>
      </c>
      <c r="H492" t="n">
        <v>6</v>
      </c>
      <c r="I492" t="inlineStr">
        <is>
          <t>13 allée des Pâquerettes</t>
        </is>
      </c>
      <c r="J492" t="inlineStr">
        <is>
          <t>43190</t>
        </is>
      </c>
      <c r="K492" t="inlineStr">
        <is>
          <t>Tence</t>
        </is>
      </c>
      <c r="L492" t="inlineStr">
        <is>
          <t>04 71 59 87 63</t>
        </is>
      </c>
      <c r="M492" s="4" t="inlineStr">
        <is>
          <t>cc.hautlignon@wanadoo.fr</t>
        </is>
      </c>
      <c r="N492" s="4" t="inlineStr">
        <is>
          <t>https://www.cc-hautlignon.fr/</t>
        </is>
      </c>
      <c r="O492" s="4" t="inlineStr">
        <is>
          <t>https://www.cc-hautlignon.fr/pages/site/contact/</t>
        </is>
      </c>
      <c r="P492" s="4" t="inlineStr">
        <is>
          <t>https://lannuaire.service-public.gouv.fr/auvergne-rhone-alpes/haute-loire/50f9ed2f-39ff-4959-8954-482beaf753a9</t>
        </is>
      </c>
      <c r="Q492" t="inlineStr">
        <is>
          <t>Annuaire Service-public.fr</t>
        </is>
      </c>
      <c r="R492" t="inlineStr"/>
      <c r="S492" t="inlineStr"/>
      <c r="T492" t="inlineStr"/>
    </row>
    <row r="493">
      <c r="A493" t="inlineStr">
        <is>
          <t>CC Châteaubriant-Derval</t>
        </is>
      </c>
      <c r="B493" t="inlineStr">
        <is>
          <t>Communauté de communes</t>
        </is>
      </c>
      <c r="C493" t="inlineStr">
        <is>
          <t>200072726</t>
        </is>
      </c>
      <c r="D493" t="inlineStr">
        <is>
          <t>44</t>
        </is>
      </c>
      <c r="E493" t="inlineStr">
        <is>
          <t>Loire-Atlantique</t>
        </is>
      </c>
      <c r="F493" t="inlineStr">
        <is>
          <t>Pays de la Loire</t>
        </is>
      </c>
      <c r="G493" s="3" t="n">
        <v>44697</v>
      </c>
      <c r="H493" t="n">
        <v>26</v>
      </c>
      <c r="I493" t="inlineStr">
        <is>
          <t>5 rue Gabriel-Delatour</t>
        </is>
      </c>
      <c r="J493" t="inlineStr">
        <is>
          <t>44110</t>
        </is>
      </c>
      <c r="K493" t="inlineStr">
        <is>
          <t>Châteaubriant</t>
        </is>
      </c>
      <c r="L493" t="inlineStr">
        <is>
          <t>02 28 04 06 33</t>
        </is>
      </c>
      <c r="M493" s="4" t="inlineStr">
        <is>
          <t>accueil@cc-chateaubriant-derval.fr</t>
        </is>
      </c>
      <c r="N493" s="4" t="inlineStr">
        <is>
          <t>https://www.cc-chateaubriant-derval.fr/</t>
        </is>
      </c>
      <c r="O493" s="4" t="inlineStr">
        <is>
          <t>https://www.cc-chateaubriant-derval.fr/nous-contacter/</t>
        </is>
      </c>
      <c r="P493" s="4" t="inlineStr">
        <is>
          <t>https://lannuaire.service-public.gouv.fr/pays-de-la-loire/loire-atlantique/ba69ec86-a06d-442b-bfdd-bd9bf934a98a</t>
        </is>
      </c>
      <c r="Q493" t="inlineStr">
        <is>
          <t>Annuaire Service-public.fr</t>
        </is>
      </c>
      <c r="R493" t="inlineStr"/>
      <c r="S493" t="inlineStr"/>
      <c r="T493" t="inlineStr"/>
    </row>
    <row r="494">
      <c r="A494" t="inlineStr">
        <is>
          <t>CC Estuaire et Sillon</t>
        </is>
      </c>
      <c r="B494" t="inlineStr">
        <is>
          <t>Communauté de communes</t>
        </is>
      </c>
      <c r="C494" t="inlineStr">
        <is>
          <t>200072734</t>
        </is>
      </c>
      <c r="D494" t="inlineStr">
        <is>
          <t>44</t>
        </is>
      </c>
      <c r="E494" t="inlineStr">
        <is>
          <t>Loire-Atlantique</t>
        </is>
      </c>
      <c r="F494" t="inlineStr">
        <is>
          <t>Pays de la Loire</t>
        </is>
      </c>
      <c r="G494" s="3" t="n">
        <v>41096</v>
      </c>
      <c r="H494" t="n">
        <v>11</v>
      </c>
      <c r="I494" t="inlineStr">
        <is>
          <t>2 boulevard de la Loire</t>
        </is>
      </c>
      <c r="J494" t="inlineStr">
        <is>
          <t>44260</t>
        </is>
      </c>
      <c r="K494" t="inlineStr">
        <is>
          <t>Savenay</t>
        </is>
      </c>
      <c r="L494" t="inlineStr">
        <is>
          <t>02 40 56 81 03</t>
        </is>
      </c>
      <c r="M494" s="4" t="inlineStr">
        <is>
          <t>communaute@estuaire-sillon.fr</t>
        </is>
      </c>
      <c r="N494" s="4" t="inlineStr">
        <is>
          <t>https://www.estuaire-sillon.fr/</t>
        </is>
      </c>
      <c r="O494" s="4" t="inlineStr">
        <is>
          <t>https://www.estuaire-sillon.fr/nous-contacter-9.html</t>
        </is>
      </c>
      <c r="P494" s="4" t="inlineStr">
        <is>
          <t>https://lannuaire.service-public.gouv.fr/pays-de-la-loire/loire-atlantique/6c019e24-4f59-4cbc-9280-b94998c3a2bc</t>
        </is>
      </c>
      <c r="Q494" t="inlineStr">
        <is>
          <t>Annuaire Service-public.fr</t>
        </is>
      </c>
      <c r="R494" t="inlineStr"/>
      <c r="S494" t="inlineStr"/>
      <c r="T494" t="inlineStr"/>
    </row>
    <row r="495">
      <c r="A495" t="inlineStr">
        <is>
          <t>CC Grand Lieu Communauté</t>
        </is>
      </c>
      <c r="B495" t="inlineStr">
        <is>
          <t>Communauté de communes</t>
        </is>
      </c>
      <c r="C495" t="inlineStr">
        <is>
          <t>244400438</t>
        </is>
      </c>
      <c r="D495" t="inlineStr">
        <is>
          <t>44</t>
        </is>
      </c>
      <c r="E495" t="inlineStr">
        <is>
          <t>Loire-Atlantique</t>
        </is>
      </c>
      <c r="F495" t="inlineStr">
        <is>
          <t>Pays de la Loire</t>
        </is>
      </c>
      <c r="G495" s="3" t="n">
        <v>42037</v>
      </c>
      <c r="H495" t="n">
        <v>9</v>
      </c>
      <c r="I495" t="inlineStr">
        <is>
          <t>Parc d'activités de Tournebride, 1 rue de la Guillauderie</t>
        </is>
      </c>
      <c r="J495" t="inlineStr">
        <is>
          <t>44118</t>
        </is>
      </c>
      <c r="K495" t="inlineStr">
        <is>
          <t>La Chevrolière</t>
        </is>
      </c>
      <c r="L495" t="inlineStr">
        <is>
          <t>02 51 70 91 11</t>
        </is>
      </c>
      <c r="M495" s="4" t="inlineStr">
        <is>
          <t>grandlieu@grandlieu.fr</t>
        </is>
      </c>
      <c r="N495" s="4" t="inlineStr">
        <is>
          <t>https://www.grandlieu.fr/</t>
        </is>
      </c>
      <c r="O495" t="inlineStr"/>
      <c r="P495" s="4" t="inlineStr">
        <is>
          <t>https://lannuaire.service-public.gouv.fr/pays-de-la-loire/loire-atlantique/020578c8-e284-44af-bb35-44054bd624cc</t>
        </is>
      </c>
      <c r="Q495" t="inlineStr">
        <is>
          <t>Annuaire Service-public.fr</t>
        </is>
      </c>
      <c r="R495" t="inlineStr"/>
      <c r="S495" t="inlineStr"/>
      <c r="T495" t="inlineStr"/>
    </row>
    <row r="496">
      <c r="A496" t="inlineStr">
        <is>
          <t>CC Sud Retz Atlantique</t>
        </is>
      </c>
      <c r="B496" t="inlineStr">
        <is>
          <t>Communauté de communes</t>
        </is>
      </c>
      <c r="C496" t="inlineStr">
        <is>
          <t>200071546</t>
        </is>
      </c>
      <c r="D496" t="inlineStr">
        <is>
          <t>44</t>
        </is>
      </c>
      <c r="E496" t="inlineStr">
        <is>
          <t>Loire-Atlantique</t>
        </is>
      </c>
      <c r="F496" t="inlineStr">
        <is>
          <t>Pays de la Loire</t>
        </is>
      </c>
      <c r="G496" s="3" t="n">
        <v>25607</v>
      </c>
      <c r="H496" t="n">
        <v>8</v>
      </c>
      <c r="I496" t="inlineStr">
        <is>
          <t>ZIA de la Seiglerie 3, Maison de l'intercommunalité, 2 rue Galilée</t>
        </is>
      </c>
      <c r="J496" t="inlineStr">
        <is>
          <t>44270</t>
        </is>
      </c>
      <c r="K496" t="inlineStr">
        <is>
          <t>Machecoul</t>
        </is>
      </c>
      <c r="L496" t="inlineStr">
        <is>
          <t>02 40 02 32 62</t>
        </is>
      </c>
      <c r="M496" s="4" t="inlineStr">
        <is>
          <t>contact@ccsudretzatlantique.fr</t>
        </is>
      </c>
      <c r="N496" s="4" t="inlineStr">
        <is>
          <t>https://www.sud-retz-atlantique.fr/</t>
        </is>
      </c>
      <c r="O496" s="4" t="inlineStr">
        <is>
          <t>https://www.sud-retz-atlantique.fr/sud-retz-atlantique-communaute-de-communes-sra-contact/</t>
        </is>
      </c>
      <c r="P496" s="4" t="inlineStr">
        <is>
          <t>https://lannuaire.service-public.gouv.fr/pays-de-la-loire/loire-atlantique/2baeef5a-eb65-4f3b-b057-a4c7dca03ee9</t>
        </is>
      </c>
      <c r="Q496" t="inlineStr">
        <is>
          <t>Annuaire Service-public.fr</t>
        </is>
      </c>
      <c r="R496" t="inlineStr"/>
      <c r="S496" t="inlineStr"/>
      <c r="T496" t="inlineStr"/>
    </row>
    <row r="497">
      <c r="A497" t="inlineStr">
        <is>
          <t>CC Sèvre et Loire</t>
        </is>
      </c>
      <c r="B497" t="inlineStr">
        <is>
          <t>Communauté de communes</t>
        </is>
      </c>
      <c r="C497" t="inlineStr">
        <is>
          <t>200067866</t>
        </is>
      </c>
      <c r="D497" t="inlineStr">
        <is>
          <t>44</t>
        </is>
      </c>
      <c r="E497" t="inlineStr">
        <is>
          <t>Loire-Atlantique</t>
        </is>
      </c>
      <c r="F497" t="inlineStr">
        <is>
          <t>Pays de la Loire</t>
        </is>
      </c>
      <c r="G497" s="3" t="n">
        <v>49940</v>
      </c>
      <c r="H497" t="n">
        <v>11</v>
      </c>
      <c r="I497" t="inlineStr">
        <is>
          <t>1 place Charles-de-Gaulle</t>
        </is>
      </c>
      <c r="J497" t="inlineStr">
        <is>
          <t>44330</t>
        </is>
      </c>
      <c r="K497" t="inlineStr">
        <is>
          <t>Vallet</t>
        </is>
      </c>
      <c r="L497" t="inlineStr">
        <is>
          <t>02 51 71 92 12</t>
        </is>
      </c>
      <c r="M497" s="4" t="inlineStr">
        <is>
          <t>contact@cc-sevreloire.fr</t>
        </is>
      </c>
      <c r="N497" s="4" t="inlineStr">
        <is>
          <t>https://www.cc-sevreloire.fr/</t>
        </is>
      </c>
      <c r="O497" s="4" t="inlineStr">
        <is>
          <t>https://interco.cc-sevreloire.fr/contact/</t>
        </is>
      </c>
      <c r="P497" s="4" t="inlineStr">
        <is>
          <t>https://lannuaire.service-public.gouv.fr/pays-de-la-loire/loire-atlantique/c167afc5-780e-496c-a2a2-5383c3dc34c5</t>
        </is>
      </c>
      <c r="Q497" t="inlineStr">
        <is>
          <t>Annuaire Service-public.fr</t>
        </is>
      </c>
      <c r="R497" t="inlineStr"/>
      <c r="S497" t="inlineStr"/>
      <c r="T497" t="inlineStr"/>
    </row>
    <row r="498">
      <c r="A498" t="inlineStr">
        <is>
          <t>CC d'Erdre et Gesvres</t>
        </is>
      </c>
      <c r="B498" t="inlineStr">
        <is>
          <t>Communauté de communes</t>
        </is>
      </c>
      <c r="C498" t="inlineStr">
        <is>
          <t>244400503</t>
        </is>
      </c>
      <c r="D498" t="inlineStr">
        <is>
          <t>44</t>
        </is>
      </c>
      <c r="E498" t="inlineStr">
        <is>
          <t>Loire-Atlantique</t>
        </is>
      </c>
      <c r="F498" t="inlineStr">
        <is>
          <t>Pays de la Loire</t>
        </is>
      </c>
      <c r="G498" s="3" t="n">
        <v>68096</v>
      </c>
      <c r="H498" t="n">
        <v>12</v>
      </c>
      <c r="I498" t="inlineStr">
        <is>
          <t>Parc d'activités la Grand'haie, 1 rue Marie-Curie</t>
        </is>
      </c>
      <c r="J498" t="inlineStr">
        <is>
          <t>44119</t>
        </is>
      </c>
      <c r="K498" t="inlineStr">
        <is>
          <t>Grandchamps-des-Fontaines</t>
        </is>
      </c>
      <c r="L498" t="inlineStr">
        <is>
          <t>02 28 02 22 40</t>
        </is>
      </c>
      <c r="M498" s="4" t="inlineStr">
        <is>
          <t>contact@cceg.fr</t>
        </is>
      </c>
      <c r="N498" s="4" t="inlineStr">
        <is>
          <t>https://www.cceg.fr/</t>
        </is>
      </c>
      <c r="O498" s="4" t="inlineStr">
        <is>
          <t>https://www.cceg.fr/informations-pratiques/contact</t>
        </is>
      </c>
      <c r="P498" s="4" t="inlineStr">
        <is>
          <t>https://lannuaire.service-public.gouv.fr/pays-de-la-loire/loire-atlantique/5f782c25-fb66-4605-83ea-7bcc10a4b394</t>
        </is>
      </c>
      <c r="Q498" t="inlineStr">
        <is>
          <t>Annuaire Service-public.fr</t>
        </is>
      </c>
      <c r="R498" t="inlineStr"/>
      <c r="S498" t="inlineStr"/>
      <c r="T498" t="inlineStr"/>
    </row>
    <row r="499">
      <c r="A499" t="inlineStr">
        <is>
          <t>CC de Nozay</t>
        </is>
      </c>
      <c r="B499" t="inlineStr">
        <is>
          <t>Communauté de communes</t>
        </is>
      </c>
      <c r="C499" t="inlineStr">
        <is>
          <t>244400537</t>
        </is>
      </c>
      <c r="D499" t="inlineStr">
        <is>
          <t>44</t>
        </is>
      </c>
      <c r="E499" t="inlineStr">
        <is>
          <t>Loire-Atlantique</t>
        </is>
      </c>
      <c r="F499" t="inlineStr">
        <is>
          <t>Pays de la Loire</t>
        </is>
      </c>
      <c r="G499" s="3" t="n">
        <v>16406</v>
      </c>
      <c r="H499" t="n">
        <v>7</v>
      </c>
      <c r="I499" t="inlineStr">
        <is>
          <t>9 rue de l'Église</t>
        </is>
      </c>
      <c r="J499" t="inlineStr">
        <is>
          <t>44170</t>
        </is>
      </c>
      <c r="K499" t="inlineStr">
        <is>
          <t>Nozay</t>
        </is>
      </c>
      <c r="L499" t="inlineStr">
        <is>
          <t>02 40 79 51 51</t>
        </is>
      </c>
      <c r="M499" s="4" t="inlineStr">
        <is>
          <t>accueil@cc-nozay.fr</t>
        </is>
      </c>
      <c r="N499" s="4" t="inlineStr">
        <is>
          <t>https://www.cc-nozay.fr/</t>
        </is>
      </c>
      <c r="O499" s="4" t="inlineStr">
        <is>
          <t>https://www.cc-nozay.fr/systeme/contact/</t>
        </is>
      </c>
      <c r="P499" s="4" t="inlineStr">
        <is>
          <t>https://lannuaire.service-public.gouv.fr/pays-de-la-loire/loire-atlantique/21af4b1b-3ed3-4194-834b-62962dc1591b</t>
        </is>
      </c>
      <c r="Q499" t="inlineStr">
        <is>
          <t>Annuaire Service-public.fr</t>
        </is>
      </c>
      <c r="R499" t="inlineStr"/>
      <c r="S499" t="inlineStr"/>
      <c r="T499" t="inlineStr"/>
    </row>
    <row r="500">
      <c r="A500" t="inlineStr">
        <is>
          <t>CC du Pays d'Ancenis</t>
        </is>
      </c>
      <c r="B500" t="inlineStr">
        <is>
          <t>Communauté de communes</t>
        </is>
      </c>
      <c r="C500" t="inlineStr">
        <is>
          <t>244400552</t>
        </is>
      </c>
      <c r="D500" t="inlineStr">
        <is>
          <t>44, 49</t>
        </is>
      </c>
      <c r="E500" t="inlineStr">
        <is>
          <t>Loire-Atlantique, Maine-et-Loire</t>
        </is>
      </c>
      <c r="F500" t="inlineStr">
        <is>
          <t>Pays de la Loire</t>
        </is>
      </c>
      <c r="G500" s="3" t="n">
        <v>69666</v>
      </c>
      <c r="H500" t="n">
        <v>20</v>
      </c>
      <c r="I500" t="inlineStr">
        <is>
          <t>Centre administratif Les Ursulines</t>
        </is>
      </c>
      <c r="J500" t="inlineStr">
        <is>
          <t>44150</t>
        </is>
      </c>
      <c r="K500" t="inlineStr">
        <is>
          <t>Ancenis-Saint-Géréon</t>
        </is>
      </c>
      <c r="L500" t="inlineStr">
        <is>
          <t>02 40 96 31 89</t>
        </is>
      </c>
      <c r="M500" s="4" t="inlineStr">
        <is>
          <t>compa@pays-ancenis.com</t>
        </is>
      </c>
      <c r="N500" s="4" t="inlineStr">
        <is>
          <t>https://www.pays-ancenis.com/</t>
        </is>
      </c>
      <c r="O500" s="4" t="inlineStr">
        <is>
          <t>https://www.pays-ancenis.com/formulaires/formulaire-de-contact-compa</t>
        </is>
      </c>
      <c r="P500" s="4" t="inlineStr">
        <is>
          <t>https://lannuaire.service-public.gouv.fr/pays-de-la-loire/loire-atlantique/ee1d6428-34c7-469f-9b68-afccfaa503ba</t>
        </is>
      </c>
      <c r="Q500" t="inlineStr">
        <is>
          <t>Annuaire Service-public.fr</t>
        </is>
      </c>
      <c r="R500" t="inlineStr"/>
      <c r="S500" t="inlineStr"/>
      <c r="T500" t="inlineStr"/>
    </row>
    <row r="501">
      <c r="A501" t="inlineStr">
        <is>
          <t>CC du Pays de Blain</t>
        </is>
      </c>
      <c r="B501" t="inlineStr">
        <is>
          <t>Communauté de communes</t>
        </is>
      </c>
      <c r="C501" t="inlineStr">
        <is>
          <t>244400453</t>
        </is>
      </c>
      <c r="D501" t="inlineStr">
        <is>
          <t>44</t>
        </is>
      </c>
      <c r="E501" t="inlineStr">
        <is>
          <t>Loire-Atlantique</t>
        </is>
      </c>
      <c r="F501" t="inlineStr">
        <is>
          <t>Pays de la Loire</t>
        </is>
      </c>
      <c r="G501" s="3" t="n">
        <v>16858</v>
      </c>
      <c r="H501" t="n">
        <v>4</v>
      </c>
      <c r="I501" t="inlineStr">
        <is>
          <t>1 avenue de la Gare</t>
        </is>
      </c>
      <c r="J501" t="inlineStr">
        <is>
          <t>44130</t>
        </is>
      </c>
      <c r="K501" t="inlineStr">
        <is>
          <t>Blain</t>
        </is>
      </c>
      <c r="L501" t="inlineStr">
        <is>
          <t>02 40 79 09 92</t>
        </is>
      </c>
      <c r="M501" s="4" t="inlineStr">
        <is>
          <t>accueil@paysdeblain.fr</t>
        </is>
      </c>
      <c r="N501" s="4" t="inlineStr">
        <is>
          <t>https://www.pays-de-blain.com/</t>
        </is>
      </c>
      <c r="O501" s="4" t="inlineStr">
        <is>
          <t>https://www.pays-de-blain.com/contact/</t>
        </is>
      </c>
      <c r="P501" s="4" t="inlineStr">
        <is>
          <t>https://lannuaire.service-public.gouv.fr/pays-de-la-loire/loire-atlantique/231e2c6a-ce58-492c-8c0f-672f0c954d9e</t>
        </is>
      </c>
      <c r="Q501" t="inlineStr">
        <is>
          <t>Annuaire Service-public.fr</t>
        </is>
      </c>
      <c r="R501" t="inlineStr"/>
      <c r="S501" t="inlineStr"/>
      <c r="T501" t="inlineStr"/>
    </row>
    <row r="502">
      <c r="A502" t="inlineStr">
        <is>
          <t>CC du Pays de Pontchâteau St-Gildas-des-Bois</t>
        </is>
      </c>
      <c r="B502" t="inlineStr">
        <is>
          <t>Communauté de communes</t>
        </is>
      </c>
      <c r="C502" t="inlineStr">
        <is>
          <t>200000438</t>
        </is>
      </c>
      <c r="D502" t="inlineStr">
        <is>
          <t>44</t>
        </is>
      </c>
      <c r="E502" t="inlineStr">
        <is>
          <t>Loire-Atlantique</t>
        </is>
      </c>
      <c r="F502" t="inlineStr">
        <is>
          <t>Pays de la Loire</t>
        </is>
      </c>
      <c r="G502" s="3" t="n">
        <v>36662</v>
      </c>
      <c r="H502" t="n">
        <v>9</v>
      </c>
      <c r="I502" t="inlineStr">
        <is>
          <t>2 rue des Châtaigniers</t>
        </is>
      </c>
      <c r="J502" t="inlineStr">
        <is>
          <t>44160</t>
        </is>
      </c>
      <c r="K502" t="inlineStr">
        <is>
          <t>Pont-Château</t>
        </is>
      </c>
      <c r="L502" t="inlineStr">
        <is>
          <t>02 40 45 07 94</t>
        </is>
      </c>
      <c r="M502" s="4" t="inlineStr">
        <is>
          <t>accueil@cc-paysdepontchateau.fr</t>
        </is>
      </c>
      <c r="N502" s="4" t="inlineStr">
        <is>
          <t>https://www.cc-paysdepontchateau.fr/</t>
        </is>
      </c>
      <c r="O502" s="4" t="inlineStr">
        <is>
          <t>https://www.cc-paysdepontchateau.fr/systeme/contact/</t>
        </is>
      </c>
      <c r="P502" s="4" t="inlineStr">
        <is>
          <t>https://lannuaire.service-public.gouv.fr/pays-de-la-loire/loire-atlantique/ef45cd0d-d5e6-480c-bf24-277f9b6d350c</t>
        </is>
      </c>
      <c r="Q502" t="inlineStr">
        <is>
          <t>Annuaire Service-public.fr</t>
        </is>
      </c>
      <c r="R502" t="inlineStr"/>
      <c r="S502" t="inlineStr"/>
      <c r="T502" t="inlineStr"/>
    </row>
    <row r="503">
      <c r="A503" t="inlineStr">
        <is>
          <t>CC du Sud Estuaire</t>
        </is>
      </c>
      <c r="B503" t="inlineStr">
        <is>
          <t>Communauté de communes</t>
        </is>
      </c>
      <c r="C503" t="inlineStr">
        <is>
          <t>244400586</t>
        </is>
      </c>
      <c r="D503" t="inlineStr">
        <is>
          <t>44</t>
        </is>
      </c>
      <c r="E503" t="inlineStr">
        <is>
          <t>Loire-Atlantique</t>
        </is>
      </c>
      <c r="F503" t="inlineStr">
        <is>
          <t>Pays de la Loire</t>
        </is>
      </c>
      <c r="G503" s="3" t="n">
        <v>31126</v>
      </c>
      <c r="H503" t="n">
        <v>6</v>
      </c>
      <c r="I503" t="inlineStr">
        <is>
          <t>6 boulevard Dumesnildot</t>
        </is>
      </c>
      <c r="J503" t="inlineStr">
        <is>
          <t>44560</t>
        </is>
      </c>
      <c r="K503" t="inlineStr">
        <is>
          <t>Painboeuf</t>
        </is>
      </c>
      <c r="L503" t="inlineStr">
        <is>
          <t>02 40 27 70 12</t>
        </is>
      </c>
      <c r="M503" s="4" t="inlineStr">
        <is>
          <t>info@cc-sudestuaire.fr</t>
        </is>
      </c>
      <c r="N503" s="4" t="inlineStr">
        <is>
          <t>http://www.cc-sudestuaire.fr</t>
        </is>
      </c>
      <c r="O503" s="4" t="inlineStr">
        <is>
          <t>http://www.cc-sudestuaire.fr/contact/</t>
        </is>
      </c>
      <c r="P503" s="4" t="inlineStr">
        <is>
          <t>https://lannuaire.service-public.gouv.fr/pays-de-la-loire/loire-atlantique/b67892c3-e85e-4bbc-9f71-1219248ac078</t>
        </is>
      </c>
      <c r="Q503" t="inlineStr">
        <is>
          <t>Annuaire Service-public.fr</t>
        </is>
      </c>
      <c r="R503" t="inlineStr"/>
      <c r="S503" t="inlineStr"/>
      <c r="T503" t="inlineStr"/>
    </row>
    <row r="504">
      <c r="A504" t="inlineStr">
        <is>
          <t>CC Berry Loire Puisaye</t>
        </is>
      </c>
      <c r="B504" t="inlineStr">
        <is>
          <t>Communauté de communes</t>
        </is>
      </c>
      <c r="C504" t="inlineStr">
        <is>
          <t>200068278</t>
        </is>
      </c>
      <c r="D504" t="inlineStr">
        <is>
          <t>45</t>
        </is>
      </c>
      <c r="E504" t="inlineStr">
        <is>
          <t>Loiret</t>
        </is>
      </c>
      <c r="F504" t="inlineStr">
        <is>
          <t>Centre-Val de Loire</t>
        </is>
      </c>
      <c r="G504" s="3" t="n">
        <v>17525</v>
      </c>
      <c r="H504" t="n">
        <v>20</v>
      </c>
      <c r="I504" t="inlineStr">
        <is>
          <t>42 rue des Prés-Gris</t>
        </is>
      </c>
      <c r="J504" t="inlineStr">
        <is>
          <t>45250</t>
        </is>
      </c>
      <c r="K504" t="inlineStr">
        <is>
          <t>Briare</t>
        </is>
      </c>
      <c r="L504" t="inlineStr">
        <is>
          <t>02 38 37 03 84</t>
        </is>
      </c>
      <c r="M504" s="4" t="inlineStr">
        <is>
          <t>contact@cc-berryloirepuisaye.fr</t>
        </is>
      </c>
      <c r="N504" s="4" t="inlineStr">
        <is>
          <t>https://cc-berryloirepuisaye.fr/fr/</t>
        </is>
      </c>
      <c r="O504" s="4" t="inlineStr">
        <is>
          <t>https://cc-berryloirepuisaye.fr/fr/</t>
        </is>
      </c>
      <c r="P504" s="4" t="inlineStr">
        <is>
          <t>https://lannuaire.service-public.gouv.fr/centre-val-de-loire/loiret/50a3d8c1-3477-48b3-9af2-9c55b5902194</t>
        </is>
      </c>
      <c r="Q504" t="inlineStr">
        <is>
          <t>Annuaire Service-public.fr</t>
        </is>
      </c>
      <c r="R504" t="inlineStr"/>
      <c r="S504" t="inlineStr"/>
      <c r="T504" t="inlineStr"/>
    </row>
    <row r="505">
      <c r="A505" t="inlineStr">
        <is>
          <t>CC Canaux et Forêts en Gâtinais</t>
        </is>
      </c>
      <c r="B505" t="inlineStr">
        <is>
          <t>Communauté de communes</t>
        </is>
      </c>
      <c r="C505" t="inlineStr">
        <is>
          <t>200067676</t>
        </is>
      </c>
      <c r="D505" t="inlineStr">
        <is>
          <t>45</t>
        </is>
      </c>
      <c r="E505" t="inlineStr">
        <is>
          <t>Loiret</t>
        </is>
      </c>
      <c r="F505" t="inlineStr">
        <is>
          <t>Centre-Val de Loire</t>
        </is>
      </c>
      <c r="G505" s="3" t="n">
        <v>27348</v>
      </c>
      <c r="H505" t="n">
        <v>38</v>
      </c>
      <c r="I505" t="inlineStr">
        <is>
          <t>Parc d'activités du Pays de Lorris, 155 rue des Érables</t>
        </is>
      </c>
      <c r="J505" t="inlineStr">
        <is>
          <t>45260</t>
        </is>
      </c>
      <c r="K505" t="inlineStr">
        <is>
          <t>Lorris</t>
        </is>
      </c>
      <c r="L505" t="inlineStr">
        <is>
          <t>02 38 92 31 11</t>
        </is>
      </c>
      <c r="M505" s="4" t="inlineStr">
        <is>
          <t>accueil@comcomcfg.fr</t>
        </is>
      </c>
      <c r="N505" s="4" t="inlineStr">
        <is>
          <t>https://www.comcomcfg.fr/</t>
        </is>
      </c>
      <c r="O505" s="4" t="inlineStr">
        <is>
          <t>https://www.comcomcfg.fr/communaute-communes-cfg-contact-acces_fr.html</t>
        </is>
      </c>
      <c r="P505" s="4" t="inlineStr">
        <is>
          <t>https://lannuaire.service-public.gouv.fr/centre-val-de-loire/loiret/2fd36bdf-ac79-4781-8189-0f4ab0aaa1b1</t>
        </is>
      </c>
      <c r="Q505" t="inlineStr">
        <is>
          <t>Annuaire Service-public.fr</t>
        </is>
      </c>
      <c r="R505" t="inlineStr"/>
      <c r="S505" t="inlineStr"/>
      <c r="T505" t="inlineStr"/>
    </row>
    <row r="506">
      <c r="A506" t="inlineStr">
        <is>
          <t>CC Giennoises</t>
        </is>
      </c>
      <c r="B506" t="inlineStr">
        <is>
          <t>Communauté de communes</t>
        </is>
      </c>
      <c r="C506" t="inlineStr">
        <is>
          <t>244500211</t>
        </is>
      </c>
      <c r="D506" t="inlineStr">
        <is>
          <t>45</t>
        </is>
      </c>
      <c r="E506" t="inlineStr">
        <is>
          <t>Loiret</t>
        </is>
      </c>
      <c r="F506" t="inlineStr">
        <is>
          <t>Centre-Val de Loire</t>
        </is>
      </c>
      <c r="G506" s="3" t="n">
        <v>24145</v>
      </c>
      <c r="H506" t="n">
        <v>11</v>
      </c>
      <c r="I506" t="inlineStr">
        <is>
          <t>3 chemin de Montfort</t>
        </is>
      </c>
      <c r="J506" t="inlineStr">
        <is>
          <t>45500</t>
        </is>
      </c>
      <c r="K506" t="inlineStr">
        <is>
          <t>Gien</t>
        </is>
      </c>
      <c r="L506" t="inlineStr">
        <is>
          <t>02 38 29 80 00</t>
        </is>
      </c>
      <c r="M506" s="4" t="inlineStr">
        <is>
          <t>direction@cc-giennoises.fr</t>
        </is>
      </c>
      <c r="N506" s="4" t="inlineStr">
        <is>
          <t>https://www.legiennois.fr/</t>
        </is>
      </c>
      <c r="O506" s="4" t="inlineStr">
        <is>
          <t>https://www.cc-giennoises.fr/contact/</t>
        </is>
      </c>
      <c r="P506" s="4" t="inlineStr">
        <is>
          <t>https://lannuaire.service-public.gouv.fr/centre-val-de-loire/loiret/715aa30c-67fd-4348-9016-46d19cd1e5d9</t>
        </is>
      </c>
      <c r="Q506" t="inlineStr">
        <is>
          <t>Annuaire Service-public.fr</t>
        </is>
      </c>
      <c r="R506" t="inlineStr"/>
      <c r="S506" t="inlineStr"/>
      <c r="T506" t="inlineStr"/>
    </row>
    <row r="507">
      <c r="A507" t="inlineStr">
        <is>
          <t>CC de la Beauce Loirétaine</t>
        </is>
      </c>
      <c r="B507" t="inlineStr">
        <is>
          <t>Communauté de communes</t>
        </is>
      </c>
      <c r="C507" t="inlineStr">
        <is>
          <t>200035764</t>
        </is>
      </c>
      <c r="D507" t="inlineStr">
        <is>
          <t>45</t>
        </is>
      </c>
      <c r="E507" t="inlineStr">
        <is>
          <t>Loiret</t>
        </is>
      </c>
      <c r="F507" t="inlineStr">
        <is>
          <t>Centre-Val de Loire</t>
        </is>
      </c>
      <c r="G507" s="3" t="n">
        <v>16991</v>
      </c>
      <c r="H507" t="n">
        <v>23</v>
      </c>
      <c r="I507" t="inlineStr">
        <is>
          <t>Chemin des ouches</t>
        </is>
      </c>
      <c r="J507" t="inlineStr">
        <is>
          <t>45410</t>
        </is>
      </c>
      <c r="K507" t="inlineStr">
        <is>
          <t>Sougy</t>
        </is>
      </c>
      <c r="L507" t="inlineStr">
        <is>
          <t>02 19 23 00 50</t>
        </is>
      </c>
      <c r="M507" s="4" t="inlineStr">
        <is>
          <t>contact@cc-beauceloiretaine.fr</t>
        </is>
      </c>
      <c r="N507" s="4" t="inlineStr">
        <is>
          <t>https://www.cc-beauceloiretaine.fr/</t>
        </is>
      </c>
      <c r="O507" s="4" t="inlineStr">
        <is>
          <t>https://www.cc-beauceloiretaine.fr/systeme/nous-contacter/</t>
        </is>
      </c>
      <c r="P507" s="4" t="inlineStr">
        <is>
          <t>https://lannuaire.service-public.gouv.fr/centre-val-de-loire/loiret/1e0f58ad-6231-49a5-b7e0-e4202dcbcee7</t>
        </is>
      </c>
      <c r="Q507" t="inlineStr">
        <is>
          <t>Annuaire Service-public.fr</t>
        </is>
      </c>
      <c r="R507" t="inlineStr"/>
      <c r="S507" t="inlineStr"/>
      <c r="T507" t="inlineStr"/>
    </row>
    <row r="508">
      <c r="A508" t="inlineStr">
        <is>
          <t>CC de la Cléry, du Betz et de l'Ouanne</t>
        </is>
      </c>
      <c r="B508" t="inlineStr">
        <is>
          <t>Communauté de communes</t>
        </is>
      </c>
      <c r="C508" t="inlineStr">
        <is>
          <t>200067668</t>
        </is>
      </c>
      <c r="D508" t="inlineStr">
        <is>
          <t>45, 89</t>
        </is>
      </c>
      <c r="E508" t="inlineStr">
        <is>
          <t>Loiret, Yonne</t>
        </is>
      </c>
      <c r="F508" t="inlineStr">
        <is>
          <t>Centre-Val de Loire, Bourgogne-Franche-Comté</t>
        </is>
      </c>
      <c r="G508" s="3" t="n">
        <v>20042</v>
      </c>
      <c r="H508" t="n">
        <v>23</v>
      </c>
      <c r="I508" t="inlineStr">
        <is>
          <t>569 route de Châtillon-Colligny</t>
        </is>
      </c>
      <c r="J508" t="inlineStr">
        <is>
          <t>45220</t>
        </is>
      </c>
      <c r="K508" t="inlineStr">
        <is>
          <t>Château-Renard</t>
        </is>
      </c>
      <c r="L508" t="inlineStr">
        <is>
          <t>02 38 95 25 15</t>
        </is>
      </c>
      <c r="M508" s="4" t="inlineStr">
        <is>
          <t>accueil@3cbo.fr</t>
        </is>
      </c>
      <c r="N508" s="4" t="inlineStr">
        <is>
          <t>https://www.3cbo.fr/</t>
        </is>
      </c>
      <c r="O508" s="4" t="inlineStr">
        <is>
          <t>https://www.3cbo.fr/contact/</t>
        </is>
      </c>
      <c r="P508" s="4" t="inlineStr">
        <is>
          <t>https://lannuaire.service-public.gouv.fr/centre-val-de-loire/loiret/d7afa4b9-2de1-452a-9730-55a77b34c139</t>
        </is>
      </c>
      <c r="Q508" t="inlineStr">
        <is>
          <t>Annuaire Service-public.fr</t>
        </is>
      </c>
      <c r="R508" t="inlineStr"/>
      <c r="S508" t="inlineStr"/>
      <c r="T508" t="inlineStr"/>
    </row>
    <row r="509">
      <c r="A509" t="inlineStr">
        <is>
          <t>CC de la Forêt</t>
        </is>
      </c>
      <c r="B509" t="inlineStr">
        <is>
          <t>Communauté de communes</t>
        </is>
      </c>
      <c r="C509" t="inlineStr">
        <is>
          <t>244500484</t>
        </is>
      </c>
      <c r="D509" t="inlineStr">
        <is>
          <t>45</t>
        </is>
      </c>
      <c r="E509" t="inlineStr">
        <is>
          <t>Loiret</t>
        </is>
      </c>
      <c r="F509" t="inlineStr">
        <is>
          <t>Centre-Val de Loire</t>
        </is>
      </c>
      <c r="G509" s="3" t="n">
        <v>17601</v>
      </c>
      <c r="H509" t="n">
        <v>10</v>
      </c>
      <c r="I509" t="inlineStr">
        <is>
          <t>15 rue du Mail-Est</t>
        </is>
      </c>
      <c r="J509" t="inlineStr">
        <is>
          <t>45170</t>
        </is>
      </c>
      <c r="K509" t="inlineStr">
        <is>
          <t>Neuville-aux-Bois</t>
        </is>
      </c>
      <c r="L509" t="inlineStr">
        <is>
          <t>02 38 91 52 88</t>
        </is>
      </c>
      <c r="M509" s="4" t="inlineStr">
        <is>
          <t>contact@cc-foret.fr</t>
        </is>
      </c>
      <c r="N509" s="4" t="inlineStr">
        <is>
          <t>https://www.cc-foret.fr/</t>
        </is>
      </c>
      <c r="O509" t="inlineStr"/>
      <c r="P509" s="4" t="inlineStr">
        <is>
          <t>https://lannuaire.service-public.gouv.fr/centre-val-de-loire/loiret/fab2e052-a94f-4590-b98c-06ff6d37cf01</t>
        </is>
      </c>
      <c r="Q509" t="inlineStr">
        <is>
          <t>Annuaire Service-public.fr</t>
        </is>
      </c>
      <c r="R509" t="inlineStr"/>
      <c r="S509" t="inlineStr"/>
      <c r="T509" t="inlineStr"/>
    </row>
    <row r="510">
      <c r="A510" t="inlineStr">
        <is>
          <t>CC de la Plaine du Nord Loiret</t>
        </is>
      </c>
      <c r="B510" t="inlineStr">
        <is>
          <t>Communauté de communes</t>
        </is>
      </c>
      <c r="C510" t="inlineStr">
        <is>
          <t>244500542</t>
        </is>
      </c>
      <c r="D510" t="inlineStr">
        <is>
          <t>45</t>
        </is>
      </c>
      <c r="E510" t="inlineStr">
        <is>
          <t>Loiret</t>
        </is>
      </c>
      <c r="F510" t="inlineStr">
        <is>
          <t>Centre-Val de Loire</t>
        </is>
      </c>
      <c r="G510" s="3" t="n">
        <v>6719</v>
      </c>
      <c r="H510" t="n">
        <v>15</v>
      </c>
      <c r="I510" t="inlineStr">
        <is>
          <t>3 rue de l'Avenir</t>
        </is>
      </c>
      <c r="J510" t="inlineStr">
        <is>
          <t>45480</t>
        </is>
      </c>
      <c r="K510" t="inlineStr">
        <is>
          <t>Bazoches-les-Gallerandes</t>
        </is>
      </c>
      <c r="L510" t="inlineStr">
        <is>
          <t>02 38 39 60 38</t>
        </is>
      </c>
      <c r="M510" s="4" t="inlineStr">
        <is>
          <t>accueil@cc-plaine-nord-loiret.fr</t>
        </is>
      </c>
      <c r="N510" s="4" t="inlineStr">
        <is>
          <t>https://cc-plaine-nord-loiret.fr/</t>
        </is>
      </c>
      <c r="O510" t="inlineStr"/>
      <c r="P510" s="4" t="inlineStr">
        <is>
          <t>https://lannuaire.service-public.gouv.fr/centre-val-de-loire/loiret/93e3d19d-4255-441d-bf45-1348d23f6216</t>
        </is>
      </c>
      <c r="Q510" t="inlineStr">
        <is>
          <t>Annuaire Service-public.fr</t>
        </is>
      </c>
      <c r="R510" t="inlineStr"/>
      <c r="S510" t="inlineStr"/>
      <c r="T510" t="inlineStr"/>
    </row>
    <row r="511">
      <c r="A511" t="inlineStr">
        <is>
          <t>CC des Loges</t>
        </is>
      </c>
      <c r="B511" t="inlineStr">
        <is>
          <t>Communauté de communes</t>
        </is>
      </c>
      <c r="C511" t="inlineStr">
        <is>
          <t>244500427</t>
        </is>
      </c>
      <c r="D511" t="inlineStr">
        <is>
          <t>45</t>
        </is>
      </c>
      <c r="E511" t="inlineStr">
        <is>
          <t>Loiret</t>
        </is>
      </c>
      <c r="F511" t="inlineStr">
        <is>
          <t>Centre-Val de Loire</t>
        </is>
      </c>
      <c r="G511" s="3" t="n">
        <v>43246</v>
      </c>
      <c r="H511" t="n">
        <v>20</v>
      </c>
      <c r="I511" t="inlineStr">
        <is>
          <t>54 rue du Clos-Renard</t>
        </is>
      </c>
      <c r="J511" t="inlineStr">
        <is>
          <t>45110</t>
        </is>
      </c>
      <c r="K511" t="inlineStr">
        <is>
          <t>Châteauneuf-sur-Loire</t>
        </is>
      </c>
      <c r="L511" t="inlineStr">
        <is>
          <t>02 38 46 99 66</t>
        </is>
      </c>
      <c r="M511" s="4" t="inlineStr">
        <is>
          <t>secretariat@cc-loges.fr</t>
        </is>
      </c>
      <c r="N511" s="4" t="inlineStr">
        <is>
          <t>https://www.cc-loges.fr/</t>
        </is>
      </c>
      <c r="O511" s="4" t="inlineStr">
        <is>
          <t>https://www.cc-loges.fr/systeme/nous-contacter/</t>
        </is>
      </c>
      <c r="P511" s="4" t="inlineStr">
        <is>
          <t>https://lannuaire.service-public.gouv.fr/centre-val-de-loire/loiret/a3767d4d-7666-4c6a-bbd8-4728297ef8d8</t>
        </is>
      </c>
      <c r="Q511" t="inlineStr">
        <is>
          <t>Annuaire Service-public.fr</t>
        </is>
      </c>
      <c r="R511" t="inlineStr"/>
      <c r="S511" t="inlineStr"/>
      <c r="T511" t="inlineStr"/>
    </row>
    <row r="512">
      <c r="A512" t="inlineStr">
        <is>
          <t>CC des Portes de Sologne</t>
        </is>
      </c>
      <c r="B512" t="inlineStr">
        <is>
          <t>Communauté de communes</t>
        </is>
      </c>
      <c r="C512" t="inlineStr">
        <is>
          <t>200005932</t>
        </is>
      </c>
      <c r="D512" t="inlineStr">
        <is>
          <t>45</t>
        </is>
      </c>
      <c r="E512" t="inlineStr">
        <is>
          <t>Loiret</t>
        </is>
      </c>
      <c r="F512" t="inlineStr">
        <is>
          <t>Centre-Val de Loire</t>
        </is>
      </c>
      <c r="G512" s="3" t="n">
        <v>15654</v>
      </c>
      <c r="H512" t="n">
        <v>7</v>
      </c>
      <c r="I512" t="inlineStr">
        <is>
          <t>Place Charles-de-Gaulle, Mairie</t>
        </is>
      </c>
      <c r="J512" t="inlineStr">
        <is>
          <t>45240</t>
        </is>
      </c>
      <c r="K512" t="inlineStr">
        <is>
          <t>La Ferté-Saint-Aubin</t>
        </is>
      </c>
      <c r="L512" t="inlineStr">
        <is>
          <t>02 38 64 83 91</t>
        </is>
      </c>
      <c r="M512" s="4" t="inlineStr">
        <is>
          <t>ccps@ccportesdesologne.fr</t>
        </is>
      </c>
      <c r="N512" s="4" t="inlineStr">
        <is>
          <t>https://www.ccportesdesologne.fr</t>
        </is>
      </c>
      <c r="O512" s="4" t="inlineStr">
        <is>
          <t>https://www.ccportesdesologne.fr/nous-contacter/</t>
        </is>
      </c>
      <c r="P512" s="4" t="inlineStr">
        <is>
          <t>https://lannuaire.service-public.gouv.fr/centre-val-de-loire/loiret/33558b18-417f-41af-978a-81911a2c8a11</t>
        </is>
      </c>
      <c r="Q512" t="inlineStr">
        <is>
          <t>Annuaire Service-public.fr</t>
        </is>
      </c>
      <c r="R512" t="inlineStr"/>
      <c r="S512" t="inlineStr"/>
      <c r="T512" t="inlineStr"/>
    </row>
    <row r="513">
      <c r="A513" t="inlineStr">
        <is>
          <t>CC des Quatre Vallées</t>
        </is>
      </c>
      <c r="B513" t="inlineStr">
        <is>
          <t>Communauté de communes</t>
        </is>
      </c>
      <c r="C513" t="inlineStr">
        <is>
          <t>244500419</t>
        </is>
      </c>
      <c r="D513" t="inlineStr">
        <is>
          <t>45</t>
        </is>
      </c>
      <c r="E513" t="inlineStr">
        <is>
          <t>Loiret</t>
        </is>
      </c>
      <c r="F513" t="inlineStr">
        <is>
          <t>Centre-Val de Loire</t>
        </is>
      </c>
      <c r="G513" s="3" t="n">
        <v>17270</v>
      </c>
      <c r="H513" t="n">
        <v>20</v>
      </c>
      <c r="I513" t="inlineStr">
        <is>
          <t>4 place Saint-Macé</t>
        </is>
      </c>
      <c r="J513" t="inlineStr">
        <is>
          <t>45210</t>
        </is>
      </c>
      <c r="K513" t="inlineStr">
        <is>
          <t>Ferrières-en-Gâtinais</t>
        </is>
      </c>
      <c r="L513" t="inlineStr">
        <is>
          <t>02 38 26 02 70</t>
        </is>
      </c>
      <c r="M513" s="4" t="inlineStr">
        <is>
          <t>secretariatcc4v@cc4v.fr</t>
        </is>
      </c>
      <c r="N513" s="4" t="inlineStr">
        <is>
          <t>https://www.cc4v.fr/</t>
        </is>
      </c>
      <c r="O513" s="4" t="inlineStr">
        <is>
          <t>https://www.cc4v.fr/contactez-nous</t>
        </is>
      </c>
      <c r="P513" s="4" t="inlineStr">
        <is>
          <t>https://lannuaire.service-public.gouv.fr/centre-val-de-loire/loiret/842534ea-55e1-4d40-9d67-b8beeb6944e6</t>
        </is>
      </c>
      <c r="Q513" t="inlineStr">
        <is>
          <t>Annuaire Service-public.fr</t>
        </is>
      </c>
      <c r="R513" t="inlineStr"/>
      <c r="S513" t="inlineStr"/>
      <c r="T513" t="inlineStr"/>
    </row>
    <row r="514">
      <c r="A514" t="inlineStr">
        <is>
          <t>CC du Pithiverais</t>
        </is>
      </c>
      <c r="B514" t="inlineStr">
        <is>
          <t>Communauté de communes</t>
        </is>
      </c>
      <c r="C514" t="inlineStr">
        <is>
          <t>200066280</t>
        </is>
      </c>
      <c r="D514" t="inlineStr">
        <is>
          <t>45</t>
        </is>
      </c>
      <c r="E514" t="inlineStr">
        <is>
          <t>Loiret</t>
        </is>
      </c>
      <c r="F514" t="inlineStr">
        <is>
          <t>Centre-Val de Loire</t>
        </is>
      </c>
      <c r="G514" s="3" t="n">
        <v>29093</v>
      </c>
      <c r="H514" t="n">
        <v>31</v>
      </c>
      <c r="I514" t="inlineStr">
        <is>
          <t>ZA Le Moulin de Pierre, 5 route de Toury</t>
        </is>
      </c>
      <c r="J514" t="inlineStr">
        <is>
          <t>45300</t>
        </is>
      </c>
      <c r="K514" t="inlineStr">
        <is>
          <t>Pithiviers-le-Vieil</t>
        </is>
      </c>
      <c r="L514" t="inlineStr">
        <is>
          <t>02 38 32 76 10</t>
        </is>
      </c>
      <c r="M514" s="4" t="inlineStr">
        <is>
          <t>accueil@ccdp.fr</t>
        </is>
      </c>
      <c r="N514" s="4" t="inlineStr">
        <is>
          <t>https://www.ccdp.fr/</t>
        </is>
      </c>
      <c r="O514" s="4" t="inlineStr">
        <is>
          <t>https://www.ccdp.fr/systeme/nous-contacter/</t>
        </is>
      </c>
      <c r="P514" s="4" t="inlineStr">
        <is>
          <t>https://lannuaire.service-public.gouv.fr/centre-val-de-loire/loiret/9da445e5-9bf3-4785-a0c2-872039854cce</t>
        </is>
      </c>
      <c r="Q514" t="inlineStr">
        <is>
          <t>Annuaire Service-public.fr</t>
        </is>
      </c>
      <c r="R514" t="inlineStr"/>
      <c r="S514" t="inlineStr"/>
      <c r="T514" t="inlineStr"/>
    </row>
    <row r="515">
      <c r="A515" t="inlineStr">
        <is>
          <t>CC du Pithiverais-Gâtinais</t>
        </is>
      </c>
      <c r="B515" t="inlineStr">
        <is>
          <t>Communauté de communes</t>
        </is>
      </c>
      <c r="C515" t="inlineStr">
        <is>
          <t>200071850</t>
        </is>
      </c>
      <c r="D515" t="inlineStr">
        <is>
          <t>45</t>
        </is>
      </c>
      <c r="E515" t="inlineStr">
        <is>
          <t>Loiret</t>
        </is>
      </c>
      <c r="F515" t="inlineStr">
        <is>
          <t>Centre-Val de Loire</t>
        </is>
      </c>
      <c r="G515" s="3" t="n">
        <v>25581</v>
      </c>
      <c r="H515" t="n">
        <v>31</v>
      </c>
      <c r="I515" t="inlineStr">
        <is>
          <t>3 bis rue des Déportés</t>
        </is>
      </c>
      <c r="J515" t="inlineStr">
        <is>
          <t>45340</t>
        </is>
      </c>
      <c r="K515" t="inlineStr">
        <is>
          <t>Beaune-la-Rolande</t>
        </is>
      </c>
      <c r="L515" t="inlineStr">
        <is>
          <t>02 38 33 92 68</t>
        </is>
      </c>
      <c r="M515" s="4" t="inlineStr">
        <is>
          <t>accueil.beaunois@pithiveraisgatinais.fr</t>
        </is>
      </c>
      <c r="N515" s="4" t="inlineStr">
        <is>
          <t>https://www.pithiveraisgatinais.fr/</t>
        </is>
      </c>
      <c r="O515" s="4" t="inlineStr">
        <is>
          <t>https://www.pithiveraisgatinais.fr/nous-contacter/</t>
        </is>
      </c>
      <c r="P515" s="4" t="inlineStr">
        <is>
          <t>https://lannuaire.service-public.gouv.fr/centre-val-de-loire/loiret/97726be2-fe54-4048-8ac2-90d34977d916</t>
        </is>
      </c>
      <c r="Q515" t="inlineStr">
        <is>
          <t>Annuaire Service-public.fr</t>
        </is>
      </c>
      <c r="R515" t="inlineStr"/>
      <c r="S515" t="inlineStr"/>
      <c r="T515" t="inlineStr"/>
    </row>
    <row r="516">
      <c r="A516" t="inlineStr">
        <is>
          <t>CC du Val de Sully</t>
        </is>
      </c>
      <c r="B516" t="inlineStr">
        <is>
          <t>Communauté de communes</t>
        </is>
      </c>
      <c r="C516" t="inlineStr">
        <is>
          <t>200070100</t>
        </is>
      </c>
      <c r="D516" t="inlineStr">
        <is>
          <t>45</t>
        </is>
      </c>
      <c r="E516" t="inlineStr">
        <is>
          <t>Loiret</t>
        </is>
      </c>
      <c r="F516" t="inlineStr">
        <is>
          <t>Centre-Val de Loire</t>
        </is>
      </c>
      <c r="G516" s="3" t="n">
        <v>24081</v>
      </c>
      <c r="H516" t="n">
        <v>19</v>
      </c>
      <c r="I516" t="inlineStr">
        <is>
          <t>28 route des Bordes</t>
        </is>
      </c>
      <c r="J516" t="inlineStr">
        <is>
          <t>45460</t>
        </is>
      </c>
      <c r="K516" t="inlineStr">
        <is>
          <t>Bonnée</t>
        </is>
      </c>
      <c r="L516" t="inlineStr">
        <is>
          <t>02 38 35 05 58</t>
        </is>
      </c>
      <c r="M516" s="4" t="inlineStr">
        <is>
          <t>accueil@valdesully.fr</t>
        </is>
      </c>
      <c r="N516" s="4" t="inlineStr">
        <is>
          <t>https://valdesully.fr/</t>
        </is>
      </c>
      <c r="O516" s="4" t="inlineStr">
        <is>
          <t>https://valdesully.fr/contact</t>
        </is>
      </c>
      <c r="P516" s="4" t="inlineStr">
        <is>
          <t>https://lannuaire.service-public.gouv.fr/centre-val-de-loire/loiret/268be038-b2bf-4d16-ba64-fe0fb41bba11</t>
        </is>
      </c>
      <c r="Q516" t="inlineStr">
        <is>
          <t>Annuaire Service-public.fr</t>
        </is>
      </c>
      <c r="R516" t="inlineStr"/>
      <c r="S516" t="inlineStr"/>
      <c r="T516" t="inlineStr"/>
    </row>
    <row r="517">
      <c r="A517" t="inlineStr">
        <is>
          <t>CC Causses et Vallée de la Dordogne</t>
        </is>
      </c>
      <c r="B517" t="inlineStr">
        <is>
          <t>Communauté de communes</t>
        </is>
      </c>
      <c r="C517" t="inlineStr">
        <is>
          <t>200066371</t>
        </is>
      </c>
      <c r="D517" t="inlineStr">
        <is>
          <t>46</t>
        </is>
      </c>
      <c r="E517" t="inlineStr">
        <is>
          <t>Lot</t>
        </is>
      </c>
      <c r="F517" t="inlineStr">
        <is>
          <t>Occitanie</t>
        </is>
      </c>
      <c r="G517" s="3" t="n">
        <v>45320</v>
      </c>
      <c r="H517" t="n">
        <v>77</v>
      </c>
      <c r="I517" t="inlineStr">
        <is>
          <t>Bramefond</t>
        </is>
      </c>
      <c r="J517" t="inlineStr">
        <is>
          <t>46200</t>
        </is>
      </c>
      <c r="K517" t="inlineStr">
        <is>
          <t>Souillac</t>
        </is>
      </c>
      <c r="L517" t="inlineStr">
        <is>
          <t>05 65 27 02 10</t>
        </is>
      </c>
      <c r="M517" s="4" t="inlineStr">
        <is>
          <t>contact@cauvaldor.fr</t>
        </is>
      </c>
      <c r="N517" s="4" t="inlineStr">
        <is>
          <t>https://www.cauvaldor.fr/</t>
        </is>
      </c>
      <c r="O517" t="inlineStr"/>
      <c r="P517" s="4" t="inlineStr">
        <is>
          <t>https://lannuaire.service-public.gouv.fr/occitanie/lot/4934c59d-9a8f-44de-8b13-ec71033348c9</t>
        </is>
      </c>
      <c r="Q517" t="inlineStr">
        <is>
          <t>Annuaire Service-public.fr</t>
        </is>
      </c>
      <c r="R517" t="inlineStr"/>
      <c r="S517" t="inlineStr"/>
      <c r="T517" t="inlineStr"/>
    </row>
    <row r="518">
      <c r="A518" t="inlineStr">
        <is>
          <t>CC Cazals-Salviac</t>
        </is>
      </c>
      <c r="B518" t="inlineStr">
        <is>
          <t>Communauté de communes</t>
        </is>
      </c>
      <c r="C518" t="inlineStr">
        <is>
          <t>200035327</t>
        </is>
      </c>
      <c r="D518" t="inlineStr">
        <is>
          <t>46</t>
        </is>
      </c>
      <c r="E518" t="inlineStr">
        <is>
          <t>Lot</t>
        </is>
      </c>
      <c r="F518" t="inlineStr">
        <is>
          <t>Occitanie</t>
        </is>
      </c>
      <c r="G518" s="3" t="n">
        <v>5432</v>
      </c>
      <c r="H518" t="n">
        <v>15</v>
      </c>
      <c r="I518" t="inlineStr">
        <is>
          <t>5 boulevard Hugon</t>
        </is>
      </c>
      <c r="J518" t="inlineStr">
        <is>
          <t>46340</t>
        </is>
      </c>
      <c r="K518" t="inlineStr">
        <is>
          <t>Salviac</t>
        </is>
      </c>
      <c r="L518" t="inlineStr">
        <is>
          <t>05 65 41 62 40</t>
        </is>
      </c>
      <c r="M518" s="4" t="inlineStr">
        <is>
          <t>accueil@cc-cazalssalviac.fr</t>
        </is>
      </c>
      <c r="N518" s="4" t="inlineStr">
        <is>
          <t>https://www.cc-cazalssalviac.fr/</t>
        </is>
      </c>
      <c r="O518" s="4" t="inlineStr">
        <is>
          <t>https://www.cc-cazalssalviac.fr/pied-de-page/contact</t>
        </is>
      </c>
      <c r="P518" s="4" t="inlineStr">
        <is>
          <t>https://lannuaire.service-public.gouv.fr/occitanie/lot/4fb3e530-d953-455c-ad5d-67468bb53d09</t>
        </is>
      </c>
      <c r="Q518" t="inlineStr">
        <is>
          <t>Annuaire Service-public.fr</t>
        </is>
      </c>
      <c r="R518" t="inlineStr"/>
      <c r="S518" t="inlineStr"/>
      <c r="T518" t="inlineStr"/>
    </row>
    <row r="519">
      <c r="A519" t="inlineStr">
        <is>
          <t>CC Quercy - Bouriane</t>
        </is>
      </c>
      <c r="B519" t="inlineStr">
        <is>
          <t>Communauté de communes</t>
        </is>
      </c>
      <c r="C519" t="inlineStr">
        <is>
          <t>244600482</t>
        </is>
      </c>
      <c r="D519" t="inlineStr">
        <is>
          <t>46</t>
        </is>
      </c>
      <c r="E519" t="inlineStr">
        <is>
          <t>Lot</t>
        </is>
      </c>
      <c r="F519" t="inlineStr">
        <is>
          <t>Occitanie</t>
        </is>
      </c>
      <c r="G519" s="3" t="n">
        <v>10247</v>
      </c>
      <c r="H519" t="n">
        <v>20</v>
      </c>
      <c r="I519" t="inlineStr">
        <is>
          <t>98 avenue Gambetta</t>
        </is>
      </c>
      <c r="J519" t="inlineStr">
        <is>
          <t>46300</t>
        </is>
      </c>
      <c r="K519" t="inlineStr">
        <is>
          <t>Gourdon</t>
        </is>
      </c>
      <c r="L519" t="inlineStr">
        <is>
          <t>05 65 37 23 70</t>
        </is>
      </c>
      <c r="M519" s="4" t="inlineStr">
        <is>
          <t>contact@ccqb.fr</t>
        </is>
      </c>
      <c r="N519" s="4" t="inlineStr">
        <is>
          <t>https://ccqb.fr/</t>
        </is>
      </c>
      <c r="O519" s="4" t="inlineStr">
        <is>
          <t>https://ccqb.fr/</t>
        </is>
      </c>
      <c r="P519" s="4" t="inlineStr">
        <is>
          <t>https://lannuaire.service-public.gouv.fr/occitanie/lot/69c93204-2451-41a4-abc2-5b93606b6973</t>
        </is>
      </c>
      <c r="Q519" t="inlineStr">
        <is>
          <t>Annuaire Service-public.fr</t>
        </is>
      </c>
      <c r="R519" t="inlineStr"/>
      <c r="S519" t="inlineStr"/>
      <c r="T519" t="inlineStr"/>
    </row>
    <row r="520">
      <c r="A520" t="inlineStr">
        <is>
          <t>CC de la Vallée du Lot et du Vignoble</t>
        </is>
      </c>
      <c r="B520" t="inlineStr">
        <is>
          <t>Communauté de communes</t>
        </is>
      </c>
      <c r="C520" t="inlineStr">
        <is>
          <t>244600433</t>
        </is>
      </c>
      <c r="D520" t="inlineStr">
        <is>
          <t>46</t>
        </is>
      </c>
      <c r="E520" t="inlineStr">
        <is>
          <t>Lot</t>
        </is>
      </c>
      <c r="F520" t="inlineStr">
        <is>
          <t>Occitanie</t>
        </is>
      </c>
      <c r="G520" s="3" t="n">
        <v>14516</v>
      </c>
      <c r="H520" t="n">
        <v>27</v>
      </c>
      <c r="I520" t="inlineStr">
        <is>
          <t>13 avenue de la Gare</t>
        </is>
      </c>
      <c r="J520" t="inlineStr">
        <is>
          <t>46700</t>
        </is>
      </c>
      <c r="K520" t="inlineStr">
        <is>
          <t>Puy-l'Évêque</t>
        </is>
      </c>
      <c r="L520" t="inlineStr">
        <is>
          <t>05 65 36 06 06</t>
        </is>
      </c>
      <c r="M520" s="4" t="inlineStr">
        <is>
          <t>lot.vignoble@ccvlv.fr</t>
        </is>
      </c>
      <c r="N520" s="4" t="inlineStr">
        <is>
          <t>http://www.cc-lot-vignoble.fr</t>
        </is>
      </c>
      <c r="O520" s="4" t="inlineStr">
        <is>
          <t>https://ccvlv.fr/contact/</t>
        </is>
      </c>
      <c r="P520" s="4" t="inlineStr">
        <is>
          <t>https://lannuaire.service-public.gouv.fr/occitanie/lot/69e0e4c0-0b1e-4917-9dc9-3204ef448676</t>
        </is>
      </c>
      <c r="Q520" t="inlineStr">
        <is>
          <t>Annuaire Service-public.fr</t>
        </is>
      </c>
      <c r="R520" t="inlineStr"/>
      <c r="S520" t="inlineStr"/>
      <c r="T520" t="inlineStr"/>
    </row>
    <row r="521">
      <c r="A521" t="inlineStr">
        <is>
          <t>CC du Causse de Labastide Murat</t>
        </is>
      </c>
      <c r="B521" t="inlineStr">
        <is>
          <t>Communauté de communes</t>
        </is>
      </c>
      <c r="C521" t="inlineStr">
        <is>
          <t>244600573</t>
        </is>
      </c>
      <c r="D521" t="inlineStr">
        <is>
          <t>46</t>
        </is>
      </c>
      <c r="E521" t="inlineStr">
        <is>
          <t>Lot</t>
        </is>
      </c>
      <c r="F521" t="inlineStr">
        <is>
          <t>Occitanie</t>
        </is>
      </c>
      <c r="G521" s="3" t="n">
        <v>3915</v>
      </c>
      <c r="H521" t="n">
        <v>17</v>
      </c>
      <c r="I521" t="inlineStr">
        <is>
          <t>8 Grande rue du Causse, Labastide-Murat</t>
        </is>
      </c>
      <c r="J521" t="inlineStr">
        <is>
          <t>46240</t>
        </is>
      </c>
      <c r="K521" t="inlineStr">
        <is>
          <t>Coeur-de-Causse</t>
        </is>
      </c>
      <c r="L521" t="inlineStr">
        <is>
          <t>05 65 20 08 50</t>
        </is>
      </c>
      <c r="M521" s="4" t="inlineStr">
        <is>
          <t>contact@cc-labastide-murat.fr</t>
        </is>
      </c>
      <c r="N521" s="4" t="inlineStr">
        <is>
          <t>https://www.cc-labastide-murat.fr/</t>
        </is>
      </c>
      <c r="O521" t="inlineStr"/>
      <c r="P521" s="4" t="inlineStr">
        <is>
          <t>https://lannuaire.service-public.gouv.fr/occitanie/lot/3fbe5157-ee53-4b22-bb46-f7e26ae4c445</t>
        </is>
      </c>
      <c r="Q521" t="inlineStr">
        <is>
          <t>Annuaire Service-public.fr</t>
        </is>
      </c>
      <c r="R521" t="inlineStr"/>
      <c r="S521" t="inlineStr"/>
      <c r="T521" t="inlineStr"/>
    </row>
    <row r="522">
      <c r="A522" t="inlineStr">
        <is>
          <t>CC du Pays de Lalbenque-Limogne</t>
        </is>
      </c>
      <c r="B522" t="inlineStr">
        <is>
          <t>Communauté de communes</t>
        </is>
      </c>
      <c r="C522" t="inlineStr">
        <is>
          <t>244600532</t>
        </is>
      </c>
      <c r="D522" t="inlineStr">
        <is>
          <t>46</t>
        </is>
      </c>
      <c r="E522" t="inlineStr">
        <is>
          <t>Lot</t>
        </is>
      </c>
      <c r="F522" t="inlineStr">
        <is>
          <t>Occitanie</t>
        </is>
      </c>
      <c r="G522" s="3" t="n">
        <v>8886</v>
      </c>
      <c r="H522" t="n">
        <v>23</v>
      </c>
      <c r="I522" t="inlineStr">
        <is>
          <t>38 place de la Bascule</t>
        </is>
      </c>
      <c r="J522" t="inlineStr">
        <is>
          <t>46230</t>
        </is>
      </c>
      <c r="K522" t="inlineStr">
        <is>
          <t>Lalbenque</t>
        </is>
      </c>
      <c r="L522" t="inlineStr">
        <is>
          <t>05 65 24 22 50</t>
        </is>
      </c>
      <c r="M522" s="4" t="inlineStr">
        <is>
          <t>contact@ccpll.fr</t>
        </is>
      </c>
      <c r="N522" s="4" t="inlineStr">
        <is>
          <t>https://www.cc-lalbenque-limogne.fr/</t>
        </is>
      </c>
      <c r="O522" s="4" t="inlineStr">
        <is>
          <t>https://www.cc-lalbenque-limogne.fr/systeme/nous-contacter/</t>
        </is>
      </c>
      <c r="P522" s="4" t="inlineStr">
        <is>
          <t>https://lannuaire.service-public.gouv.fr/occitanie/lot/17816680-2186-458b-a0d7-31f1592a6fa3</t>
        </is>
      </c>
      <c r="Q522" t="inlineStr">
        <is>
          <t>Annuaire Service-public.fr</t>
        </is>
      </c>
      <c r="R522" t="inlineStr"/>
      <c r="S522" t="inlineStr"/>
      <c r="T522" t="inlineStr"/>
    </row>
    <row r="523">
      <c r="A523" t="inlineStr">
        <is>
          <t>CC du Quercy Blanc</t>
        </is>
      </c>
      <c r="B523" t="inlineStr">
        <is>
          <t>Communauté de communes</t>
        </is>
      </c>
      <c r="C523" t="inlineStr">
        <is>
          <t>200039519</t>
        </is>
      </c>
      <c r="D523" t="inlineStr">
        <is>
          <t>46</t>
        </is>
      </c>
      <c r="E523" t="inlineStr">
        <is>
          <t>Lot</t>
        </is>
      </c>
      <c r="F523" t="inlineStr">
        <is>
          <t>Occitanie</t>
        </is>
      </c>
      <c r="G523" s="3" t="n">
        <v>7704</v>
      </c>
      <c r="H523" t="n">
        <v>9</v>
      </c>
      <c r="I523" t="inlineStr">
        <is>
          <t>37 place Gambetta</t>
        </is>
      </c>
      <c r="J523" t="inlineStr">
        <is>
          <t>46170</t>
        </is>
      </c>
      <c r="K523" t="inlineStr">
        <is>
          <t>Castelnau-Montratier</t>
        </is>
      </c>
      <c r="L523" t="inlineStr">
        <is>
          <t>05 65 20 34 92</t>
        </is>
      </c>
      <c r="M523" s="4" t="inlineStr">
        <is>
          <t>contact@ccquercyblanc.fr</t>
        </is>
      </c>
      <c r="N523" s="4" t="inlineStr">
        <is>
          <t>https://www.ccquercyblanc.fr/</t>
        </is>
      </c>
      <c r="O523" s="4" t="inlineStr">
        <is>
          <t>https://www.ccquercyblanc.fr/contact/</t>
        </is>
      </c>
      <c r="P523" s="4" t="inlineStr">
        <is>
          <t>https://lannuaire.service-public.gouv.fr/occitanie/lot/c17aac7a-6868-4355-a1a2-65f724a8eef8</t>
        </is>
      </c>
      <c r="Q523" t="inlineStr">
        <is>
          <t>Annuaire Service-public.fr</t>
        </is>
      </c>
      <c r="R523" t="inlineStr"/>
      <c r="S523" t="inlineStr"/>
      <c r="T523" t="inlineStr"/>
    </row>
    <row r="524">
      <c r="A524" t="inlineStr">
        <is>
          <t>CC Albret Communauté</t>
        </is>
      </c>
      <c r="B524" t="inlineStr">
        <is>
          <t>Communauté de communes</t>
        </is>
      </c>
      <c r="C524" t="inlineStr">
        <is>
          <t>200068948</t>
        </is>
      </c>
      <c r="D524" t="inlineStr">
        <is>
          <t>47</t>
        </is>
      </c>
      <c r="E524" t="inlineStr">
        <is>
          <t>Lot-et-Garonne</t>
        </is>
      </c>
      <c r="F524" t="inlineStr">
        <is>
          <t>Nouvelle-Aquitaine</t>
        </is>
      </c>
      <c r="G524" s="3" t="n">
        <v>25866</v>
      </c>
      <c r="H524" t="n">
        <v>33</v>
      </c>
      <c r="I524" t="inlineStr">
        <is>
          <t>Centre Haussmann, 10 place Aristide-Briand</t>
        </is>
      </c>
      <c r="J524" t="inlineStr">
        <is>
          <t>47600</t>
        </is>
      </c>
      <c r="K524" t="inlineStr">
        <is>
          <t>Nérac</t>
        </is>
      </c>
      <c r="L524" t="inlineStr">
        <is>
          <t>05 53 97 55 97</t>
        </is>
      </c>
      <c r="M524" s="4" t="inlineStr">
        <is>
          <t>contact@albretcommunaute.fr</t>
        </is>
      </c>
      <c r="N524" s="4" t="inlineStr">
        <is>
          <t>https://www.albretcommunaute.fr/</t>
        </is>
      </c>
      <c r="O524" s="4" t="inlineStr">
        <is>
          <t>https://www.albretcommunaute.fr/formulaire-de-contact</t>
        </is>
      </c>
      <c r="P524" s="4" t="inlineStr">
        <is>
          <t>https://lannuaire.service-public.gouv.fr/nouvelle-aquitaine/lot-et-garonne/a9082f50-d1fe-4b75-8fe1-80f184faa2ba</t>
        </is>
      </c>
      <c r="Q524" t="inlineStr">
        <is>
          <t>Annuaire Service-public.fr</t>
        </is>
      </c>
      <c r="R524" t="inlineStr"/>
      <c r="S524" t="inlineStr"/>
      <c r="T524" t="inlineStr"/>
    </row>
    <row r="525">
      <c r="A525" t="inlineStr">
        <is>
          <t>CC Fumel Vallée du Lot</t>
        </is>
      </c>
      <c r="B525" t="inlineStr">
        <is>
          <t>Communauté de communes</t>
        </is>
      </c>
      <c r="C525" t="inlineStr">
        <is>
          <t>200068930</t>
        </is>
      </c>
      <c r="D525" t="inlineStr">
        <is>
          <t>47</t>
        </is>
      </c>
      <c r="E525" t="inlineStr">
        <is>
          <t>Lot-et-Garonne</t>
        </is>
      </c>
      <c r="F525" t="inlineStr">
        <is>
          <t>Nouvelle-Aquitaine</t>
        </is>
      </c>
      <c r="G525" s="3" t="n">
        <v>24601</v>
      </c>
      <c r="H525" t="n">
        <v>27</v>
      </c>
      <c r="I525" t="inlineStr">
        <is>
          <t>4 place du Château, BP 10037</t>
        </is>
      </c>
      <c r="J525" t="inlineStr">
        <is>
          <t>47502</t>
        </is>
      </c>
      <c r="K525" t="inlineStr">
        <is>
          <t>Fumel Cedex</t>
        </is>
      </c>
      <c r="L525" t="inlineStr">
        <is>
          <t>05 53 40 46 70</t>
        </is>
      </c>
      <c r="M525" s="4" t="inlineStr">
        <is>
          <t>ccfl@cc-dufumelois.fr</t>
        </is>
      </c>
      <c r="N525" s="4" t="inlineStr">
        <is>
          <t>https://www.fumelvalleedulot.com/</t>
        </is>
      </c>
      <c r="O525" t="inlineStr"/>
      <c r="P525" s="4" t="inlineStr">
        <is>
          <t>https://lannuaire.service-public.gouv.fr/nouvelle-aquitaine/lot-et-garonne/3516ebbf-7c32-4ff2-bd22-1c6ead929a0c</t>
        </is>
      </c>
      <c r="Q525" t="inlineStr">
        <is>
          <t>Annuaire Service-public.fr</t>
        </is>
      </c>
      <c r="R525" t="inlineStr"/>
      <c r="S525" t="inlineStr"/>
      <c r="T525" t="inlineStr"/>
    </row>
    <row r="526">
      <c r="A526" t="inlineStr">
        <is>
          <t>CC Lot et Tolzac</t>
        </is>
      </c>
      <c r="B526" t="inlineStr">
        <is>
          <t>Communauté de communes</t>
        </is>
      </c>
      <c r="C526" t="inlineStr">
        <is>
          <t>244701405</t>
        </is>
      </c>
      <c r="D526" t="inlineStr">
        <is>
          <t>47</t>
        </is>
      </c>
      <c r="E526" t="inlineStr">
        <is>
          <t>Lot-et-Garonne</t>
        </is>
      </c>
      <c r="F526" t="inlineStr">
        <is>
          <t>Nouvelle-Aquitaine</t>
        </is>
      </c>
      <c r="G526" s="3" t="n">
        <v>7426</v>
      </c>
      <c r="H526" t="n">
        <v>15</v>
      </c>
      <c r="I526" t="inlineStr">
        <is>
          <t>12 avenue de Comarque</t>
        </is>
      </c>
      <c r="J526" t="inlineStr">
        <is>
          <t>47260</t>
        </is>
      </c>
      <c r="K526" t="inlineStr">
        <is>
          <t>Castelmoron-sur-Lot</t>
        </is>
      </c>
      <c r="L526" t="inlineStr">
        <is>
          <t>05 53 84 82 48</t>
        </is>
      </c>
      <c r="M526" s="4" t="inlineStr">
        <is>
          <t>contact@cclt.fr</t>
        </is>
      </c>
      <c r="N526" s="4" t="inlineStr">
        <is>
          <t>https://www.lotettolzac.fr</t>
        </is>
      </c>
      <c r="O526" t="inlineStr"/>
      <c r="P526" s="4" t="inlineStr">
        <is>
          <t>https://lannuaire.service-public.gouv.fr/nouvelle-aquitaine/lot-et-garonne/28c07be9-52a3-4ad6-abed-c2ed739b718f</t>
        </is>
      </c>
      <c r="Q526" t="inlineStr">
        <is>
          <t>Annuaire Service-public.fr</t>
        </is>
      </c>
      <c r="R526" t="inlineStr"/>
      <c r="S526" t="inlineStr"/>
      <c r="T526" t="inlineStr"/>
    </row>
    <row r="527">
      <c r="A527" t="inlineStr">
        <is>
          <t>CC des Bastides en Haut Agenais Périgord</t>
        </is>
      </c>
      <c r="B527" t="inlineStr">
        <is>
          <t>Communauté de communes</t>
        </is>
      </c>
      <c r="C527" t="inlineStr">
        <is>
          <t>200036523</t>
        </is>
      </c>
      <c r="D527" t="inlineStr">
        <is>
          <t>47</t>
        </is>
      </c>
      <c r="E527" t="inlineStr">
        <is>
          <t>Lot-et-Garonne</t>
        </is>
      </c>
      <c r="F527" t="inlineStr">
        <is>
          <t>Nouvelle-Aquitaine</t>
        </is>
      </c>
      <c r="G527" s="3" t="n">
        <v>17015</v>
      </c>
      <c r="H527" t="n">
        <v>43</v>
      </c>
      <c r="I527" t="inlineStr">
        <is>
          <t>1 rue des Cannelles</t>
        </is>
      </c>
      <c r="J527" t="inlineStr">
        <is>
          <t>47150</t>
        </is>
      </c>
      <c r="K527" t="inlineStr">
        <is>
          <t>Monflanquin</t>
        </is>
      </c>
      <c r="L527" t="inlineStr">
        <is>
          <t>05 53 49 55 80</t>
        </is>
      </c>
      <c r="M527" s="4" t="inlineStr">
        <is>
          <t>contact@ccbastides47.com</t>
        </is>
      </c>
      <c r="N527" s="4" t="inlineStr">
        <is>
          <t>https://www.ccbastides47.com/</t>
        </is>
      </c>
      <c r="O527" s="4" t="inlineStr">
        <is>
          <t>https://www.ccbastides47.com/contact/</t>
        </is>
      </c>
      <c r="P527" s="4" t="inlineStr">
        <is>
          <t>https://lannuaire.service-public.gouv.fr/nouvelle-aquitaine/lot-et-garonne/7f716937-4ea9-4257-ab6f-c52099b48791</t>
        </is>
      </c>
      <c r="Q527" t="inlineStr">
        <is>
          <t>Annuaire Service-public.fr</t>
        </is>
      </c>
      <c r="R527" t="inlineStr"/>
      <c r="S527" t="inlineStr"/>
      <c r="T527" t="inlineStr"/>
    </row>
    <row r="528">
      <c r="A528" t="inlineStr">
        <is>
          <t>CC des Coteaux et Landes de Gascogne</t>
        </is>
      </c>
      <c r="B528" t="inlineStr">
        <is>
          <t>Communauté de communes</t>
        </is>
      </c>
      <c r="C528" t="inlineStr">
        <is>
          <t>244701355</t>
        </is>
      </c>
      <c r="D528" t="inlineStr">
        <is>
          <t>47</t>
        </is>
      </c>
      <c r="E528" t="inlineStr">
        <is>
          <t>Lot-et-Garonne</t>
        </is>
      </c>
      <c r="F528" t="inlineStr">
        <is>
          <t>Nouvelle-Aquitaine</t>
        </is>
      </c>
      <c r="G528" s="3" t="n">
        <v>12590</v>
      </c>
      <c r="H528" t="n">
        <v>27</v>
      </c>
      <c r="I528" t="inlineStr">
        <is>
          <t>2366 route des Châteaux</t>
        </is>
      </c>
      <c r="J528" t="inlineStr">
        <is>
          <t>47250</t>
        </is>
      </c>
      <c r="K528" t="inlineStr">
        <is>
          <t>Grezet-Cavagnan</t>
        </is>
      </c>
      <c r="L528" t="inlineStr">
        <is>
          <t>05 53 83 65 60</t>
        </is>
      </c>
      <c r="M528" s="4" t="inlineStr">
        <is>
          <t>accueil@3clg.fr</t>
        </is>
      </c>
      <c r="N528" s="4" t="inlineStr">
        <is>
          <t>https://cc-coteaux-landes-gascogne.fr/</t>
        </is>
      </c>
      <c r="O528" s="4" t="inlineStr">
        <is>
          <t>https://cc-coteaux-landes-gascogne.fr/contact/</t>
        </is>
      </c>
      <c r="P528" s="4" t="inlineStr">
        <is>
          <t>https://lannuaire.service-public.gouv.fr/nouvelle-aquitaine/lot-et-garonne/4ab09c49-1180-4602-ac46-a318e1377101</t>
        </is>
      </c>
      <c r="Q528" t="inlineStr">
        <is>
          <t>Annuaire Service-public.fr</t>
        </is>
      </c>
      <c r="R528" t="inlineStr"/>
      <c r="S528" t="inlineStr"/>
      <c r="T528" t="inlineStr"/>
    </row>
    <row r="529">
      <c r="A529" t="inlineStr">
        <is>
          <t>CC du Confluent et des Coteaux de Prayssas</t>
        </is>
      </c>
      <c r="B529" t="inlineStr">
        <is>
          <t>Communauté de communes</t>
        </is>
      </c>
      <c r="C529" t="inlineStr">
        <is>
          <t>200068922</t>
        </is>
      </c>
      <c r="D529" t="inlineStr">
        <is>
          <t>47</t>
        </is>
      </c>
      <c r="E529" t="inlineStr">
        <is>
          <t>Lot-et-Garonne</t>
        </is>
      </c>
      <c r="F529" t="inlineStr">
        <is>
          <t>Nouvelle-Aquitaine</t>
        </is>
      </c>
      <c r="G529" s="3" t="n">
        <v>17768</v>
      </c>
      <c r="H529" t="n">
        <v>29</v>
      </c>
      <c r="I529" t="inlineStr">
        <is>
          <t>30 rue Thiers</t>
        </is>
      </c>
      <c r="J529" t="inlineStr">
        <is>
          <t>47190</t>
        </is>
      </c>
      <c r="K529" t="inlineStr">
        <is>
          <t>Aiguillon</t>
        </is>
      </c>
      <c r="L529" t="inlineStr">
        <is>
          <t>05 53 79 81 15</t>
        </is>
      </c>
      <c r="M529" s="4" t="inlineStr">
        <is>
          <t>secretariat@ccconfluent.fr</t>
        </is>
      </c>
      <c r="N529" s="4" t="inlineStr">
        <is>
          <t>https://www.communauteduconfluent.com/</t>
        </is>
      </c>
      <c r="O529" t="inlineStr"/>
      <c r="P529" s="4" t="inlineStr">
        <is>
          <t>https://lannuaire.service-public.gouv.fr/nouvelle-aquitaine/lot-et-garonne/7bb866c0-9103-4247-91cd-47f63c7f720a</t>
        </is>
      </c>
      <c r="Q529" t="inlineStr">
        <is>
          <t>Annuaire Service-public.fr</t>
        </is>
      </c>
      <c r="R529" t="inlineStr"/>
      <c r="S529" t="inlineStr"/>
      <c r="T529" t="inlineStr"/>
    </row>
    <row r="530">
      <c r="A530" t="inlineStr">
        <is>
          <t>CC du Pays de Duras</t>
        </is>
      </c>
      <c r="B530" t="inlineStr">
        <is>
          <t>Communauté de communes</t>
        </is>
      </c>
      <c r="C530" t="inlineStr">
        <is>
          <t>244700449</t>
        </is>
      </c>
      <c r="D530" t="inlineStr">
        <is>
          <t>47</t>
        </is>
      </c>
      <c r="E530" t="inlineStr">
        <is>
          <t>Lot-et-Garonne</t>
        </is>
      </c>
      <c r="F530" t="inlineStr">
        <is>
          <t>Nouvelle-Aquitaine</t>
        </is>
      </c>
      <c r="G530" s="3" t="n">
        <v>5730</v>
      </c>
      <c r="H530" t="n">
        <v>17</v>
      </c>
      <c r="I530" t="inlineStr">
        <is>
          <t>3 impasse François-Laguerre</t>
        </is>
      </c>
      <c r="J530" t="inlineStr">
        <is>
          <t>47120</t>
        </is>
      </c>
      <c r="K530" t="inlineStr">
        <is>
          <t>Duras</t>
        </is>
      </c>
      <c r="L530" t="inlineStr">
        <is>
          <t>05 53 83 78 65</t>
        </is>
      </c>
      <c r="M530" s="4" t="inlineStr">
        <is>
          <t>bienvenue@comdecomduras.fr</t>
        </is>
      </c>
      <c r="N530" s="4" t="inlineStr">
        <is>
          <t>https://cc-paysdeduras.fr/fr/</t>
        </is>
      </c>
      <c r="O530" s="4" t="inlineStr">
        <is>
          <t>https://cc-paysdeduras.fr/fr/</t>
        </is>
      </c>
      <c r="P530" s="4" t="inlineStr">
        <is>
          <t>https://lannuaire.service-public.gouv.fr/nouvelle-aquitaine/lot-et-garonne/2df0cfe5-fa6a-4668-8781-44f7e6c08fd3</t>
        </is>
      </c>
      <c r="Q530" t="inlineStr">
        <is>
          <t>Annuaire Service-public.fr</t>
        </is>
      </c>
      <c r="R530" t="inlineStr"/>
      <c r="S530" t="inlineStr"/>
      <c r="T530" t="inlineStr"/>
    </row>
    <row r="531">
      <c r="A531" t="inlineStr">
        <is>
          <t>CC du Pays de Lauzun</t>
        </is>
      </c>
      <c r="B531" t="inlineStr">
        <is>
          <t>Communauté de communes</t>
        </is>
      </c>
      <c r="C531" t="inlineStr">
        <is>
          <t>244700464</t>
        </is>
      </c>
      <c r="D531" t="inlineStr">
        <is>
          <t>47</t>
        </is>
      </c>
      <c r="E531" t="inlineStr">
        <is>
          <t>Lot-et-Garonne</t>
        </is>
      </c>
      <c r="F531" t="inlineStr">
        <is>
          <t>Nouvelle-Aquitaine</t>
        </is>
      </c>
      <c r="G531" s="3" t="n">
        <v>10362</v>
      </c>
      <c r="H531" t="n">
        <v>20</v>
      </c>
      <c r="I531" t="inlineStr">
        <is>
          <t>5 rue Pissebaque</t>
        </is>
      </c>
      <c r="J531" t="inlineStr">
        <is>
          <t>47410</t>
        </is>
      </c>
      <c r="K531" t="inlineStr">
        <is>
          <t>Lauzun</t>
        </is>
      </c>
      <c r="L531" t="inlineStr">
        <is>
          <t>05 53 94 49 21</t>
        </is>
      </c>
      <c r="M531" s="4" t="inlineStr">
        <is>
          <t>communautecommunes@ccpl47.fr</t>
        </is>
      </c>
      <c r="N531" s="4" t="inlineStr">
        <is>
          <t>https://www.ccpl47.fr/</t>
        </is>
      </c>
      <c r="O531" s="4" t="inlineStr">
        <is>
          <t>https://www.paysdelauzun.com/contact/</t>
        </is>
      </c>
      <c r="P531" s="4" t="inlineStr">
        <is>
          <t>https://lannuaire.service-public.gouv.fr/nouvelle-aquitaine/lot-et-garonne/f7684e2d-4807-4116-bf23-7dc4f2002d7d</t>
        </is>
      </c>
      <c r="Q531" t="inlineStr">
        <is>
          <t>Annuaire Service-public.fr</t>
        </is>
      </c>
      <c r="R531" t="inlineStr"/>
      <c r="S531" t="inlineStr"/>
      <c r="T531" t="inlineStr"/>
    </row>
    <row r="532">
      <c r="A532" t="inlineStr">
        <is>
          <t>CC Aubrac Lot Causses Tarn</t>
        </is>
      </c>
      <c r="B532" t="inlineStr">
        <is>
          <t>Communauté de communes</t>
        </is>
      </c>
      <c r="C532" t="inlineStr">
        <is>
          <t>200069268</t>
        </is>
      </c>
      <c r="D532" t="inlineStr">
        <is>
          <t>48</t>
        </is>
      </c>
      <c r="E532" t="inlineStr">
        <is>
          <t>Lozère</t>
        </is>
      </c>
      <c r="F532" t="inlineStr">
        <is>
          <t>Occitanie</t>
        </is>
      </c>
      <c r="G532" s="3" t="n">
        <v>7884</v>
      </c>
      <c r="H532" t="n">
        <v>15</v>
      </c>
      <c r="I532" t="inlineStr">
        <is>
          <t>16 quartier de Tremoulis</t>
        </is>
      </c>
      <c r="J532" t="inlineStr">
        <is>
          <t>48500</t>
        </is>
      </c>
      <c r="K532" t="inlineStr">
        <is>
          <t>La Canourgue</t>
        </is>
      </c>
      <c r="L532" t="inlineStr">
        <is>
          <t>04 66 31 41 23</t>
        </is>
      </c>
      <c r="M532" s="4" t="inlineStr">
        <is>
          <t>contact@ccalct.fr</t>
        </is>
      </c>
      <c r="N532" s="4" t="inlineStr">
        <is>
          <t>https://www.ccalct.fr/</t>
        </is>
      </c>
      <c r="O532" s="4" t="inlineStr">
        <is>
          <t>https://www.ccalct.fr/contact/</t>
        </is>
      </c>
      <c r="P532" s="4" t="inlineStr">
        <is>
          <t>https://lannuaire.service-public.gouv.fr/occitanie/lozere/1bcf7552-0ff0-48b5-97fc-4ccfb809c710</t>
        </is>
      </c>
      <c r="Q532" t="inlineStr">
        <is>
          <t>Annuaire Service-public.fr</t>
        </is>
      </c>
      <c r="R532" t="inlineStr"/>
      <c r="S532" t="inlineStr"/>
      <c r="T532" t="inlineStr"/>
    </row>
    <row r="533">
      <c r="A533" t="inlineStr">
        <is>
          <t>CC Coeur de Lozère</t>
        </is>
      </c>
      <c r="B533" t="inlineStr">
        <is>
          <t>Communauté de communes</t>
        </is>
      </c>
      <c r="C533" t="inlineStr">
        <is>
          <t>244800405</t>
        </is>
      </c>
      <c r="D533" t="inlineStr">
        <is>
          <t>48</t>
        </is>
      </c>
      <c r="E533" t="inlineStr">
        <is>
          <t>Lozère</t>
        </is>
      </c>
      <c r="F533" t="inlineStr">
        <is>
          <t>Occitanie</t>
        </is>
      </c>
      <c r="G533" s="3" t="n">
        <v>15635</v>
      </c>
      <c r="H533" t="n">
        <v>7</v>
      </c>
      <c r="I533" t="inlineStr">
        <is>
          <t>2 place Charles-de-Gaulle</t>
        </is>
      </c>
      <c r="J533" t="inlineStr">
        <is>
          <t>48000</t>
        </is>
      </c>
      <c r="K533" t="inlineStr">
        <is>
          <t>Mende</t>
        </is>
      </c>
      <c r="L533" t="inlineStr">
        <is>
          <t>04 66 94 09 67</t>
        </is>
      </c>
      <c r="M533" s="4" t="inlineStr">
        <is>
          <t>directiongenerale@coeurdelozere.fr</t>
        </is>
      </c>
      <c r="N533" s="4" t="inlineStr">
        <is>
          <t>https://coeurdelozere.fr/</t>
        </is>
      </c>
      <c r="O533" s="4" t="inlineStr">
        <is>
          <t>https://coeurdelozere.fr/contact/</t>
        </is>
      </c>
      <c r="P533" s="4" t="inlineStr">
        <is>
          <t>https://lannuaire.service-public.gouv.fr/occitanie/lozere/23d3eb3c-fb47-40bc-9989-731cb765f789</t>
        </is>
      </c>
      <c r="Q533" t="inlineStr">
        <is>
          <t>Annuaire Service-public.fr</t>
        </is>
      </c>
      <c r="R533" t="inlineStr"/>
      <c r="S533" t="inlineStr"/>
      <c r="T533" t="inlineStr"/>
    </row>
    <row r="534">
      <c r="A534" t="inlineStr">
        <is>
          <t>CC Gorges Causses Cévennes</t>
        </is>
      </c>
      <c r="B534" t="inlineStr">
        <is>
          <t>Communauté de communes</t>
        </is>
      </c>
      <c r="C534" t="inlineStr">
        <is>
          <t>200069151</t>
        </is>
      </c>
      <c r="D534" t="inlineStr">
        <is>
          <t>48</t>
        </is>
      </c>
      <c r="E534" t="inlineStr">
        <is>
          <t>Lozère</t>
        </is>
      </c>
      <c r="F534" t="inlineStr">
        <is>
          <t>Occitanie</t>
        </is>
      </c>
      <c r="G534" s="3" t="n">
        <v>6928</v>
      </c>
      <c r="H534" t="n">
        <v>17</v>
      </c>
      <c r="I534" t="inlineStr">
        <is>
          <t>4 Route de Mende, Immeuble le Rochefort</t>
        </is>
      </c>
      <c r="J534" t="inlineStr">
        <is>
          <t>48400</t>
        </is>
      </c>
      <c r="K534" t="inlineStr">
        <is>
          <t>Florac Trois Rivières</t>
        </is>
      </c>
      <c r="L534" t="inlineStr">
        <is>
          <t>04 66 44 03 92</t>
        </is>
      </c>
      <c r="M534" s="4" t="inlineStr">
        <is>
          <t>contact@ccgcc48.fr</t>
        </is>
      </c>
      <c r="N534" s="4" t="inlineStr">
        <is>
          <t>https://www.gorgescaussescevennes.fr/</t>
        </is>
      </c>
      <c r="O534" s="4" t="inlineStr">
        <is>
          <t>https://www.gorgescaussescevennes.fr/contact-communaute-de-commune-lozere-48_fr.html</t>
        </is>
      </c>
      <c r="P534" s="4" t="inlineStr">
        <is>
          <t>https://lannuaire.service-public.gouv.fr/occitanie/lozere/c2962cb7-65e0-4004-b519-466e722e2781</t>
        </is>
      </c>
      <c r="Q534" t="inlineStr">
        <is>
          <t>Annuaire Service-public.fr</t>
        </is>
      </c>
      <c r="R534" t="inlineStr"/>
      <c r="S534" t="inlineStr"/>
      <c r="T534" t="inlineStr"/>
    </row>
    <row r="535">
      <c r="A535" t="inlineStr">
        <is>
          <t>CC Randon - Margeride</t>
        </is>
      </c>
      <c r="B535" t="inlineStr">
        <is>
          <t>Communauté de communes</t>
        </is>
      </c>
      <c r="C535" t="inlineStr">
        <is>
          <t>200069102</t>
        </is>
      </c>
      <c r="D535" t="inlineStr">
        <is>
          <t>48</t>
        </is>
      </c>
      <c r="E535" t="inlineStr">
        <is>
          <t>Lozère</t>
        </is>
      </c>
      <c r="F535" t="inlineStr">
        <is>
          <t>Occitanie</t>
        </is>
      </c>
      <c r="G535" s="3" t="n">
        <v>5201</v>
      </c>
      <c r="H535" t="n">
        <v>15</v>
      </c>
      <c r="I535" t="inlineStr">
        <is>
          <t>Place du Foirail, Rieutort-de-Randon</t>
        </is>
      </c>
      <c r="J535" t="inlineStr">
        <is>
          <t>48700</t>
        </is>
      </c>
      <c r="K535" t="inlineStr">
        <is>
          <t>Monts-de-Randon</t>
        </is>
      </c>
      <c r="L535" t="inlineStr">
        <is>
          <t>04 66 42 98 74</t>
        </is>
      </c>
      <c r="M535" s="4" t="inlineStr">
        <is>
          <t>accueil@randon-margeride.fr</t>
        </is>
      </c>
      <c r="N535" s="4" t="inlineStr">
        <is>
          <t>https://www.randonmargeride.fr/</t>
        </is>
      </c>
      <c r="O535" s="4" t="inlineStr">
        <is>
          <t>https://www.randonmargeride.fr/contact-communaute-de-communes-randon-margeride-48-lozere</t>
        </is>
      </c>
      <c r="P535" s="4" t="inlineStr">
        <is>
          <t>https://lannuaire.service-public.gouv.fr/occitanie/lozere/8c263608-8c1f-4b18-8478-ba2f0c581689</t>
        </is>
      </c>
      <c r="Q535" t="inlineStr">
        <is>
          <t>Annuaire Service-public.fr</t>
        </is>
      </c>
      <c r="R535" t="inlineStr"/>
      <c r="S535" t="inlineStr"/>
      <c r="T535" t="inlineStr"/>
    </row>
    <row r="536">
      <c r="A536" t="inlineStr">
        <is>
          <t>CC des Cévennes au Mont Lozère</t>
        </is>
      </c>
      <c r="B536" t="inlineStr">
        <is>
          <t>Communauté de communes</t>
        </is>
      </c>
      <c r="C536" t="inlineStr">
        <is>
          <t>200069136</t>
        </is>
      </c>
      <c r="D536" t="inlineStr">
        <is>
          <t>48</t>
        </is>
      </c>
      <c r="E536" t="inlineStr">
        <is>
          <t>Lozère</t>
        </is>
      </c>
      <c r="F536" t="inlineStr">
        <is>
          <t>Occitanie</t>
        </is>
      </c>
      <c r="G536" s="3" t="n">
        <v>5101</v>
      </c>
      <c r="H536" t="n">
        <v>19</v>
      </c>
      <c r="I536" t="inlineStr">
        <is>
          <t>Route Nationale</t>
        </is>
      </c>
      <c r="J536" t="inlineStr">
        <is>
          <t>48160</t>
        </is>
      </c>
      <c r="K536" t="inlineStr">
        <is>
          <t>Le Collet-de-Dèze</t>
        </is>
      </c>
      <c r="L536" t="inlineStr">
        <is>
          <t>04 66 65 07 79</t>
        </is>
      </c>
      <c r="M536" s="4" t="inlineStr">
        <is>
          <t>contact@cevennes-mont-lozere.fr</t>
        </is>
      </c>
      <c r="N536" s="4" t="inlineStr">
        <is>
          <t>https://www.cevennes-mont-lozere.fr/</t>
        </is>
      </c>
      <c r="O536" t="inlineStr"/>
      <c r="P536" s="4" t="inlineStr">
        <is>
          <t>https://lannuaire.service-public.gouv.fr/occitanie/lozere/92faeeee-1edc-4cea-ad0b-a0ee85aa9b19</t>
        </is>
      </c>
      <c r="Q536" t="inlineStr">
        <is>
          <t>Annuaire Service-public.fr</t>
        </is>
      </c>
      <c r="R536" t="inlineStr"/>
      <c r="S536" t="inlineStr"/>
      <c r="T536" t="inlineStr"/>
    </row>
    <row r="537">
      <c r="A537" t="inlineStr">
        <is>
          <t>CC des Hautes Terres de l'Aubrac</t>
        </is>
      </c>
      <c r="B537" t="inlineStr">
        <is>
          <t>Communauté de communes</t>
        </is>
      </c>
      <c r="C537" t="inlineStr">
        <is>
          <t>200069144</t>
        </is>
      </c>
      <c r="D537" t="inlineStr">
        <is>
          <t>48</t>
        </is>
      </c>
      <c r="E537" t="inlineStr">
        <is>
          <t>Lozère</t>
        </is>
      </c>
      <c r="F537" t="inlineStr">
        <is>
          <t>Occitanie</t>
        </is>
      </c>
      <c r="G537" s="3" t="n">
        <v>4973</v>
      </c>
      <c r="H537" t="n">
        <v>17</v>
      </c>
      <c r="I537" t="inlineStr">
        <is>
          <t>Route du Languedoc, Aumont-Aubrac</t>
        </is>
      </c>
      <c r="J537" t="inlineStr">
        <is>
          <t>48130</t>
        </is>
      </c>
      <c r="K537" t="inlineStr">
        <is>
          <t>Peyre-en-Aubrac</t>
        </is>
      </c>
      <c r="L537" t="inlineStr">
        <is>
          <t>04 66 31 69 45</t>
        </is>
      </c>
      <c r="M537" s="4" t="inlineStr">
        <is>
          <t>ccht48310@gmail.com</t>
        </is>
      </c>
      <c r="N537" s="4" t="inlineStr">
        <is>
          <t>https://hautes-terres-aubrac.fr/</t>
        </is>
      </c>
      <c r="O537" s="4" t="inlineStr">
        <is>
          <t>https://hautes-terres-aubrac.fr/contact/</t>
        </is>
      </c>
      <c r="P537" s="4" t="inlineStr">
        <is>
          <t>https://lannuaire.service-public.gouv.fr/occitanie/lozere/702f230d-75c8-4a57-b143-cf3f2d78bc94</t>
        </is>
      </c>
      <c r="Q537" t="inlineStr">
        <is>
          <t>Annuaire Service-public.fr</t>
        </is>
      </c>
      <c r="R537" t="inlineStr"/>
      <c r="S537" t="inlineStr"/>
      <c r="T537" t="inlineStr"/>
    </row>
    <row r="538">
      <c r="A538" t="inlineStr">
        <is>
          <t>CC des Terres d'Apcher-Margeride-Aubrac</t>
        </is>
      </c>
      <c r="B538" t="inlineStr">
        <is>
          <t>Communauté de communes</t>
        </is>
      </c>
      <c r="C538" t="inlineStr">
        <is>
          <t>200069185</t>
        </is>
      </c>
      <c r="D538" t="inlineStr">
        <is>
          <t>48</t>
        </is>
      </c>
      <c r="E538" t="inlineStr">
        <is>
          <t>Lozère</t>
        </is>
      </c>
      <c r="F538" t="inlineStr">
        <is>
          <t>Occitanie</t>
        </is>
      </c>
      <c r="G538" s="3" t="n">
        <v>10484</v>
      </c>
      <c r="H538" t="n">
        <v>20</v>
      </c>
      <c r="I538" t="inlineStr">
        <is>
          <t>23 boulevard Guérin-d'Apcher</t>
        </is>
      </c>
      <c r="J538" t="inlineStr">
        <is>
          <t>48200</t>
        </is>
      </c>
      <c r="K538" t="inlineStr">
        <is>
          <t>Saint-Chély-d'Apcher</t>
        </is>
      </c>
      <c r="L538" t="inlineStr">
        <is>
          <t>04 66 47 70 02</t>
        </is>
      </c>
      <c r="M538" s="4" t="inlineStr">
        <is>
          <t>contact@cctama.fr</t>
        </is>
      </c>
      <c r="N538" s="4" t="inlineStr">
        <is>
          <t>https://www.cctama.fr/</t>
        </is>
      </c>
      <c r="O538" s="4" t="inlineStr">
        <is>
          <t>https://www.cctama.fr/contact/</t>
        </is>
      </c>
      <c r="P538" s="4" t="inlineStr">
        <is>
          <t>https://lannuaire.service-public.gouv.fr/occitanie/lozere/3aa1a9a6-e89f-49b7-b496-36cf3f71c65a</t>
        </is>
      </c>
      <c r="Q538" t="inlineStr">
        <is>
          <t>Annuaire Service-public.fr</t>
        </is>
      </c>
      <c r="R538" t="inlineStr"/>
      <c r="S538" t="inlineStr"/>
      <c r="T538" t="inlineStr"/>
    </row>
    <row r="539">
      <c r="A539" t="inlineStr">
        <is>
          <t>CC du Gévaudan</t>
        </is>
      </c>
      <c r="B539" t="inlineStr">
        <is>
          <t>Communauté de communes</t>
        </is>
      </c>
      <c r="C539" t="inlineStr">
        <is>
          <t>244800470</t>
        </is>
      </c>
      <c r="D539" t="inlineStr">
        <is>
          <t>48</t>
        </is>
      </c>
      <c r="E539" t="inlineStr">
        <is>
          <t>Lozère</t>
        </is>
      </c>
      <c r="F539" t="inlineStr">
        <is>
          <t>Occitanie</t>
        </is>
      </c>
      <c r="G539" s="3" t="n">
        <v>9658</v>
      </c>
      <c r="H539" t="n">
        <v>12</v>
      </c>
      <c r="I539" t="inlineStr">
        <is>
          <t>4 rue des Chazelles, Pôle d'activités du Gévaudan</t>
        </is>
      </c>
      <c r="J539" t="inlineStr">
        <is>
          <t>48100</t>
        </is>
      </c>
      <c r="K539" t="inlineStr">
        <is>
          <t>Marvejols</t>
        </is>
      </c>
      <c r="L539" t="inlineStr">
        <is>
          <t>04 66 32 38 41</t>
        </is>
      </c>
      <c r="M539" s="4" t="inlineStr">
        <is>
          <t>accueil@cc-gevaudan.fr</t>
        </is>
      </c>
      <c r="N539" s="4" t="inlineStr">
        <is>
          <t>https://www.cc-gevaudan.fr/</t>
        </is>
      </c>
      <c r="O539" s="4" t="inlineStr">
        <is>
          <t>https://www.cc-gevaudan.fr/nous-contacter/</t>
        </is>
      </c>
      <c r="P539" s="4" t="inlineStr">
        <is>
          <t>https://lannuaire.service-public.gouv.fr/occitanie/lozere/18a8229b-be7f-449c-a1d1-3c9bdc864bde</t>
        </is>
      </c>
      <c r="Q539" t="inlineStr">
        <is>
          <t>Annuaire Service-public.fr</t>
        </is>
      </c>
      <c r="R539" t="inlineStr"/>
      <c r="S539" t="inlineStr"/>
      <c r="T539" t="inlineStr"/>
    </row>
    <row r="540">
      <c r="A540" t="inlineStr">
        <is>
          <t>CC du Haut Allier Margeride</t>
        </is>
      </c>
      <c r="B540" t="inlineStr">
        <is>
          <t>Communauté de communes</t>
        </is>
      </c>
      <c r="C540" t="inlineStr">
        <is>
          <t>200006930</t>
        </is>
      </c>
      <c r="D540" t="inlineStr">
        <is>
          <t>48</t>
        </is>
      </c>
      <c r="E540" t="inlineStr">
        <is>
          <t>Lozère</t>
        </is>
      </c>
      <c r="F540" t="inlineStr">
        <is>
          <t>Occitanie</t>
        </is>
      </c>
      <c r="G540" s="3" t="n">
        <v>5167</v>
      </c>
      <c r="H540" t="n">
        <v>10</v>
      </c>
      <c r="I540" t="inlineStr">
        <is>
          <t>1 quai du Langouyrou</t>
        </is>
      </c>
      <c r="J540" t="inlineStr">
        <is>
          <t>48300</t>
        </is>
      </c>
      <c r="K540" t="inlineStr">
        <is>
          <t>Langogne</t>
        </is>
      </c>
      <c r="L540" t="inlineStr">
        <is>
          <t>04 66 46 80 75</t>
        </is>
      </c>
      <c r="M540" s="4" t="inlineStr">
        <is>
          <t>ccham@ccham-langogne.com</t>
        </is>
      </c>
      <c r="N540" s="4" t="inlineStr">
        <is>
          <t>https://ccha-langogne.com/</t>
        </is>
      </c>
      <c r="O540" s="4" t="inlineStr">
        <is>
          <t>https://ccha-langogne.com/contacter-la-ccha/</t>
        </is>
      </c>
      <c r="P540" s="4" t="inlineStr">
        <is>
          <t>https://lannuaire.service-public.gouv.fr/occitanie/lozere/6da03fa5-cea6-43b4-968b-e85ed9f814ce</t>
        </is>
      </c>
      <c r="Q540" t="inlineStr">
        <is>
          <t>Annuaire Service-public.fr</t>
        </is>
      </c>
      <c r="R540" t="inlineStr"/>
      <c r="S540" t="inlineStr"/>
      <c r="T540" t="inlineStr"/>
    </row>
    <row r="541">
      <c r="A541" t="inlineStr">
        <is>
          <t>CC Anjou Bleu Communauté</t>
        </is>
      </c>
      <c r="B541" t="inlineStr">
        <is>
          <t>Communauté de communes</t>
        </is>
      </c>
      <c r="C541" t="inlineStr">
        <is>
          <t>244900809</t>
        </is>
      </c>
      <c r="D541" t="inlineStr">
        <is>
          <t>49</t>
        </is>
      </c>
      <c r="E541" t="inlineStr">
        <is>
          <t>Maine-et-Loire</t>
        </is>
      </c>
      <c r="F541" t="inlineStr">
        <is>
          <t>Pays de la Loire</t>
        </is>
      </c>
      <c r="G541" s="3" t="n">
        <v>34526</v>
      </c>
      <c r="H541" t="n">
        <v>11</v>
      </c>
      <c r="I541" t="inlineStr">
        <is>
          <t>1 Esplanade Antoine Glémain, BP 50148</t>
        </is>
      </c>
      <c r="J541" t="inlineStr">
        <is>
          <t>49501</t>
        </is>
      </c>
      <c r="K541" t="inlineStr">
        <is>
          <t>Segré-en-Anjou Bleu Cedex</t>
        </is>
      </c>
      <c r="L541" t="inlineStr">
        <is>
          <t>02 41 26 51 27</t>
        </is>
      </c>
      <c r="M541" s="4" t="inlineStr">
        <is>
          <t>contact@anjoubleucommunaute.fr</t>
        </is>
      </c>
      <c r="N541" s="4" t="inlineStr">
        <is>
          <t>https://www.anjoubleucommunaute.fr/</t>
        </is>
      </c>
      <c r="O541" s="4" t="inlineStr">
        <is>
          <t>https://www.anjoubleucommunaute.fr/systeme/contact/</t>
        </is>
      </c>
      <c r="P541" s="4" t="inlineStr">
        <is>
          <t>https://lannuaire.service-public.gouv.fr/pays-de-la-loire/maine-et-loire/98ea9a55-0ad7-4bad-9b5d-58daf9a3798a</t>
        </is>
      </c>
      <c r="Q541" t="inlineStr">
        <is>
          <t>Annuaire Service-public.fr</t>
        </is>
      </c>
      <c r="R541" t="inlineStr"/>
      <c r="S541" t="inlineStr"/>
      <c r="T541" t="inlineStr"/>
    </row>
    <row r="542">
      <c r="A542" t="inlineStr">
        <is>
          <t>CC Anjou Loir et Sarthe</t>
        </is>
      </c>
      <c r="B542" t="inlineStr">
        <is>
          <t>Communauté de communes</t>
        </is>
      </c>
      <c r="C542" t="inlineStr">
        <is>
          <t>200068955</t>
        </is>
      </c>
      <c r="D542" t="inlineStr">
        <is>
          <t>49</t>
        </is>
      </c>
      <c r="E542" t="inlineStr">
        <is>
          <t>Maine-et-Loire</t>
        </is>
      </c>
      <c r="F542" t="inlineStr">
        <is>
          <t>Pays de la Loire</t>
        </is>
      </c>
      <c r="G542" s="3" t="n">
        <v>28260</v>
      </c>
      <c r="H542" t="n">
        <v>17</v>
      </c>
      <c r="I542" t="inlineStr">
        <is>
          <t>4 bis rue Val-de-Sarthe</t>
        </is>
      </c>
      <c r="J542" t="inlineStr">
        <is>
          <t>49125</t>
        </is>
      </c>
      <c r="K542" t="inlineStr">
        <is>
          <t>Tiercé</t>
        </is>
      </c>
      <c r="L542" t="inlineStr">
        <is>
          <t>02 52 75 05 05</t>
        </is>
      </c>
      <c r="M542" s="4" t="inlineStr">
        <is>
          <t>contact@ccals.fr</t>
        </is>
      </c>
      <c r="N542" s="4" t="inlineStr">
        <is>
          <t>https://www.ccals.fr</t>
        </is>
      </c>
      <c r="O542" s="4" t="inlineStr">
        <is>
          <t>https://www.ccals.fr/systeme/contact/</t>
        </is>
      </c>
      <c r="P542" s="4" t="inlineStr">
        <is>
          <t>https://lannuaire.service-public.gouv.fr/pays-de-la-loire/maine-et-loire/dc36b42c-213a-41b9-adda-c2d4c084fc20</t>
        </is>
      </c>
      <c r="Q542" t="inlineStr">
        <is>
          <t>Annuaire Service-public.fr</t>
        </is>
      </c>
      <c r="R542" t="inlineStr"/>
      <c r="S542" t="inlineStr"/>
      <c r="T542" t="inlineStr"/>
    </row>
    <row r="543">
      <c r="A543" t="inlineStr">
        <is>
          <t>CC Baugeois Vallée</t>
        </is>
      </c>
      <c r="B543" t="inlineStr">
        <is>
          <t>Communauté de communes</t>
        </is>
      </c>
      <c r="C543" t="inlineStr">
        <is>
          <t>244900882</t>
        </is>
      </c>
      <c r="D543" t="inlineStr">
        <is>
          <t>49</t>
        </is>
      </c>
      <c r="E543" t="inlineStr">
        <is>
          <t>Maine-et-Loire</t>
        </is>
      </c>
      <c r="F543" t="inlineStr">
        <is>
          <t>Pays de la Loire</t>
        </is>
      </c>
      <c r="G543" s="3" t="n">
        <v>34608</v>
      </c>
      <c r="H543" t="n">
        <v>7</v>
      </c>
      <c r="I543" t="inlineStr">
        <is>
          <t>15 avenue Legoulz-de-la-Boulaie, Baugé</t>
        </is>
      </c>
      <c r="J543" t="inlineStr">
        <is>
          <t>49150</t>
        </is>
      </c>
      <c r="K543" t="inlineStr">
        <is>
          <t>Baugé-en-Anjou</t>
        </is>
      </c>
      <c r="L543" t="inlineStr">
        <is>
          <t>02 41 84 49 49</t>
        </is>
      </c>
      <c r="M543" s="4" t="inlineStr">
        <is>
          <t>president@baugeoisvallee.fr</t>
        </is>
      </c>
      <c r="N543" s="4" t="inlineStr">
        <is>
          <t>https://www.baugeoisvallee.fr/</t>
        </is>
      </c>
      <c r="O543" s="4" t="inlineStr">
        <is>
          <t>https://www.baugeoisvallee.fr/contact-9.html</t>
        </is>
      </c>
      <c r="P543" s="4" t="inlineStr">
        <is>
          <t>https://lannuaire.service-public.gouv.fr/pays-de-la-loire/maine-et-loire/848aea1c-7bef-495d-95f4-567cbe2e0969</t>
        </is>
      </c>
      <c r="Q543" t="inlineStr">
        <is>
          <t>Annuaire Service-public.fr</t>
        </is>
      </c>
      <c r="R543" t="inlineStr"/>
      <c r="S543" t="inlineStr"/>
      <c r="T543" t="inlineStr"/>
    </row>
    <row r="544">
      <c r="A544" t="inlineStr">
        <is>
          <t>CC Loire Layon Aubance</t>
        </is>
      </c>
      <c r="B544" t="inlineStr">
        <is>
          <t>Communauté de communes</t>
        </is>
      </c>
      <c r="C544" t="inlineStr">
        <is>
          <t>200071553</t>
        </is>
      </c>
      <c r="D544" t="inlineStr">
        <is>
          <t>49</t>
        </is>
      </c>
      <c r="E544" t="inlineStr">
        <is>
          <t>Maine-et-Loire</t>
        </is>
      </c>
      <c r="F544" t="inlineStr">
        <is>
          <t>Pays de la Loire</t>
        </is>
      </c>
      <c r="G544" s="3" t="n">
        <v>57176</v>
      </c>
      <c r="H544" t="n">
        <v>19</v>
      </c>
      <c r="I544" t="inlineStr">
        <is>
          <t>1 rue Adrien-Meslier</t>
        </is>
      </c>
      <c r="J544" t="inlineStr">
        <is>
          <t>49170</t>
        </is>
      </c>
      <c r="K544" t="inlineStr">
        <is>
          <t>Saint-Georges-sur-Loire</t>
        </is>
      </c>
      <c r="L544" t="inlineStr">
        <is>
          <t>02 41 74 93 74</t>
        </is>
      </c>
      <c r="M544" s="4" t="inlineStr">
        <is>
          <t>contact@loirelayonaubance.fr</t>
        </is>
      </c>
      <c r="N544" s="4" t="inlineStr">
        <is>
          <t>https://loire-layon-aubance.fr/</t>
        </is>
      </c>
      <c r="O544" s="4" t="inlineStr">
        <is>
          <t>https://www.loire-layon-aubance.fr/nous-contacter/</t>
        </is>
      </c>
      <c r="P544" s="4" t="inlineStr">
        <is>
          <t>https://lannuaire.service-public.gouv.fr/pays-de-la-loire/maine-et-loire/abf86076-00e1-4949-b3e9-32b53b5e2f08</t>
        </is>
      </c>
      <c r="Q544" t="inlineStr">
        <is>
          <t>Annuaire Service-public.fr</t>
        </is>
      </c>
      <c r="R544" t="inlineStr"/>
      <c r="S544" t="inlineStr"/>
      <c r="T544" t="inlineStr"/>
    </row>
    <row r="545">
      <c r="A545" t="inlineStr">
        <is>
          <t>CC des Vallées du Haut-Anjou</t>
        </is>
      </c>
      <c r="B545" t="inlineStr">
        <is>
          <t>Communauté de communes</t>
        </is>
      </c>
      <c r="C545" t="inlineStr">
        <is>
          <t>200071868</t>
        </is>
      </c>
      <c r="D545" t="inlineStr">
        <is>
          <t>49</t>
        </is>
      </c>
      <c r="E545" t="inlineStr">
        <is>
          <t>Maine-et-Loire</t>
        </is>
      </c>
      <c r="F545" t="inlineStr">
        <is>
          <t>Pays de la Loire</t>
        </is>
      </c>
      <c r="G545" s="3" t="n">
        <v>36469</v>
      </c>
      <c r="H545" t="n">
        <v>15</v>
      </c>
      <c r="I545" t="inlineStr">
        <is>
          <t>Place Charles-de-Gaulle</t>
        </is>
      </c>
      <c r="J545" t="inlineStr">
        <is>
          <t>49220</t>
        </is>
      </c>
      <c r="K545" t="inlineStr">
        <is>
          <t>Le Lion-d'Angers</t>
        </is>
      </c>
      <c r="L545" t="inlineStr">
        <is>
          <t>02 41 95 31 74</t>
        </is>
      </c>
      <c r="M545" s="4" t="inlineStr">
        <is>
          <t>contact@valleesduhautanjou.fr</t>
        </is>
      </c>
      <c r="N545" s="4" t="inlineStr">
        <is>
          <t>https://www.valleesduhautanjou.fr/</t>
        </is>
      </c>
      <c r="O545" s="4" t="inlineStr">
        <is>
          <t>https://www.valleesduhautanjou.fr/contact/</t>
        </is>
      </c>
      <c r="P545" s="4" t="inlineStr">
        <is>
          <t>https://lannuaire.service-public.gouv.fr/pays-de-la-loire/maine-et-loire/e85e526e-c3a9-46c5-993b-adaea5a6db0d</t>
        </is>
      </c>
      <c r="Q545" t="inlineStr">
        <is>
          <t>Annuaire Service-public.fr</t>
        </is>
      </c>
      <c r="R545" t="inlineStr"/>
      <c r="S545" t="inlineStr"/>
      <c r="T545" t="inlineStr"/>
    </row>
    <row r="546">
      <c r="A546" t="inlineStr">
        <is>
          <t>CC Coutances Mer et Bocage</t>
        </is>
      </c>
      <c r="B546" t="inlineStr">
        <is>
          <t>Communauté de communes</t>
        </is>
      </c>
      <c r="C546" t="inlineStr">
        <is>
          <t>200067023</t>
        </is>
      </c>
      <c r="D546" t="inlineStr">
        <is>
          <t>50</t>
        </is>
      </c>
      <c r="E546" t="inlineStr">
        <is>
          <t>Manche</t>
        </is>
      </c>
      <c r="F546" t="inlineStr">
        <is>
          <t>Normandie</t>
        </is>
      </c>
      <c r="G546" s="3" t="n">
        <v>47755</v>
      </c>
      <c r="H546" t="n">
        <v>48</v>
      </c>
      <c r="I546" t="inlineStr">
        <is>
          <t>Place du Parvis-Notre-Dame, BP 723</t>
        </is>
      </c>
      <c r="J546" t="inlineStr">
        <is>
          <t>50207</t>
        </is>
      </c>
      <c r="K546" t="inlineStr">
        <is>
          <t>Coutances Cedex</t>
        </is>
      </c>
      <c r="L546" t="inlineStr">
        <is>
          <t>02 33 76 55 55</t>
        </is>
      </c>
      <c r="M546" s="4" t="inlineStr">
        <is>
          <t>contact@communaute-coutances.fr</t>
        </is>
      </c>
      <c r="N546" s="4" t="inlineStr">
        <is>
          <t>https://www.coutancesmeretbocage.fr/</t>
        </is>
      </c>
      <c r="O546" s="4" t="inlineStr">
        <is>
          <t>https://www.coutancesmeretbocage.fr/contact</t>
        </is>
      </c>
      <c r="P546" s="4" t="inlineStr">
        <is>
          <t>https://lannuaire.service-public.gouv.fr/normandie/manche/b1a68414-6d3e-4cc3-afa1-66de23b708a4</t>
        </is>
      </c>
      <c r="Q546" t="inlineStr">
        <is>
          <t>Annuaire Service-public.fr</t>
        </is>
      </c>
      <c r="R546" t="inlineStr"/>
      <c r="S546" t="inlineStr"/>
      <c r="T546" t="inlineStr"/>
    </row>
    <row r="547">
      <c r="A547" t="inlineStr">
        <is>
          <t>CC Côte Ouest Centre Manche</t>
        </is>
      </c>
      <c r="B547" t="inlineStr">
        <is>
          <t>Communauté de communes</t>
        </is>
      </c>
      <c r="C547" t="inlineStr">
        <is>
          <t>200067031</t>
        </is>
      </c>
      <c r="D547" t="inlineStr">
        <is>
          <t>50</t>
        </is>
      </c>
      <c r="E547" t="inlineStr">
        <is>
          <t>Manche</t>
        </is>
      </c>
      <c r="F547" t="inlineStr">
        <is>
          <t>Normandie</t>
        </is>
      </c>
      <c r="G547" s="3" t="n">
        <v>22194</v>
      </c>
      <c r="H547" t="n">
        <v>30</v>
      </c>
      <c r="I547" t="inlineStr">
        <is>
          <t>20 rue des Aubépines</t>
        </is>
      </c>
      <c r="J547" t="inlineStr">
        <is>
          <t>50250</t>
        </is>
      </c>
      <c r="K547" t="inlineStr">
        <is>
          <t>La Haye</t>
        </is>
      </c>
      <c r="L547" t="inlineStr">
        <is>
          <t>02 33 07 11 79</t>
        </is>
      </c>
      <c r="M547" s="4" t="inlineStr">
        <is>
          <t>contact@cocm.fr</t>
        </is>
      </c>
      <c r="N547" s="4" t="inlineStr">
        <is>
          <t>https://www.cocm.fr/fr/</t>
        </is>
      </c>
      <c r="O547" s="4" t="inlineStr">
        <is>
          <t>https://www.cocm.fr/fr/cocm/collectivite/contact.html</t>
        </is>
      </c>
      <c r="P547" s="4" t="inlineStr">
        <is>
          <t>https://lannuaire.service-public.gouv.fr/normandie/manche/68bbdd4c-4e6d-4a29-9a4f-24d282dfe407</t>
        </is>
      </c>
      <c r="Q547" t="inlineStr">
        <is>
          <t>Annuaire Service-public.fr</t>
        </is>
      </c>
      <c r="R547" t="inlineStr"/>
      <c r="S547" t="inlineStr"/>
      <c r="T547" t="inlineStr"/>
    </row>
    <row r="548">
      <c r="A548" t="inlineStr">
        <is>
          <t>CC de Granville, Terre et Mer</t>
        </is>
      </c>
      <c r="B548" t="inlineStr">
        <is>
          <t>Communauté de communes</t>
        </is>
      </c>
      <c r="C548" t="inlineStr">
        <is>
          <t>200042604</t>
        </is>
      </c>
      <c r="D548" t="inlineStr">
        <is>
          <t>50</t>
        </is>
      </c>
      <c r="E548" t="inlineStr">
        <is>
          <t>Manche</t>
        </is>
      </c>
      <c r="F548" t="inlineStr">
        <is>
          <t>Normandie</t>
        </is>
      </c>
      <c r="G548" s="3" t="n">
        <v>45480</v>
      </c>
      <c r="H548" t="n">
        <v>32</v>
      </c>
      <c r="I548" t="inlineStr">
        <is>
          <t>197 avenue des Vendéens, BP 231</t>
        </is>
      </c>
      <c r="J548" t="inlineStr">
        <is>
          <t>50402</t>
        </is>
      </c>
      <c r="K548" t="inlineStr">
        <is>
          <t>Granville Cedex</t>
        </is>
      </c>
      <c r="L548" t="inlineStr">
        <is>
          <t>02 33 91 38 60</t>
        </is>
      </c>
      <c r="M548" s="4" t="inlineStr">
        <is>
          <t>contact@granville-terre-mer.fr</t>
        </is>
      </c>
      <c r="N548" s="4" t="inlineStr">
        <is>
          <t>https://www.granville-terre-mer.fr/</t>
        </is>
      </c>
      <c r="O548" s="4" t="inlineStr">
        <is>
          <t>https://www.granville-terre-mer.fr/contacts.html</t>
        </is>
      </c>
      <c r="P548" s="4" t="inlineStr">
        <is>
          <t>https://lannuaire.service-public.gouv.fr/normandie/manche/9c8a8123-e412-4286-957f-04ed72d1c85a</t>
        </is>
      </c>
      <c r="Q548" t="inlineStr">
        <is>
          <t>Annuaire Service-public.fr</t>
        </is>
      </c>
      <c r="R548" t="inlineStr"/>
      <c r="S548" t="inlineStr"/>
      <c r="T548" t="inlineStr"/>
    </row>
    <row r="549">
      <c r="A549" t="inlineStr">
        <is>
          <t>CC de Villedieu Intercom</t>
        </is>
      </c>
      <c r="B549" t="inlineStr">
        <is>
          <t>Communauté de communes</t>
        </is>
      </c>
      <c r="C549" t="inlineStr">
        <is>
          <t>200043354</t>
        </is>
      </c>
      <c r="D549" t="inlineStr">
        <is>
          <t>50</t>
        </is>
      </c>
      <c r="E549" t="inlineStr">
        <is>
          <t>Manche</t>
        </is>
      </c>
      <c r="F549" t="inlineStr">
        <is>
          <t>Normandie</t>
        </is>
      </c>
      <c r="G549" s="3" t="n">
        <v>15676</v>
      </c>
      <c r="H549" t="n">
        <v>27</v>
      </c>
      <c r="I549" t="inlineStr">
        <is>
          <t>11 rue Pierre-Paris</t>
        </is>
      </c>
      <c r="J549" t="inlineStr">
        <is>
          <t>50800</t>
        </is>
      </c>
      <c r="K549" t="inlineStr">
        <is>
          <t>Villedieu-les-Poêles-Rouffigny</t>
        </is>
      </c>
      <c r="L549" t="inlineStr">
        <is>
          <t>02 33 90 17 90</t>
        </is>
      </c>
      <c r="M549" s="4" t="inlineStr">
        <is>
          <t>accueil@villedieuintercom.fr</t>
        </is>
      </c>
      <c r="N549" s="4" t="inlineStr">
        <is>
          <t>https://www.villedieu-intercom.fr/</t>
        </is>
      </c>
      <c r="O549" t="inlineStr"/>
      <c r="P549" s="4" t="inlineStr">
        <is>
          <t>https://lannuaire.service-public.gouv.fr/normandie/manche/b12873ad-b5e3-4f92-95a1-061d232a8caf</t>
        </is>
      </c>
      <c r="Q549" t="inlineStr">
        <is>
          <t>Annuaire Service-public.fr</t>
        </is>
      </c>
      <c r="R549" t="inlineStr"/>
      <c r="S549" t="inlineStr"/>
      <c r="T549" t="inlineStr"/>
    </row>
    <row r="550">
      <c r="A550" t="inlineStr">
        <is>
          <t>CC de la Baie du Cotentin</t>
        </is>
      </c>
      <c r="B550" t="inlineStr">
        <is>
          <t>Communauté de communes</t>
        </is>
      </c>
      <c r="C550" t="inlineStr">
        <is>
          <t>200042729</t>
        </is>
      </c>
      <c r="D550" t="inlineStr">
        <is>
          <t>50</t>
        </is>
      </c>
      <c r="E550" t="inlineStr">
        <is>
          <t>Manche</t>
        </is>
      </c>
      <c r="F550" t="inlineStr">
        <is>
          <t>Normandie</t>
        </is>
      </c>
      <c r="G550" s="3" t="n">
        <v>22962</v>
      </c>
      <c r="H550" t="n">
        <v>23</v>
      </c>
      <c r="I550" t="inlineStr">
        <is>
          <t>2 le Haut-Dick, BP 339</t>
        </is>
      </c>
      <c r="J550" t="inlineStr">
        <is>
          <t>50500</t>
        </is>
      </c>
      <c r="K550" t="inlineStr">
        <is>
          <t>Carentan-les-Marais</t>
        </is>
      </c>
      <c r="L550" t="inlineStr">
        <is>
          <t>02 33 71 90 90</t>
        </is>
      </c>
      <c r="M550" s="4" t="inlineStr">
        <is>
          <t>contact@ccbdc.fr</t>
        </is>
      </c>
      <c r="N550" s="4" t="inlineStr">
        <is>
          <t>https://www.ccbdc.fr/</t>
        </is>
      </c>
      <c r="O550" t="inlineStr"/>
      <c r="P550" s="4" t="inlineStr">
        <is>
          <t>https://lannuaire.service-public.gouv.fr/normandie/manche/de79e2d5-5f42-4257-9653-447aa9d6b68c</t>
        </is>
      </c>
      <c r="Q550" t="inlineStr">
        <is>
          <t>Annuaire Service-public.fr</t>
        </is>
      </c>
      <c r="R550" t="inlineStr"/>
      <c r="S550" t="inlineStr"/>
      <c r="T550" t="inlineStr"/>
    </row>
    <row r="551">
      <c r="A551" t="inlineStr">
        <is>
          <t>CC Côtes de Champagne et Val de Saulx</t>
        </is>
      </c>
      <c r="B551" t="inlineStr">
        <is>
          <t>Communauté de communes</t>
        </is>
      </c>
      <c r="C551" t="inlineStr">
        <is>
          <t>200067379</t>
        </is>
      </c>
      <c r="D551" t="inlineStr">
        <is>
          <t>51</t>
        </is>
      </c>
      <c r="E551" t="inlineStr">
        <is>
          <t>Marne</t>
        </is>
      </c>
      <c r="F551" t="inlineStr">
        <is>
          <t>Grand Est</t>
        </is>
      </c>
      <c r="G551" s="3" t="n">
        <v>11385</v>
      </c>
      <c r="H551" t="n">
        <v>40</v>
      </c>
      <c r="I551" t="inlineStr">
        <is>
          <t>8 place du Matras</t>
        </is>
      </c>
      <c r="J551" t="inlineStr">
        <is>
          <t>51340</t>
        </is>
      </c>
      <c r="K551" t="inlineStr">
        <is>
          <t>Vanault-les-Dames</t>
        </is>
      </c>
      <c r="L551" t="inlineStr">
        <is>
          <t>03 26 41 25 72</t>
        </is>
      </c>
      <c r="M551" s="4" t="inlineStr">
        <is>
          <t>contact@4cvs.fr</t>
        </is>
      </c>
      <c r="N551" s="4" t="inlineStr">
        <is>
          <t>http://www.4cvs.fr</t>
        </is>
      </c>
      <c r="O551" s="4" t="inlineStr">
        <is>
          <t>http://www.4cvs.fr/fr/contact</t>
        </is>
      </c>
      <c r="P551" s="4" t="inlineStr">
        <is>
          <t>https://lannuaire.service-public.gouv.fr/grand-est/marne/b2c6228b-d34b-4399-ab54-21ac84d7f8ef</t>
        </is>
      </c>
      <c r="Q551" t="inlineStr">
        <is>
          <t>Annuaire Service-public.fr</t>
        </is>
      </c>
      <c r="R551" t="inlineStr"/>
      <c r="S551" t="inlineStr"/>
      <c r="T551" t="inlineStr"/>
    </row>
    <row r="552">
      <c r="A552" t="inlineStr">
        <is>
          <t>CC Perthois-Bocage et Der</t>
        </is>
      </c>
      <c r="B552" t="inlineStr">
        <is>
          <t>Communauté de communes</t>
        </is>
      </c>
      <c r="C552" t="inlineStr">
        <is>
          <t>200042992</t>
        </is>
      </c>
      <c r="D552" t="inlineStr">
        <is>
          <t>51</t>
        </is>
      </c>
      <c r="E552" t="inlineStr">
        <is>
          <t>Marne</t>
        </is>
      </c>
      <c r="F552" t="inlineStr">
        <is>
          <t>Grand Est</t>
        </is>
      </c>
      <c r="G552" s="3" t="n">
        <v>5542</v>
      </c>
      <c r="H552" t="n">
        <v>25</v>
      </c>
      <c r="I552" t="inlineStr">
        <is>
          <t>23 rue du Radet</t>
        </is>
      </c>
      <c r="J552" t="inlineStr">
        <is>
          <t>51290</t>
        </is>
      </c>
      <c r="K552" t="inlineStr">
        <is>
          <t>Saint-Remy-en-Bouzemont-Saint-Genest-et-Isson</t>
        </is>
      </c>
      <c r="L552" t="inlineStr">
        <is>
          <t>03 26 74 12 49</t>
        </is>
      </c>
      <c r="M552" s="4" t="inlineStr">
        <is>
          <t>cc-perthoisbocageetder@orange.fr</t>
        </is>
      </c>
      <c r="N552" s="4" t="inlineStr">
        <is>
          <t>https://cc-perthoisbocageetder.fr</t>
        </is>
      </c>
      <c r="O552" t="inlineStr"/>
      <c r="P552" s="4" t="inlineStr">
        <is>
          <t>https://lannuaire.service-public.gouv.fr/grand-est/marne/f4d924d5-a5ec-4cee-8914-7c29d5bfd947</t>
        </is>
      </c>
      <c r="Q552" t="inlineStr">
        <is>
          <t>Annuaire Service-public.fr</t>
        </is>
      </c>
      <c r="R552" t="inlineStr"/>
      <c r="S552" t="inlineStr"/>
      <c r="T552" t="inlineStr"/>
    </row>
    <row r="553">
      <c r="A553" t="inlineStr">
        <is>
          <t>CC de Sézanne-Sud Ouest Marnais</t>
        </is>
      </c>
      <c r="B553" t="inlineStr">
        <is>
          <t>Communauté de communes</t>
        </is>
      </c>
      <c r="C553" t="inlineStr">
        <is>
          <t>200066835</t>
        </is>
      </c>
      <c r="D553" t="inlineStr">
        <is>
          <t>51</t>
        </is>
      </c>
      <c r="E553" t="inlineStr">
        <is>
          <t>Marne</t>
        </is>
      </c>
      <c r="F553" t="inlineStr">
        <is>
          <t>Grand Est</t>
        </is>
      </c>
      <c r="G553" s="3" t="n">
        <v>20917</v>
      </c>
      <c r="H553" t="n">
        <v>62</v>
      </c>
      <c r="I553" t="inlineStr">
        <is>
          <t>Promenade de l'Aube</t>
        </is>
      </c>
      <c r="J553" t="inlineStr">
        <is>
          <t>51260</t>
        </is>
      </c>
      <c r="K553" t="inlineStr">
        <is>
          <t>Anglure</t>
        </is>
      </c>
      <c r="L553" t="inlineStr">
        <is>
          <t>03 26 42 75 18</t>
        </is>
      </c>
      <c r="M553" s="4" t="inlineStr">
        <is>
          <t>contact@ccssom.fr</t>
        </is>
      </c>
      <c r="N553" s="4" t="inlineStr">
        <is>
          <t>https://ccssom.fr/</t>
        </is>
      </c>
      <c r="O553" t="inlineStr"/>
      <c r="P553" s="4" t="inlineStr">
        <is>
          <t>https://lannuaire.service-public.gouv.fr/grand-est/marne/b0696dc9-9d67-44a2-aaf6-54ac300b9694</t>
        </is>
      </c>
      <c r="Q553" t="inlineStr">
        <is>
          <t>Annuaire Service-public.fr</t>
        </is>
      </c>
      <c r="R553" t="inlineStr"/>
      <c r="S553" t="inlineStr"/>
      <c r="T553" t="inlineStr"/>
    </row>
    <row r="554">
      <c r="A554" t="inlineStr">
        <is>
          <t>CC de Vitry, Champagne et Der</t>
        </is>
      </c>
      <c r="B554" t="inlineStr">
        <is>
          <t>Communauté de communes</t>
        </is>
      </c>
      <c r="C554" t="inlineStr">
        <is>
          <t>200034718</t>
        </is>
      </c>
      <c r="D554" t="inlineStr">
        <is>
          <t>51</t>
        </is>
      </c>
      <c r="E554" t="inlineStr">
        <is>
          <t>Marne</t>
        </is>
      </c>
      <c r="F554" t="inlineStr">
        <is>
          <t>Grand Est</t>
        </is>
      </c>
      <c r="G554" s="3" t="n">
        <v>23412</v>
      </c>
      <c r="H554" t="n">
        <v>35</v>
      </c>
      <c r="I554" t="inlineStr">
        <is>
          <t>Place de l'Hôtel-de-Ville</t>
        </is>
      </c>
      <c r="J554" t="inlineStr">
        <is>
          <t>51300</t>
        </is>
      </c>
      <c r="K554" t="inlineStr">
        <is>
          <t>Vitry-le-François</t>
        </is>
      </c>
      <c r="L554" t="inlineStr">
        <is>
          <t>03 26 41 22 77</t>
        </is>
      </c>
      <c r="M554" s="4" t="inlineStr">
        <is>
          <t>contact@vitry-le-francois.net</t>
        </is>
      </c>
      <c r="N554" s="4" t="inlineStr">
        <is>
          <t>https://www.vitry-le-francois.net/</t>
        </is>
      </c>
      <c r="O554" s="4" t="inlineStr">
        <is>
          <t>https://www.vitry-le-francois.net/contact/</t>
        </is>
      </c>
      <c r="P554" s="4" t="inlineStr">
        <is>
          <t>https://lannuaire.service-public.gouv.fr/grand-est/marne/24034a5b-9770-42c9-99ad-d39087154a05</t>
        </is>
      </c>
      <c r="Q554" t="inlineStr">
        <is>
          <t>Annuaire Service-public.fr</t>
        </is>
      </c>
      <c r="R554" t="inlineStr"/>
      <c r="S554" t="inlineStr"/>
      <c r="T554" t="inlineStr"/>
    </row>
    <row r="555">
      <c r="A555" t="inlineStr">
        <is>
          <t>CC de l'Argonne Champenoise</t>
        </is>
      </c>
      <c r="B555" t="inlineStr">
        <is>
          <t>Communauté de communes</t>
        </is>
      </c>
      <c r="C555" t="inlineStr">
        <is>
          <t>200042703</t>
        </is>
      </c>
      <c r="D555" t="inlineStr">
        <is>
          <t>51</t>
        </is>
      </c>
      <c r="E555" t="inlineStr">
        <is>
          <t>Marne</t>
        </is>
      </c>
      <c r="F555" t="inlineStr">
        <is>
          <t>Grand Est</t>
        </is>
      </c>
      <c r="G555" s="3" t="n">
        <v>11667</v>
      </c>
      <c r="H555" t="n">
        <v>60</v>
      </c>
      <c r="I555" t="inlineStr">
        <is>
          <t>50 avenue de Pertison</t>
        </is>
      </c>
      <c r="J555" t="inlineStr">
        <is>
          <t>51800</t>
        </is>
      </c>
      <c r="K555" t="inlineStr">
        <is>
          <t>Sainte-Menehould</t>
        </is>
      </c>
      <c r="L555" t="inlineStr">
        <is>
          <t>03 26 60 17 38</t>
        </is>
      </c>
      <c r="M555" s="4" t="inlineStr">
        <is>
          <t>contact@cc-argonnechampenoise.fr</t>
        </is>
      </c>
      <c r="N555" s="4" t="inlineStr">
        <is>
          <t>https://www.argonnechampenoise.fr/</t>
        </is>
      </c>
      <c r="O555" s="4" t="inlineStr">
        <is>
          <t>https://www.argonnechampenoise.fr/s-informer/nous-contacter/</t>
        </is>
      </c>
      <c r="P555" s="4" t="inlineStr">
        <is>
          <t>https://lannuaire.service-public.gouv.fr/grand-est/marne/4a02b8bf-46f9-43c0-8770-ca46e27072ed</t>
        </is>
      </c>
      <c r="Q555" t="inlineStr">
        <is>
          <t>Annuaire Service-public.fr</t>
        </is>
      </c>
      <c r="R555" t="inlineStr"/>
      <c r="S555" t="inlineStr"/>
      <c r="T555" t="inlineStr"/>
    </row>
    <row r="556">
      <c r="A556" t="inlineStr">
        <is>
          <t>CC de la Brie Champenoise</t>
        </is>
      </c>
      <c r="B556" t="inlineStr">
        <is>
          <t>Communauté de communes</t>
        </is>
      </c>
      <c r="C556" t="inlineStr">
        <is>
          <t>245100888</t>
        </is>
      </c>
      <c r="D556" t="inlineStr">
        <is>
          <t>51</t>
        </is>
      </c>
      <c r="E556" t="inlineStr">
        <is>
          <t>Marne</t>
        </is>
      </c>
      <c r="F556" t="inlineStr">
        <is>
          <t>Grand Est</t>
        </is>
      </c>
      <c r="G556" s="3" t="n">
        <v>7533</v>
      </c>
      <c r="H556" t="n">
        <v>20</v>
      </c>
      <c r="I556" t="inlineStr">
        <is>
          <t>4 rue des Fosses, BP 6</t>
        </is>
      </c>
      <c r="J556" t="inlineStr">
        <is>
          <t>51210</t>
        </is>
      </c>
      <c r="K556" t="inlineStr">
        <is>
          <t>Montmirail</t>
        </is>
      </c>
      <c r="L556" t="inlineStr">
        <is>
          <t>03 26 81 36 61</t>
        </is>
      </c>
      <c r="M556" s="4" t="inlineStr">
        <is>
          <t>accueil@cc-briechampenoise.fr</t>
        </is>
      </c>
      <c r="N556" s="4" t="inlineStr">
        <is>
          <t>https://www.cc-briechampenoise.fr/</t>
        </is>
      </c>
      <c r="O556" t="inlineStr"/>
      <c r="P556" s="4" t="inlineStr">
        <is>
          <t>https://lannuaire.service-public.gouv.fr/grand-est/marne/4a342bfa-50e1-4bb1-a4d8-8018026018e8</t>
        </is>
      </c>
      <c r="Q556" t="inlineStr">
        <is>
          <t>Annuaire Service-public.fr</t>
        </is>
      </c>
      <c r="R556" t="inlineStr"/>
      <c r="S556" t="inlineStr"/>
      <c r="T556" t="inlineStr"/>
    </row>
    <row r="557">
      <c r="A557" t="inlineStr">
        <is>
          <t>CC de la Grande Vallée de la Marne</t>
        </is>
      </c>
      <c r="B557" t="inlineStr">
        <is>
          <t>Communauté de communes</t>
        </is>
      </c>
      <c r="C557" t="inlineStr">
        <is>
          <t>245100615</t>
        </is>
      </c>
      <c r="D557" t="inlineStr">
        <is>
          <t>51</t>
        </is>
      </c>
      <c r="E557" t="inlineStr">
        <is>
          <t>Marne</t>
        </is>
      </c>
      <c r="F557" t="inlineStr">
        <is>
          <t>Grand Est</t>
        </is>
      </c>
      <c r="G557" s="3" t="n">
        <v>14171</v>
      </c>
      <c r="H557" t="n">
        <v>14</v>
      </c>
      <c r="I557" t="inlineStr">
        <is>
          <t>Place Henri-Martin</t>
        </is>
      </c>
      <c r="J557" t="inlineStr">
        <is>
          <t>51160</t>
        </is>
      </c>
      <c r="K557" t="inlineStr">
        <is>
          <t>Aÿ-Champagne</t>
        </is>
      </c>
      <c r="L557" t="inlineStr">
        <is>
          <t>03 26 56 95 20</t>
        </is>
      </c>
      <c r="M557" s="4" t="inlineStr">
        <is>
          <t>info@ccgvm.com</t>
        </is>
      </c>
      <c r="N557" s="4" t="inlineStr">
        <is>
          <t>https://ccgvm.com/</t>
        </is>
      </c>
      <c r="O557" s="4" t="inlineStr">
        <is>
          <t>https://ccgvm.com/contact/</t>
        </is>
      </c>
      <c r="P557" s="4" t="inlineStr">
        <is>
          <t>https://lannuaire.service-public.gouv.fr/grand-est/marne/b7f6d441-57a1-41fc-8903-f488837de256</t>
        </is>
      </c>
      <c r="Q557" t="inlineStr">
        <is>
          <t>Annuaire Service-public.fr</t>
        </is>
      </c>
      <c r="R557" t="inlineStr"/>
      <c r="S557" t="inlineStr"/>
      <c r="T557" t="inlineStr"/>
    </row>
    <row r="558">
      <c r="A558" t="inlineStr">
        <is>
          <t>CC de la Moivre à la Coole</t>
        </is>
      </c>
      <c r="B558" t="inlineStr">
        <is>
          <t>Communauté de communes</t>
        </is>
      </c>
      <c r="C558" t="inlineStr">
        <is>
          <t>200043438</t>
        </is>
      </c>
      <c r="D558" t="inlineStr">
        <is>
          <t>51</t>
        </is>
      </c>
      <c r="E558" t="inlineStr">
        <is>
          <t>Marne</t>
        </is>
      </c>
      <c r="F558" t="inlineStr">
        <is>
          <t>Grand Est</t>
        </is>
      </c>
      <c r="G558" s="3" t="n">
        <v>9374</v>
      </c>
      <c r="H558" t="n">
        <v>28</v>
      </c>
      <c r="I558" t="inlineStr">
        <is>
          <t>4 Grande rue</t>
        </is>
      </c>
      <c r="J558" t="inlineStr">
        <is>
          <t>51240</t>
        </is>
      </c>
      <c r="K558" t="inlineStr">
        <is>
          <t>Saint-Germain-la-Ville</t>
        </is>
      </c>
      <c r="L558" t="inlineStr">
        <is>
          <t>03 26 63 67 28</t>
        </is>
      </c>
      <c r="M558" s="4" t="inlineStr">
        <is>
          <t>contact@ccmoivrecoole.fr</t>
        </is>
      </c>
      <c r="N558" s="4" t="inlineStr">
        <is>
          <t>https://www.ccmoivrecoole.fr/</t>
        </is>
      </c>
      <c r="O558" t="inlineStr"/>
      <c r="P558" s="4" t="inlineStr">
        <is>
          <t>https://lannuaire.service-public.gouv.fr/grand-est/marne/434f57f7-1d4a-4930-a773-e844473a94db</t>
        </is>
      </c>
      <c r="Q558" t="inlineStr">
        <is>
          <t>Annuaire Service-public.fr</t>
        </is>
      </c>
      <c r="R558" t="inlineStr"/>
      <c r="S558" t="inlineStr"/>
      <c r="T558" t="inlineStr"/>
    </row>
    <row r="559">
      <c r="A559" t="inlineStr">
        <is>
          <t>CC de la Région de Suippes</t>
        </is>
      </c>
      <c r="B559" t="inlineStr">
        <is>
          <t>Communauté de communes</t>
        </is>
      </c>
      <c r="C559" t="inlineStr">
        <is>
          <t>200042620</t>
        </is>
      </c>
      <c r="D559" t="inlineStr">
        <is>
          <t>51</t>
        </is>
      </c>
      <c r="E559" t="inlineStr">
        <is>
          <t>Marne</t>
        </is>
      </c>
      <c r="F559" t="inlineStr">
        <is>
          <t>Grand Est</t>
        </is>
      </c>
      <c r="G559" s="3" t="n">
        <v>7765</v>
      </c>
      <c r="H559" t="n">
        <v>16</v>
      </c>
      <c r="I559" t="inlineStr">
        <is>
          <t>15 place de l'Hôtel-de-Ville</t>
        </is>
      </c>
      <c r="J559" t="inlineStr">
        <is>
          <t>51600</t>
        </is>
      </c>
      <c r="K559" t="inlineStr">
        <is>
          <t>Suippes</t>
        </is>
      </c>
      <c r="L559" t="inlineStr">
        <is>
          <t>03 26 70 08 60</t>
        </is>
      </c>
      <c r="M559" s="4" t="inlineStr">
        <is>
          <t>contact@cc-regiondesuippes.com</t>
        </is>
      </c>
      <c r="N559" s="4" t="inlineStr">
        <is>
          <t>https://cc-regiondesuippes.com</t>
        </is>
      </c>
      <c r="O559" s="4" t="inlineStr">
        <is>
          <t>https://cc-regiondesuippes.com/</t>
        </is>
      </c>
      <c r="P559" s="4" t="inlineStr">
        <is>
          <t>https://lannuaire.service-public.gouv.fr/grand-est/marne/7c23b4d6-89ef-497b-a9bc-5e7183362863</t>
        </is>
      </c>
      <c r="Q559" t="inlineStr">
        <is>
          <t>Annuaire Service-public.fr</t>
        </is>
      </c>
      <c r="R559" t="inlineStr"/>
      <c r="S559" t="inlineStr"/>
      <c r="T559" t="inlineStr"/>
    </row>
    <row r="560">
      <c r="A560" t="inlineStr">
        <is>
          <t>CC des Paysages de la Champagne</t>
        </is>
      </c>
      <c r="B560" t="inlineStr">
        <is>
          <t>Communauté de communes</t>
        </is>
      </c>
      <c r="C560" t="inlineStr">
        <is>
          <t>200066850</t>
        </is>
      </c>
      <c r="D560" t="inlineStr">
        <is>
          <t>51</t>
        </is>
      </c>
      <c r="E560" t="inlineStr">
        <is>
          <t>Marne</t>
        </is>
      </c>
      <c r="F560" t="inlineStr">
        <is>
          <t>Grand Est</t>
        </is>
      </c>
      <c r="G560" s="3" t="n">
        <v>20721</v>
      </c>
      <c r="H560" t="n">
        <v>51</v>
      </c>
      <c r="I560" t="inlineStr">
        <is>
          <t>4 boulevard des Varennes</t>
        </is>
      </c>
      <c r="J560" t="inlineStr">
        <is>
          <t>51700</t>
        </is>
      </c>
      <c r="K560" t="inlineStr">
        <is>
          <t>Dormans</t>
        </is>
      </c>
      <c r="L560" t="inlineStr">
        <is>
          <t>03 26 52 19 23</t>
        </is>
      </c>
      <c r="M560" s="4" t="inlineStr">
        <is>
          <t>accueil@ccpc51.fr</t>
        </is>
      </c>
      <c r="N560" s="4" t="inlineStr">
        <is>
          <t>https://ccpc51.fr/</t>
        </is>
      </c>
      <c r="O560" s="4" t="inlineStr">
        <is>
          <t>https://ccpc51.fr/contact/</t>
        </is>
      </c>
      <c r="P560" s="4" t="inlineStr">
        <is>
          <t>https://lannuaire.service-public.gouv.fr/grand-est/marne/f4ab6b37-e799-4345-956a-e2f058a04193</t>
        </is>
      </c>
      <c r="Q560" t="inlineStr">
        <is>
          <t>Annuaire Service-public.fr</t>
        </is>
      </c>
      <c r="R560" t="inlineStr"/>
      <c r="S560" t="inlineStr"/>
      <c r="T560" t="inlineStr"/>
    </row>
    <row r="561">
      <c r="A561" t="inlineStr">
        <is>
          <t>CC du Sud Marnais</t>
        </is>
      </c>
      <c r="B561" t="inlineStr">
        <is>
          <t>Communauté de communes</t>
        </is>
      </c>
      <c r="C561" t="inlineStr">
        <is>
          <t>245100979</t>
        </is>
      </c>
      <c r="D561" t="inlineStr">
        <is>
          <t>51</t>
        </is>
      </c>
      <c r="E561" t="inlineStr">
        <is>
          <t>Marne</t>
        </is>
      </c>
      <c r="F561" t="inlineStr">
        <is>
          <t>Grand Est</t>
        </is>
      </c>
      <c r="G561" s="3" t="n">
        <v>5834</v>
      </c>
      <c r="H561" t="n">
        <v>14</v>
      </c>
      <c r="I561" t="inlineStr">
        <is>
          <t>150 rue des Verriers</t>
        </is>
      </c>
      <c r="J561" t="inlineStr">
        <is>
          <t>51230</t>
        </is>
      </c>
      <c r="K561" t="inlineStr">
        <is>
          <t>Fère-Champenoise</t>
        </is>
      </c>
      <c r="L561" t="inlineStr">
        <is>
          <t>03 26 42 52 36</t>
        </is>
      </c>
      <c r="M561" s="4" t="inlineStr">
        <is>
          <t>cc-sud-marnais@wanadoo.fr</t>
        </is>
      </c>
      <c r="N561" s="4" t="inlineStr">
        <is>
          <t>https://www.cc-sudmarnais.fr/</t>
        </is>
      </c>
      <c r="O561" s="4" t="inlineStr">
        <is>
          <t>https://www.cc-sudmarnais.fr/contact.php</t>
        </is>
      </c>
      <c r="P561" s="4" t="inlineStr">
        <is>
          <t>https://lannuaire.service-public.gouv.fr/grand-est/marne/a787ef7f-9d4a-45a6-a31a-39d51cf8018c</t>
        </is>
      </c>
      <c r="Q561" t="inlineStr">
        <is>
          <t>Annuaire Service-public.fr</t>
        </is>
      </c>
      <c r="R561" t="inlineStr"/>
      <c r="S561" t="inlineStr"/>
      <c r="T561" t="inlineStr"/>
    </row>
    <row r="562">
      <c r="A562" t="inlineStr">
        <is>
          <t>CC Meuse Rognon</t>
        </is>
      </c>
      <c r="B562" t="inlineStr">
        <is>
          <t>Communauté de communes</t>
        </is>
      </c>
      <c r="C562" t="inlineStr">
        <is>
          <t>200069664</t>
        </is>
      </c>
      <c r="D562" t="inlineStr">
        <is>
          <t>52</t>
        </is>
      </c>
      <c r="E562" t="inlineStr">
        <is>
          <t>Haute-Marne</t>
        </is>
      </c>
      <c r="F562" t="inlineStr">
        <is>
          <t>Grand Est</t>
        </is>
      </c>
      <c r="G562" s="3" t="n">
        <v>10352</v>
      </c>
      <c r="H562" t="n">
        <v>59</v>
      </c>
      <c r="I562" t="inlineStr">
        <is>
          <t>1 allée de la Grande-Fontaine</t>
        </is>
      </c>
      <c r="J562" t="inlineStr">
        <is>
          <t>52150</t>
        </is>
      </c>
      <c r="K562" t="inlineStr">
        <is>
          <t>Illoud</t>
        </is>
      </c>
      <c r="L562" t="inlineStr">
        <is>
          <t>03 25 02 74 86</t>
        </is>
      </c>
      <c r="M562" s="4" t="inlineStr">
        <is>
          <t>secretariat@meuserognon.fr</t>
        </is>
      </c>
      <c r="N562" s="4" t="inlineStr">
        <is>
          <t>https://www.meuserognon.fr</t>
        </is>
      </c>
      <c r="O562" t="inlineStr"/>
      <c r="P562" s="4" t="inlineStr">
        <is>
          <t>https://lannuaire.service-public.gouv.fr/grand-est/haute-marne/1a927647-f63f-4c14-b782-f417fac942f2</t>
        </is>
      </c>
      <c r="Q562" t="inlineStr">
        <is>
          <t>Annuaire Service-public.fr</t>
        </is>
      </c>
      <c r="R562" t="inlineStr"/>
      <c r="S562" t="inlineStr"/>
      <c r="T562" t="inlineStr"/>
    </row>
    <row r="563">
      <c r="A563" t="inlineStr">
        <is>
          <t>CC d'Auberive Vingeanne et Montsaugeonnais</t>
        </is>
      </c>
      <c r="B563" t="inlineStr">
        <is>
          <t>Communauté de communes</t>
        </is>
      </c>
      <c r="C563" t="inlineStr">
        <is>
          <t>200027308</t>
        </is>
      </c>
      <c r="D563" t="inlineStr">
        <is>
          <t>52</t>
        </is>
      </c>
      <c r="E563" t="inlineStr">
        <is>
          <t>Haute-Marne</t>
        </is>
      </c>
      <c r="F563" t="inlineStr">
        <is>
          <t>Grand Est</t>
        </is>
      </c>
      <c r="G563" s="3" t="n">
        <v>8097</v>
      </c>
      <c r="H563" t="n">
        <v>51</v>
      </c>
      <c r="I563" t="inlineStr">
        <is>
          <t>17 chemin des Brosses-Prauthoy</t>
        </is>
      </c>
      <c r="J563" t="inlineStr">
        <is>
          <t>52290</t>
        </is>
      </c>
      <c r="K563" t="inlineStr">
        <is>
          <t>Le Montsaugeonnais</t>
        </is>
      </c>
      <c r="L563" t="inlineStr">
        <is>
          <t>03 25 87 31 04</t>
        </is>
      </c>
      <c r="M563" s="4" t="inlineStr">
        <is>
          <t>accueil@ccavm.fr</t>
        </is>
      </c>
      <c r="N563" s="4" t="inlineStr">
        <is>
          <t>https://www.ccavm.fr/</t>
        </is>
      </c>
      <c r="O563" s="4" t="inlineStr">
        <is>
          <t>https://www.ccavm.fr/crbst_3.html</t>
        </is>
      </c>
      <c r="P563" s="4" t="inlineStr">
        <is>
          <t>https://lannuaire.service-public.gouv.fr/grand-est/haute-marne/9412b1d7-ebd0-46d2-98a3-4d8e0de7b5f1</t>
        </is>
      </c>
      <c r="Q563" t="inlineStr">
        <is>
          <t>Annuaire Service-public.fr</t>
        </is>
      </c>
      <c r="R563" t="inlineStr"/>
      <c r="S563" t="inlineStr"/>
      <c r="T563" t="inlineStr"/>
    </row>
    <row r="564">
      <c r="A564" t="inlineStr">
        <is>
          <t>CC de l'Ouest Vosgien</t>
        </is>
      </c>
      <c r="B564" t="inlineStr">
        <is>
          <t>Communauté de communes</t>
        </is>
      </c>
      <c r="C564" t="inlineStr">
        <is>
          <t>200068559</t>
        </is>
      </c>
      <c r="D564" t="inlineStr">
        <is>
          <t>52, 88</t>
        </is>
      </c>
      <c r="E564" t="inlineStr">
        <is>
          <t>Haute-Marne, Vosges</t>
        </is>
      </c>
      <c r="F564" t="inlineStr">
        <is>
          <t>Grand Est</t>
        </is>
      </c>
      <c r="G564" s="3" t="n">
        <v>22986</v>
      </c>
      <c r="H564" t="n">
        <v>69</v>
      </c>
      <c r="I564" t="inlineStr">
        <is>
          <t>2 bis avenue François-de-Neufchâteau</t>
        </is>
      </c>
      <c r="J564" t="inlineStr">
        <is>
          <t>88300</t>
        </is>
      </c>
      <c r="K564" t="inlineStr">
        <is>
          <t>Neufchâteau</t>
        </is>
      </c>
      <c r="L564" t="inlineStr">
        <is>
          <t>03 29 94 08 77</t>
        </is>
      </c>
      <c r="M564" s="4" t="inlineStr">
        <is>
          <t>contact@ccov.fr</t>
        </is>
      </c>
      <c r="N564" s="4" t="inlineStr">
        <is>
          <t>https://www.ccov.fr/</t>
        </is>
      </c>
      <c r="O564" t="inlineStr"/>
      <c r="P564" s="4" t="inlineStr">
        <is>
          <t>https://lannuaire.service-public.gouv.fr/grand-est/vosges/0c685021-6cd2-455b-b186-61b37b798673</t>
        </is>
      </c>
      <c r="Q564" t="inlineStr">
        <is>
          <t>Annuaire Service-public.fr</t>
        </is>
      </c>
      <c r="R564" t="inlineStr"/>
      <c r="S564" t="inlineStr"/>
      <c r="T564" t="inlineStr"/>
    </row>
    <row r="565">
      <c r="A565" t="inlineStr">
        <is>
          <t>CC des Savoir-Faire</t>
        </is>
      </c>
      <c r="B565" t="inlineStr">
        <is>
          <t>Communauté de communes</t>
        </is>
      </c>
      <c r="C565" t="inlineStr">
        <is>
          <t>200070332</t>
        </is>
      </c>
      <c r="D565" t="inlineStr">
        <is>
          <t>52, 70</t>
        </is>
      </c>
      <c r="E565" t="inlineStr">
        <is>
          <t>Haute-Marne, Haute-Saône</t>
        </is>
      </c>
      <c r="F565" t="inlineStr">
        <is>
          <t>Bourgogne-Franche-Comté, Grand Est</t>
        </is>
      </c>
      <c r="G565" s="3" t="n">
        <v>15054</v>
      </c>
      <c r="H565" t="n">
        <v>63</v>
      </c>
      <c r="I565" t="inlineStr">
        <is>
          <t>34 Grande-Rue</t>
        </is>
      </c>
      <c r="J565" t="inlineStr">
        <is>
          <t>52500</t>
        </is>
      </c>
      <c r="K565" t="inlineStr">
        <is>
          <t>Fayl-Billot</t>
        </is>
      </c>
      <c r="L565" t="inlineStr">
        <is>
          <t>03 25 84 45 54</t>
        </is>
      </c>
      <c r="M565" s="4" t="inlineStr">
        <is>
          <t>contact@ccsavoirfaire.fr</t>
        </is>
      </c>
      <c r="N565" s="4" t="inlineStr">
        <is>
          <t>https://www.ccdessavoirfaire.fr/</t>
        </is>
      </c>
      <c r="O565" s="4" t="inlineStr">
        <is>
          <t>https://www.ccdessavoirfaire.fr/informations-pratiques</t>
        </is>
      </c>
      <c r="P565" s="4" t="inlineStr">
        <is>
          <t>https://lannuaire.service-public.gouv.fr/grand-est/haute-marne/8d24e694-3e60-46a4-9b70-a8f673990bb5</t>
        </is>
      </c>
      <c r="Q565" t="inlineStr">
        <is>
          <t>Annuaire Service-public.fr</t>
        </is>
      </c>
      <c r="R565" t="inlineStr"/>
      <c r="S565" t="inlineStr"/>
      <c r="T565" t="inlineStr"/>
    </row>
    <row r="566">
      <c r="A566" t="inlineStr">
        <is>
          <t>CC des Trois Forêts</t>
        </is>
      </c>
      <c r="B566" t="inlineStr">
        <is>
          <t>Communauté de communes</t>
        </is>
      </c>
      <c r="C566" t="inlineStr">
        <is>
          <t>245200597</t>
        </is>
      </c>
      <c r="D566" t="inlineStr">
        <is>
          <t>52</t>
        </is>
      </c>
      <c r="E566" t="inlineStr">
        <is>
          <t>Haute-Marne</t>
        </is>
      </c>
      <c r="F566" t="inlineStr">
        <is>
          <t>Grand Est</t>
        </is>
      </c>
      <c r="G566" s="3" t="n">
        <v>7295</v>
      </c>
      <c r="H566" t="n">
        <v>29</v>
      </c>
      <c r="I566" t="inlineStr">
        <is>
          <t>4 route de Châtillon, Site le Chameau</t>
        </is>
      </c>
      <c r="J566" t="inlineStr">
        <is>
          <t>52120</t>
        </is>
      </c>
      <c r="K566" t="inlineStr">
        <is>
          <t>Châteauvillain</t>
        </is>
      </c>
      <c r="L566" t="inlineStr">
        <is>
          <t>03 25 01 38 53</t>
        </is>
      </c>
      <c r="M566" s="4" t="inlineStr">
        <is>
          <t>contact@cc3f52.fr</t>
        </is>
      </c>
      <c r="N566" s="4" t="inlineStr">
        <is>
          <t>http://communautedecommunesdes3forets.com</t>
        </is>
      </c>
      <c r="O566" s="4" t="inlineStr">
        <is>
          <t>http://communautedecommunesdes3forets.com/contact</t>
        </is>
      </c>
      <c r="P566" s="4" t="inlineStr">
        <is>
          <t>https://lannuaire.service-public.gouv.fr/grand-est/haute-marne/53d02c7a-f183-4edf-8971-b2044bd8a44e</t>
        </is>
      </c>
      <c r="Q566" t="inlineStr">
        <is>
          <t>Annuaire Service-public.fr</t>
        </is>
      </c>
      <c r="R566" t="inlineStr"/>
      <c r="S566" t="inlineStr"/>
      <c r="T566" t="inlineStr"/>
    </row>
    <row r="567">
      <c r="A567" t="inlineStr">
        <is>
          <t>CC du Bassin de Joinville en Champagne</t>
        </is>
      </c>
      <c r="B567" t="inlineStr">
        <is>
          <t>Communauté de communes</t>
        </is>
      </c>
      <c r="C567" t="inlineStr">
        <is>
          <t>200044253</t>
        </is>
      </c>
      <c r="D567" t="inlineStr">
        <is>
          <t>52</t>
        </is>
      </c>
      <c r="E567" t="inlineStr">
        <is>
          <t>Haute-Marne</t>
        </is>
      </c>
      <c r="F567" t="inlineStr">
        <is>
          <t>Grand Est</t>
        </is>
      </c>
      <c r="G567" s="3" t="n">
        <v>12196</v>
      </c>
      <c r="H567" t="n">
        <v>59</v>
      </c>
      <c r="I567" t="inlineStr">
        <is>
          <t>3 rue des Capucins</t>
        </is>
      </c>
      <c r="J567" t="inlineStr">
        <is>
          <t>52300</t>
        </is>
      </c>
      <c r="K567" t="inlineStr">
        <is>
          <t>Joinville</t>
        </is>
      </c>
      <c r="L567" t="inlineStr">
        <is>
          <t>03 25 05 94 69</t>
        </is>
      </c>
      <c r="M567" s="4" t="inlineStr">
        <is>
          <t>secretariat@ccbjc.fr</t>
        </is>
      </c>
      <c r="N567" s="4" t="inlineStr">
        <is>
          <t>https://www.ccbjc.fr/</t>
        </is>
      </c>
      <c r="O567" s="4" t="inlineStr">
        <is>
          <t>https://www.ccbjc.fr/contact</t>
        </is>
      </c>
      <c r="P567" s="4" t="inlineStr">
        <is>
          <t>https://lannuaire.service-public.gouv.fr/grand-est/haute-marne/46a72abb-30ff-438f-8cb9-a446aec4e39d</t>
        </is>
      </c>
      <c r="Q567" t="inlineStr">
        <is>
          <t>Annuaire Service-public.fr</t>
        </is>
      </c>
      <c r="R567" t="inlineStr"/>
      <c r="S567" t="inlineStr"/>
      <c r="T567" t="inlineStr"/>
    </row>
    <row r="568">
      <c r="A568" t="inlineStr">
        <is>
          <t>CC du Grand Langres</t>
        </is>
      </c>
      <c r="B568" t="inlineStr">
        <is>
          <t>Communauté de communes</t>
        </is>
      </c>
      <c r="C568" t="inlineStr">
        <is>
          <t>200072999</t>
        </is>
      </c>
      <c r="D568" t="inlineStr">
        <is>
          <t>52</t>
        </is>
      </c>
      <c r="E568" t="inlineStr">
        <is>
          <t>Haute-Marne</t>
        </is>
      </c>
      <c r="F568" t="inlineStr">
        <is>
          <t>Grand Est</t>
        </is>
      </c>
      <c r="G568" s="3" t="n">
        <v>20701</v>
      </c>
      <c r="H568" t="n">
        <v>54</v>
      </c>
      <c r="I568" t="inlineStr">
        <is>
          <t>Place de l'Hôtel-de-Ville, CS 70127</t>
        </is>
      </c>
      <c r="J568" t="inlineStr">
        <is>
          <t>52206</t>
        </is>
      </c>
      <c r="K568" t="inlineStr">
        <is>
          <t>Langres Cedex</t>
        </is>
      </c>
      <c r="L568" t="inlineStr">
        <is>
          <t>03 25 87 77 77</t>
        </is>
      </c>
      <c r="M568" s="4" t="inlineStr">
        <is>
          <t>secretariat@grand-langres.fr</t>
        </is>
      </c>
      <c r="N568" s="4" t="inlineStr">
        <is>
          <t>https://grand-langres.fr/</t>
        </is>
      </c>
      <c r="O568" t="inlineStr"/>
      <c r="P568" s="4" t="inlineStr">
        <is>
          <t>https://lannuaire.service-public.gouv.fr/grand-est/haute-marne/25daa891-0300-4f87-b54c-5d4556779209</t>
        </is>
      </c>
      <c r="Q568" t="inlineStr">
        <is>
          <t>Annuaire Service-public.fr</t>
        </is>
      </c>
      <c r="R568" t="inlineStr"/>
      <c r="S568" t="inlineStr"/>
      <c r="T568" t="inlineStr"/>
    </row>
    <row r="569">
      <c r="A569" t="inlineStr">
        <is>
          <t>CC Mayenne Communauté</t>
        </is>
      </c>
      <c r="B569" t="inlineStr">
        <is>
          <t>Communauté de communes</t>
        </is>
      </c>
      <c r="C569" t="inlineStr">
        <is>
          <t>200055887</t>
        </is>
      </c>
      <c r="D569" t="inlineStr">
        <is>
          <t>53</t>
        </is>
      </c>
      <c r="E569" t="inlineStr">
        <is>
          <t>Mayenne</t>
        </is>
      </c>
      <c r="F569" t="inlineStr">
        <is>
          <t>Pays de la Loire</t>
        </is>
      </c>
      <c r="G569" s="3" t="n">
        <v>36612</v>
      </c>
      <c r="H569" t="n">
        <v>33</v>
      </c>
      <c r="I569" t="inlineStr">
        <is>
          <t>10 rue de Verdun, CS 60111</t>
        </is>
      </c>
      <c r="J569" t="inlineStr">
        <is>
          <t>53103</t>
        </is>
      </c>
      <c r="K569" t="inlineStr">
        <is>
          <t>Mayenne Cedex</t>
        </is>
      </c>
      <c r="L569" t="inlineStr">
        <is>
          <t>02 43 30 21 21</t>
        </is>
      </c>
      <c r="M569" s="4" t="inlineStr">
        <is>
          <t>contact@mayennecommunaute.fr</t>
        </is>
      </c>
      <c r="N569" s="4" t="inlineStr">
        <is>
          <t>https://www.mayenne-communaute.net/</t>
        </is>
      </c>
      <c r="O569" s="4" t="inlineStr">
        <is>
          <t>https://www.mayenne-communaute.net/nous-contacter/</t>
        </is>
      </c>
      <c r="P569" s="4" t="inlineStr">
        <is>
          <t>https://lannuaire.service-public.gouv.fr/pays-de-la-loire/mayenne/d098051a-8ed6-4269-b3dd-a7052203d3c4</t>
        </is>
      </c>
      <c r="Q569" t="inlineStr">
        <is>
          <t>Annuaire Service-public.fr</t>
        </is>
      </c>
      <c r="R569" t="inlineStr"/>
      <c r="S569" t="inlineStr"/>
      <c r="T569" t="inlineStr"/>
    </row>
    <row r="570">
      <c r="A570" t="inlineStr">
        <is>
          <t>CC de l'Ernée</t>
        </is>
      </c>
      <c r="B570" t="inlineStr">
        <is>
          <t>Communauté de communes</t>
        </is>
      </c>
      <c r="C570" t="inlineStr">
        <is>
          <t>245300355</t>
        </is>
      </c>
      <c r="D570" t="inlineStr">
        <is>
          <t>53</t>
        </is>
      </c>
      <c r="E570" t="inlineStr">
        <is>
          <t>Mayenne</t>
        </is>
      </c>
      <c r="F570" t="inlineStr">
        <is>
          <t>Pays de la Loire</t>
        </is>
      </c>
      <c r="G570" s="3" t="n">
        <v>20342</v>
      </c>
      <c r="H570" t="n">
        <v>15</v>
      </c>
      <c r="I570" t="inlineStr">
        <is>
          <t>Parc d'activités de la Querminais</t>
        </is>
      </c>
      <c r="J570" t="inlineStr">
        <is>
          <t>53500</t>
        </is>
      </c>
      <c r="K570" t="inlineStr">
        <is>
          <t>Ernée</t>
        </is>
      </c>
      <c r="L570" t="inlineStr">
        <is>
          <t>02 43 05 98 80</t>
        </is>
      </c>
      <c r="M570" s="4" t="inlineStr">
        <is>
          <t>accueil@lernee.fr</t>
        </is>
      </c>
      <c r="N570" s="4" t="inlineStr">
        <is>
          <t>https://www.lernee.fr/</t>
        </is>
      </c>
      <c r="O570" s="4" t="inlineStr">
        <is>
          <t>https://www.lernee.fr/contact/</t>
        </is>
      </c>
      <c r="P570" s="4" t="inlineStr">
        <is>
          <t>https://lannuaire.service-public.gouv.fr/pays-de-la-loire/mayenne/c94a3708-cecd-424e-9540-32f6e33b3f89</t>
        </is>
      </c>
      <c r="Q570" t="inlineStr">
        <is>
          <t>Annuaire Service-public.fr</t>
        </is>
      </c>
      <c r="R570" t="inlineStr"/>
      <c r="S570" t="inlineStr"/>
      <c r="T570" t="inlineStr"/>
    </row>
    <row r="571">
      <c r="A571" t="inlineStr">
        <is>
          <t>CC des Coëvrons</t>
        </is>
      </c>
      <c r="B571" t="inlineStr">
        <is>
          <t>Communauté de communes</t>
        </is>
      </c>
      <c r="C571" t="inlineStr">
        <is>
          <t>200033298</t>
        </is>
      </c>
      <c r="D571" t="inlineStr">
        <is>
          <t>53</t>
        </is>
      </c>
      <c r="E571" t="inlineStr">
        <is>
          <t>Mayenne</t>
        </is>
      </c>
      <c r="F571" t="inlineStr">
        <is>
          <t>Pays de la Loire</t>
        </is>
      </c>
      <c r="G571" s="3" t="n">
        <v>26746</v>
      </c>
      <c r="H571" t="n">
        <v>29</v>
      </c>
      <c r="I571" t="inlineStr">
        <is>
          <t>2 avenue Raoul-Vadepied</t>
        </is>
      </c>
      <c r="J571" t="inlineStr">
        <is>
          <t>53600</t>
        </is>
      </c>
      <c r="K571" t="inlineStr">
        <is>
          <t>Châtres-la-Forêt</t>
        </is>
      </c>
      <c r="L571" t="inlineStr">
        <is>
          <t>02 43 66 32 00</t>
        </is>
      </c>
      <c r="M571" s="4" t="inlineStr">
        <is>
          <t>contact@coevrons.fr</t>
        </is>
      </c>
      <c r="N571" s="4" t="inlineStr">
        <is>
          <t>https://www.coevrons.fr/</t>
        </is>
      </c>
      <c r="O571" s="4" t="inlineStr">
        <is>
          <t>https://www.coevrons.fr/formulaire/contact</t>
        </is>
      </c>
      <c r="P571" s="4" t="inlineStr">
        <is>
          <t>https://lannuaire.service-public.gouv.fr/pays-de-la-loire/mayenne/3c2b9bc6-0d8e-4157-9f8e-7fc7671fb708</t>
        </is>
      </c>
      <c r="Q571" t="inlineStr">
        <is>
          <t>Annuaire Service-public.fr</t>
        </is>
      </c>
      <c r="R571" t="inlineStr"/>
      <c r="S571" t="inlineStr"/>
      <c r="T571" t="inlineStr"/>
    </row>
    <row r="572">
      <c r="A572" t="inlineStr">
        <is>
          <t>CC du Bocage Mayennais</t>
        </is>
      </c>
      <c r="B572" t="inlineStr">
        <is>
          <t>Communauté de communes</t>
        </is>
      </c>
      <c r="C572" t="inlineStr">
        <is>
          <t>245300389</t>
        </is>
      </c>
      <c r="D572" t="inlineStr">
        <is>
          <t>53</t>
        </is>
      </c>
      <c r="E572" t="inlineStr">
        <is>
          <t>Mayenne</t>
        </is>
      </c>
      <c r="F572" t="inlineStr">
        <is>
          <t>Pays de la Loire</t>
        </is>
      </c>
      <c r="G572" s="3" t="n">
        <v>18256</v>
      </c>
      <c r="H572" t="n">
        <v>27</v>
      </c>
      <c r="I572" t="inlineStr">
        <is>
          <t>1 Grande rue, BP53</t>
        </is>
      </c>
      <c r="J572" t="inlineStr">
        <is>
          <t>53120</t>
        </is>
      </c>
      <c r="K572" t="inlineStr">
        <is>
          <t>Gorron</t>
        </is>
      </c>
      <c r="L572" t="inlineStr">
        <is>
          <t>02 43 08 47 47</t>
        </is>
      </c>
      <c r="M572" s="4" t="inlineStr">
        <is>
          <t>accueil@bocage-mayennais.fr</t>
        </is>
      </c>
      <c r="N572" s="4" t="inlineStr">
        <is>
          <t>https://www.bocage-mayennais.fr/</t>
        </is>
      </c>
      <c r="O572" s="4" t="inlineStr">
        <is>
          <t>https://www.bocage-mayennais.fr/bocage-mayennais-extras.php?part=contact</t>
        </is>
      </c>
      <c r="P572" s="4" t="inlineStr">
        <is>
          <t>https://lannuaire.service-public.gouv.fr/pays-de-la-loire/mayenne/73ad95d2-c6ec-44f5-9806-7b5b15cef3fd</t>
        </is>
      </c>
      <c r="Q572" t="inlineStr">
        <is>
          <t>Annuaire Service-public.fr</t>
        </is>
      </c>
      <c r="R572" t="inlineStr"/>
      <c r="S572" t="inlineStr"/>
      <c r="T572" t="inlineStr"/>
    </row>
    <row r="573">
      <c r="A573" t="inlineStr">
        <is>
          <t>CC du Mont des Avaloirs</t>
        </is>
      </c>
      <c r="B573" t="inlineStr">
        <is>
          <t>Communauté de communes</t>
        </is>
      </c>
      <c r="C573" t="inlineStr">
        <is>
          <t>200042182</t>
        </is>
      </c>
      <c r="D573" t="inlineStr">
        <is>
          <t>53</t>
        </is>
      </c>
      <c r="E573" t="inlineStr">
        <is>
          <t>Mayenne</t>
        </is>
      </c>
      <c r="F573" t="inlineStr">
        <is>
          <t>Pays de la Loire</t>
        </is>
      </c>
      <c r="G573" s="3" t="n">
        <v>15531</v>
      </c>
      <c r="H573" t="n">
        <v>26</v>
      </c>
      <c r="I573" t="inlineStr">
        <is>
          <t>1 rue de la Corniche-de-Pail</t>
        </is>
      </c>
      <c r="J573" t="inlineStr">
        <is>
          <t>53140</t>
        </is>
      </c>
      <c r="K573" t="inlineStr">
        <is>
          <t>Pré-en-Pail</t>
        </is>
      </c>
      <c r="L573" t="inlineStr">
        <is>
          <t>02 43 30 11 11</t>
        </is>
      </c>
      <c r="M573" s="4" t="inlineStr">
        <is>
          <t>accueil@cc-montdesavaloirs.fr</t>
        </is>
      </c>
      <c r="N573" s="4" t="inlineStr">
        <is>
          <t>https://www.cc-montdesavaloirs.fr/</t>
        </is>
      </c>
      <c r="O573" t="inlineStr"/>
      <c r="P573" s="4" t="inlineStr">
        <is>
          <t>https://lannuaire.service-public.gouv.fr/pays-de-la-loire/mayenne/8a1028d8-0563-41f7-b1f4-73673393a747</t>
        </is>
      </c>
      <c r="Q573" t="inlineStr">
        <is>
          <t>Annuaire Service-public.fr</t>
        </is>
      </c>
      <c r="R573" t="inlineStr"/>
      <c r="S573" t="inlineStr"/>
      <c r="T573" t="inlineStr"/>
    </row>
    <row r="574">
      <c r="A574" t="inlineStr">
        <is>
          <t>CC du Pays Sabolien</t>
        </is>
      </c>
      <c r="B574" t="inlineStr">
        <is>
          <t>Communauté de communes</t>
        </is>
      </c>
      <c r="C574" t="inlineStr">
        <is>
          <t>247200090</t>
        </is>
      </c>
      <c r="D574" t="inlineStr">
        <is>
          <t>53, 72</t>
        </is>
      </c>
      <c r="E574" t="inlineStr">
        <is>
          <t>Mayenne, Sarthe</t>
        </is>
      </c>
      <c r="F574" t="inlineStr">
        <is>
          <t>Pays de la Loire</t>
        </is>
      </c>
      <c r="G574" s="3" t="n">
        <v>28326</v>
      </c>
      <c r="H574" t="n">
        <v>17</v>
      </c>
      <c r="I574" t="inlineStr">
        <is>
          <t>3 place Raphaël-Elizé</t>
        </is>
      </c>
      <c r="J574" t="inlineStr">
        <is>
          <t>72300</t>
        </is>
      </c>
      <c r="K574" t="inlineStr">
        <is>
          <t>Sablé-sur-Sarthe</t>
        </is>
      </c>
      <c r="L574" t="inlineStr">
        <is>
          <t>02 43 62 50 00</t>
        </is>
      </c>
      <c r="M574" s="4" t="inlineStr">
        <is>
          <t>communautedecommunes@sablesursarthe.fr</t>
        </is>
      </c>
      <c r="N574" s="4" t="inlineStr">
        <is>
          <t>https://www.payssabolien.fr</t>
        </is>
      </c>
      <c r="O574" t="inlineStr"/>
      <c r="P574" s="4" t="inlineStr">
        <is>
          <t>https://lannuaire.service-public.gouv.fr/pays-de-la-loire/sarthe/1c383054-22ca-4d87-b5c1-014aa7bcaf71</t>
        </is>
      </c>
      <c r="Q574" t="inlineStr">
        <is>
          <t>Annuaire Service-public.fr</t>
        </is>
      </c>
      <c r="R574" t="inlineStr"/>
      <c r="S574" t="inlineStr"/>
      <c r="T574" t="inlineStr"/>
    </row>
    <row r="575">
      <c r="A575" t="inlineStr">
        <is>
          <t>CC du Pays de Château-Gontier</t>
        </is>
      </c>
      <c r="B575" t="inlineStr">
        <is>
          <t>Communauté de communes</t>
        </is>
      </c>
      <c r="C575" t="inlineStr">
        <is>
          <t>245300447</t>
        </is>
      </c>
      <c r="D575" t="inlineStr">
        <is>
          <t>53</t>
        </is>
      </c>
      <c r="E575" t="inlineStr">
        <is>
          <t>Mayenne</t>
        </is>
      </c>
      <c r="F575" t="inlineStr">
        <is>
          <t>Pays de la Loire</t>
        </is>
      </c>
      <c r="G575" s="3" t="n">
        <v>29934</v>
      </c>
      <c r="H575" t="n">
        <v>16</v>
      </c>
      <c r="I575" t="inlineStr">
        <is>
          <t>23 place de la République</t>
        </is>
      </c>
      <c r="J575" t="inlineStr">
        <is>
          <t>53200</t>
        </is>
      </c>
      <c r="K575" t="inlineStr">
        <is>
          <t>Château-Gontier</t>
        </is>
      </c>
      <c r="L575" t="inlineStr">
        <is>
          <t>02 43 09 55 55</t>
        </is>
      </c>
      <c r="M575" s="4" t="inlineStr">
        <is>
          <t>chateau-gontier@chateaugontier.fr</t>
        </is>
      </c>
      <c r="N575" s="4" t="inlineStr">
        <is>
          <t>https://www.chateaugontier.fr/</t>
        </is>
      </c>
      <c r="O575" s="4" t="inlineStr">
        <is>
          <t>https://www.chateaugontier.fr/index.php?page=36</t>
        </is>
      </c>
      <c r="P575" s="4" t="inlineStr">
        <is>
          <t>https://lannuaire.service-public.gouv.fr/pays-de-la-loire/mayenne/424a80a4-7566-4c8d-a787-5b6b120d4970</t>
        </is>
      </c>
      <c r="Q575" t="inlineStr">
        <is>
          <t>Annuaire Service-public.fr</t>
        </is>
      </c>
      <c r="R575" t="inlineStr"/>
      <c r="S575" t="inlineStr"/>
      <c r="T575" t="inlineStr"/>
    </row>
    <row r="576">
      <c r="A576" t="inlineStr">
        <is>
          <t>CC du Pays de Craon</t>
        </is>
      </c>
      <c r="B576" t="inlineStr">
        <is>
          <t>Communauté de communes</t>
        </is>
      </c>
      <c r="C576" t="inlineStr">
        <is>
          <t>200048551</t>
        </is>
      </c>
      <c r="D576" t="inlineStr">
        <is>
          <t>53</t>
        </is>
      </c>
      <c r="E576" t="inlineStr">
        <is>
          <t>Mayenne</t>
        </is>
      </c>
      <c r="F576" t="inlineStr">
        <is>
          <t>Pays de la Loire</t>
        </is>
      </c>
      <c r="G576" s="3" t="n">
        <v>28594</v>
      </c>
      <c r="H576" t="n">
        <v>37</v>
      </c>
      <c r="I576" t="inlineStr">
        <is>
          <t>1 rue de buchenberg</t>
        </is>
      </c>
      <c r="J576" t="inlineStr">
        <is>
          <t>53400</t>
        </is>
      </c>
      <c r="K576" t="inlineStr">
        <is>
          <t>Craon</t>
        </is>
      </c>
      <c r="L576" t="inlineStr">
        <is>
          <t>02 43 09 61 61</t>
        </is>
      </c>
      <c r="M576" s="4" t="inlineStr">
        <is>
          <t>accueil@paysdecraon.fr</t>
        </is>
      </c>
      <c r="N576" s="4" t="inlineStr">
        <is>
          <t>https://www.paysdecraon.fr/</t>
        </is>
      </c>
      <c r="O576" s="4" t="inlineStr">
        <is>
          <t>https://www.paysdecraon.fr/contact/</t>
        </is>
      </c>
      <c r="P576" s="4" t="inlineStr">
        <is>
          <t>https://lannuaire.service-public.gouv.fr/pays-de-la-loire/mayenne/dd59d3a1-5bd5-4e96-8d43-f1373ae91c88</t>
        </is>
      </c>
      <c r="Q576" t="inlineStr">
        <is>
          <t>Annuaire Service-public.fr</t>
        </is>
      </c>
      <c r="R576" t="inlineStr"/>
      <c r="S576" t="inlineStr"/>
      <c r="T576" t="inlineStr"/>
    </row>
    <row r="577">
      <c r="A577" t="inlineStr">
        <is>
          <t>CC du Pays de Meslay-Grez</t>
        </is>
      </c>
      <c r="B577" t="inlineStr">
        <is>
          <t>Communauté de communes</t>
        </is>
      </c>
      <c r="C577" t="inlineStr">
        <is>
          <t>245300223</t>
        </is>
      </c>
      <c r="D577" t="inlineStr">
        <is>
          <t>53</t>
        </is>
      </c>
      <c r="E577" t="inlineStr">
        <is>
          <t>Mayenne</t>
        </is>
      </c>
      <c r="F577" t="inlineStr">
        <is>
          <t>Pays de la Loire</t>
        </is>
      </c>
      <c r="G577" s="3" t="n">
        <v>13832</v>
      </c>
      <c r="H577" t="n">
        <v>22</v>
      </c>
      <c r="I577" t="inlineStr">
        <is>
          <t>1 voie de la Guiternière</t>
        </is>
      </c>
      <c r="J577" t="inlineStr">
        <is>
          <t>53170</t>
        </is>
      </c>
      <c r="K577" t="inlineStr">
        <is>
          <t>Meslay-du-Maine</t>
        </is>
      </c>
      <c r="L577" t="inlineStr">
        <is>
          <t>02 43 64 29 00</t>
        </is>
      </c>
      <c r="M577" s="4" t="inlineStr">
        <is>
          <t>contact@paysmeslaygrez.fr</t>
        </is>
      </c>
      <c r="N577" s="4" t="inlineStr">
        <is>
          <t>https://www.paysmeslaygrez.fr/</t>
        </is>
      </c>
      <c r="O577" s="4" t="inlineStr">
        <is>
          <t>https://www.paysmeslaygrez.fr/systeme/nous-contacter/</t>
        </is>
      </c>
      <c r="P577" s="4" t="inlineStr">
        <is>
          <t>https://lannuaire.service-public.gouv.fr/pays-de-la-loire/mayenne/df00b9ce-ea4a-4ce5-8a01-4898908e4c58</t>
        </is>
      </c>
      <c r="Q577" t="inlineStr">
        <is>
          <t>Annuaire Service-public.fr</t>
        </is>
      </c>
      <c r="R577" t="inlineStr"/>
      <c r="S577" t="inlineStr"/>
      <c r="T577" t="inlineStr"/>
    </row>
    <row r="578">
      <c r="A578" t="inlineStr">
        <is>
          <t>CC Coeur du Pays Haut</t>
        </is>
      </c>
      <c r="B578" t="inlineStr">
        <is>
          <t>Communauté de communes</t>
        </is>
      </c>
      <c r="C578" t="inlineStr">
        <is>
          <t>200070290</t>
        </is>
      </c>
      <c r="D578" t="inlineStr">
        <is>
          <t>54, 55</t>
        </is>
      </c>
      <c r="E578" t="inlineStr">
        <is>
          <t>Meurthe-et-Moselle, Meuse</t>
        </is>
      </c>
      <c r="F578" t="inlineStr">
        <is>
          <t>Grand Est</t>
        </is>
      </c>
      <c r="G578" s="3" t="n">
        <v>23280</v>
      </c>
      <c r="H578" t="n">
        <v>25</v>
      </c>
      <c r="I578" t="inlineStr">
        <is>
          <t>71 route de Briey</t>
        </is>
      </c>
      <c r="J578" t="inlineStr">
        <is>
          <t>54560</t>
        </is>
      </c>
      <c r="K578" t="inlineStr">
        <is>
          <t>Audun-le-Roman</t>
        </is>
      </c>
      <c r="L578" t="inlineStr">
        <is>
          <t>03 82 21 59 00</t>
        </is>
      </c>
      <c r="M578" s="4" t="inlineStr">
        <is>
          <t>secretariat@coeurdupayshaut.fr</t>
        </is>
      </c>
      <c r="N578" s="4" t="inlineStr">
        <is>
          <t>https://coeurdupayshaut.fr/</t>
        </is>
      </c>
      <c r="O578" t="inlineStr"/>
      <c r="P578" s="4" t="inlineStr">
        <is>
          <t>https://lannuaire.service-public.gouv.fr/grand-est/meurthe-et-moselle/61221287-1552-4261-9705-caf4e4ae42e9</t>
        </is>
      </c>
      <c r="Q578" t="inlineStr">
        <is>
          <t>Annuaire Service-public.fr</t>
        </is>
      </c>
      <c r="R578" t="inlineStr"/>
      <c r="S578" t="inlineStr"/>
      <c r="T578" t="inlineStr"/>
    </row>
    <row r="579">
      <c r="A579" t="inlineStr">
        <is>
          <t>CC Mad et Moselle</t>
        </is>
      </c>
      <c r="B579" t="inlineStr">
        <is>
          <t>Communauté de communes</t>
        </is>
      </c>
      <c r="C579" t="inlineStr">
        <is>
          <t>200070738</t>
        </is>
      </c>
      <c r="D579" t="inlineStr">
        <is>
          <t>54, 57</t>
        </is>
      </c>
      <c r="E579" t="inlineStr">
        <is>
          <t>Meurthe-et-Moselle, Moselle</t>
        </is>
      </c>
      <c r="F579" t="inlineStr">
        <is>
          <t>Grand Est</t>
        </is>
      </c>
      <c r="G579" s="3" t="n">
        <v>19144</v>
      </c>
      <c r="H579" t="n">
        <v>47</v>
      </c>
      <c r="I579" t="inlineStr">
        <is>
          <t>2 bis rue Henri-Poulet</t>
        </is>
      </c>
      <c r="J579" t="inlineStr">
        <is>
          <t>54470</t>
        </is>
      </c>
      <c r="K579" t="inlineStr">
        <is>
          <t>Thiaucourt-Regnieville</t>
        </is>
      </c>
      <c r="L579" t="inlineStr">
        <is>
          <t>03 83 81 91 69</t>
        </is>
      </c>
      <c r="M579" s="4" t="inlineStr">
        <is>
          <t>accueil@cc-madetmoselle.fr</t>
        </is>
      </c>
      <c r="N579" s="4" t="inlineStr">
        <is>
          <t>https://www.cc-madetmoselle.fr</t>
        </is>
      </c>
      <c r="O579" s="4" t="inlineStr">
        <is>
          <t>https://www.cc-madetmoselle.fr/fr/contact.html</t>
        </is>
      </c>
      <c r="P579" s="4" t="inlineStr">
        <is>
          <t>https://lannuaire.service-public.gouv.fr/grand-est/meurthe-et-moselle/974be2b6-ee1c-47fa-8246-28bacb55f339</t>
        </is>
      </c>
      <c r="Q579" t="inlineStr">
        <is>
          <t>Annuaire Service-public.fr</t>
        </is>
      </c>
      <c r="R579" t="inlineStr"/>
      <c r="S579" t="inlineStr"/>
      <c r="T579" t="inlineStr"/>
    </row>
    <row r="580">
      <c r="A580" t="inlineStr">
        <is>
          <t>CC Meurthe Mortagne Moselle</t>
        </is>
      </c>
      <c r="B580" t="inlineStr">
        <is>
          <t>Communauté de communes</t>
        </is>
      </c>
      <c r="C580" t="inlineStr">
        <is>
          <t>200067643</t>
        </is>
      </c>
      <c r="D580" t="inlineStr">
        <is>
          <t>54</t>
        </is>
      </c>
      <c r="E580" t="inlineStr">
        <is>
          <t>Meurthe-et-Moselle</t>
        </is>
      </c>
      <c r="F580" t="inlineStr">
        <is>
          <t>Grand Est</t>
        </is>
      </c>
      <c r="G580" s="3" t="n">
        <v>16456</v>
      </c>
      <c r="H580" t="n">
        <v>37</v>
      </c>
      <c r="I580" t="inlineStr">
        <is>
          <t>56 avenue Pierre-Sémard</t>
        </is>
      </c>
      <c r="J580" t="inlineStr">
        <is>
          <t>54360</t>
        </is>
      </c>
      <c r="K580" t="inlineStr">
        <is>
          <t>Blainville-sur-l'Eau</t>
        </is>
      </c>
      <c r="L580" t="inlineStr">
        <is>
          <t>03 83 71 43 62</t>
        </is>
      </c>
      <c r="M580" s="4" t="inlineStr">
        <is>
          <t>secretariat@cc3m.fr</t>
        </is>
      </c>
      <c r="N580" s="4" t="inlineStr">
        <is>
          <t>http://www.cc3m.fr</t>
        </is>
      </c>
      <c r="O580" t="inlineStr"/>
      <c r="P580" s="4" t="inlineStr">
        <is>
          <t>https://lannuaire.service-public.gouv.fr/grand-est/meurthe-et-moselle/b3425dd4-16be-4a38-be24-cb302ea12c83</t>
        </is>
      </c>
      <c r="Q580" t="inlineStr">
        <is>
          <t>Annuaire Service-public.fr</t>
        </is>
      </c>
      <c r="R580" t="inlineStr"/>
      <c r="S580" t="inlineStr"/>
      <c r="T580" t="inlineStr"/>
    </row>
    <row r="581">
      <c r="A581" t="inlineStr">
        <is>
          <t>CC Moselle et Madon</t>
        </is>
      </c>
      <c r="B581" t="inlineStr">
        <is>
          <t>Communauté de communes</t>
        </is>
      </c>
      <c r="C581" t="inlineStr">
        <is>
          <t>245400171</t>
        </is>
      </c>
      <c r="D581" t="inlineStr">
        <is>
          <t>54</t>
        </is>
      </c>
      <c r="E581" t="inlineStr">
        <is>
          <t>Meurthe-et-Moselle</t>
        </is>
      </c>
      <c r="F581" t="inlineStr">
        <is>
          <t>Grand Est</t>
        </is>
      </c>
      <c r="G581" s="3" t="n">
        <v>28192</v>
      </c>
      <c r="H581" t="n">
        <v>19</v>
      </c>
      <c r="I581" t="inlineStr">
        <is>
          <t>712 rue Nicolas Cugnot</t>
        </is>
      </c>
      <c r="J581" t="inlineStr">
        <is>
          <t>54230</t>
        </is>
      </c>
      <c r="K581" t="inlineStr">
        <is>
          <t>Neuves-Maisons</t>
        </is>
      </c>
      <c r="L581" t="inlineStr">
        <is>
          <t>03 83 26 45 00</t>
        </is>
      </c>
      <c r="M581" s="4" t="inlineStr">
        <is>
          <t>contact@cc-mosellemadon.fr</t>
        </is>
      </c>
      <c r="N581" s="4" t="inlineStr">
        <is>
          <t>https://www.cc-mosellemadon.fr/fr/</t>
        </is>
      </c>
      <c r="O581" s="4" t="inlineStr">
        <is>
          <t>https://www.cc-mosellemadon.fr/fr/contact.html</t>
        </is>
      </c>
      <c r="P581" s="4" t="inlineStr">
        <is>
          <t>https://lannuaire.service-public.gouv.fr/grand-est/meurthe-et-moselle/6206c1d2-138c-451e-a2fe-e68f8d63f532</t>
        </is>
      </c>
      <c r="Q581" t="inlineStr">
        <is>
          <t>Annuaire Service-public.fr</t>
        </is>
      </c>
      <c r="R581" t="inlineStr"/>
      <c r="S581" t="inlineStr"/>
      <c r="T581" t="inlineStr"/>
    </row>
    <row r="582">
      <c r="A582" t="inlineStr">
        <is>
          <t>CC Orne Lorraine Confluences</t>
        </is>
      </c>
      <c r="B582" t="inlineStr">
        <is>
          <t>Communauté de communes</t>
        </is>
      </c>
      <c r="C582" t="inlineStr">
        <is>
          <t>200070845</t>
        </is>
      </c>
      <c r="D582" t="inlineStr">
        <is>
          <t>54</t>
        </is>
      </c>
      <c r="E582" t="inlineStr">
        <is>
          <t>Meurthe-et-Moselle</t>
        </is>
      </c>
      <c r="F582" t="inlineStr">
        <is>
          <t>Grand Est</t>
        </is>
      </c>
      <c r="G582" s="3" t="n">
        <v>52850</v>
      </c>
      <c r="H582" t="n">
        <v>41</v>
      </c>
      <c r="I582" t="inlineStr">
        <is>
          <t>1 place du Général-Leclerc</t>
        </is>
      </c>
      <c r="J582" t="inlineStr">
        <is>
          <t>54580</t>
        </is>
      </c>
      <c r="K582" t="inlineStr">
        <is>
          <t>Auboué</t>
        </is>
      </c>
      <c r="L582" t="inlineStr">
        <is>
          <t>03 82 22 04 20</t>
        </is>
      </c>
      <c r="M582" s="4" t="inlineStr">
        <is>
          <t>contact@olc54.fr</t>
        </is>
      </c>
      <c r="N582" s="4" t="inlineStr">
        <is>
          <t>https://olc54.fr</t>
        </is>
      </c>
      <c r="O582" s="4" t="inlineStr">
        <is>
          <t>https://olc54.fr/contact</t>
        </is>
      </c>
      <c r="P582" s="4" t="inlineStr">
        <is>
          <t>https://lannuaire.service-public.gouv.fr/grand-est/meurthe-et-moselle/7068cf13-3fff-45c6-8703-081296f508ac</t>
        </is>
      </c>
      <c r="Q582" t="inlineStr">
        <is>
          <t>Annuaire Service-public.fr</t>
        </is>
      </c>
      <c r="R582" t="inlineStr"/>
      <c r="S582" t="inlineStr"/>
      <c r="T582" t="inlineStr"/>
    </row>
    <row r="583">
      <c r="A583" t="inlineStr">
        <is>
          <t>CC Terre Lorraine du Longuyonnais</t>
        </is>
      </c>
      <c r="B583" t="inlineStr">
        <is>
          <t>Communauté de communes</t>
        </is>
      </c>
      <c r="C583" t="inlineStr">
        <is>
          <t>200043693</t>
        </is>
      </c>
      <c r="D583" t="inlineStr">
        <is>
          <t>54</t>
        </is>
      </c>
      <c r="E583" t="inlineStr">
        <is>
          <t>Meurthe-et-Moselle</t>
        </is>
      </c>
      <c r="F583" t="inlineStr">
        <is>
          <t>Grand Est</t>
        </is>
      </c>
      <c r="G583" s="3" t="n">
        <v>15334</v>
      </c>
      <c r="H583" t="n">
        <v>27</v>
      </c>
      <c r="I583" t="inlineStr">
        <is>
          <t>2 rue Augistrou</t>
        </is>
      </c>
      <c r="J583" t="inlineStr">
        <is>
          <t>54260</t>
        </is>
      </c>
      <c r="K583" t="inlineStr">
        <is>
          <t>Longuyon</t>
        </is>
      </c>
      <c r="L583" t="inlineStr">
        <is>
          <t>03 82 26 45 18</t>
        </is>
      </c>
      <c r="M583" s="4" t="inlineStr">
        <is>
          <t>accueil@t2l-54.fr</t>
        </is>
      </c>
      <c r="N583" s="4" t="inlineStr">
        <is>
          <t>http://www.t2l-54.fr</t>
        </is>
      </c>
      <c r="O583" t="inlineStr"/>
      <c r="P583" s="4" t="inlineStr">
        <is>
          <t>https://lannuaire.service-public.gouv.fr/grand-est/meurthe-et-moselle/41c47af9-85a8-4e8a-9b70-b401c825cc9f</t>
        </is>
      </c>
      <c r="Q583" t="inlineStr">
        <is>
          <t>Annuaire Service-public.fr</t>
        </is>
      </c>
      <c r="R583" t="inlineStr"/>
      <c r="S583" t="inlineStr"/>
      <c r="T583" t="inlineStr"/>
    </row>
    <row r="584">
      <c r="A584" t="inlineStr">
        <is>
          <t>CC Terres Touloises</t>
        </is>
      </c>
      <c r="B584" t="inlineStr">
        <is>
          <t>Communauté de communes</t>
        </is>
      </c>
      <c r="C584" t="inlineStr">
        <is>
          <t>200070563</t>
        </is>
      </c>
      <c r="D584" t="inlineStr">
        <is>
          <t>54</t>
        </is>
      </c>
      <c r="E584" t="inlineStr">
        <is>
          <t>Meurthe-et-Moselle</t>
        </is>
      </c>
      <c r="F584" t="inlineStr">
        <is>
          <t>Grand Est</t>
        </is>
      </c>
      <c r="G584" s="3" t="n">
        <v>44293</v>
      </c>
      <c r="H584" t="n">
        <v>41</v>
      </c>
      <c r="I584" t="inlineStr">
        <is>
          <t>Rue du Mémorial-du-Génie</t>
        </is>
      </c>
      <c r="J584" t="inlineStr">
        <is>
          <t>54200</t>
        </is>
      </c>
      <c r="K584" t="inlineStr">
        <is>
          <t>Toul</t>
        </is>
      </c>
      <c r="L584" t="inlineStr">
        <is>
          <t>03 83 43 23 76</t>
        </is>
      </c>
      <c r="M584" s="4" t="inlineStr">
        <is>
          <t>contact@terrestouloises.com</t>
        </is>
      </c>
      <c r="N584" s="4" t="inlineStr">
        <is>
          <t>https://terrestouloises.com/</t>
        </is>
      </c>
      <c r="O584" s="4" t="inlineStr">
        <is>
          <t>https://terrestouloises.com/ma-communaute-de-communes/nous-contacter/</t>
        </is>
      </c>
      <c r="P584" s="4" t="inlineStr">
        <is>
          <t>https://lannuaire.service-public.gouv.fr/grand-est/meurthe-et-moselle/70883fe4-7897-4e85-b8d5-050d044c01c0</t>
        </is>
      </c>
      <c r="Q584" t="inlineStr">
        <is>
          <t>Annuaire Service-public.fr</t>
        </is>
      </c>
      <c r="R584" t="inlineStr"/>
      <c r="S584" t="inlineStr"/>
      <c r="T584" t="inlineStr"/>
    </row>
    <row r="585">
      <c r="A585" t="inlineStr">
        <is>
          <t>CC de Seille et Grand Couronné</t>
        </is>
      </c>
      <c r="B585" t="inlineStr">
        <is>
          <t>Communauté de communes</t>
        </is>
      </c>
      <c r="C585" t="inlineStr">
        <is>
          <t>200070589</t>
        </is>
      </c>
      <c r="D585" t="inlineStr">
        <is>
          <t>54</t>
        </is>
      </c>
      <c r="E585" t="inlineStr">
        <is>
          <t>Meurthe-et-Moselle</t>
        </is>
      </c>
      <c r="F585" t="inlineStr">
        <is>
          <t>Grand Est</t>
        </is>
      </c>
      <c r="G585" s="3" t="n">
        <v>18955</v>
      </c>
      <c r="H585" t="n">
        <v>42</v>
      </c>
      <c r="I585" t="inlineStr">
        <is>
          <t>47 rue Saint-Barthélémy</t>
        </is>
      </c>
      <c r="J585" t="inlineStr">
        <is>
          <t>54280</t>
        </is>
      </c>
      <c r="K585" t="inlineStr">
        <is>
          <t>Champenoux</t>
        </is>
      </c>
      <c r="L585" t="inlineStr">
        <is>
          <t>03 83 31 74 37</t>
        </is>
      </c>
      <c r="M585" s="4" t="inlineStr">
        <is>
          <t>contact@comcom-sgc.fr</t>
        </is>
      </c>
      <c r="N585" s="4" t="inlineStr">
        <is>
          <t>https://www.comcom-sgc.fr</t>
        </is>
      </c>
      <c r="O585" s="4" t="inlineStr">
        <is>
          <t>https://www.comcom-sgc.fr/contact/</t>
        </is>
      </c>
      <c r="P585" s="4" t="inlineStr">
        <is>
          <t>https://lannuaire.service-public.gouv.fr/grand-est/meurthe-et-moselle/f10be03e-37dd-41fe-a14c-02c3bb7b867a</t>
        </is>
      </c>
      <c r="Q585" t="inlineStr">
        <is>
          <t>Annuaire Service-public.fr</t>
        </is>
      </c>
      <c r="R585" t="inlineStr"/>
      <c r="S585" t="inlineStr"/>
      <c r="T585" t="inlineStr"/>
    </row>
    <row r="586">
      <c r="A586" t="inlineStr">
        <is>
          <t>CC de Vezouze en Piémont</t>
        </is>
      </c>
      <c r="B586" t="inlineStr">
        <is>
          <t>Communauté de communes</t>
        </is>
      </c>
      <c r="C586" t="inlineStr">
        <is>
          <t>200069433</t>
        </is>
      </c>
      <c r="D586" t="inlineStr">
        <is>
          <t>54</t>
        </is>
      </c>
      <c r="E586" t="inlineStr">
        <is>
          <t>Meurthe-et-Moselle</t>
        </is>
      </c>
      <c r="F586" t="inlineStr">
        <is>
          <t>Grand Est</t>
        </is>
      </c>
      <c r="G586" s="3" t="n">
        <v>11483</v>
      </c>
      <c r="H586" t="n">
        <v>51</v>
      </c>
      <c r="I586" t="inlineStr">
        <is>
          <t>38 rue de Voise</t>
        </is>
      </c>
      <c r="J586" t="inlineStr">
        <is>
          <t>54450</t>
        </is>
      </c>
      <c r="K586" t="inlineStr">
        <is>
          <t>Blâmont</t>
        </is>
      </c>
      <c r="L586" t="inlineStr">
        <is>
          <t>03 83 42 46 46</t>
        </is>
      </c>
      <c r="M586" s="4" t="inlineStr">
        <is>
          <t>accueil@ccvp.fr</t>
        </is>
      </c>
      <c r="N586" s="4" t="inlineStr">
        <is>
          <t>https://www.ccvp.fr/</t>
        </is>
      </c>
      <c r="O586" s="4" t="inlineStr">
        <is>
          <t>https://www.ccvp.fr/contact</t>
        </is>
      </c>
      <c r="P586" s="4" t="inlineStr">
        <is>
          <t>https://lannuaire.service-public.gouv.fr/grand-est/meurthe-et-moselle/9f0effba-0636-4253-8a95-a593e4ed9f3d</t>
        </is>
      </c>
      <c r="Q586" t="inlineStr">
        <is>
          <t>Annuaire Service-public.fr</t>
        </is>
      </c>
      <c r="R586" t="inlineStr"/>
      <c r="S586" t="inlineStr"/>
      <c r="T586" t="inlineStr"/>
    </row>
    <row r="587">
      <c r="A587" t="inlineStr">
        <is>
          <t>CC des Pays du Sel et du Vermois</t>
        </is>
      </c>
      <c r="B587" t="inlineStr">
        <is>
          <t>Communauté de communes</t>
        </is>
      </c>
      <c r="C587" t="inlineStr">
        <is>
          <t>245400189</t>
        </is>
      </c>
      <c r="D587" t="inlineStr">
        <is>
          <t>54</t>
        </is>
      </c>
      <c r="E587" t="inlineStr">
        <is>
          <t>Meurthe-et-Moselle</t>
        </is>
      </c>
      <c r="F587" t="inlineStr">
        <is>
          <t>Grand Est</t>
        </is>
      </c>
      <c r="G587" s="3" t="n">
        <v>28698</v>
      </c>
      <c r="H587" t="n">
        <v>16</v>
      </c>
      <c r="I587" t="inlineStr">
        <is>
          <t>3 rue Louis-Majorelle</t>
        </is>
      </c>
      <c r="J587" t="inlineStr">
        <is>
          <t>54110</t>
        </is>
      </c>
      <c r="K587" t="inlineStr">
        <is>
          <t>Dombasle-sur-Meurthe</t>
        </is>
      </c>
      <c r="L587" t="inlineStr">
        <is>
          <t>03 83 45 23 32</t>
        </is>
      </c>
      <c r="M587" s="4" t="inlineStr">
        <is>
          <t>contact@cc-seletvermois.fr</t>
        </is>
      </c>
      <c r="N587" s="4" t="inlineStr">
        <is>
          <t>https://www.cc-seletvermois.fr/</t>
        </is>
      </c>
      <c r="O587" s="4" t="inlineStr">
        <is>
          <t>https://www.cc-seletvermois.fr/contact/</t>
        </is>
      </c>
      <c r="P587" s="4" t="inlineStr">
        <is>
          <t>https://lannuaire.service-public.gouv.fr/grand-est/meurthe-et-moselle/a7379470-cf96-4ff3-99d4-1e023dea790a</t>
        </is>
      </c>
      <c r="Q587" t="inlineStr">
        <is>
          <t>Annuaire Service-public.fr</t>
        </is>
      </c>
      <c r="R587" t="inlineStr"/>
      <c r="S587" t="inlineStr"/>
      <c r="T587" t="inlineStr"/>
    </row>
    <row r="588">
      <c r="A588" t="inlineStr">
        <is>
          <t>CC du Bassin de Pompey</t>
        </is>
      </c>
      <c r="B588" t="inlineStr">
        <is>
          <t>Communauté de communes</t>
        </is>
      </c>
      <c r="C588" t="inlineStr">
        <is>
          <t>245400601</t>
        </is>
      </c>
      <c r="D588" t="inlineStr">
        <is>
          <t>54</t>
        </is>
      </c>
      <c r="E588" t="inlineStr">
        <is>
          <t>Meurthe-et-Moselle</t>
        </is>
      </c>
      <c r="F588" t="inlineStr">
        <is>
          <t>Grand Est</t>
        </is>
      </c>
      <c r="G588" s="3" t="n">
        <v>39626</v>
      </c>
      <c r="H588" t="n">
        <v>13</v>
      </c>
      <c r="I588" t="inlineStr">
        <is>
          <t>Rue des Quatre-Éléments</t>
        </is>
      </c>
      <c r="J588" t="inlineStr">
        <is>
          <t>54300</t>
        </is>
      </c>
      <c r="K588" t="inlineStr">
        <is>
          <t>Pompey</t>
        </is>
      </c>
      <c r="L588" t="inlineStr">
        <is>
          <t>03 83 49 81 81</t>
        </is>
      </c>
      <c r="M588" s="4" t="inlineStr">
        <is>
          <t>accueil@bassinpompey.fr</t>
        </is>
      </c>
      <c r="N588" s="4" t="inlineStr">
        <is>
          <t>https://www.bassinpompey.fr/</t>
        </is>
      </c>
      <c r="O588" s="4" t="inlineStr">
        <is>
          <t>https://www.bassinpompey.fr/informations-pratiques/contact-2</t>
        </is>
      </c>
      <c r="P588" s="4" t="inlineStr">
        <is>
          <t>https://lannuaire.service-public.gouv.fr/grand-est/meurthe-et-moselle/4faa1f4d-e17f-4992-8f74-929d2549f45d</t>
        </is>
      </c>
      <c r="Q588" t="inlineStr">
        <is>
          <t>Annuaire Service-public.fr</t>
        </is>
      </c>
      <c r="R588" t="inlineStr"/>
      <c r="S588" t="inlineStr"/>
      <c r="T588" t="inlineStr"/>
    </row>
    <row r="589">
      <c r="A589" t="inlineStr">
        <is>
          <t>CC du Bassin de Pont-à-Mousson</t>
        </is>
      </c>
      <c r="B589" t="inlineStr">
        <is>
          <t>Communauté de communes</t>
        </is>
      </c>
      <c r="C589" t="inlineStr">
        <is>
          <t>200041515</t>
        </is>
      </c>
      <c r="D589" t="inlineStr">
        <is>
          <t>54</t>
        </is>
      </c>
      <c r="E589" t="inlineStr">
        <is>
          <t>Meurthe-et-Moselle</t>
        </is>
      </c>
      <c r="F589" t="inlineStr">
        <is>
          <t>Grand Est</t>
        </is>
      </c>
      <c r="G589" s="3" t="n">
        <v>40203</v>
      </c>
      <c r="H589" t="n">
        <v>31</v>
      </c>
      <c r="I589" t="inlineStr">
        <is>
          <t>75 Louis-Camille MAILLARD</t>
        </is>
      </c>
      <c r="J589" t="inlineStr">
        <is>
          <t>54700</t>
        </is>
      </c>
      <c r="K589" t="inlineStr">
        <is>
          <t>Pont-à-Mousson</t>
        </is>
      </c>
      <c r="L589" t="inlineStr">
        <is>
          <t>03 83 87 87 00</t>
        </is>
      </c>
      <c r="M589" s="4" t="inlineStr">
        <is>
          <t>info@bassin-pont-a-mousson.fr</t>
        </is>
      </c>
      <c r="N589" s="4" t="inlineStr">
        <is>
          <t>https://www.bassin-pont-a-mousson.fr/</t>
        </is>
      </c>
      <c r="O589" s="4" t="inlineStr">
        <is>
          <t>https://www.bassin-pont-a-mousson.fr/contact.htm</t>
        </is>
      </c>
      <c r="P589" s="4" t="inlineStr">
        <is>
          <t>https://lannuaire.service-public.gouv.fr/grand-est/meurthe-et-moselle/8afc618f-4a1c-41ef-a841-24bb41986e00</t>
        </is>
      </c>
      <c r="Q589" t="inlineStr">
        <is>
          <t>Annuaire Service-public.fr</t>
        </is>
      </c>
      <c r="R589" t="inlineStr"/>
      <c r="S589" t="inlineStr"/>
      <c r="T589" t="inlineStr"/>
    </row>
    <row r="590">
      <c r="A590" t="inlineStr">
        <is>
          <t>CC du Pays Haut Val d'Alzette</t>
        </is>
      </c>
      <c r="B590" t="inlineStr">
        <is>
          <t>Communauté de communes</t>
        </is>
      </c>
      <c r="C590" t="inlineStr">
        <is>
          <t>245701404</t>
        </is>
      </c>
      <c r="D590" t="inlineStr">
        <is>
          <t>54, 57</t>
        </is>
      </c>
      <c r="E590" t="inlineStr">
        <is>
          <t>Meurthe-et-Moselle, Moselle</t>
        </is>
      </c>
      <c r="F590" t="inlineStr">
        <is>
          <t>Grand Est</t>
        </is>
      </c>
      <c r="G590" s="3" t="n">
        <v>29465</v>
      </c>
      <c r="H590" t="n">
        <v>8</v>
      </c>
      <c r="I590" t="inlineStr">
        <is>
          <t>390 rue du Laboratoire</t>
        </is>
      </c>
      <c r="J590" t="inlineStr">
        <is>
          <t>57390</t>
        </is>
      </c>
      <c r="K590" t="inlineStr">
        <is>
          <t>Audun-le-Tiche</t>
        </is>
      </c>
      <c r="L590" t="inlineStr">
        <is>
          <t>03 82 53 50 01</t>
        </is>
      </c>
      <c r="M590" s="4" t="inlineStr">
        <is>
          <t>contact@ccphva.com</t>
        </is>
      </c>
      <c r="N590" s="4" t="inlineStr">
        <is>
          <t>https://www.ccphva.com/</t>
        </is>
      </c>
      <c r="O590" s="4" t="inlineStr">
        <is>
          <t>https://www.ccphva.com/formulaire/formulaire-de-contact</t>
        </is>
      </c>
      <c r="P590" s="4" t="inlineStr">
        <is>
          <t>https://lannuaire.service-public.gouv.fr/grand-est/moselle/542a9c19-748b-41cf-803d-3beb8c236f33</t>
        </is>
      </c>
      <c r="Q590" t="inlineStr">
        <is>
          <t>Annuaire Service-public.fr</t>
        </is>
      </c>
      <c r="R590" t="inlineStr"/>
      <c r="S590" t="inlineStr"/>
      <c r="T590" t="inlineStr"/>
    </row>
    <row r="591">
      <c r="A591" t="inlineStr">
        <is>
          <t>CC du Pays de Colombey et du Sud Toulois</t>
        </is>
      </c>
      <c r="B591" t="inlineStr">
        <is>
          <t>Communauté de communes</t>
        </is>
      </c>
      <c r="C591" t="inlineStr">
        <is>
          <t>245400510</t>
        </is>
      </c>
      <c r="D591" t="inlineStr">
        <is>
          <t>54, 88</t>
        </is>
      </c>
      <c r="E591" t="inlineStr">
        <is>
          <t>Meurthe-et-Moselle, Vosges</t>
        </is>
      </c>
      <c r="F591" t="inlineStr">
        <is>
          <t>Grand Est</t>
        </is>
      </c>
      <c r="G591" s="3" t="n">
        <v>11235</v>
      </c>
      <c r="H591" t="n">
        <v>38</v>
      </c>
      <c r="I591" t="inlineStr">
        <is>
          <t>5 rue de la Gare</t>
        </is>
      </c>
      <c r="J591" t="inlineStr">
        <is>
          <t>54170</t>
        </is>
      </c>
      <c r="K591" t="inlineStr">
        <is>
          <t>Colombey-les-Belles</t>
        </is>
      </c>
      <c r="L591" t="inlineStr">
        <is>
          <t>03 83 52 08 16</t>
        </is>
      </c>
      <c r="M591" s="4" t="inlineStr">
        <is>
          <t>contact@pays-colombey-sudtoulois.fr</t>
        </is>
      </c>
      <c r="N591" s="4" t="inlineStr">
        <is>
          <t>https://www.pays-colombey-sudtoulois.fr//</t>
        </is>
      </c>
      <c r="O591" t="inlineStr"/>
      <c r="P591" s="4" t="inlineStr">
        <is>
          <t>https://lannuaire.service-public.gouv.fr/grand-est/meurthe-et-moselle/5fc34312-4951-46b3-b55c-3a4b1c4f4b24</t>
        </is>
      </c>
      <c r="Q591" t="inlineStr">
        <is>
          <t>Annuaire Service-public.fr</t>
        </is>
      </c>
      <c r="R591" t="inlineStr"/>
      <c r="S591" t="inlineStr"/>
      <c r="T591" t="inlineStr"/>
    </row>
    <row r="592">
      <c r="A592" t="inlineStr">
        <is>
          <t>CC du Pays du Saintois</t>
        </is>
      </c>
      <c r="B592" t="inlineStr">
        <is>
          <t>Communauté de communes</t>
        </is>
      </c>
      <c r="C592" t="inlineStr">
        <is>
          <t>200035772</t>
        </is>
      </c>
      <c r="D592" t="inlineStr">
        <is>
          <t>54</t>
        </is>
      </c>
      <c r="E592" t="inlineStr">
        <is>
          <t>Meurthe-et-Moselle</t>
        </is>
      </c>
      <c r="F592" t="inlineStr">
        <is>
          <t>Grand Est</t>
        </is>
      </c>
      <c r="G592" s="3" t="n">
        <v>14229</v>
      </c>
      <c r="H592" t="n">
        <v>55</v>
      </c>
      <c r="I592" t="inlineStr">
        <is>
          <t>21 rue de la Gare</t>
        </is>
      </c>
      <c r="J592" t="inlineStr">
        <is>
          <t>54116</t>
        </is>
      </c>
      <c r="K592" t="inlineStr">
        <is>
          <t>Tantonville</t>
        </is>
      </c>
      <c r="L592" t="inlineStr">
        <is>
          <t>03 83 52 47 93</t>
        </is>
      </c>
      <c r="M592" s="4" t="inlineStr">
        <is>
          <t>contact@ccpaysdusaintois.fr</t>
        </is>
      </c>
      <c r="N592" s="4" t="inlineStr">
        <is>
          <t>https://www.ccpaysdusaintois.fr/fr/</t>
        </is>
      </c>
      <c r="O592" s="4" t="inlineStr">
        <is>
          <t>https://www.ccpaysdusaintois.fr/fr/contact.html</t>
        </is>
      </c>
      <c r="P592" s="4" t="inlineStr">
        <is>
          <t>https://lannuaire.service-public.gouv.fr/grand-est/meurthe-et-moselle/e51261a8-162f-4349-bb26-83cd9ba06707</t>
        </is>
      </c>
      <c r="Q592" t="inlineStr">
        <is>
          <t>Annuaire Service-public.fr</t>
        </is>
      </c>
      <c r="R592" t="inlineStr"/>
      <c r="S592" t="inlineStr"/>
      <c r="T592" t="inlineStr"/>
    </row>
    <row r="593">
      <c r="A593" t="inlineStr">
        <is>
          <t>CC du Pays du Sanon</t>
        </is>
      </c>
      <c r="B593" t="inlineStr">
        <is>
          <t>Communauté de communes</t>
        </is>
      </c>
      <c r="C593" t="inlineStr">
        <is>
          <t>245400759</t>
        </is>
      </c>
      <c r="D593" t="inlineStr">
        <is>
          <t>54</t>
        </is>
      </c>
      <c r="E593" t="inlineStr">
        <is>
          <t>Meurthe-et-Moselle</t>
        </is>
      </c>
      <c r="F593" t="inlineStr">
        <is>
          <t>Grand Est</t>
        </is>
      </c>
      <c r="G593" s="3" t="n">
        <v>5795</v>
      </c>
      <c r="H593" t="n">
        <v>28</v>
      </c>
      <c r="I593" t="inlineStr">
        <is>
          <t>7 place de la Fontaine</t>
        </is>
      </c>
      <c r="J593" t="inlineStr">
        <is>
          <t>54370</t>
        </is>
      </c>
      <c r="K593" t="inlineStr">
        <is>
          <t>Einville-au-Jard</t>
        </is>
      </c>
      <c r="L593" t="inlineStr">
        <is>
          <t>03 83 72 05 64</t>
        </is>
      </c>
      <c r="M593" s="4" t="inlineStr">
        <is>
          <t>contact@ccsanon.fr</t>
        </is>
      </c>
      <c r="N593" s="4" t="inlineStr">
        <is>
          <t>https://www.ccsanon.fr/</t>
        </is>
      </c>
      <c r="O593" s="4" t="inlineStr">
        <is>
          <t>https://www.ccsanon.fr/contact-ccs/</t>
        </is>
      </c>
      <c r="P593" s="4" t="inlineStr">
        <is>
          <t>https://lannuaire.service-public.gouv.fr/grand-est/meurthe-et-moselle/a00c2321-ff74-42fe-8cd9-b006dfad469b</t>
        </is>
      </c>
      <c r="Q593" t="inlineStr">
        <is>
          <t>Annuaire Service-public.fr</t>
        </is>
      </c>
      <c r="R593" t="inlineStr"/>
      <c r="S593" t="inlineStr"/>
      <c r="T593" t="inlineStr"/>
    </row>
    <row r="594">
      <c r="A594" t="inlineStr">
        <is>
          <t>CC du Territoire de Lunéville à Baccarat</t>
        </is>
      </c>
      <c r="B594" t="inlineStr">
        <is>
          <t>Communauté de communes</t>
        </is>
      </c>
      <c r="C594" t="inlineStr">
        <is>
          <t>200070324</t>
        </is>
      </c>
      <c r="D594" t="inlineStr">
        <is>
          <t>54</t>
        </is>
      </c>
      <c r="E594" t="inlineStr">
        <is>
          <t>Meurthe-et-Moselle</t>
        </is>
      </c>
      <c r="F594" t="inlineStr">
        <is>
          <t>Grand Est</t>
        </is>
      </c>
      <c r="G594" s="3" t="n">
        <v>40609</v>
      </c>
      <c r="H594" t="n">
        <v>43</v>
      </c>
      <c r="I594" t="inlineStr">
        <is>
          <t>11 avenue de la Libération</t>
        </is>
      </c>
      <c r="J594" t="inlineStr">
        <is>
          <t>54300</t>
        </is>
      </c>
      <c r="K594" t="inlineStr">
        <is>
          <t>Lunéville</t>
        </is>
      </c>
      <c r="L594" t="inlineStr">
        <is>
          <t>03 83 74 05 00</t>
        </is>
      </c>
      <c r="M594" s="4" t="inlineStr">
        <is>
          <t>contact@delunevilleabaccarat.fr</t>
        </is>
      </c>
      <c r="N594" s="4" t="inlineStr">
        <is>
          <t>https://delunevilleabaccarat.fr/</t>
        </is>
      </c>
      <c r="O594" s="4" t="inlineStr">
        <is>
          <t>https://delunevilleabaccarat.fr/contact/</t>
        </is>
      </c>
      <c r="P594" s="4" t="inlineStr">
        <is>
          <t>https://lannuaire.service-public.gouv.fr/grand-est/meurthe-et-moselle/abeb71cc-f38d-4dfa-9975-510825bab533</t>
        </is>
      </c>
      <c r="Q594" t="inlineStr">
        <is>
          <t>Annuaire Service-public.fr</t>
        </is>
      </c>
      <c r="R594" t="inlineStr"/>
      <c r="S594" t="inlineStr"/>
      <c r="T594" t="inlineStr"/>
    </row>
    <row r="595">
      <c r="A595" t="inlineStr">
        <is>
          <t>CC Argonne-Meuse</t>
        </is>
      </c>
      <c r="B595" t="inlineStr">
        <is>
          <t>Communauté de communes</t>
        </is>
      </c>
      <c r="C595" t="inlineStr">
        <is>
          <t>200066116</t>
        </is>
      </c>
      <c r="D595" t="inlineStr">
        <is>
          <t>55</t>
        </is>
      </c>
      <c r="E595" t="inlineStr">
        <is>
          <t>Meuse</t>
        </is>
      </c>
      <c r="F595" t="inlineStr">
        <is>
          <t>Grand Est</t>
        </is>
      </c>
      <c r="G595" s="3" t="n">
        <v>6879</v>
      </c>
      <c r="H595" t="n">
        <v>38</v>
      </c>
      <c r="I595" t="inlineStr">
        <is>
          <t>16 rue Thiers</t>
        </is>
      </c>
      <c r="J595" t="inlineStr">
        <is>
          <t>55120</t>
        </is>
      </c>
      <c r="K595" t="inlineStr">
        <is>
          <t>Clermont-en-Argonne</t>
        </is>
      </c>
      <c r="L595" t="inlineStr">
        <is>
          <t>03 29 87 40 12</t>
        </is>
      </c>
      <c r="M595" s="4" t="inlineStr">
        <is>
          <t>contact@argonne-meuse.fr</t>
        </is>
      </c>
      <c r="N595" s="4" t="inlineStr">
        <is>
          <t>https://argonne-meuse.fr</t>
        </is>
      </c>
      <c r="O595" t="inlineStr"/>
      <c r="P595" s="4" t="inlineStr">
        <is>
          <t>https://lannuaire.service-public.gouv.fr/grand-est/meuse/e6aef79e-d1a5-4cdd-9d21-75b4b81e4e1d</t>
        </is>
      </c>
      <c r="Q595" t="inlineStr">
        <is>
          <t>Annuaire Service-public.fr</t>
        </is>
      </c>
      <c r="R595" t="inlineStr"/>
      <c r="S595" t="inlineStr"/>
      <c r="T595" t="inlineStr"/>
    </row>
    <row r="596">
      <c r="A596" t="inlineStr">
        <is>
          <t>CC Côtes de Meuse Woëvre</t>
        </is>
      </c>
      <c r="B596" t="inlineStr">
        <is>
          <t>Communauté de communes</t>
        </is>
      </c>
      <c r="C596" t="inlineStr">
        <is>
          <t>200034874</t>
        </is>
      </c>
      <c r="D596" t="inlineStr">
        <is>
          <t>55</t>
        </is>
      </c>
      <c r="E596" t="inlineStr">
        <is>
          <t>Meuse</t>
        </is>
      </c>
      <c r="F596" t="inlineStr">
        <is>
          <t>Grand Est</t>
        </is>
      </c>
      <c r="G596" s="3" t="n">
        <v>6011</v>
      </c>
      <c r="H596" t="n">
        <v>25</v>
      </c>
      <c r="I596" t="inlineStr">
        <is>
          <t>22 rue Raymond-Poincaré</t>
        </is>
      </c>
      <c r="J596" t="inlineStr">
        <is>
          <t>55210</t>
        </is>
      </c>
      <c r="K596" t="inlineStr">
        <is>
          <t>Vigneulles-lès-Hattonchâtel</t>
        </is>
      </c>
      <c r="L596" t="inlineStr">
        <is>
          <t>03 29 90 00 60</t>
        </is>
      </c>
      <c r="M596" s="4" t="inlineStr">
        <is>
          <t>accueil@cc-cotesdemeuse-woevre.fr</t>
        </is>
      </c>
      <c r="N596" s="4" t="inlineStr">
        <is>
          <t>http://www.cc-cotesdemeuse-woevre.fr</t>
        </is>
      </c>
      <c r="O596" t="inlineStr"/>
      <c r="P596" s="4" t="inlineStr">
        <is>
          <t>https://lannuaire.service-public.gouv.fr/grand-est/meuse/b8d01b83-d59c-49ee-97cb-f565b9f6b980</t>
        </is>
      </c>
      <c r="Q596" t="inlineStr">
        <is>
          <t>Annuaire Service-public.fr</t>
        </is>
      </c>
      <c r="R596" t="inlineStr"/>
      <c r="S596" t="inlineStr"/>
      <c r="T596" t="inlineStr"/>
    </row>
    <row r="597">
      <c r="A597" t="inlineStr">
        <is>
          <t>CC Val de Meuse - Voie Sacrée</t>
        </is>
      </c>
      <c r="B597" t="inlineStr">
        <is>
          <t>Communauté de communes</t>
        </is>
      </c>
      <c r="C597" t="inlineStr">
        <is>
          <t>200066165</t>
        </is>
      </c>
      <c r="D597" t="inlineStr">
        <is>
          <t>55</t>
        </is>
      </c>
      <c r="E597" t="inlineStr">
        <is>
          <t>Meuse</t>
        </is>
      </c>
      <c r="F597" t="inlineStr">
        <is>
          <t>Grand Est</t>
        </is>
      </c>
      <c r="G597" s="3" t="n">
        <v>8882</v>
      </c>
      <c r="H597" t="n">
        <v>25</v>
      </c>
      <c r="I597" t="inlineStr">
        <is>
          <t>43 rue du Rattentout</t>
        </is>
      </c>
      <c r="J597" t="inlineStr">
        <is>
          <t>55320</t>
        </is>
      </c>
      <c r="K597" t="inlineStr">
        <is>
          <t>Dieue-sur-Meuse</t>
        </is>
      </c>
      <c r="L597" t="inlineStr">
        <is>
          <t>03 29 87 60 75</t>
        </is>
      </c>
      <c r="M597" s="4" t="inlineStr">
        <is>
          <t>secretariat@ccvmvs.fr</t>
        </is>
      </c>
      <c r="N597" s="4" t="inlineStr">
        <is>
          <t>https://www.valdemeusevoiesacree.com/</t>
        </is>
      </c>
      <c r="O597" s="4" t="inlineStr">
        <is>
          <t>https://www.valdemeusevoiesacree.com/contact-acces_fr.html</t>
        </is>
      </c>
      <c r="P597" s="4" t="inlineStr">
        <is>
          <t>https://lannuaire.service-public.gouv.fr/grand-est/meuse/906df6f6-626f-4787-b1bb-7f92daa13159</t>
        </is>
      </c>
      <c r="Q597" t="inlineStr">
        <is>
          <t>Annuaire Service-public.fr</t>
        </is>
      </c>
      <c r="R597" t="inlineStr"/>
      <c r="S597" t="inlineStr"/>
      <c r="T597" t="inlineStr"/>
    </row>
    <row r="598">
      <c r="A598" t="inlineStr">
        <is>
          <t>CC de Commercy - Void - Vaucouleurs</t>
        </is>
      </c>
      <c r="B598" t="inlineStr">
        <is>
          <t>Communauté de communes</t>
        </is>
      </c>
      <c r="C598" t="inlineStr">
        <is>
          <t>200066157</t>
        </is>
      </c>
      <c r="D598" t="inlineStr">
        <is>
          <t>55</t>
        </is>
      </c>
      <c r="E598" t="inlineStr">
        <is>
          <t>Meuse</t>
        </is>
      </c>
      <c r="F598" t="inlineStr">
        <is>
          <t>Grand Est</t>
        </is>
      </c>
      <c r="G598" s="3" t="n">
        <v>21952</v>
      </c>
      <c r="H598" t="n">
        <v>54</v>
      </c>
      <c r="I598" t="inlineStr">
        <is>
          <t>Château Stanislas</t>
        </is>
      </c>
      <c r="J598" t="inlineStr">
        <is>
          <t>55200</t>
        </is>
      </c>
      <c r="K598" t="inlineStr">
        <is>
          <t>Commercy</t>
        </is>
      </c>
      <c r="L598" t="inlineStr">
        <is>
          <t>03 29 91 21 88</t>
        </is>
      </c>
      <c r="M598" s="4" t="inlineStr">
        <is>
          <t>cc-cvv@orange.fr</t>
        </is>
      </c>
      <c r="N598" s="4" t="inlineStr">
        <is>
          <t>https://cc-cvv.fr/</t>
        </is>
      </c>
      <c r="O598" s="4" t="inlineStr">
        <is>
          <t>https://cc-cvv.fr/contact/</t>
        </is>
      </c>
      <c r="P598" s="4" t="inlineStr">
        <is>
          <t>https://lannuaire.service-public.gouv.fr/grand-est/meuse/e94f6b26-37b4-4b56-9ada-5da3878ffd66</t>
        </is>
      </c>
      <c r="Q598" t="inlineStr">
        <is>
          <t>Annuaire Service-public.fr</t>
        </is>
      </c>
      <c r="R598" t="inlineStr"/>
      <c r="S598" t="inlineStr"/>
      <c r="T598" t="inlineStr"/>
    </row>
    <row r="599">
      <c r="A599" t="inlineStr">
        <is>
          <t>CC de Damvillers Spincourt</t>
        </is>
      </c>
      <c r="B599" t="inlineStr">
        <is>
          <t>Communauté de communes</t>
        </is>
      </c>
      <c r="C599" t="inlineStr">
        <is>
          <t>200066173</t>
        </is>
      </c>
      <c r="D599" t="inlineStr">
        <is>
          <t>55</t>
        </is>
      </c>
      <c r="E599" t="inlineStr">
        <is>
          <t>Meuse</t>
        </is>
      </c>
      <c r="F599" t="inlineStr">
        <is>
          <t>Grand Est</t>
        </is>
      </c>
      <c r="G599" s="3" t="n">
        <v>8036</v>
      </c>
      <c r="H599" t="n">
        <v>41</v>
      </c>
      <c r="I599" t="inlineStr">
        <is>
          <t>3 place Louis-Bertrand</t>
        </is>
      </c>
      <c r="J599" t="inlineStr">
        <is>
          <t>55230</t>
        </is>
      </c>
      <c r="K599" t="inlineStr">
        <is>
          <t>Spincourt</t>
        </is>
      </c>
      <c r="L599" t="inlineStr">
        <is>
          <t>03 29 85 95 44</t>
        </is>
      </c>
      <c r="M599" s="4" t="inlineStr">
        <is>
          <t>codecom@damvillers-spincourt.fr</t>
        </is>
      </c>
      <c r="N599" s="4" t="inlineStr">
        <is>
          <t>https://damvillers-spincourt.com/</t>
        </is>
      </c>
      <c r="O599" s="4" t="inlineStr">
        <is>
          <t>https://damvillers-spincourt.com/nous-contacter/</t>
        </is>
      </c>
      <c r="P599" s="4" t="inlineStr">
        <is>
          <t>https://lannuaire.service-public.gouv.fr/grand-est/meuse/9fa3cd2c-c2e0-4c84-a5d8-7b2925067ef5</t>
        </is>
      </c>
      <c r="Q599" t="inlineStr">
        <is>
          <t>Annuaire Service-public.fr</t>
        </is>
      </c>
      <c r="R599" t="inlineStr"/>
      <c r="S599" t="inlineStr"/>
      <c r="T599" t="inlineStr"/>
    </row>
    <row r="600">
      <c r="A600" t="inlineStr">
        <is>
          <t>CC de l'Aire à l'Argonne</t>
        </is>
      </c>
      <c r="B600" t="inlineStr">
        <is>
          <t>Communauté de communes</t>
        </is>
      </c>
      <c r="C600" t="inlineStr">
        <is>
          <t>200066140</t>
        </is>
      </c>
      <c r="D600" t="inlineStr">
        <is>
          <t>55</t>
        </is>
      </c>
      <c r="E600" t="inlineStr">
        <is>
          <t>Meuse</t>
        </is>
      </c>
      <c r="F600" t="inlineStr">
        <is>
          <t>Grand Est</t>
        </is>
      </c>
      <c r="G600" s="3" t="n">
        <v>6382</v>
      </c>
      <c r="H600" t="n">
        <v>47</v>
      </c>
      <c r="I600" t="inlineStr">
        <is>
          <t>42 rue Berne, Maison des services</t>
        </is>
      </c>
      <c r="J600" t="inlineStr">
        <is>
          <t>55250</t>
        </is>
      </c>
      <c r="K600" t="inlineStr">
        <is>
          <t>Beausite</t>
        </is>
      </c>
      <c r="L600" t="inlineStr">
        <is>
          <t>03 29 70 61 17</t>
        </is>
      </c>
      <c r="M600" s="4" t="inlineStr">
        <is>
          <t>contact@cc-aireargonne.fr</t>
        </is>
      </c>
      <c r="N600" s="4" t="inlineStr">
        <is>
          <t>https://www.cc-aireargonne.fr/</t>
        </is>
      </c>
      <c r="O600" s="4" t="inlineStr">
        <is>
          <t>https://www.cc-aireargonne.fr/contact_fr.html</t>
        </is>
      </c>
      <c r="P600" s="4" t="inlineStr">
        <is>
          <t>https://lannuaire.service-public.gouv.fr/grand-est/meuse/f0aaea0f-d2cf-4c85-a1bb-b4358fd56449</t>
        </is>
      </c>
      <c r="Q600" t="inlineStr">
        <is>
          <t>Annuaire Service-public.fr</t>
        </is>
      </c>
      <c r="R600" t="inlineStr"/>
      <c r="S600" t="inlineStr"/>
      <c r="T600" t="inlineStr"/>
    </row>
    <row r="601">
      <c r="A601" t="inlineStr">
        <is>
          <t>CC des Portes de Meuse</t>
        </is>
      </c>
      <c r="B601" t="inlineStr">
        <is>
          <t>Communauté de communes</t>
        </is>
      </c>
      <c r="C601" t="inlineStr">
        <is>
          <t>200066108</t>
        </is>
      </c>
      <c r="D601" t="inlineStr">
        <is>
          <t>55</t>
        </is>
      </c>
      <c r="E601" t="inlineStr">
        <is>
          <t>Meuse</t>
        </is>
      </c>
      <c r="F601" t="inlineStr">
        <is>
          <t>Grand Est</t>
        </is>
      </c>
      <c r="G601" s="3" t="n">
        <v>16003</v>
      </c>
      <c r="H601" t="n">
        <v>51</v>
      </c>
      <c r="I601" t="inlineStr">
        <is>
          <t>1 rue de l'Abbaye-Écurey</t>
        </is>
      </c>
      <c r="J601" t="inlineStr">
        <is>
          <t>55290</t>
        </is>
      </c>
      <c r="K601" t="inlineStr">
        <is>
          <t>Montiers-sur-Saulx</t>
        </is>
      </c>
      <c r="L601" t="inlineStr">
        <is>
          <t>03 29 75 97 40</t>
        </is>
      </c>
      <c r="M601" s="4" t="inlineStr">
        <is>
          <t>contact@portesdemeuse.fr</t>
        </is>
      </c>
      <c r="N601" s="4" t="inlineStr">
        <is>
          <t>https://www.portesdemeuse.fr/</t>
        </is>
      </c>
      <c r="O601" s="4" t="inlineStr">
        <is>
          <t>https://www.portesdemeuse.fr/contact/</t>
        </is>
      </c>
      <c r="P601" s="4" t="inlineStr">
        <is>
          <t>https://lannuaire.service-public.gouv.fr/grand-est/meuse/93b26386-154a-4d24-9525-1e8765253f39</t>
        </is>
      </c>
      <c r="Q601" t="inlineStr">
        <is>
          <t>Annuaire Service-public.fr</t>
        </is>
      </c>
      <c r="R601" t="inlineStr"/>
      <c r="S601" t="inlineStr"/>
      <c r="T601" t="inlineStr"/>
    </row>
    <row r="602">
      <c r="A602" t="inlineStr">
        <is>
          <t>CC du Pays d'Étain</t>
        </is>
      </c>
      <c r="B602" t="inlineStr">
        <is>
          <t>Communauté de communes</t>
        </is>
      </c>
      <c r="C602" t="inlineStr">
        <is>
          <t>245501242</t>
        </is>
      </c>
      <c r="D602" t="inlineStr">
        <is>
          <t>55</t>
        </is>
      </c>
      <c r="E602" t="inlineStr">
        <is>
          <t>Meuse</t>
        </is>
      </c>
      <c r="F602" t="inlineStr">
        <is>
          <t>Grand Est</t>
        </is>
      </c>
      <c r="G602" s="3" t="n">
        <v>7443</v>
      </c>
      <c r="H602" t="n">
        <v>26</v>
      </c>
      <c r="I602" t="inlineStr">
        <is>
          <t>29 allée du Champ-de-Foire</t>
        </is>
      </c>
      <c r="J602" t="inlineStr">
        <is>
          <t>55400</t>
        </is>
      </c>
      <c r="K602" t="inlineStr">
        <is>
          <t>Étain</t>
        </is>
      </c>
      <c r="L602" t="inlineStr">
        <is>
          <t>03 29 87 86 08</t>
        </is>
      </c>
      <c r="M602" s="4" t="inlineStr">
        <is>
          <t>accueil@pays-etain.fr</t>
        </is>
      </c>
      <c r="N602" s="4" t="inlineStr">
        <is>
          <t>https://www.pays-etain.fr/fr/</t>
        </is>
      </c>
      <c r="O602" s="4" t="inlineStr">
        <is>
          <t>https://www.pays-etain.fr/fr/formulaire-de-contact</t>
        </is>
      </c>
      <c r="P602" s="4" t="inlineStr">
        <is>
          <t>https://lannuaire.service-public.gouv.fr/grand-est/meuse/343fab92-29b2-4b61-8243-542aadb234cc</t>
        </is>
      </c>
      <c r="Q602" t="inlineStr">
        <is>
          <t>Annuaire Service-public.fr</t>
        </is>
      </c>
      <c r="R602" t="inlineStr"/>
      <c r="S602" t="inlineStr"/>
      <c r="T602" t="inlineStr"/>
    </row>
    <row r="603">
      <c r="A603" t="inlineStr">
        <is>
          <t>CC du Pays de Montmédy</t>
        </is>
      </c>
      <c r="B603" t="inlineStr">
        <is>
          <t>Communauté de communes</t>
        </is>
      </c>
      <c r="C603" t="inlineStr">
        <is>
          <t>245501259</t>
        </is>
      </c>
      <c r="D603" t="inlineStr">
        <is>
          <t>55</t>
        </is>
      </c>
      <c r="E603" t="inlineStr">
        <is>
          <t>Meuse</t>
        </is>
      </c>
      <c r="F603" t="inlineStr">
        <is>
          <t>Grand Est</t>
        </is>
      </c>
      <c r="G603" s="3" t="n">
        <v>6860</v>
      </c>
      <c r="H603" t="n">
        <v>25</v>
      </c>
      <c r="I603" t="inlineStr">
        <is>
          <t>20 avenue de la Gare</t>
        </is>
      </c>
      <c r="J603" t="inlineStr">
        <is>
          <t>55600</t>
        </is>
      </c>
      <c r="K603" t="inlineStr">
        <is>
          <t>Montmédy</t>
        </is>
      </c>
      <c r="L603" t="inlineStr">
        <is>
          <t>03 29 80 16 44</t>
        </is>
      </c>
      <c r="M603" s="4" t="inlineStr">
        <is>
          <t>contact@codecom-paysdemontmedy.fr</t>
        </is>
      </c>
      <c r="N603" s="4" t="inlineStr">
        <is>
          <t>https://www.codecom-paysdemontmedy.fr/</t>
        </is>
      </c>
      <c r="O603" t="inlineStr"/>
      <c r="P603" s="4" t="inlineStr">
        <is>
          <t>https://lannuaire.service-public.gouv.fr/grand-est/meuse/02b7cd56-40ec-4dc0-8ae1-4fec71f46257</t>
        </is>
      </c>
      <c r="Q603" t="inlineStr">
        <is>
          <t>Annuaire Service-public.fr</t>
        </is>
      </c>
      <c r="R603" t="inlineStr"/>
      <c r="S603" t="inlineStr"/>
      <c r="T603" t="inlineStr"/>
    </row>
    <row r="604">
      <c r="A604" t="inlineStr">
        <is>
          <t>CC du Pays de Revigny-sur-Ornain</t>
        </is>
      </c>
      <c r="B604" t="inlineStr">
        <is>
          <t>Communauté de communes</t>
        </is>
      </c>
      <c r="C604" t="inlineStr">
        <is>
          <t>245501184</t>
        </is>
      </c>
      <c r="D604" t="inlineStr">
        <is>
          <t>55</t>
        </is>
      </c>
      <c r="E604" t="inlineStr">
        <is>
          <t>Meuse</t>
        </is>
      </c>
      <c r="F604" t="inlineStr">
        <is>
          <t>Grand Est</t>
        </is>
      </c>
      <c r="G604" s="3" t="n">
        <v>6821</v>
      </c>
      <c r="H604" t="n">
        <v>16</v>
      </c>
      <c r="I604" t="inlineStr">
        <is>
          <t>5 bis rue du 15eme corps</t>
        </is>
      </c>
      <c r="J604" t="inlineStr">
        <is>
          <t>55800</t>
        </is>
      </c>
      <c r="K604" t="inlineStr">
        <is>
          <t>Revigny-sur-Ornain</t>
        </is>
      </c>
      <c r="L604" t="inlineStr">
        <is>
          <t>03 29 78 75 69</t>
        </is>
      </c>
      <c r="M604" s="4" t="inlineStr">
        <is>
          <t>contact@copary.fr</t>
        </is>
      </c>
      <c r="N604" s="4" t="inlineStr">
        <is>
          <t>https://www.copary.fr/index.php</t>
        </is>
      </c>
      <c r="O604" t="inlineStr"/>
      <c r="P604" s="4" t="inlineStr">
        <is>
          <t>https://lannuaire.service-public.gouv.fr/grand-est/meuse/2c9ed901-1938-47ee-be60-de50ae62facb</t>
        </is>
      </c>
      <c r="Q604" t="inlineStr">
        <is>
          <t>Annuaire Service-public.fr</t>
        </is>
      </c>
      <c r="R604" t="inlineStr"/>
      <c r="S604" t="inlineStr"/>
      <c r="T604" t="inlineStr"/>
    </row>
    <row r="605">
      <c r="A605" t="inlineStr">
        <is>
          <t>CC du Pays de Stenay et du Val Dunois</t>
        </is>
      </c>
      <c r="B605" t="inlineStr">
        <is>
          <t>Communauté de communes</t>
        </is>
      </c>
      <c r="C605" t="inlineStr">
        <is>
          <t>200066132</t>
        </is>
      </c>
      <c r="D605" t="inlineStr">
        <is>
          <t>55</t>
        </is>
      </c>
      <c r="E605" t="inlineStr">
        <is>
          <t>Meuse</t>
        </is>
      </c>
      <c r="F605" t="inlineStr">
        <is>
          <t>Grand Est</t>
        </is>
      </c>
      <c r="G605" s="3" t="n">
        <v>9430</v>
      </c>
      <c r="H605" t="n">
        <v>41</v>
      </c>
      <c r="I605" t="inlineStr">
        <is>
          <t>6D avenue de Verdun</t>
        </is>
      </c>
      <c r="J605" t="inlineStr">
        <is>
          <t>55700</t>
        </is>
      </c>
      <c r="K605" t="inlineStr">
        <is>
          <t>Stenay</t>
        </is>
      </c>
      <c r="L605" t="inlineStr">
        <is>
          <t>03 29 80 31 81</t>
        </is>
      </c>
      <c r="M605" s="4" t="inlineStr">
        <is>
          <t>accueil@ccstenaydun.fr</t>
        </is>
      </c>
      <c r="N605" s="4" t="inlineStr">
        <is>
          <t>http://www.cc-paysdestenay-valdunois.fr</t>
        </is>
      </c>
      <c r="O605" s="4" t="inlineStr">
        <is>
          <t>http://www.cc-paysdestenay-valdunois.fr/fr/nous-contacter</t>
        </is>
      </c>
      <c r="P605" s="4" t="inlineStr">
        <is>
          <t>https://lannuaire.service-public.gouv.fr/grand-est/meuse/dcb74a37-d7d1-418a-8a33-3b0c91ec59d4</t>
        </is>
      </c>
      <c r="Q605" t="inlineStr">
        <is>
          <t>Annuaire Service-public.fr</t>
        </is>
      </c>
      <c r="R605" t="inlineStr"/>
      <c r="S605" t="inlineStr"/>
      <c r="T605" t="inlineStr"/>
    </row>
    <row r="606">
      <c r="A606" t="inlineStr">
        <is>
          <t>CC du Sammiellois</t>
        </is>
      </c>
      <c r="B606" t="inlineStr">
        <is>
          <t>Communauté de communes</t>
        </is>
      </c>
      <c r="C606" t="inlineStr">
        <is>
          <t>245500327</t>
        </is>
      </c>
      <c r="D606" t="inlineStr">
        <is>
          <t>55</t>
        </is>
      </c>
      <c r="E606" t="inlineStr">
        <is>
          <t>Meuse</t>
        </is>
      </c>
      <c r="F606" t="inlineStr">
        <is>
          <t>Grand Est</t>
        </is>
      </c>
      <c r="G606" s="3" t="n">
        <v>8219</v>
      </c>
      <c r="H606" t="n">
        <v>19</v>
      </c>
      <c r="I606" t="inlineStr">
        <is>
          <t>Place des Moines</t>
        </is>
      </c>
      <c r="J606" t="inlineStr">
        <is>
          <t>55300</t>
        </is>
      </c>
      <c r="K606" t="inlineStr">
        <is>
          <t>Saint-Mihiel</t>
        </is>
      </c>
      <c r="L606" t="inlineStr">
        <is>
          <t>03 29 89 19 02</t>
        </is>
      </c>
      <c r="M606" s="4" t="inlineStr">
        <is>
          <t>accueil@cc-sammiellois.fr</t>
        </is>
      </c>
      <c r="N606" s="4" t="inlineStr">
        <is>
          <t>https://www.cc-sammiellois.fr/</t>
        </is>
      </c>
      <c r="O606" t="inlineStr"/>
      <c r="P606" s="4" t="inlineStr">
        <is>
          <t>https://lannuaire.service-public.gouv.fr/grand-est/meuse/8730af67-868f-430d-99f6-ed9257a76937</t>
        </is>
      </c>
      <c r="Q606" t="inlineStr">
        <is>
          <t>Annuaire Service-public.fr</t>
        </is>
      </c>
      <c r="R606" t="inlineStr"/>
      <c r="S606" t="inlineStr"/>
      <c r="T606" t="inlineStr"/>
    </row>
    <row r="607">
      <c r="A607" t="inlineStr">
        <is>
          <t>CC du Territoire de Fresnes-en-Woëvre</t>
        </is>
      </c>
      <c r="B607" t="inlineStr">
        <is>
          <t>Communauté de communes</t>
        </is>
      </c>
      <c r="C607" t="inlineStr">
        <is>
          <t>245501176</t>
        </is>
      </c>
      <c r="D607" t="inlineStr">
        <is>
          <t>55</t>
        </is>
      </c>
      <c r="E607" t="inlineStr">
        <is>
          <t>Meuse</t>
        </is>
      </c>
      <c r="F607" t="inlineStr">
        <is>
          <t>Grand Est</t>
        </is>
      </c>
      <c r="G607" s="3" t="n">
        <v>4801</v>
      </c>
      <c r="H607" t="n">
        <v>32</v>
      </c>
      <c r="I607" t="inlineStr">
        <is>
          <t>5 rue du Château</t>
        </is>
      </c>
      <c r="J607" t="inlineStr">
        <is>
          <t>55160</t>
        </is>
      </c>
      <c r="K607" t="inlineStr">
        <is>
          <t>Fresnes-en-Woëvre</t>
        </is>
      </c>
      <c r="L607" t="inlineStr">
        <is>
          <t>03 29 87 31 29</t>
        </is>
      </c>
      <c r="M607" s="4" t="inlineStr">
        <is>
          <t>contact@codecomfresnes.com</t>
        </is>
      </c>
      <c r="N607" s="4" t="inlineStr">
        <is>
          <t>https://codecom-fresnes.com/</t>
        </is>
      </c>
      <c r="O607" s="4" t="inlineStr">
        <is>
          <t>https://codecom-fresnes.com/formulaire-de-contact/</t>
        </is>
      </c>
      <c r="P607" s="4" t="inlineStr">
        <is>
          <t>https://lannuaire.service-public.gouv.fr/grand-est/meuse/b141ed02-93f8-4c25-a545-5d8b3e465c9b</t>
        </is>
      </c>
      <c r="Q607" t="inlineStr">
        <is>
          <t>Annuaire Service-public.fr</t>
        </is>
      </c>
      <c r="R607" t="inlineStr"/>
      <c r="S607" t="inlineStr"/>
      <c r="T607" t="inlineStr"/>
    </row>
    <row r="608">
      <c r="A608" t="inlineStr">
        <is>
          <t>CC Arc Sud Bretagne</t>
        </is>
      </c>
      <c r="B608" t="inlineStr">
        <is>
          <t>Communauté de communes</t>
        </is>
      </c>
      <c r="C608" t="inlineStr">
        <is>
          <t>200027027</t>
        </is>
      </c>
      <c r="D608" t="inlineStr">
        <is>
          <t>56</t>
        </is>
      </c>
      <c r="E608" t="inlineStr">
        <is>
          <t>Morbihan</t>
        </is>
      </c>
      <c r="F608" t="inlineStr">
        <is>
          <t>Bretagne</t>
        </is>
      </c>
      <c r="G608" s="3" t="n">
        <v>29113</v>
      </c>
      <c r="H608" t="n">
        <v>12</v>
      </c>
      <c r="I608" t="inlineStr">
        <is>
          <t>Allée Raymond-Le-Duigou</t>
        </is>
      </c>
      <c r="J608" t="inlineStr">
        <is>
          <t>56190</t>
        </is>
      </c>
      <c r="K608" t="inlineStr">
        <is>
          <t>Muzillac</t>
        </is>
      </c>
      <c r="L608" t="inlineStr">
        <is>
          <t>02 97 41 46 26</t>
        </is>
      </c>
      <c r="M608" s="4" t="inlineStr">
        <is>
          <t>contact@arcsudbretagne.fr</t>
        </is>
      </c>
      <c r="N608" s="4" t="inlineStr">
        <is>
          <t>https://www.arc-sud-bretagne.fr/</t>
        </is>
      </c>
      <c r="O608" s="4" t="inlineStr">
        <is>
          <t>https://www.arc-sud-bretagne.fr/nous-contacter/</t>
        </is>
      </c>
      <c r="P608" s="4" t="inlineStr">
        <is>
          <t>https://lannuaire.service-public.gouv.fr/bretagne/morbihan/7c804cca-e793-4551-ada9-129ba8b9ca58</t>
        </is>
      </c>
      <c r="Q608" t="inlineStr">
        <is>
          <t>Annuaire Service-public.fr</t>
        </is>
      </c>
      <c r="R608" t="inlineStr"/>
      <c r="S608" t="inlineStr"/>
      <c r="T608" t="inlineStr"/>
    </row>
    <row r="609">
      <c r="A609" t="inlineStr">
        <is>
          <t>CC Auray Quiberon Terre Atlantique</t>
        </is>
      </c>
      <c r="B609" t="inlineStr">
        <is>
          <t>Communauté de communes</t>
        </is>
      </c>
      <c r="C609" t="inlineStr">
        <is>
          <t>200043123</t>
        </is>
      </c>
      <c r="D609" t="inlineStr">
        <is>
          <t>56</t>
        </is>
      </c>
      <c r="E609" t="inlineStr">
        <is>
          <t>Morbihan</t>
        </is>
      </c>
      <c r="F609" t="inlineStr">
        <is>
          <t>Bretagne</t>
        </is>
      </c>
      <c r="G609" s="3" t="n">
        <v>91034</v>
      </c>
      <c r="H609" t="n">
        <v>24</v>
      </c>
      <c r="I609" t="inlineStr">
        <is>
          <t>40 rue du Danemark</t>
        </is>
      </c>
      <c r="J609" t="inlineStr">
        <is>
          <t>56400</t>
        </is>
      </c>
      <c r="K609" t="inlineStr">
        <is>
          <t>Auray</t>
        </is>
      </c>
      <c r="L609" t="inlineStr">
        <is>
          <t>02 97 29 18 69</t>
        </is>
      </c>
      <c r="M609" s="4" t="inlineStr">
        <is>
          <t>accueil@auray-quiberon.fr</t>
        </is>
      </c>
      <c r="N609" s="4" t="inlineStr">
        <is>
          <t>https://www.auray-quiberon.fr/</t>
        </is>
      </c>
      <c r="O609" s="4" t="inlineStr">
        <is>
          <t>https://www.auray-quiberon.fr/contactez-nous-100.html</t>
        </is>
      </c>
      <c r="P609" s="4" t="inlineStr">
        <is>
          <t>https://lannuaire.service-public.gouv.fr/bretagne/morbihan/30a95b88-408b-4105-b387-5bc8992c0e3d</t>
        </is>
      </c>
      <c r="Q609" t="inlineStr">
        <is>
          <t>Annuaire Service-public.fr</t>
        </is>
      </c>
      <c r="R609" t="inlineStr"/>
      <c r="S609" t="inlineStr"/>
      <c r="T609" t="inlineStr"/>
    </row>
    <row r="610">
      <c r="A610" t="inlineStr">
        <is>
          <t>CC Baud Communauté</t>
        </is>
      </c>
      <c r="B610" t="inlineStr">
        <is>
          <t>Communauté de communes</t>
        </is>
      </c>
      <c r="C610" t="inlineStr">
        <is>
          <t>200096675</t>
        </is>
      </c>
      <c r="D610" t="inlineStr">
        <is>
          <t>56</t>
        </is>
      </c>
      <c r="E610" t="inlineStr">
        <is>
          <t>Morbihan</t>
        </is>
      </c>
      <c r="F610" t="inlineStr">
        <is>
          <t>Bretagne</t>
        </is>
      </c>
      <c r="G610" s="3" t="n">
        <v>16419</v>
      </c>
      <c r="H610" t="n">
        <v>6</v>
      </c>
      <c r="I610" t="inlineStr">
        <is>
          <t>23 avenue des Joncades-Basses</t>
        </is>
      </c>
      <c r="J610" t="inlineStr">
        <is>
          <t>13210</t>
        </is>
      </c>
      <c r="K610" t="inlineStr">
        <is>
          <t>Saint-Remy-de-Provence</t>
        </is>
      </c>
      <c r="L610" t="inlineStr">
        <is>
          <t>04 90 54 54 20</t>
        </is>
      </c>
      <c r="M610" s="4" t="inlineStr">
        <is>
          <t>bienvenue@ccvba.fr</t>
        </is>
      </c>
      <c r="N610" s="4" t="inlineStr">
        <is>
          <t>https://www.vallee-des-baux-alpilles.fr/</t>
        </is>
      </c>
      <c r="O610" s="4" t="inlineStr">
        <is>
          <t>https://www.vallee-des-baux-alpilles.fr/contactez-nous/</t>
        </is>
      </c>
      <c r="P610" s="4" t="inlineStr">
        <is>
          <t>https://lannuaire.service-public.gouv.fr/provence-alpes-cote-d-azur/bouches-du-rhone/73f09749-0063-4339-8369-ee180e77ed85</t>
        </is>
      </c>
      <c r="Q610" t="inlineStr">
        <is>
          <t>Annuaire Service-public.fr</t>
        </is>
      </c>
      <c r="R610" t="inlineStr"/>
      <c r="S610" t="inlineStr"/>
      <c r="T610" t="inlineStr"/>
    </row>
    <row r="611">
      <c r="A611" t="inlineStr">
        <is>
          <t>CC Blavet Bellevue Océan</t>
        </is>
      </c>
      <c r="B611" t="inlineStr">
        <is>
          <t>Communauté de communes</t>
        </is>
      </c>
      <c r="C611" t="inlineStr">
        <is>
          <t>245600440</t>
        </is>
      </c>
      <c r="D611" t="inlineStr">
        <is>
          <t>56</t>
        </is>
      </c>
      <c r="E611" t="inlineStr">
        <is>
          <t>Morbihan</t>
        </is>
      </c>
      <c r="F611" t="inlineStr">
        <is>
          <t>Bretagne</t>
        </is>
      </c>
      <c r="G611" s="3" t="n">
        <v>18567</v>
      </c>
      <c r="H611" t="n">
        <v>5</v>
      </c>
      <c r="I611" t="inlineStr">
        <is>
          <t>Allée de Ti-Neùé</t>
        </is>
      </c>
      <c r="J611" t="inlineStr">
        <is>
          <t>56700</t>
        </is>
      </c>
      <c r="K611" t="inlineStr">
        <is>
          <t>Merlevenez</t>
        </is>
      </c>
      <c r="L611" t="inlineStr">
        <is>
          <t>02 97 65 62 90</t>
        </is>
      </c>
      <c r="M611" s="4" t="inlineStr">
        <is>
          <t>contact@bbo-communaute.bzh</t>
        </is>
      </c>
      <c r="N611" s="4" t="inlineStr">
        <is>
          <t>https://www.bbo-communaute.bzh/</t>
        </is>
      </c>
      <c r="O611" s="4" t="inlineStr">
        <is>
          <t>https://www.bbo-communaute.bzh/contact.html</t>
        </is>
      </c>
      <c r="P611" s="4" t="inlineStr">
        <is>
          <t>https://lannuaire.service-public.gouv.fr/bretagne/morbihan/72e1d606-0458-484a-a47b-ddf8f4335121</t>
        </is>
      </c>
      <c r="Q611" t="inlineStr">
        <is>
          <t>Annuaire Service-public.fr</t>
        </is>
      </c>
      <c r="R611" t="inlineStr"/>
      <c r="S611" t="inlineStr"/>
      <c r="T611" t="inlineStr"/>
    </row>
    <row r="612">
      <c r="A612" t="inlineStr">
        <is>
          <t>CC Centre Morbihan Communauté</t>
        </is>
      </c>
      <c r="B612" t="inlineStr">
        <is>
          <t>Communauté de communes</t>
        </is>
      </c>
      <c r="C612" t="inlineStr">
        <is>
          <t>200096683</t>
        </is>
      </c>
      <c r="D612" t="inlineStr">
        <is>
          <t>56</t>
        </is>
      </c>
      <c r="E612" t="inlineStr">
        <is>
          <t>Morbihan</t>
        </is>
      </c>
      <c r="F612" t="inlineStr">
        <is>
          <t>Bretagne</t>
        </is>
      </c>
      <c r="G612" s="3" t="n">
        <v>27003</v>
      </c>
      <c r="H612" t="n">
        <v>12</v>
      </c>
      <c r="I612" t="inlineStr">
        <is>
          <t>Zone de Kerjean, CS 10369</t>
        </is>
      </c>
      <c r="J612" t="inlineStr">
        <is>
          <t>56500</t>
        </is>
      </c>
      <c r="K612" t="inlineStr">
        <is>
          <t>Locminé</t>
        </is>
      </c>
      <c r="L612" t="inlineStr">
        <is>
          <t>02 97 44 22 58</t>
        </is>
      </c>
      <c r="M612" s="4" t="inlineStr">
        <is>
          <t>accueil@cmc.bzh</t>
        </is>
      </c>
      <c r="N612" s="4" t="inlineStr">
        <is>
          <t>https://www.centremorbihancommunaute.bzh/</t>
        </is>
      </c>
      <c r="O612" s="4" t="inlineStr">
        <is>
          <t>https://www.centremorbihancommunaute.bzh/contact/</t>
        </is>
      </c>
      <c r="P612" s="4" t="inlineStr">
        <is>
          <t>https://lannuaire.service-public.gouv.fr/bretagne/morbihan/3328fc21-cf36-4935-b615-9f71e1bf5aa8</t>
        </is>
      </c>
      <c r="Q612" t="inlineStr">
        <is>
          <t>Annuaire Service-public.fr</t>
        </is>
      </c>
      <c r="R612" t="inlineStr"/>
      <c r="S612" t="inlineStr"/>
      <c r="T612" t="inlineStr"/>
    </row>
    <row r="613">
      <c r="A613" t="inlineStr">
        <is>
          <t>CC Ploërmel Communauté</t>
        </is>
      </c>
      <c r="B613" t="inlineStr">
        <is>
          <t>Communauté de communes</t>
        </is>
      </c>
      <c r="C613" t="inlineStr">
        <is>
          <t>200066777</t>
        </is>
      </c>
      <c r="D613" t="inlineStr">
        <is>
          <t>56</t>
        </is>
      </c>
      <c r="E613" t="inlineStr">
        <is>
          <t>Morbihan</t>
        </is>
      </c>
      <c r="F613" t="inlineStr">
        <is>
          <t>Bretagne</t>
        </is>
      </c>
      <c r="G613" s="3" t="n">
        <v>42842</v>
      </c>
      <c r="H613" t="n">
        <v>30</v>
      </c>
      <c r="I613" t="inlineStr">
        <is>
          <t>Place de l'Hôtel-de-Ville</t>
        </is>
      </c>
      <c r="J613" t="inlineStr">
        <is>
          <t>56800</t>
        </is>
      </c>
      <c r="K613" t="inlineStr">
        <is>
          <t>Ploërmel</t>
        </is>
      </c>
      <c r="L613" t="inlineStr">
        <is>
          <t>02 97 73 20 73</t>
        </is>
      </c>
      <c r="M613" s="4" t="inlineStr">
        <is>
          <t>contact@ploermelcommunaute.bzh</t>
        </is>
      </c>
      <c r="N613" s="4" t="inlineStr">
        <is>
          <t>https://www.ploermelcommunaute.bzh/</t>
        </is>
      </c>
      <c r="O613" s="4" t="inlineStr">
        <is>
          <t>https://www.ploermelcommunaute.bzh/systeme/nous-contacter/</t>
        </is>
      </c>
      <c r="P613" s="4" t="inlineStr">
        <is>
          <t>https://lannuaire.service-public.gouv.fr/bretagne/morbihan/441c1369-1306-460e-bfee-ed44615b4630</t>
        </is>
      </c>
      <c r="Q613" t="inlineStr">
        <is>
          <t>Annuaire Service-public.fr</t>
        </is>
      </c>
      <c r="R613" t="inlineStr"/>
      <c r="S613" t="inlineStr"/>
      <c r="T613" t="inlineStr"/>
    </row>
    <row r="614">
      <c r="A614" t="inlineStr">
        <is>
          <t>CC Questembert Communauté</t>
        </is>
      </c>
      <c r="B614" t="inlineStr">
        <is>
          <t>Communauté de communes</t>
        </is>
      </c>
      <c r="C614" t="inlineStr">
        <is>
          <t>245614383</t>
        </is>
      </c>
      <c r="D614" t="inlineStr">
        <is>
          <t>56</t>
        </is>
      </c>
      <c r="E614" t="inlineStr">
        <is>
          <t>Morbihan</t>
        </is>
      </c>
      <c r="F614" t="inlineStr">
        <is>
          <t>Bretagne</t>
        </is>
      </c>
      <c r="G614" s="3" t="n">
        <v>24396</v>
      </c>
      <c r="H614" t="n">
        <v>13</v>
      </c>
      <c r="I614" t="inlineStr">
        <is>
          <t>8 avenue de la Gare</t>
        </is>
      </c>
      <c r="J614" t="inlineStr">
        <is>
          <t>56230</t>
        </is>
      </c>
      <c r="K614" t="inlineStr">
        <is>
          <t>Questembert</t>
        </is>
      </c>
      <c r="L614" t="inlineStr">
        <is>
          <t>02 97 26 59 51</t>
        </is>
      </c>
      <c r="M614" s="4" t="inlineStr">
        <is>
          <t>contact@questembert-communaute.fr</t>
        </is>
      </c>
      <c r="N614" s="4" t="inlineStr">
        <is>
          <t>https://www.questembert-communaute.fr/</t>
        </is>
      </c>
      <c r="O614" t="inlineStr"/>
      <c r="P614" s="4" t="inlineStr">
        <is>
          <t>https://lannuaire.service-public.gouv.fr/bretagne/morbihan/0f9e48ad-d869-4208-9154-99d15aed4746</t>
        </is>
      </c>
      <c r="Q614" t="inlineStr">
        <is>
          <t>Annuaire Service-public.fr</t>
        </is>
      </c>
      <c r="R614" t="inlineStr"/>
      <c r="S614" t="inlineStr"/>
      <c r="T614" t="inlineStr"/>
    </row>
    <row r="615">
      <c r="A615" t="inlineStr">
        <is>
          <t>CC Roi Morvan Communauté</t>
        </is>
      </c>
      <c r="B615" t="inlineStr">
        <is>
          <t>Communauté de communes</t>
        </is>
      </c>
      <c r="C615" t="inlineStr">
        <is>
          <t>245614417</t>
        </is>
      </c>
      <c r="D615" t="inlineStr">
        <is>
          <t>56</t>
        </is>
      </c>
      <c r="E615" t="inlineStr">
        <is>
          <t>Morbihan</t>
        </is>
      </c>
      <c r="F615" t="inlineStr">
        <is>
          <t>Bretagne</t>
        </is>
      </c>
      <c r="G615" s="3" t="n">
        <v>25059</v>
      </c>
      <c r="H615" t="n">
        <v>21</v>
      </c>
      <c r="I615" t="inlineStr">
        <is>
          <t>13 rue Jacques-Rodallec, Espace du Docteur-Paul-Lohéac, BP 36</t>
        </is>
      </c>
      <c r="J615" t="inlineStr">
        <is>
          <t>56110</t>
        </is>
      </c>
      <c r="K615" t="inlineStr">
        <is>
          <t>Gourin</t>
        </is>
      </c>
      <c r="L615" t="inlineStr">
        <is>
          <t>02 97 23 36 90</t>
        </is>
      </c>
      <c r="M615" s="4" t="inlineStr">
        <is>
          <t>secretariat@rmcom.bzh</t>
        </is>
      </c>
      <c r="N615" s="4" t="inlineStr">
        <is>
          <t>https://rmcom.bzh/</t>
        </is>
      </c>
      <c r="O615" t="inlineStr"/>
      <c r="P615" s="4" t="inlineStr">
        <is>
          <t>https://lannuaire.service-public.gouv.fr/bretagne/morbihan/eae078e1-af98-4718-97bb-27d8f520dde3</t>
        </is>
      </c>
      <c r="Q615" t="inlineStr">
        <is>
          <t>Annuaire Service-public.fr</t>
        </is>
      </c>
      <c r="R615" t="inlineStr"/>
      <c r="S615" t="inlineStr"/>
      <c r="T615" t="inlineStr"/>
    </row>
    <row r="616">
      <c r="A616" t="inlineStr">
        <is>
          <t>CC de Belle Ile en Mer</t>
        </is>
      </c>
      <c r="B616" t="inlineStr">
        <is>
          <t>Communauté de communes</t>
        </is>
      </c>
      <c r="C616" t="inlineStr">
        <is>
          <t>245600465</t>
        </is>
      </c>
      <c r="D616" t="inlineStr">
        <is>
          <t>56</t>
        </is>
      </c>
      <c r="E616" t="inlineStr">
        <is>
          <t>Morbihan</t>
        </is>
      </c>
      <c r="F616" t="inlineStr">
        <is>
          <t>Bretagne</t>
        </is>
      </c>
      <c r="G616" s="3" t="n">
        <v>5594</v>
      </c>
      <c r="H616" t="n">
        <v>4</v>
      </c>
      <c r="I616" t="inlineStr">
        <is>
          <t>56 rue Alexi Danan, Haute-Boulogne</t>
        </is>
      </c>
      <c r="J616" t="inlineStr">
        <is>
          <t>56360</t>
        </is>
      </c>
      <c r="K616" t="inlineStr">
        <is>
          <t>Le Palais</t>
        </is>
      </c>
      <c r="L616" t="inlineStr">
        <is>
          <t>02 97 31 83 04</t>
        </is>
      </c>
      <c r="M616" s="4" t="inlineStr">
        <is>
          <t>ccbi@ccbi.fr</t>
        </is>
      </c>
      <c r="N616" s="4" t="inlineStr">
        <is>
          <t>http://www.ccbi.fr</t>
        </is>
      </c>
      <c r="O616" t="inlineStr"/>
      <c r="P616" s="4" t="inlineStr">
        <is>
          <t>https://lannuaire.service-public.gouv.fr/bretagne/morbihan/0c75e752-0d25-485e-b9a6-433f7a981f15</t>
        </is>
      </c>
      <c r="Q616" t="inlineStr">
        <is>
          <t>Annuaire Service-public.fr</t>
        </is>
      </c>
      <c r="R616" t="inlineStr"/>
      <c r="S616" t="inlineStr"/>
      <c r="T616" t="inlineStr"/>
    </row>
    <row r="617">
      <c r="A617" t="inlineStr">
        <is>
          <t>CC de l'Oust à Brocéliande</t>
        </is>
      </c>
      <c r="B617" t="inlineStr">
        <is>
          <t>Communauté de communes</t>
        </is>
      </c>
      <c r="C617" t="inlineStr">
        <is>
          <t>200066785</t>
        </is>
      </c>
      <c r="D617" t="inlineStr">
        <is>
          <t>56</t>
        </is>
      </c>
      <c r="E617" t="inlineStr">
        <is>
          <t>Morbihan</t>
        </is>
      </c>
      <c r="F617" t="inlineStr">
        <is>
          <t>Bretagne</t>
        </is>
      </c>
      <c r="G617" s="3" t="n">
        <v>39885</v>
      </c>
      <c r="H617" t="n">
        <v>26</v>
      </c>
      <c r="I617" t="inlineStr">
        <is>
          <t>Parc d'activité de Tirten la Paviotaie, CS 80055</t>
        </is>
      </c>
      <c r="J617" t="inlineStr">
        <is>
          <t>56140</t>
        </is>
      </c>
      <c r="K617" t="inlineStr">
        <is>
          <t>Malestroit</t>
        </is>
      </c>
      <c r="L617" t="inlineStr">
        <is>
          <t>02 97 75 01 02</t>
        </is>
      </c>
      <c r="M617" s="4" t="inlineStr">
        <is>
          <t>contact@oust-broceliande.bzh</t>
        </is>
      </c>
      <c r="N617" s="4" t="inlineStr">
        <is>
          <t>https://www.oust-broceliande.bzh/accueil-obc</t>
        </is>
      </c>
      <c r="O617" s="4" t="inlineStr">
        <is>
          <t>https://www.oust-broceliande.bzh/accueil-obc/pied-de-page/contacts</t>
        </is>
      </c>
      <c r="P617" s="4" t="inlineStr">
        <is>
          <t>https://lannuaire.service-public.gouv.fr/bretagne/morbihan/91c14c46-8aac-4265-b2a3-cc280382d41f</t>
        </is>
      </c>
      <c r="Q617" t="inlineStr">
        <is>
          <t>Annuaire Service-public.fr</t>
        </is>
      </c>
      <c r="R617" t="inlineStr"/>
      <c r="S617" t="inlineStr"/>
      <c r="T617" t="inlineStr"/>
    </row>
    <row r="618">
      <c r="A618" t="inlineStr">
        <is>
          <t>CC Bouzonvillois-Trois Frontières</t>
        </is>
      </c>
      <c r="B618" t="inlineStr">
        <is>
          <t>Communauté de communes</t>
        </is>
      </c>
      <c r="C618" t="inlineStr">
        <is>
          <t>200067486</t>
        </is>
      </c>
      <c r="D618" t="inlineStr">
        <is>
          <t>57</t>
        </is>
      </c>
      <c r="E618" t="inlineStr">
        <is>
          <t>Moselle</t>
        </is>
      </c>
      <c r="F618" t="inlineStr">
        <is>
          <t>Grand Est</t>
        </is>
      </c>
      <c r="G618" s="3" t="n">
        <v>24154</v>
      </c>
      <c r="H618" t="n">
        <v>40</v>
      </c>
      <c r="I618" t="inlineStr">
        <is>
          <t>3 bis rue de France, BP 90019</t>
        </is>
      </c>
      <c r="J618" t="inlineStr">
        <is>
          <t>57320</t>
        </is>
      </c>
      <c r="K618" t="inlineStr">
        <is>
          <t>Bouzonville</t>
        </is>
      </c>
      <c r="L618" t="inlineStr">
        <is>
          <t>03 87 21 00 99</t>
        </is>
      </c>
      <c r="M618" s="4" t="inlineStr">
        <is>
          <t>contact@ccb3f.fr</t>
        </is>
      </c>
      <c r="N618" s="4" t="inlineStr">
        <is>
          <t>https://www.ccb3f.fr/</t>
        </is>
      </c>
      <c r="O618" t="inlineStr"/>
      <c r="P618" s="4" t="inlineStr">
        <is>
          <t>https://lannuaire.service-public.gouv.fr/grand-est/moselle/7f135c86-09b1-46fe-a546-a0d0a426e051</t>
        </is>
      </c>
      <c r="Q618" t="inlineStr">
        <is>
          <t>Annuaire Service-public.fr</t>
        </is>
      </c>
      <c r="R618" t="inlineStr"/>
      <c r="S618" t="inlineStr"/>
      <c r="T618" t="inlineStr"/>
    </row>
    <row r="619">
      <c r="A619" t="inlineStr">
        <is>
          <t>CC Haut Chemin - Pays de Pange</t>
        </is>
      </c>
      <c r="B619" t="inlineStr">
        <is>
          <t>Communauté de communes</t>
        </is>
      </c>
      <c r="C619" t="inlineStr">
        <is>
          <t>200067957</t>
        </is>
      </c>
      <c r="D619" t="inlineStr">
        <is>
          <t>57</t>
        </is>
      </c>
      <c r="E619" t="inlineStr">
        <is>
          <t>Moselle</t>
        </is>
      </c>
      <c r="F619" t="inlineStr">
        <is>
          <t>Grand Est</t>
        </is>
      </c>
      <c r="G619" s="3" t="n">
        <v>19286</v>
      </c>
      <c r="H619" t="n">
        <v>28</v>
      </c>
      <c r="I619" t="inlineStr">
        <is>
          <t>1 bis route de Metz</t>
        </is>
      </c>
      <c r="J619" t="inlineStr">
        <is>
          <t>57530</t>
        </is>
      </c>
      <c r="K619" t="inlineStr">
        <is>
          <t>Pange</t>
        </is>
      </c>
      <c r="L619" t="inlineStr">
        <is>
          <t>03 87 64 10 63</t>
        </is>
      </c>
      <c r="M619" s="4" t="inlineStr">
        <is>
          <t>accueil@cchcpp.fr</t>
        </is>
      </c>
      <c r="N619" s="4" t="inlineStr">
        <is>
          <t>https://www.cchcpp.fr</t>
        </is>
      </c>
      <c r="O619" s="4" t="inlineStr">
        <is>
          <t>https://www.cchcpp.fr/fr/contact.html</t>
        </is>
      </c>
      <c r="P619" s="4" t="inlineStr">
        <is>
          <t>https://lannuaire.service-public.gouv.fr/grand-est/moselle/56d46523-f3ce-4737-a970-9376d2bcfb1f</t>
        </is>
      </c>
      <c r="Q619" t="inlineStr">
        <is>
          <t>Annuaire Service-public.fr</t>
        </is>
      </c>
      <c r="R619" t="inlineStr"/>
      <c r="S619" t="inlineStr"/>
      <c r="T619" t="inlineStr"/>
    </row>
    <row r="620">
      <c r="A620" t="inlineStr">
        <is>
          <t>CC Houve - Pays Boulageois</t>
        </is>
      </c>
      <c r="B620" t="inlineStr">
        <is>
          <t>Communauté de communes</t>
        </is>
      </c>
      <c r="C620" t="inlineStr">
        <is>
          <t>200067650</t>
        </is>
      </c>
      <c r="D620" t="inlineStr">
        <is>
          <t>57</t>
        </is>
      </c>
      <c r="E620" t="inlineStr">
        <is>
          <t>Moselle</t>
        </is>
      </c>
      <c r="F620" t="inlineStr">
        <is>
          <t>Grand Est</t>
        </is>
      </c>
      <c r="G620" s="3" t="n">
        <v>22769</v>
      </c>
      <c r="H620" t="n">
        <v>37</v>
      </c>
      <c r="I620" t="inlineStr">
        <is>
          <t>29 A rue de Sarrelouis</t>
        </is>
      </c>
      <c r="J620" t="inlineStr">
        <is>
          <t>57220</t>
        </is>
      </c>
      <c r="K620" t="inlineStr">
        <is>
          <t>Boulay-Moselle</t>
        </is>
      </c>
      <c r="L620" t="inlineStr">
        <is>
          <t>03 87 79 52 90</t>
        </is>
      </c>
      <c r="M620" s="4" t="inlineStr">
        <is>
          <t>contact@cchpb.net</t>
        </is>
      </c>
      <c r="N620" s="4" t="inlineStr">
        <is>
          <t>https://www.paysboulageois.fr/</t>
        </is>
      </c>
      <c r="O620" t="inlineStr"/>
      <c r="P620" s="4" t="inlineStr">
        <is>
          <t>https://lannuaire.service-public.gouv.fr/grand-est/moselle/2c18293c-0e9a-47c4-bb5d-937c691402d4</t>
        </is>
      </c>
      <c r="Q620" t="inlineStr">
        <is>
          <t>Annuaire Service-public.fr</t>
        </is>
      </c>
      <c r="R620" t="inlineStr"/>
      <c r="S620" t="inlineStr"/>
      <c r="T620" t="inlineStr"/>
    </row>
    <row r="621">
      <c r="A621" t="inlineStr">
        <is>
          <t>CC Rives de Moselle</t>
        </is>
      </c>
      <c r="B621" t="inlineStr">
        <is>
          <t>Communauté de communes</t>
        </is>
      </c>
      <c r="C621" t="inlineStr">
        <is>
          <t>200039949</t>
        </is>
      </c>
      <c r="D621" t="inlineStr">
        <is>
          <t>57</t>
        </is>
      </c>
      <c r="E621" t="inlineStr">
        <is>
          <t>Moselle</t>
        </is>
      </c>
      <c r="F621" t="inlineStr">
        <is>
          <t>Grand Est</t>
        </is>
      </c>
      <c r="G621" s="3" t="n">
        <v>53122</v>
      </c>
      <c r="H621" t="n">
        <v>20</v>
      </c>
      <c r="I621" t="inlineStr">
        <is>
          <t>1 place de la Gare</t>
        </is>
      </c>
      <c r="J621" t="inlineStr">
        <is>
          <t>57280</t>
        </is>
      </c>
      <c r="K621" t="inlineStr">
        <is>
          <t>Maizières-lès-Metz</t>
        </is>
      </c>
      <c r="L621" t="inlineStr">
        <is>
          <t>03 87 51 77 02</t>
        </is>
      </c>
      <c r="M621" s="4" t="inlineStr">
        <is>
          <t>accueil@rivesdemoselle.fr</t>
        </is>
      </c>
      <c r="N621" s="4" t="inlineStr">
        <is>
          <t>https://www.rivesdemoselle.fr/</t>
        </is>
      </c>
      <c r="O621" s="4" t="inlineStr">
        <is>
          <t>https://www.rivesdemoselle.fr/sinformer-participer/#unequestionuneidee</t>
        </is>
      </c>
      <c r="P621" s="4" t="inlineStr">
        <is>
          <t>https://lannuaire.service-public.gouv.fr/grand-est/moselle/b034bb97-c514-47ca-9f2f-8c4abfffc64f</t>
        </is>
      </c>
      <c r="Q621" t="inlineStr">
        <is>
          <t>Annuaire Service-public.fr</t>
        </is>
      </c>
      <c r="R621" t="inlineStr"/>
      <c r="S621" t="inlineStr"/>
      <c r="T621" t="inlineStr"/>
    </row>
    <row r="622">
      <c r="A622" t="inlineStr">
        <is>
          <t>CC Sarrebourg Moselle Sud</t>
        </is>
      </c>
      <c r="B622" t="inlineStr">
        <is>
          <t>Communauté de communes</t>
        </is>
      </c>
      <c r="C622" t="inlineStr">
        <is>
          <t>200068146</t>
        </is>
      </c>
      <c r="D622" t="inlineStr">
        <is>
          <t>57</t>
        </is>
      </c>
      <c r="E622" t="inlineStr">
        <is>
          <t>Moselle</t>
        </is>
      </c>
      <c r="F622" t="inlineStr">
        <is>
          <t>Grand Est</t>
        </is>
      </c>
      <c r="G622" s="3" t="n">
        <v>45143</v>
      </c>
      <c r="H622" t="n">
        <v>76</v>
      </c>
      <c r="I622" t="inlineStr">
        <is>
          <t>3 terrasse Normandie, ZAC des Terrasses-de-la-Sarre, BP 50157</t>
        </is>
      </c>
      <c r="J622" t="inlineStr">
        <is>
          <t>57403</t>
        </is>
      </c>
      <c r="K622" t="inlineStr">
        <is>
          <t>Sarrebourg Cedex</t>
        </is>
      </c>
      <c r="L622" t="inlineStr">
        <is>
          <t>03 87 03 05 16</t>
        </is>
      </c>
      <c r="M622" s="4" t="inlineStr">
        <is>
          <t>contact@cc-sms.fr</t>
        </is>
      </c>
      <c r="N622" s="4" t="inlineStr">
        <is>
          <t>https://www.cc-sms.fr/</t>
        </is>
      </c>
      <c r="O622" s="4" t="inlineStr">
        <is>
          <t>https://www.cc-sms.fr/contact/</t>
        </is>
      </c>
      <c r="P622" s="4" t="inlineStr">
        <is>
          <t>https://lannuaire.service-public.gouv.fr/grand-est/moselle/7619a292-81e4-4723-9550-39a048bce78c</t>
        </is>
      </c>
      <c r="Q622" t="inlineStr">
        <is>
          <t>Annuaire Service-public.fr</t>
        </is>
      </c>
      <c r="R622" t="inlineStr"/>
      <c r="S622" t="inlineStr"/>
      <c r="T622" t="inlineStr"/>
    </row>
    <row r="623">
      <c r="A623" t="inlineStr">
        <is>
          <t>CC de Cattenom et Environs</t>
        </is>
      </c>
      <c r="B623" t="inlineStr">
        <is>
          <t>Communauté de communes</t>
        </is>
      </c>
      <c r="C623" t="inlineStr">
        <is>
          <t>245700695</t>
        </is>
      </c>
      <c r="D623" t="inlineStr">
        <is>
          <t>57</t>
        </is>
      </c>
      <c r="E623" t="inlineStr">
        <is>
          <t>Moselle</t>
        </is>
      </c>
      <c r="F623" t="inlineStr">
        <is>
          <t>Grand Est</t>
        </is>
      </c>
      <c r="G623" s="3" t="n">
        <v>27687</v>
      </c>
      <c r="H623" t="n">
        <v>22</v>
      </c>
      <c r="I623" t="inlineStr">
        <is>
          <t>2 avenue du Général-de-Gaulle</t>
        </is>
      </c>
      <c r="J623" t="inlineStr">
        <is>
          <t>57570</t>
        </is>
      </c>
      <c r="K623" t="inlineStr">
        <is>
          <t>Cattenom</t>
        </is>
      </c>
      <c r="L623" t="inlineStr">
        <is>
          <t>03 82 82 05 60</t>
        </is>
      </c>
      <c r="M623" s="4" t="inlineStr">
        <is>
          <t>accueil@cc-ce.com</t>
        </is>
      </c>
      <c r="N623" s="4" t="inlineStr">
        <is>
          <t>https://www.ccce.fr</t>
        </is>
      </c>
      <c r="O623" s="4" t="inlineStr">
        <is>
          <t>https://www.ccce.fr/contact-ccce</t>
        </is>
      </c>
      <c r="P623" s="4" t="inlineStr">
        <is>
          <t>https://lannuaire.service-public.gouv.fr/grand-est/moselle/0550a892-efd8-44a6-8d9a-462b245dc85f</t>
        </is>
      </c>
      <c r="Q623" t="inlineStr">
        <is>
          <t>Annuaire Service-public.fr</t>
        </is>
      </c>
      <c r="R623" t="inlineStr"/>
      <c r="S623" t="inlineStr"/>
      <c r="T623" t="inlineStr"/>
    </row>
    <row r="624">
      <c r="A624" t="inlineStr">
        <is>
          <t>CC de Freyming-Merlebach</t>
        </is>
      </c>
      <c r="B624" t="inlineStr">
        <is>
          <t>Communauté de communes</t>
        </is>
      </c>
      <c r="C624" t="inlineStr">
        <is>
          <t>245700398</t>
        </is>
      </c>
      <c r="D624" t="inlineStr">
        <is>
          <t>57</t>
        </is>
      </c>
      <c r="E624" t="inlineStr">
        <is>
          <t>Moselle</t>
        </is>
      </c>
      <c r="F624" t="inlineStr">
        <is>
          <t>Grand Est</t>
        </is>
      </c>
      <c r="G624" s="3" t="n">
        <v>31361</v>
      </c>
      <c r="H624" t="n">
        <v>11</v>
      </c>
      <c r="I624" t="inlineStr">
        <is>
          <t>2 rue de Savoie, Hôtel communautaire Reumaux</t>
        </is>
      </c>
      <c r="J624" t="inlineStr">
        <is>
          <t>57800</t>
        </is>
      </c>
      <c r="K624" t="inlineStr">
        <is>
          <t>Freyming-Merlebach</t>
        </is>
      </c>
      <c r="L624" t="inlineStr">
        <is>
          <t>03 87 00 21 50</t>
        </is>
      </c>
      <c r="M624" s="4" t="inlineStr">
        <is>
          <t>ccfm@cc-freyming-merlebach.fr</t>
        </is>
      </c>
      <c r="N624" s="4" t="inlineStr">
        <is>
          <t>https://www.cc-freyming-merlebach.fr/</t>
        </is>
      </c>
      <c r="O624" s="4" t="inlineStr">
        <is>
          <t>https://www.cc-freyming-merlebach.fr/contact/</t>
        </is>
      </c>
      <c r="P624" s="4" t="inlineStr">
        <is>
          <t>https://lannuaire.service-public.gouv.fr/grand-est/moselle/2f374a73-9df8-4cb5-b28d-b21c29ac066b</t>
        </is>
      </c>
      <c r="Q624" t="inlineStr">
        <is>
          <t>Annuaire Service-public.fr</t>
        </is>
      </c>
      <c r="R624" t="inlineStr"/>
      <c r="S624" t="inlineStr"/>
      <c r="T624" t="inlineStr"/>
    </row>
    <row r="625">
      <c r="A625" t="inlineStr">
        <is>
          <t>CC de l'Arc Mosellan</t>
        </is>
      </c>
      <c r="B625" t="inlineStr">
        <is>
          <t>Communauté de communes</t>
        </is>
      </c>
      <c r="C625" t="inlineStr">
        <is>
          <t>245701354</t>
        </is>
      </c>
      <c r="D625" t="inlineStr">
        <is>
          <t>57</t>
        </is>
      </c>
      <c r="E625" t="inlineStr">
        <is>
          <t>Moselle</t>
        </is>
      </c>
      <c r="F625" t="inlineStr">
        <is>
          <t>Grand Est</t>
        </is>
      </c>
      <c r="G625" s="3" t="n">
        <v>35812</v>
      </c>
      <c r="H625" t="n">
        <v>26</v>
      </c>
      <c r="I625" t="inlineStr">
        <is>
          <t>8 rue du Moulin</t>
        </is>
      </c>
      <c r="J625" t="inlineStr">
        <is>
          <t>57920</t>
        </is>
      </c>
      <c r="K625" t="inlineStr">
        <is>
          <t>Buding</t>
        </is>
      </c>
      <c r="L625" t="inlineStr">
        <is>
          <t>03 82 83 21 57</t>
        </is>
      </c>
      <c r="M625" s="4" t="inlineStr">
        <is>
          <t>contact@arcmosellan.fr</t>
        </is>
      </c>
      <c r="N625" s="4" t="inlineStr">
        <is>
          <t>https://www.arcmosellan.fr/</t>
        </is>
      </c>
      <c r="O625" s="4" t="inlineStr">
        <is>
          <t>https://www.arcmosellan.fr/formulaire-de-contact/</t>
        </is>
      </c>
      <c r="P625" s="4" t="inlineStr">
        <is>
          <t>https://lannuaire.service-public.gouv.fr/grand-est/moselle/d29bf394-63df-48f6-ba0e-ab716fa9be71</t>
        </is>
      </c>
      <c r="Q625" t="inlineStr">
        <is>
          <t>Annuaire Service-public.fr</t>
        </is>
      </c>
      <c r="R625" t="inlineStr"/>
      <c r="S625" t="inlineStr"/>
      <c r="T625" t="inlineStr"/>
    </row>
    <row r="626">
      <c r="A626" t="inlineStr">
        <is>
          <t>CC du District Urbain de Faulquemont (DUF)</t>
        </is>
      </c>
      <c r="B626" t="inlineStr">
        <is>
          <t>Communauté de communes</t>
        </is>
      </c>
      <c r="C626" t="inlineStr">
        <is>
          <t>245700133</t>
        </is>
      </c>
      <c r="D626" t="inlineStr">
        <is>
          <t>57</t>
        </is>
      </c>
      <c r="E626" t="inlineStr">
        <is>
          <t>Moselle</t>
        </is>
      </c>
      <c r="F626" t="inlineStr">
        <is>
          <t>Grand Est</t>
        </is>
      </c>
      <c r="G626" s="3" t="n">
        <v>24038</v>
      </c>
      <c r="H626" t="n">
        <v>33</v>
      </c>
      <c r="I626" t="inlineStr">
        <is>
          <t>1 allée René-Cassin</t>
        </is>
      </c>
      <c r="J626" t="inlineStr">
        <is>
          <t>57380</t>
        </is>
      </c>
      <c r="K626" t="inlineStr">
        <is>
          <t>Faulquemont</t>
        </is>
      </c>
      <c r="L626" t="inlineStr">
        <is>
          <t>03 87 29 83 50</t>
        </is>
      </c>
      <c r="M626" s="4" t="inlineStr">
        <is>
          <t>dg@dufcc.com</t>
        </is>
      </c>
      <c r="N626" s="4" t="inlineStr">
        <is>
          <t>https://www.dufcc.com/fr/</t>
        </is>
      </c>
      <c r="O626" s="4" t="inlineStr">
        <is>
          <t>https://www.dufcc.com/fr/contact.html</t>
        </is>
      </c>
      <c r="P626" s="4" t="inlineStr">
        <is>
          <t>https://lannuaire.service-public.gouv.fr/grand-est/moselle/57d94f9d-1513-46c3-a479-3cde6484daaa</t>
        </is>
      </c>
      <c r="Q626" t="inlineStr">
        <is>
          <t>Annuaire Service-public.fr</t>
        </is>
      </c>
      <c r="R626" t="inlineStr"/>
      <c r="S626" t="inlineStr"/>
      <c r="T626" t="inlineStr"/>
    </row>
    <row r="627">
      <c r="A627" t="inlineStr">
        <is>
          <t>CC du Pays Orne Moselle</t>
        </is>
      </c>
      <c r="B627" t="inlineStr">
        <is>
          <t>Communauté de communes</t>
        </is>
      </c>
      <c r="C627" t="inlineStr">
        <is>
          <t>245701271</t>
        </is>
      </c>
      <c r="D627" t="inlineStr">
        <is>
          <t>57</t>
        </is>
      </c>
      <c r="E627" t="inlineStr">
        <is>
          <t>Moselle</t>
        </is>
      </c>
      <c r="F627" t="inlineStr">
        <is>
          <t>Grand Est</t>
        </is>
      </c>
      <c r="G627" s="3" t="n">
        <v>52783</v>
      </c>
      <c r="H627" t="n">
        <v>12</v>
      </c>
      <c r="I627" t="inlineStr">
        <is>
          <t>1 rue Alexandrine</t>
        </is>
      </c>
      <c r="J627" t="inlineStr">
        <is>
          <t>57120</t>
        </is>
      </c>
      <c r="K627" t="inlineStr">
        <is>
          <t>Rombas</t>
        </is>
      </c>
      <c r="L627" t="inlineStr">
        <is>
          <t>03 87 58 32 32</t>
        </is>
      </c>
      <c r="M627" s="4" t="inlineStr">
        <is>
          <t>ccpom@ccpom.fr</t>
        </is>
      </c>
      <c r="N627" s="4" t="inlineStr">
        <is>
          <t>https://www.ccpom.fr/</t>
        </is>
      </c>
      <c r="O627" s="4" t="inlineStr">
        <is>
          <t>https://www.ccpom.fr/contact/</t>
        </is>
      </c>
      <c r="P627" s="4" t="inlineStr">
        <is>
          <t>https://lannuaire.service-public.gouv.fr/grand-est/moselle/c9029905-ce17-4084-b836-f041b384a9c5</t>
        </is>
      </c>
      <c r="Q627" t="inlineStr">
        <is>
          <t>Annuaire Service-public.fr</t>
        </is>
      </c>
      <c r="R627" t="inlineStr"/>
      <c r="S627" t="inlineStr"/>
      <c r="T627" t="inlineStr"/>
    </row>
    <row r="628">
      <c r="A628" t="inlineStr">
        <is>
          <t>CC du Pays de Bitche</t>
        </is>
      </c>
      <c r="B628" t="inlineStr">
        <is>
          <t>Communauté de communes</t>
        </is>
      </c>
      <c r="C628" t="inlineStr">
        <is>
          <t>200069441</t>
        </is>
      </c>
      <c r="D628" t="inlineStr">
        <is>
          <t>57</t>
        </is>
      </c>
      <c r="E628" t="inlineStr">
        <is>
          <t>Moselle</t>
        </is>
      </c>
      <c r="F628" t="inlineStr">
        <is>
          <t>Grand Est</t>
        </is>
      </c>
      <c r="G628" s="3" t="n">
        <v>33184</v>
      </c>
      <c r="H628" t="n">
        <v>46</v>
      </c>
      <c r="I628" t="inlineStr">
        <is>
          <t>4 rue du Général-Stuhl</t>
        </is>
      </c>
      <c r="J628" t="inlineStr">
        <is>
          <t>57232</t>
        </is>
      </c>
      <c r="K628" t="inlineStr">
        <is>
          <t>Bitche</t>
        </is>
      </c>
      <c r="L628" t="inlineStr">
        <is>
          <t>03 87 96 99 45</t>
        </is>
      </c>
      <c r="M628" s="4" t="inlineStr">
        <is>
          <t>contact@cc-paysdebitche.fr</t>
        </is>
      </c>
      <c r="N628" s="4" t="inlineStr">
        <is>
          <t>https://www.cc-paysdebitche.fr</t>
        </is>
      </c>
      <c r="O628" s="4" t="inlineStr">
        <is>
          <t>https://www.cc-paysdebitche.fr/contact/</t>
        </is>
      </c>
      <c r="P628" s="4" t="inlineStr">
        <is>
          <t>https://lannuaire.service-public.gouv.fr/grand-est/moselle/9d8dd5f1-8778-4127-a359-b7680296bf07</t>
        </is>
      </c>
      <c r="Q628" t="inlineStr">
        <is>
          <t>Annuaire Service-public.fr</t>
        </is>
      </c>
      <c r="R628" t="inlineStr"/>
      <c r="S628" t="inlineStr"/>
      <c r="T628" t="inlineStr"/>
    </row>
    <row r="629">
      <c r="A629" t="inlineStr">
        <is>
          <t>CC du Pays de Phalsbourg</t>
        </is>
      </c>
      <c r="B629" t="inlineStr">
        <is>
          <t>Communauté de communes</t>
        </is>
      </c>
      <c r="C629" t="inlineStr">
        <is>
          <t>245700950</t>
        </is>
      </c>
      <c r="D629" t="inlineStr">
        <is>
          <t>57</t>
        </is>
      </c>
      <c r="E629" t="inlineStr">
        <is>
          <t>Moselle</t>
        </is>
      </c>
      <c r="F629" t="inlineStr">
        <is>
          <t>Grand Est</t>
        </is>
      </c>
      <c r="G629" s="3" t="n">
        <v>17096</v>
      </c>
      <c r="H629" t="n">
        <v>26</v>
      </c>
      <c r="I629" t="inlineStr">
        <is>
          <t>18 rue de Sarrebourg</t>
        </is>
      </c>
      <c r="J629" t="inlineStr">
        <is>
          <t>57370</t>
        </is>
      </c>
      <c r="K629" t="inlineStr">
        <is>
          <t>Mittelbronn</t>
        </is>
      </c>
      <c r="L629" t="inlineStr">
        <is>
          <t>03 87 24 40 40</t>
        </is>
      </c>
      <c r="M629" s="4" t="inlineStr">
        <is>
          <t>contact@paysdephalsbourg.fr</t>
        </is>
      </c>
      <c r="N629" s="4" t="inlineStr">
        <is>
          <t>https://www.paysdephalsbourg.fr/</t>
        </is>
      </c>
      <c r="O629" s="4" t="inlineStr">
        <is>
          <t>https://www.paysdephalsbourg.fr/nous-contacter/</t>
        </is>
      </c>
      <c r="P629" s="4" t="inlineStr">
        <is>
          <t>https://lannuaire.service-public.gouv.fr/grand-est/moselle/80d4e481-5e60-4c99-a458-9f0994c23525</t>
        </is>
      </c>
      <c r="Q629" t="inlineStr">
        <is>
          <t>Annuaire Service-public.fr</t>
        </is>
      </c>
      <c r="R629" t="inlineStr"/>
      <c r="S629" t="inlineStr"/>
      <c r="T629" t="inlineStr"/>
    </row>
    <row r="630">
      <c r="A630" t="inlineStr">
        <is>
          <t>CC du Saulnois</t>
        </is>
      </c>
      <c r="B630" t="inlineStr">
        <is>
          <t>Communauté de communes</t>
        </is>
      </c>
      <c r="C630" t="inlineStr">
        <is>
          <t>245701206</t>
        </is>
      </c>
      <c r="D630" t="inlineStr">
        <is>
          <t>57</t>
        </is>
      </c>
      <c r="E630" t="inlineStr">
        <is>
          <t>Moselle</t>
        </is>
      </c>
      <c r="F630" t="inlineStr">
        <is>
          <t>Grand Est</t>
        </is>
      </c>
      <c r="G630" s="3" t="n">
        <v>28102</v>
      </c>
      <c r="H630" t="n">
        <v>128</v>
      </c>
      <c r="I630" t="inlineStr">
        <is>
          <t>14 ter place de la Saline</t>
        </is>
      </c>
      <c r="J630" t="inlineStr">
        <is>
          <t>57170</t>
        </is>
      </c>
      <c r="K630" t="inlineStr">
        <is>
          <t>Château-Salins</t>
        </is>
      </c>
      <c r="L630" t="inlineStr">
        <is>
          <t>03 87 05 11 11</t>
        </is>
      </c>
      <c r="M630" s="4" t="inlineStr">
        <is>
          <t>administration@cc-saulnois.fr</t>
        </is>
      </c>
      <c r="N630" s="4" t="inlineStr">
        <is>
          <t>https://www.cc-saulnois.fr/</t>
        </is>
      </c>
      <c r="O630" s="4" t="inlineStr">
        <is>
          <t>https://www.cc-saulnois.fr/contact/</t>
        </is>
      </c>
      <c r="P630" s="4" t="inlineStr">
        <is>
          <t>https://lannuaire.service-public.gouv.fr/grand-est/moselle/5d57decc-912d-4a28-a443-9caac5d1dc4c</t>
        </is>
      </c>
      <c r="Q630" t="inlineStr">
        <is>
          <t>Annuaire Service-public.fr</t>
        </is>
      </c>
      <c r="R630" t="inlineStr"/>
      <c r="S630" t="inlineStr"/>
      <c r="T630" t="inlineStr"/>
    </row>
    <row r="631">
      <c r="A631" t="inlineStr">
        <is>
          <t>CC du Sud Messin</t>
        </is>
      </c>
      <c r="B631" t="inlineStr">
        <is>
          <t>Communauté de communes</t>
        </is>
      </c>
      <c r="C631" t="inlineStr">
        <is>
          <t>200039907</t>
        </is>
      </c>
      <c r="D631" t="inlineStr">
        <is>
          <t>57</t>
        </is>
      </c>
      <c r="E631" t="inlineStr">
        <is>
          <t>Moselle</t>
        </is>
      </c>
      <c r="F631" t="inlineStr">
        <is>
          <t>Grand Est</t>
        </is>
      </c>
      <c r="G631" s="3" t="n">
        <v>17033</v>
      </c>
      <c r="H631" t="n">
        <v>34</v>
      </c>
      <c r="I631" t="inlineStr">
        <is>
          <t>2 rue Pilâtre-de-Rozier</t>
        </is>
      </c>
      <c r="J631" t="inlineStr">
        <is>
          <t>57420</t>
        </is>
      </c>
      <c r="K631" t="inlineStr">
        <is>
          <t>Goin</t>
        </is>
      </c>
      <c r="L631" t="inlineStr">
        <is>
          <t>03 87 38 04 10</t>
        </is>
      </c>
      <c r="M631" s="4" t="inlineStr">
        <is>
          <t>contact@sudmessin.fr</t>
        </is>
      </c>
      <c r="N631" s="4" t="inlineStr">
        <is>
          <t>http://www.sudmessin.fr</t>
        </is>
      </c>
      <c r="O631" t="inlineStr"/>
      <c r="P631" s="4" t="inlineStr">
        <is>
          <t>https://lannuaire.service-public.gouv.fr/grand-est/moselle/0b68ef3d-0ef6-44dc-8d61-e4e736ed811c</t>
        </is>
      </c>
      <c r="Q631" t="inlineStr">
        <is>
          <t>Annuaire Service-public.fr</t>
        </is>
      </c>
      <c r="R631" t="inlineStr"/>
      <c r="S631" t="inlineStr"/>
      <c r="T631" t="inlineStr"/>
    </row>
    <row r="632">
      <c r="A632" t="inlineStr">
        <is>
          <t>CC du Warndt</t>
        </is>
      </c>
      <c r="B632" t="inlineStr">
        <is>
          <t>Communauté de communes</t>
        </is>
      </c>
      <c r="C632" t="inlineStr">
        <is>
          <t>245701164</t>
        </is>
      </c>
      <c r="D632" t="inlineStr">
        <is>
          <t>57</t>
        </is>
      </c>
      <c r="E632" t="inlineStr">
        <is>
          <t>Moselle</t>
        </is>
      </c>
      <c r="F632" t="inlineStr">
        <is>
          <t>Grand Est</t>
        </is>
      </c>
      <c r="G632" s="3" t="n">
        <v>17369</v>
      </c>
      <c r="H632" t="n">
        <v>5</v>
      </c>
      <c r="I632" t="inlineStr">
        <is>
          <t>1 allée Léonard-de-Vinci</t>
        </is>
      </c>
      <c r="J632" t="inlineStr">
        <is>
          <t>57150</t>
        </is>
      </c>
      <c r="K632" t="inlineStr">
        <is>
          <t>Creutzwald</t>
        </is>
      </c>
      <c r="L632" t="inlineStr">
        <is>
          <t>03 57 85 02 20</t>
        </is>
      </c>
      <c r="M632" s="4" t="inlineStr">
        <is>
          <t>contact@ccwarndt.fr</t>
        </is>
      </c>
      <c r="N632" s="4" t="inlineStr">
        <is>
          <t>https://ccwarndt.fr/</t>
        </is>
      </c>
      <c r="O632" t="inlineStr"/>
      <c r="P632" s="4" t="inlineStr">
        <is>
          <t>https://lannuaire.service-public.gouv.fr/grand-est/moselle/e40a6cda-2c12-4e00-93c9-68bb810dbfbd</t>
        </is>
      </c>
      <c r="Q632" t="inlineStr">
        <is>
          <t>Annuaire Service-public.fr</t>
        </is>
      </c>
      <c r="R632" t="inlineStr"/>
      <c r="S632" t="inlineStr"/>
      <c r="T632" t="inlineStr"/>
    </row>
    <row r="633">
      <c r="A633" t="inlineStr">
        <is>
          <t>CC Amognes Coeur du Nivernais</t>
        </is>
      </c>
      <c r="B633" t="inlineStr">
        <is>
          <t>Communauté de communes</t>
        </is>
      </c>
      <c r="C633" t="inlineStr">
        <is>
          <t>200067908</t>
        </is>
      </c>
      <c r="D633" t="inlineStr">
        <is>
          <t>58</t>
        </is>
      </c>
      <c r="E633" t="inlineStr">
        <is>
          <t>Nièvre</t>
        </is>
      </c>
      <c r="F633" t="inlineStr">
        <is>
          <t>Bourgogne-Franche-Comté</t>
        </is>
      </c>
      <c r="G633" s="3" t="n">
        <v>8527</v>
      </c>
      <c r="H633" t="n">
        <v>28</v>
      </c>
      <c r="I633" t="inlineStr">
        <is>
          <t>1 place de la République</t>
        </is>
      </c>
      <c r="J633" t="inlineStr">
        <is>
          <t>58270</t>
        </is>
      </c>
      <c r="K633" t="inlineStr">
        <is>
          <t>Saint-Benin-d'Azy</t>
        </is>
      </c>
      <c r="L633" t="inlineStr">
        <is>
          <t>03 86 58 46 22</t>
        </is>
      </c>
      <c r="M633" s="4" t="inlineStr">
        <is>
          <t>contact@ccacn.fr</t>
        </is>
      </c>
      <c r="N633" s="4" t="inlineStr">
        <is>
          <t>https://cc-amognescoeurdunivernais.fr/</t>
        </is>
      </c>
      <c r="O633" t="inlineStr"/>
      <c r="P633" s="4" t="inlineStr">
        <is>
          <t>https://lannuaire.service-public.gouv.fr/bourgogne-franche-comte/nievre/dd0926c6-1e1c-44d8-bb75-d14c2527ada0</t>
        </is>
      </c>
      <c r="Q633" t="inlineStr">
        <is>
          <t>Annuaire Service-public.fr</t>
        </is>
      </c>
      <c r="R633" t="inlineStr"/>
      <c r="S633" t="inlineStr"/>
      <c r="T633" t="inlineStr"/>
    </row>
    <row r="634">
      <c r="A634" t="inlineStr">
        <is>
          <t>CC Bazois Loire Morvan</t>
        </is>
      </c>
      <c r="B634" t="inlineStr">
        <is>
          <t>Communauté de communes</t>
        </is>
      </c>
      <c r="C634" t="inlineStr">
        <is>
          <t>200067882</t>
        </is>
      </c>
      <c r="D634" t="inlineStr">
        <is>
          <t>58</t>
        </is>
      </c>
      <c r="E634" t="inlineStr">
        <is>
          <t>Nièvre</t>
        </is>
      </c>
      <c r="F634" t="inlineStr">
        <is>
          <t>Bourgogne-Franche-Comté</t>
        </is>
      </c>
      <c r="G634" s="3" t="n">
        <v>15029</v>
      </c>
      <c r="H634" t="n">
        <v>46</v>
      </c>
      <c r="I634" t="inlineStr">
        <is>
          <t>11 place Lafayette</t>
        </is>
      </c>
      <c r="J634" t="inlineStr">
        <is>
          <t>58290</t>
        </is>
      </c>
      <c r="K634" t="inlineStr">
        <is>
          <t>Moulins-Engilbert</t>
        </is>
      </c>
      <c r="L634" t="inlineStr">
        <is>
          <t>03 86 84 33 55</t>
        </is>
      </c>
      <c r="M634" s="4" t="inlineStr">
        <is>
          <t>contact@bazoisloiremorvan.fr</t>
        </is>
      </c>
      <c r="N634" s="4" t="inlineStr">
        <is>
          <t>https://www.bazoisloiremorvan.fr/</t>
        </is>
      </c>
      <c r="O634" s="4" t="inlineStr">
        <is>
          <t>https://www.bazoisloiremorvan.fr/contactez-nous/</t>
        </is>
      </c>
      <c r="P634" s="4" t="inlineStr">
        <is>
          <t>https://lannuaire.service-public.gouv.fr/bourgogne-franche-comte/nievre/e0e23cd0-c8e6-4c25-8b74-66a8f7ce2bff</t>
        </is>
      </c>
      <c r="Q634" t="inlineStr">
        <is>
          <t>Annuaire Service-public.fr</t>
        </is>
      </c>
      <c r="R634" t="inlineStr"/>
      <c r="S634" t="inlineStr"/>
      <c r="T634" t="inlineStr"/>
    </row>
    <row r="635">
      <c r="A635" t="inlineStr">
        <is>
          <t>CC Coeur de Loire</t>
        </is>
      </c>
      <c r="B635" t="inlineStr">
        <is>
          <t>Communauté de communes</t>
        </is>
      </c>
      <c r="C635" t="inlineStr">
        <is>
          <t>200067916</t>
        </is>
      </c>
      <c r="D635" t="inlineStr">
        <is>
          <t>58</t>
        </is>
      </c>
      <c r="E635" t="inlineStr">
        <is>
          <t>Nièvre</t>
        </is>
      </c>
      <c r="F635" t="inlineStr">
        <is>
          <t>Bourgogne-Franche-Comté</t>
        </is>
      </c>
      <c r="G635" s="3" t="n">
        <v>25204</v>
      </c>
      <c r="H635" t="n">
        <v>30</v>
      </c>
      <c r="I635" t="inlineStr">
        <is>
          <t>4 place Georges-Clemenceau, BP 70</t>
        </is>
      </c>
      <c r="J635" t="inlineStr">
        <is>
          <t>58203</t>
        </is>
      </c>
      <c r="K635" t="inlineStr">
        <is>
          <t>Cosne-Cours-sur-Loire Cedex</t>
        </is>
      </c>
      <c r="L635" t="inlineStr">
        <is>
          <t>03 86 28 92 92</t>
        </is>
      </c>
      <c r="M635" s="4" t="inlineStr">
        <is>
          <t>contact@coeurdeloire.fr</t>
        </is>
      </c>
      <c r="N635" s="4" t="inlineStr">
        <is>
          <t>https://www.coeurdeloire.fr/</t>
        </is>
      </c>
      <c r="O635" s="4" t="inlineStr">
        <is>
          <t>https://www.coeurdeloire.fr/contact/</t>
        </is>
      </c>
      <c r="P635" s="4" t="inlineStr">
        <is>
          <t>https://lannuaire.service-public.gouv.fr/bourgogne-franche-comte/nievre/49ec768b-c110-4a94-9e77-3b52dddeccbe</t>
        </is>
      </c>
      <c r="Q635" t="inlineStr">
        <is>
          <t>Annuaire Service-public.fr</t>
        </is>
      </c>
      <c r="R635" t="inlineStr"/>
      <c r="S635" t="inlineStr"/>
      <c r="T635" t="inlineStr"/>
    </row>
    <row r="636">
      <c r="A636" t="inlineStr">
        <is>
          <t>CC Haut Nivernais - Val d'Yonne</t>
        </is>
      </c>
      <c r="B636" t="inlineStr">
        <is>
          <t>Communauté de communes</t>
        </is>
      </c>
      <c r="C636" t="inlineStr">
        <is>
          <t>200067429</t>
        </is>
      </c>
      <c r="D636" t="inlineStr">
        <is>
          <t>58, 89</t>
        </is>
      </c>
      <c r="E636" t="inlineStr">
        <is>
          <t>Nièvre, Yonne</t>
        </is>
      </c>
      <c r="F636" t="inlineStr">
        <is>
          <t>Bourgogne-Franche-Comté</t>
        </is>
      </c>
      <c r="G636" s="3" t="n">
        <v>11845</v>
      </c>
      <c r="H636" t="n">
        <v>30</v>
      </c>
      <c r="I636" t="inlineStr">
        <is>
          <t>35 avenue de la République</t>
        </is>
      </c>
      <c r="J636" t="inlineStr">
        <is>
          <t>58500</t>
        </is>
      </c>
      <c r="K636" t="inlineStr">
        <is>
          <t>Clamecy</t>
        </is>
      </c>
      <c r="L636" t="inlineStr">
        <is>
          <t>03 86 27 12 65</t>
        </is>
      </c>
      <c r="M636" s="4" t="inlineStr">
        <is>
          <t>contact@cchnvy.fr</t>
        </is>
      </c>
      <c r="N636" s="4" t="inlineStr">
        <is>
          <t>https://www.cchnvy.fr/</t>
        </is>
      </c>
      <c r="O636" s="4" t="inlineStr">
        <is>
          <t>https://www.cchnvy.fr/contact/</t>
        </is>
      </c>
      <c r="P636" s="4" t="inlineStr">
        <is>
          <t>https://lannuaire.service-public.gouv.fr/bourgogne-franche-comte/nievre/d00b025f-6f16-415a-8c89-d643ee483ed2</t>
        </is>
      </c>
      <c r="Q636" t="inlineStr">
        <is>
          <t>Annuaire Service-public.fr</t>
        </is>
      </c>
      <c r="R636" t="inlineStr"/>
      <c r="S636" t="inlineStr"/>
      <c r="T636" t="inlineStr"/>
    </row>
    <row r="637">
      <c r="A637" t="inlineStr">
        <is>
          <t>CC Loire et Allier</t>
        </is>
      </c>
      <c r="B637" t="inlineStr">
        <is>
          <t>Communauté de communes</t>
        </is>
      </c>
      <c r="C637" t="inlineStr">
        <is>
          <t>245801063</t>
        </is>
      </c>
      <c r="D637" t="inlineStr">
        <is>
          <t>58</t>
        </is>
      </c>
      <c r="E637" t="inlineStr">
        <is>
          <t>Nièvre</t>
        </is>
      </c>
      <c r="F637" t="inlineStr">
        <is>
          <t>Bourgogne-Franche-Comté</t>
        </is>
      </c>
      <c r="G637" s="3" t="n">
        <v>4978</v>
      </c>
      <c r="H637" t="n">
        <v>5</v>
      </c>
      <c r="I637" t="inlineStr">
        <is>
          <t>Avenue de la Mairie</t>
        </is>
      </c>
      <c r="J637" t="inlineStr">
        <is>
          <t>58490</t>
        </is>
      </c>
      <c r="K637" t="inlineStr">
        <is>
          <t>Saint-Parize-le-Châtel</t>
        </is>
      </c>
      <c r="L637" t="inlineStr">
        <is>
          <t>03 86 21 08 49</t>
        </is>
      </c>
      <c r="M637" s="4" t="inlineStr">
        <is>
          <t>administratif@cc-loire-allier.fr</t>
        </is>
      </c>
      <c r="N637" s="4" t="inlineStr">
        <is>
          <t>http://www.cc-loire-allier.fr</t>
        </is>
      </c>
      <c r="O637" t="inlineStr"/>
      <c r="P637" s="4" t="inlineStr">
        <is>
          <t>https://lannuaire.service-public.gouv.fr/bourgogne-franche-comte/nievre/08e97c1c-a502-4d5c-b2be-da20653ad377</t>
        </is>
      </c>
      <c r="Q637" t="inlineStr">
        <is>
          <t>Annuaire Service-public.fr</t>
        </is>
      </c>
      <c r="R637" t="inlineStr"/>
      <c r="S637" t="inlineStr"/>
      <c r="T637" t="inlineStr"/>
    </row>
    <row r="638">
      <c r="A638" t="inlineStr">
        <is>
          <t>CC Morvan Sommets et Grands Lacs</t>
        </is>
      </c>
      <c r="B638" t="inlineStr">
        <is>
          <t>Communauté de communes</t>
        </is>
      </c>
      <c r="C638" t="inlineStr">
        <is>
          <t>200067890</t>
        </is>
      </c>
      <c r="D638" t="inlineStr">
        <is>
          <t>58</t>
        </is>
      </c>
      <c r="E638" t="inlineStr">
        <is>
          <t>Nièvre</t>
        </is>
      </c>
      <c r="F638" t="inlineStr">
        <is>
          <t>Bourgogne-Franche-Comté</t>
        </is>
      </c>
      <c r="G638" s="3" t="n">
        <v>12039</v>
      </c>
      <c r="H638" t="n">
        <v>34</v>
      </c>
      <c r="I638" t="inlineStr">
        <is>
          <t>Place François-Mitterrand</t>
        </is>
      </c>
      <c r="J638" t="inlineStr">
        <is>
          <t>58120</t>
        </is>
      </c>
      <c r="K638" t="inlineStr">
        <is>
          <t>Château-Chinon</t>
        </is>
      </c>
      <c r="L638" t="inlineStr">
        <is>
          <t>03 86 79 43 99</t>
        </is>
      </c>
      <c r="M638" s="4" t="inlineStr">
        <is>
          <t>contact@ccmorvan.fr</t>
        </is>
      </c>
      <c r="N638" s="4" t="inlineStr">
        <is>
          <t>https://www.ccmorvan.fr/</t>
        </is>
      </c>
      <c r="O638" t="inlineStr"/>
      <c r="P638" s="4" t="inlineStr">
        <is>
          <t>https://lannuaire.service-public.gouv.fr/bourgogne-franche-comte/nievre/fbce022e-eaaa-4119-a3ee-6338966b2e1c</t>
        </is>
      </c>
      <c r="Q638" t="inlineStr">
        <is>
          <t>Annuaire Service-public.fr</t>
        </is>
      </c>
      <c r="R638" t="inlineStr"/>
      <c r="S638" t="inlineStr"/>
      <c r="T638" t="inlineStr"/>
    </row>
    <row r="639">
      <c r="A639" t="inlineStr">
        <is>
          <t>CC Sud Nivernais</t>
        </is>
      </c>
      <c r="B639" t="inlineStr">
        <is>
          <t>Communauté de communes</t>
        </is>
      </c>
      <c r="C639" t="inlineStr">
        <is>
          <t>200067700</t>
        </is>
      </c>
      <c r="D639" t="inlineStr">
        <is>
          <t>58</t>
        </is>
      </c>
      <c r="E639" t="inlineStr">
        <is>
          <t>Nièvre</t>
        </is>
      </c>
      <c r="F639" t="inlineStr">
        <is>
          <t>Bourgogne-Franche-Comté</t>
        </is>
      </c>
      <c r="G639" s="3" t="n">
        <v>19771</v>
      </c>
      <c r="H639" t="n">
        <v>20</v>
      </c>
      <c r="I639" t="inlineStr">
        <is>
          <t>2 rue du Port de la Jonction</t>
        </is>
      </c>
      <c r="J639" t="inlineStr">
        <is>
          <t>58300</t>
        </is>
      </c>
      <c r="K639" t="inlineStr">
        <is>
          <t>Decize</t>
        </is>
      </c>
      <c r="L639" t="inlineStr">
        <is>
          <t>03 86 77 09 45</t>
        </is>
      </c>
      <c r="M639" s="4" t="inlineStr">
        <is>
          <t>accueil@ccsn.fr</t>
        </is>
      </c>
      <c r="N639" s="4" t="inlineStr">
        <is>
          <t>https://www.sud-nivernais-communaute.fr/</t>
        </is>
      </c>
      <c r="O639" s="4" t="inlineStr">
        <is>
          <t>https://www.sud-nivernais-communaute.fr/systeme/nous-contacter/</t>
        </is>
      </c>
      <c r="P639" s="4" t="inlineStr">
        <is>
          <t>https://lannuaire.service-public.gouv.fr/bourgogne-franche-comte/nievre/2306bbfa-0f13-45a2-ba72-4ba73f452f12</t>
        </is>
      </c>
      <c r="Q639" t="inlineStr">
        <is>
          <t>Annuaire Service-public.fr</t>
        </is>
      </c>
      <c r="R639" t="inlineStr"/>
      <c r="S639" t="inlineStr"/>
      <c r="T639" t="inlineStr"/>
    </row>
    <row r="640">
      <c r="A640" t="inlineStr">
        <is>
          <t>CC Tannay-Brinon-Corbigny</t>
        </is>
      </c>
      <c r="B640" t="inlineStr">
        <is>
          <t>Communauté de communes</t>
        </is>
      </c>
      <c r="C640" t="inlineStr">
        <is>
          <t>200067692</t>
        </is>
      </c>
      <c r="D640" t="inlineStr">
        <is>
          <t>58</t>
        </is>
      </c>
      <c r="E640" t="inlineStr">
        <is>
          <t>Nièvre</t>
        </is>
      </c>
      <c r="F640" t="inlineStr">
        <is>
          <t>Bourgogne-Franche-Comté</t>
        </is>
      </c>
      <c r="G640" s="3" t="n">
        <v>9394</v>
      </c>
      <c r="H640" t="n">
        <v>58</v>
      </c>
      <c r="I640" t="inlineStr">
        <is>
          <t>3 Grande rue</t>
        </is>
      </c>
      <c r="J640" t="inlineStr">
        <is>
          <t>58800</t>
        </is>
      </c>
      <c r="K640" t="inlineStr">
        <is>
          <t>Corbigny</t>
        </is>
      </c>
      <c r="L640" t="inlineStr">
        <is>
          <t>03 86 20 22 03</t>
        </is>
      </c>
      <c r="M640" s="4" t="inlineStr">
        <is>
          <t>accueil@cctbc.fr</t>
        </is>
      </c>
      <c r="N640" s="4" t="inlineStr">
        <is>
          <t>https://www.tannay-brinon-corbigny.fr</t>
        </is>
      </c>
      <c r="O640" s="4" t="inlineStr">
        <is>
          <t>https://www.tannay-brinon-corbigny.fr/contact/</t>
        </is>
      </c>
      <c r="P640" s="4" t="inlineStr">
        <is>
          <t>https://lannuaire.service-public.gouv.fr/bourgogne-franche-comte/nievre/fd3f40ff-96ea-4c52-b637-2ff65e1269eb</t>
        </is>
      </c>
      <c r="Q640" t="inlineStr">
        <is>
          <t>Annuaire Service-public.fr</t>
        </is>
      </c>
      <c r="R640" t="inlineStr"/>
      <c r="S640" t="inlineStr"/>
      <c r="T640" t="inlineStr"/>
    </row>
    <row r="641">
      <c r="A641" t="inlineStr">
        <is>
          <t>CC de Puisaye-Forterre</t>
        </is>
      </c>
      <c r="B641" t="inlineStr">
        <is>
          <t>Communauté de communes</t>
        </is>
      </c>
      <c r="C641" t="inlineStr">
        <is>
          <t>200067130</t>
        </is>
      </c>
      <c r="D641" t="inlineStr">
        <is>
          <t>58, 89</t>
        </is>
      </c>
      <c r="E641" t="inlineStr">
        <is>
          <t>Nièvre, Yonne</t>
        </is>
      </c>
      <c r="F641" t="inlineStr">
        <is>
          <t>Bourgogne-Franche-Comté</t>
        </is>
      </c>
      <c r="G641" s="3" t="n">
        <v>33562</v>
      </c>
      <c r="H641" t="n">
        <v>57</v>
      </c>
      <c r="I641" t="inlineStr">
        <is>
          <t>4 avenue du Général-Leclerc</t>
        </is>
      </c>
      <c r="J641" t="inlineStr">
        <is>
          <t>89170</t>
        </is>
      </c>
      <c r="K641" t="inlineStr">
        <is>
          <t>Saint-Fargeau</t>
        </is>
      </c>
      <c r="L641" t="inlineStr">
        <is>
          <t>03 86 44 23 50</t>
        </is>
      </c>
      <c r="M641" s="4" t="inlineStr">
        <is>
          <t>contact@cc-puisayeforterre.fr</t>
        </is>
      </c>
      <c r="N641" s="4" t="inlineStr">
        <is>
          <t>https://www.puisaye-forterre.com/</t>
        </is>
      </c>
      <c r="O641" t="inlineStr"/>
      <c r="P641" s="4" t="inlineStr">
        <is>
          <t>https://lannuaire.service-public.gouv.fr/bourgogne-franche-comte/yonne/455c3c62-1a45-4707-8b9c-533e18a31108</t>
        </is>
      </c>
      <c r="Q641" t="inlineStr">
        <is>
          <t>Annuaire Service-public.fr</t>
        </is>
      </c>
      <c r="R641" t="inlineStr"/>
      <c r="S641" t="inlineStr"/>
      <c r="T641" t="inlineStr"/>
    </row>
    <row r="642">
      <c r="A642" t="inlineStr">
        <is>
          <t>CC du Nivernais Bourbonnais</t>
        </is>
      </c>
      <c r="B642" t="inlineStr">
        <is>
          <t>Communauté de communes</t>
        </is>
      </c>
      <c r="C642" t="inlineStr">
        <is>
          <t>245804497</t>
        </is>
      </c>
      <c r="D642" t="inlineStr">
        <is>
          <t>58</t>
        </is>
      </c>
      <c r="E642" t="inlineStr">
        <is>
          <t>Nièvre</t>
        </is>
      </c>
      <c r="F642" t="inlineStr">
        <is>
          <t>Bourgogne-Franche-Comté</t>
        </is>
      </c>
      <c r="G642" s="3" t="n">
        <v>5176</v>
      </c>
      <c r="H642" t="n">
        <v>9</v>
      </c>
      <c r="I642" t="inlineStr">
        <is>
          <t>2 rue Lieutenant-Paul-Theurier</t>
        </is>
      </c>
      <c r="J642" t="inlineStr">
        <is>
          <t>58240</t>
        </is>
      </c>
      <c r="K642" t="inlineStr">
        <is>
          <t>Saint-Pierre-le-Moûtier</t>
        </is>
      </c>
      <c r="L642" t="inlineStr">
        <is>
          <t>03 86 90 80 76</t>
        </is>
      </c>
      <c r="M642" s="4" t="inlineStr">
        <is>
          <t>accueilccnb@orange.fr</t>
        </is>
      </c>
      <c r="N642" s="4" t="inlineStr">
        <is>
          <t>https://www.nivernais-bourbonnais.com/</t>
        </is>
      </c>
      <c r="O642" s="4" t="inlineStr">
        <is>
          <t>https://www.nivernais-bourbonnais.com/contact/</t>
        </is>
      </c>
      <c r="P642" s="4" t="inlineStr">
        <is>
          <t>https://lannuaire.service-public.gouv.fr/bourgogne-franche-comte/nievre/be5b7e77-a409-488b-a809-bcd89f4035c9</t>
        </is>
      </c>
      <c r="Q642" t="inlineStr">
        <is>
          <t>Annuaire Service-public.fr</t>
        </is>
      </c>
      <c r="R642" t="inlineStr"/>
      <c r="S642" t="inlineStr"/>
      <c r="T642" t="inlineStr"/>
    </row>
    <row r="643">
      <c r="A643" t="inlineStr">
        <is>
          <t>CC Coeur de l'Avesnois</t>
        </is>
      </c>
      <c r="B643" t="inlineStr">
        <is>
          <t>Communauté de communes</t>
        </is>
      </c>
      <c r="C643" t="inlineStr">
        <is>
          <t>200043263</t>
        </is>
      </c>
      <c r="D643" t="inlineStr">
        <is>
          <t>59</t>
        </is>
      </c>
      <c r="E643" t="inlineStr">
        <is>
          <t>Nord</t>
        </is>
      </c>
      <c r="F643" t="inlineStr">
        <is>
          <t>Hauts-de-France</t>
        </is>
      </c>
      <c r="G643" s="3" t="n">
        <v>28870</v>
      </c>
      <c r="H643" t="n">
        <v>43</v>
      </c>
      <c r="I643" t="inlineStr">
        <is>
          <t>43 rue Cambrésienne</t>
        </is>
      </c>
      <c r="J643" t="inlineStr">
        <is>
          <t>59362</t>
        </is>
      </c>
      <c r="K643" t="inlineStr">
        <is>
          <t>Avesnes-sur-Helpe</t>
        </is>
      </c>
      <c r="L643" t="inlineStr">
        <is>
          <t>03 27 56 11 80</t>
        </is>
      </c>
      <c r="M643" s="4" t="inlineStr">
        <is>
          <t>accueil@coeur-avesnois.fr</t>
        </is>
      </c>
      <c r="N643" s="4" t="inlineStr">
        <is>
          <t>https://www.coeur-avesnois.fr/</t>
        </is>
      </c>
      <c r="O643" s="4" t="inlineStr">
        <is>
          <t>https://www.coeur-avesnois.fr/contact</t>
        </is>
      </c>
      <c r="P643" s="4" t="inlineStr">
        <is>
          <t>https://lannuaire.service-public.gouv.fr/hauts-de-france/nord/ac272ca6-77f2-47c9-8118-7d490c7a2f20</t>
        </is>
      </c>
      <c r="Q643" t="inlineStr">
        <is>
          <t>Annuaire Service-public.fr</t>
        </is>
      </c>
      <c r="R643" t="inlineStr"/>
      <c r="S643" t="inlineStr"/>
      <c r="T643" t="inlineStr"/>
    </row>
    <row r="644">
      <c r="A644" t="inlineStr">
        <is>
          <t>CC Flandre Lys</t>
        </is>
      </c>
      <c r="B644" t="inlineStr">
        <is>
          <t>Communauté de communes</t>
        </is>
      </c>
      <c r="C644" t="inlineStr">
        <is>
          <t>245900758</t>
        </is>
      </c>
      <c r="D644" t="inlineStr">
        <is>
          <t>59, 62</t>
        </is>
      </c>
      <c r="E644" t="inlineStr">
        <is>
          <t>Nord, Pas-de-Calais</t>
        </is>
      </c>
      <c r="F644" t="inlineStr">
        <is>
          <t>Hauts-de-France</t>
        </is>
      </c>
      <c r="G644" s="3" t="n">
        <v>40142</v>
      </c>
      <c r="H644" t="n">
        <v>8</v>
      </c>
      <c r="I644" t="inlineStr">
        <is>
          <t>500 rue de la Lys</t>
        </is>
      </c>
      <c r="J644" t="inlineStr">
        <is>
          <t>59253</t>
        </is>
      </c>
      <c r="K644" t="inlineStr">
        <is>
          <t>La Gorgue</t>
        </is>
      </c>
      <c r="L644" t="inlineStr">
        <is>
          <t>03 28 50 14 90</t>
        </is>
      </c>
      <c r="M644" s="4" t="inlineStr">
        <is>
          <t>contact@cc-flandrelys.fr</t>
        </is>
      </c>
      <c r="N644" s="4" t="inlineStr">
        <is>
          <t>https://www.cc-flandrelys.fr/</t>
        </is>
      </c>
      <c r="O644" s="4" t="inlineStr">
        <is>
          <t>https://www.cc-flandrelys.fr/formulaire-de-contact</t>
        </is>
      </c>
      <c r="P644" s="4" t="inlineStr">
        <is>
          <t>https://lannuaire.service-public.gouv.fr/hauts-de-france/nord/33c65e51-e674-4c01-9b45-19716dd23b2d</t>
        </is>
      </c>
      <c r="Q644" t="inlineStr">
        <is>
          <t>Annuaire Service-public.fr</t>
        </is>
      </c>
      <c r="R644" t="inlineStr"/>
      <c r="S644" t="inlineStr"/>
      <c r="T644" t="inlineStr"/>
    </row>
    <row r="645">
      <c r="A645" t="inlineStr">
        <is>
          <t>CC Pévèle-Carembault</t>
        </is>
      </c>
      <c r="B645" t="inlineStr">
        <is>
          <t>Communauté de communes</t>
        </is>
      </c>
      <c r="C645" t="inlineStr">
        <is>
          <t>200041960</t>
        </is>
      </c>
      <c r="D645" t="inlineStr">
        <is>
          <t>59</t>
        </is>
      </c>
      <c r="E645" t="inlineStr">
        <is>
          <t>Nord</t>
        </is>
      </c>
      <c r="F645" t="inlineStr">
        <is>
          <t>Hauts-de-France</t>
        </is>
      </c>
      <c r="G645" s="3" t="n">
        <v>98918</v>
      </c>
      <c r="H645" t="n">
        <v>38</v>
      </c>
      <c r="I645" t="inlineStr">
        <is>
          <t>47 Avenue du Général de Gaulle</t>
        </is>
      </c>
      <c r="J645" t="inlineStr">
        <is>
          <t>59710</t>
        </is>
      </c>
      <c r="K645" t="inlineStr">
        <is>
          <t>Pont-à-Marcq</t>
        </is>
      </c>
      <c r="L645" t="inlineStr">
        <is>
          <t>03 20 79 20 80</t>
        </is>
      </c>
      <c r="M645" s="4" t="inlineStr">
        <is>
          <t>contact@pevelecarembault.fr</t>
        </is>
      </c>
      <c r="N645" s="4" t="inlineStr">
        <is>
          <t>https://www.pevelecarembault.fr/</t>
        </is>
      </c>
      <c r="O645" s="4" t="inlineStr">
        <is>
          <t>https://demarches.pevelecarembault.fr/user/login?destination=/formulaire/contacter-un-service-de-la-pevel</t>
        </is>
      </c>
      <c r="P645" s="4" t="inlineStr">
        <is>
          <t>https://lannuaire.service-public.gouv.fr/hauts-de-france/nord/d6113487-2ac1-404a-a53e-c0f4b43d075a</t>
        </is>
      </c>
      <c r="Q645" t="inlineStr">
        <is>
          <t>Annuaire Service-public.fr</t>
        </is>
      </c>
      <c r="R645" t="inlineStr"/>
      <c r="S645" t="inlineStr"/>
      <c r="T645" t="inlineStr"/>
    </row>
    <row r="646">
      <c r="A646" t="inlineStr">
        <is>
          <t>CC des Hauts de Flandre</t>
        </is>
      </c>
      <c r="B646" t="inlineStr">
        <is>
          <t>Communauté de communes</t>
        </is>
      </c>
      <c r="C646" t="inlineStr">
        <is>
          <t>200040954</t>
        </is>
      </c>
      <c r="D646" t="inlineStr">
        <is>
          <t>59</t>
        </is>
      </c>
      <c r="E646" t="inlineStr">
        <is>
          <t>Nord</t>
        </is>
      </c>
      <c r="F646" t="inlineStr">
        <is>
          <t>Hauts-de-France</t>
        </is>
      </c>
      <c r="G646" s="3" t="n">
        <v>53525</v>
      </c>
      <c r="H646" t="n">
        <v>40</v>
      </c>
      <c r="I646" t="inlineStr">
        <is>
          <t>468 rue de la Couronne-de-Bierne</t>
        </is>
      </c>
      <c r="J646" t="inlineStr">
        <is>
          <t>59380</t>
        </is>
      </c>
      <c r="K646" t="inlineStr">
        <is>
          <t>Bergues</t>
        </is>
      </c>
      <c r="L646" t="inlineStr">
        <is>
          <t>03 28 29 09 99</t>
        </is>
      </c>
      <c r="M646" s="4" t="inlineStr">
        <is>
          <t>contact@cchf.fr</t>
        </is>
      </c>
      <c r="N646" s="4" t="inlineStr">
        <is>
          <t>https://www.cchf.fr/</t>
        </is>
      </c>
      <c r="O646" s="4" t="inlineStr">
        <is>
          <t>https://www.facebook.com/cchf.fr/</t>
        </is>
      </c>
      <c r="P646" s="4" t="inlineStr">
        <is>
          <t>https://lannuaire.service-public.gouv.fr/hauts-de-france/nord/68860c19-0e63-4a48-959c-74fd133efb9f</t>
        </is>
      </c>
      <c r="Q646" t="inlineStr">
        <is>
          <t>Annuaire Service-public.fr</t>
        </is>
      </c>
      <c r="R646" t="inlineStr"/>
      <c r="S646" t="inlineStr"/>
      <c r="T646" t="inlineStr"/>
    </row>
    <row r="647">
      <c r="A647" t="inlineStr">
        <is>
          <t>CC du Pays Solesmois</t>
        </is>
      </c>
      <c r="B647" t="inlineStr">
        <is>
          <t>Communauté de communes</t>
        </is>
      </c>
      <c r="C647" t="inlineStr">
        <is>
          <t>245901038</t>
        </is>
      </c>
      <c r="D647" t="inlineStr">
        <is>
          <t>59</t>
        </is>
      </c>
      <c r="E647" t="inlineStr">
        <is>
          <t>Nord</t>
        </is>
      </c>
      <c r="F647" t="inlineStr">
        <is>
          <t>Hauts-de-France</t>
        </is>
      </c>
      <c r="G647" s="3" t="n">
        <v>14568</v>
      </c>
      <c r="H647" t="n">
        <v>15</v>
      </c>
      <c r="I647" t="inlineStr">
        <is>
          <t>ZAE du Pigeon-Blanc, CS 60063</t>
        </is>
      </c>
      <c r="J647" t="inlineStr">
        <is>
          <t>59730</t>
        </is>
      </c>
      <c r="K647" t="inlineStr">
        <is>
          <t>Solesmes</t>
        </is>
      </c>
      <c r="L647" t="inlineStr">
        <is>
          <t>03 27 70 74 30</t>
        </is>
      </c>
      <c r="M647" s="4" t="inlineStr">
        <is>
          <t>contact@ccpays-solesmois.fr</t>
        </is>
      </c>
      <c r="N647" s="4" t="inlineStr">
        <is>
          <t>https://www.ccpays-solesmois.fr/</t>
        </is>
      </c>
      <c r="O647" s="4" t="inlineStr">
        <is>
          <t>https://www.ccpays-solesmois.fr/contact-forms/</t>
        </is>
      </c>
      <c r="P647" s="4" t="inlineStr">
        <is>
          <t>https://lannuaire.service-public.gouv.fr/hauts-de-france/nord/b8d35482-1ecd-4814-934d-9d84ed0ad758</t>
        </is>
      </c>
      <c r="Q647" t="inlineStr">
        <is>
          <t>Annuaire Service-public.fr</t>
        </is>
      </c>
      <c r="R647" t="inlineStr"/>
      <c r="S647" t="inlineStr"/>
      <c r="T647" t="inlineStr"/>
    </row>
    <row r="648">
      <c r="A648" t="inlineStr">
        <is>
          <t>CC du Pays de Mormal</t>
        </is>
      </c>
      <c r="B648" t="inlineStr">
        <is>
          <t>Communauté de communes</t>
        </is>
      </c>
      <c r="C648" t="inlineStr">
        <is>
          <t>200043321</t>
        </is>
      </c>
      <c r="D648" t="inlineStr">
        <is>
          <t>59</t>
        </is>
      </c>
      <c r="E648" t="inlineStr">
        <is>
          <t>Nord</t>
        </is>
      </c>
      <c r="F648" t="inlineStr">
        <is>
          <t>Hauts-de-France</t>
        </is>
      </c>
      <c r="G648" s="3" t="n">
        <v>48132</v>
      </c>
      <c r="H648" t="n">
        <v>52</v>
      </c>
      <c r="I648" t="inlineStr">
        <is>
          <t>18 rue Chevray</t>
        </is>
      </c>
      <c r="J648" t="inlineStr">
        <is>
          <t>59530</t>
        </is>
      </c>
      <c r="K648" t="inlineStr">
        <is>
          <t>Le Quesnoy</t>
        </is>
      </c>
      <c r="L648" t="inlineStr">
        <is>
          <t>03 27 09 04 60</t>
        </is>
      </c>
      <c r="M648" s="4" t="inlineStr">
        <is>
          <t>contact@cc-paysdemormal.fr</t>
        </is>
      </c>
      <c r="N648" s="4" t="inlineStr">
        <is>
          <t>https://www.cc-paysdemormal.fr/</t>
        </is>
      </c>
      <c r="O648" s="4" t="inlineStr">
        <is>
          <t>https://www.cc-paysdemormal.fr/nous-contacter/</t>
        </is>
      </c>
      <c r="P648" s="4" t="inlineStr">
        <is>
          <t>https://lannuaire.service-public.gouv.fr/hauts-de-france/nord/0ff65e15-439f-4e26-a457-fe0c7c73bd87</t>
        </is>
      </c>
      <c r="Q648" t="inlineStr">
        <is>
          <t>Annuaire Service-public.fr</t>
        </is>
      </c>
      <c r="R648" t="inlineStr"/>
      <c r="S648" t="inlineStr"/>
      <c r="T648" t="inlineStr"/>
    </row>
    <row r="649">
      <c r="A649" t="inlineStr">
        <is>
          <t>CC du Sud Avesnois</t>
        </is>
      </c>
      <c r="B649" t="inlineStr">
        <is>
          <t>Communauté de communes</t>
        </is>
      </c>
      <c r="C649" t="inlineStr">
        <is>
          <t>200043404</t>
        </is>
      </c>
      <c r="D649" t="inlineStr">
        <is>
          <t>59</t>
        </is>
      </c>
      <c r="E649" t="inlineStr">
        <is>
          <t>Nord</t>
        </is>
      </c>
      <c r="F649" t="inlineStr">
        <is>
          <t>Hauts-de-France</t>
        </is>
      </c>
      <c r="G649" s="3" t="n">
        <v>24414</v>
      </c>
      <c r="H649" t="n">
        <v>12</v>
      </c>
      <c r="I649" t="inlineStr">
        <is>
          <t>2 rue du Général-Raymond-Chaumel</t>
        </is>
      </c>
      <c r="J649" t="inlineStr">
        <is>
          <t>59610</t>
        </is>
      </c>
      <c r="K649" t="inlineStr">
        <is>
          <t>Fourmies</t>
        </is>
      </c>
      <c r="L649" t="inlineStr">
        <is>
          <t>03 27 60 65 24</t>
        </is>
      </c>
      <c r="M649" s="4" t="inlineStr">
        <is>
          <t>contact@cc-sudavesnois.fr</t>
        </is>
      </c>
      <c r="N649" s="4" t="inlineStr">
        <is>
          <t>https://cc-sudavesnois.fr/</t>
        </is>
      </c>
      <c r="O649" s="4" t="inlineStr">
        <is>
          <t>https://cc-sudavesnois.fr/</t>
        </is>
      </c>
      <c r="P649" s="4" t="inlineStr">
        <is>
          <t>https://lannuaire.service-public.gouv.fr/hauts-de-france/nord/d9b3db90-127a-4248-b94b-f073a9d61cba</t>
        </is>
      </c>
      <c r="Q649" t="inlineStr">
        <is>
          <t>Annuaire Service-public.fr</t>
        </is>
      </c>
      <c r="R649" t="inlineStr"/>
      <c r="S649" t="inlineStr"/>
      <c r="T649" t="inlineStr"/>
    </row>
    <row r="650">
      <c r="A650" t="inlineStr">
        <is>
          <t>CC Senlis Sud Oise</t>
        </is>
      </c>
      <c r="B650" t="inlineStr">
        <is>
          <t>Communauté de communes</t>
        </is>
      </c>
      <c r="C650" t="inlineStr">
        <is>
          <t>200066975</t>
        </is>
      </c>
      <c r="D650" t="inlineStr">
        <is>
          <t>60</t>
        </is>
      </c>
      <c r="E650" t="inlineStr">
        <is>
          <t>Oise</t>
        </is>
      </c>
      <c r="F650" t="inlineStr">
        <is>
          <t>Hauts-de-France</t>
        </is>
      </c>
      <c r="G650" s="3" t="n">
        <v>25012</v>
      </c>
      <c r="H650" t="n">
        <v>17</v>
      </c>
      <c r="I650" t="inlineStr">
        <is>
          <t>30 avenue Eugène-Gazeau</t>
        </is>
      </c>
      <c r="J650" t="inlineStr">
        <is>
          <t>60300</t>
        </is>
      </c>
      <c r="K650" t="inlineStr">
        <is>
          <t>Senlis</t>
        </is>
      </c>
      <c r="L650" t="inlineStr">
        <is>
          <t>03 44 99 08 60</t>
        </is>
      </c>
      <c r="M650" s="4" t="inlineStr">
        <is>
          <t>accueil@ccsso.fr</t>
        </is>
      </c>
      <c r="N650" s="4" t="inlineStr">
        <is>
          <t>https://www.ccsso.fr/</t>
        </is>
      </c>
      <c r="O650" s="4" t="inlineStr">
        <is>
          <t>https://www.ccsso.fr/contact</t>
        </is>
      </c>
      <c r="P650" s="4" t="inlineStr">
        <is>
          <t>https://lannuaire.service-public.gouv.fr/hauts-de-france/oise/7562730a-b4b1-466b-a68c-ac949ae32822</t>
        </is>
      </c>
      <c r="Q650" t="inlineStr">
        <is>
          <t>Annuaire Service-public.fr</t>
        </is>
      </c>
      <c r="R650" t="inlineStr"/>
      <c r="S650" t="inlineStr"/>
      <c r="T650" t="inlineStr"/>
    </row>
    <row r="651">
      <c r="A651" t="inlineStr">
        <is>
          <t>CC Thelloise</t>
        </is>
      </c>
      <c r="B651" t="inlineStr">
        <is>
          <t>Communauté de communes</t>
        </is>
      </c>
      <c r="C651" t="inlineStr">
        <is>
          <t>200067973</t>
        </is>
      </c>
      <c r="D651" t="inlineStr">
        <is>
          <t>60</t>
        </is>
      </c>
      <c r="E651" t="inlineStr">
        <is>
          <t>Oise</t>
        </is>
      </c>
      <c r="F651" t="inlineStr">
        <is>
          <t>Hauts-de-France</t>
        </is>
      </c>
      <c r="G651" s="3" t="n">
        <v>61730</v>
      </c>
      <c r="H651" t="n">
        <v>41</v>
      </c>
      <c r="I651" t="inlineStr">
        <is>
          <t>7 avenue de l'Europe</t>
        </is>
      </c>
      <c r="J651" t="inlineStr">
        <is>
          <t>60530</t>
        </is>
      </c>
      <c r="K651" t="inlineStr">
        <is>
          <t>Neuilly-en-Thelle</t>
        </is>
      </c>
      <c r="L651" t="inlineStr">
        <is>
          <t>03 44 26 99 50</t>
        </is>
      </c>
      <c r="M651" s="4" t="inlineStr">
        <is>
          <t>contact@thelloise.fr</t>
        </is>
      </c>
      <c r="N651" s="4" t="inlineStr">
        <is>
          <t>https://www.thelloise.fr/</t>
        </is>
      </c>
      <c r="O651" s="4" t="inlineStr">
        <is>
          <t>https://www.thelloise.fr/contact-general#sp-main-body</t>
        </is>
      </c>
      <c r="P651" s="4" t="inlineStr">
        <is>
          <t>https://lannuaire.service-public.gouv.fr/hauts-de-france/oise/c2db65b0-ce21-46cc-a21d-8c2b903ac8d4</t>
        </is>
      </c>
      <c r="Q651" t="inlineStr">
        <is>
          <t>Annuaire Service-public.fr</t>
        </is>
      </c>
      <c r="R651" t="inlineStr"/>
      <c r="S651" t="inlineStr"/>
      <c r="T651" t="inlineStr"/>
    </row>
    <row r="652">
      <c r="A652" t="inlineStr">
        <is>
          <t>CC de l'Aire Cantilienne</t>
        </is>
      </c>
      <c r="B652" t="inlineStr">
        <is>
          <t>Communauté de communes</t>
        </is>
      </c>
      <c r="C652" t="inlineStr">
        <is>
          <t>246000764</t>
        </is>
      </c>
      <c r="D652" t="inlineStr">
        <is>
          <t>60</t>
        </is>
      </c>
      <c r="E652" t="inlineStr">
        <is>
          <t>Oise</t>
        </is>
      </c>
      <c r="F652" t="inlineStr">
        <is>
          <t>Hauts-de-France</t>
        </is>
      </c>
      <c r="G652" s="3" t="n">
        <v>44820</v>
      </c>
      <c r="H652" t="n">
        <v>11</v>
      </c>
      <c r="I652" t="inlineStr">
        <is>
          <t>17 bis rue Guilleminot</t>
        </is>
      </c>
      <c r="J652" t="inlineStr">
        <is>
          <t>60500</t>
        </is>
      </c>
      <c r="K652" t="inlineStr">
        <is>
          <t>Chantilly</t>
        </is>
      </c>
      <c r="L652" t="inlineStr">
        <is>
          <t>03 44 62 46 60</t>
        </is>
      </c>
      <c r="M652" s="4" t="inlineStr">
        <is>
          <t>contact@ccac.fr</t>
        </is>
      </c>
      <c r="N652" s="4" t="inlineStr">
        <is>
          <t>https://www.ccac.fr/</t>
        </is>
      </c>
      <c r="O652" s="4" t="inlineStr">
        <is>
          <t>https://www.ccac.fr/nous-contacter/</t>
        </is>
      </c>
      <c r="P652" s="4" t="inlineStr">
        <is>
          <t>https://lannuaire.service-public.gouv.fr/hauts-de-france/oise/5e6f1785-ff26-4783-94c3-bca4a970c690</t>
        </is>
      </c>
      <c r="Q652" t="inlineStr">
        <is>
          <t>Annuaire Service-public.fr</t>
        </is>
      </c>
      <c r="R652" t="inlineStr"/>
      <c r="S652" t="inlineStr"/>
      <c r="T652" t="inlineStr"/>
    </row>
    <row r="653">
      <c r="A653" t="inlineStr">
        <is>
          <t>CC de l'Oise Picarde</t>
        </is>
      </c>
      <c r="B653" t="inlineStr">
        <is>
          <t>Communauté de communes</t>
        </is>
      </c>
      <c r="C653" t="inlineStr">
        <is>
          <t>200068005</t>
        </is>
      </c>
      <c r="D653" t="inlineStr">
        <is>
          <t>60</t>
        </is>
      </c>
      <c r="E653" t="inlineStr">
        <is>
          <t>Oise</t>
        </is>
      </c>
      <c r="F653" t="inlineStr">
        <is>
          <t>Hauts-de-France</t>
        </is>
      </c>
      <c r="G653" s="3" t="n">
        <v>20939</v>
      </c>
      <c r="H653" t="n">
        <v>52</v>
      </c>
      <c r="I653" t="inlineStr">
        <is>
          <t>5 rue Tassart</t>
        </is>
      </c>
      <c r="J653" t="inlineStr">
        <is>
          <t>60120</t>
        </is>
      </c>
      <c r="K653" t="inlineStr">
        <is>
          <t>Breteuil-sur-Noye</t>
        </is>
      </c>
      <c r="L653" t="inlineStr">
        <is>
          <t>03 44 80 84 01</t>
        </is>
      </c>
      <c r="M653" s="4" t="inlineStr">
        <is>
          <t>contact@cc-oisepicarde.fr</t>
        </is>
      </c>
      <c r="N653" s="4" t="inlineStr">
        <is>
          <t>https://cc-oisepicarde.fr/fr/</t>
        </is>
      </c>
      <c r="O653" s="4" t="inlineStr">
        <is>
          <t>https://www.facebook.com/ccoisepicarde/</t>
        </is>
      </c>
      <c r="P653" s="4" t="inlineStr">
        <is>
          <t>https://lannuaire.service-public.gouv.fr/hauts-de-france/oise/b86c6d6f-c564-486f-8cd8-9b7b94f271b7</t>
        </is>
      </c>
      <c r="Q653" t="inlineStr">
        <is>
          <t>Annuaire Service-public.fr</t>
        </is>
      </c>
      <c r="R653" t="inlineStr"/>
      <c r="S653" t="inlineStr"/>
      <c r="T653" t="inlineStr"/>
    </row>
    <row r="654">
      <c r="A654" t="inlineStr">
        <is>
          <t>CC de la Picardie Verte</t>
        </is>
      </c>
      <c r="B654" t="inlineStr">
        <is>
          <t>Communauté de communes</t>
        </is>
      </c>
      <c r="C654" t="inlineStr">
        <is>
          <t>246000848</t>
        </is>
      </c>
      <c r="D654" t="inlineStr">
        <is>
          <t>60</t>
        </is>
      </c>
      <c r="E654" t="inlineStr">
        <is>
          <t>Oise</t>
        </is>
      </c>
      <c r="F654" t="inlineStr">
        <is>
          <t>Hauts-de-France</t>
        </is>
      </c>
      <c r="G654" s="3" t="n">
        <v>32134</v>
      </c>
      <c r="H654" t="n">
        <v>88</v>
      </c>
      <c r="I654" t="inlineStr">
        <is>
          <t>3 rue de Grumesnil</t>
        </is>
      </c>
      <c r="J654" t="inlineStr">
        <is>
          <t>60220</t>
        </is>
      </c>
      <c r="K654" t="inlineStr">
        <is>
          <t>Formerie</t>
        </is>
      </c>
      <c r="L654" t="inlineStr">
        <is>
          <t>03 44 04 53 90</t>
        </is>
      </c>
      <c r="M654" s="4" t="inlineStr">
        <is>
          <t>ccpv@ccpv.fr</t>
        </is>
      </c>
      <c r="N654" s="4" t="inlineStr">
        <is>
          <t>https://www.picardieverte.com</t>
        </is>
      </c>
      <c r="O654" t="inlineStr"/>
      <c r="P654" s="4" t="inlineStr">
        <is>
          <t>https://lannuaire.service-public.gouv.fr/hauts-de-france/oise/31d99002-a90d-44b8-a1c6-e1e80ab15561</t>
        </is>
      </c>
      <c r="Q654" t="inlineStr">
        <is>
          <t>Annuaire Service-public.fr</t>
        </is>
      </c>
      <c r="R654" t="inlineStr"/>
      <c r="S654" t="inlineStr"/>
      <c r="T654" t="inlineStr"/>
    </row>
    <row r="655">
      <c r="A655" t="inlineStr">
        <is>
          <t>CC de la Plaine d'Estrées</t>
        </is>
      </c>
      <c r="B655" t="inlineStr">
        <is>
          <t>Communauté de communes</t>
        </is>
      </c>
      <c r="C655" t="inlineStr">
        <is>
          <t>246000897</t>
        </is>
      </c>
      <c r="D655" t="inlineStr">
        <is>
          <t>60</t>
        </is>
      </c>
      <c r="E655" t="inlineStr">
        <is>
          <t>Oise</t>
        </is>
      </c>
      <c r="F655" t="inlineStr">
        <is>
          <t>Hauts-de-France</t>
        </is>
      </c>
      <c r="G655" s="3" t="n">
        <v>18167</v>
      </c>
      <c r="H655" t="n">
        <v>19</v>
      </c>
      <c r="I655" t="inlineStr">
        <is>
          <t>1 rue de la Plaine</t>
        </is>
      </c>
      <c r="J655" t="inlineStr">
        <is>
          <t>60190</t>
        </is>
      </c>
      <c r="K655" t="inlineStr">
        <is>
          <t>Estrées-Saint-Denis</t>
        </is>
      </c>
      <c r="L655" t="inlineStr">
        <is>
          <t>03 44 41 31 43</t>
        </is>
      </c>
      <c r="M655" s="4" t="inlineStr">
        <is>
          <t>contact@cc-pe.fr</t>
        </is>
      </c>
      <c r="N655" s="4" t="inlineStr">
        <is>
          <t>https://www.ccplaine-estrees.com/</t>
        </is>
      </c>
      <c r="O655" s="4" t="inlineStr">
        <is>
          <t>https://www.ccplaine-estrees.com/nous-contacter/</t>
        </is>
      </c>
      <c r="P655" s="4" t="inlineStr">
        <is>
          <t>https://lannuaire.service-public.gouv.fr/hauts-de-france/oise/3275e90b-ba7c-4b26-b4e8-c7a155b2fa52</t>
        </is>
      </c>
      <c r="Q655" t="inlineStr">
        <is>
          <t>Annuaire Service-public.fr</t>
        </is>
      </c>
      <c r="R655" t="inlineStr"/>
      <c r="S655" t="inlineStr"/>
      <c r="T655" t="inlineStr"/>
    </row>
    <row r="656">
      <c r="A656" t="inlineStr">
        <is>
          <t>CC des Deux Vallées</t>
        </is>
      </c>
      <c r="B656" t="inlineStr">
        <is>
          <t>Communauté de communes</t>
        </is>
      </c>
      <c r="C656" t="inlineStr">
        <is>
          <t>246000772</t>
        </is>
      </c>
      <c r="D656" t="inlineStr">
        <is>
          <t>60</t>
        </is>
      </c>
      <c r="E656" t="inlineStr">
        <is>
          <t>Oise</t>
        </is>
      </c>
      <c r="F656" t="inlineStr">
        <is>
          <t>Hauts-de-France</t>
        </is>
      </c>
      <c r="G656" s="3" t="n">
        <v>22569</v>
      </c>
      <c r="H656" t="n">
        <v>16</v>
      </c>
      <c r="I656" t="inlineStr">
        <is>
          <t>9 rue du Maréchal-Juin</t>
        </is>
      </c>
      <c r="J656" t="inlineStr">
        <is>
          <t>60150</t>
        </is>
      </c>
      <c r="K656" t="inlineStr">
        <is>
          <t>Thourotte</t>
        </is>
      </c>
      <c r="L656" t="inlineStr">
        <is>
          <t>03 44 96 31 00</t>
        </is>
      </c>
      <c r="M656" s="4" t="inlineStr">
        <is>
          <t>contact@cc2v.fr</t>
        </is>
      </c>
      <c r="N656" s="4" t="inlineStr">
        <is>
          <t>https://www.deuxvallees.fr/</t>
        </is>
      </c>
      <c r="O656" s="4" t="inlineStr">
        <is>
          <t>https://www.deuxvallees.fr/contact</t>
        </is>
      </c>
      <c r="P656" s="4" t="inlineStr">
        <is>
          <t>https://lannuaire.service-public.gouv.fr/hauts-de-france/oise/ae90e5d4-5a57-467c-967f-9398aa76270b</t>
        </is>
      </c>
      <c r="Q656" t="inlineStr">
        <is>
          <t>Annuaire Service-public.fr</t>
        </is>
      </c>
      <c r="R656" t="inlineStr"/>
      <c r="S656" t="inlineStr"/>
      <c r="T656" t="inlineStr"/>
    </row>
    <row r="657">
      <c r="A657" t="inlineStr">
        <is>
          <t>CC des Lisières de l'Oise</t>
        </is>
      </c>
      <c r="B657" t="inlineStr">
        <is>
          <t>Communauté de communes</t>
        </is>
      </c>
      <c r="C657" t="inlineStr">
        <is>
          <t>246000749</t>
        </is>
      </c>
      <c r="D657" t="inlineStr">
        <is>
          <t>60</t>
        </is>
      </c>
      <c r="E657" t="inlineStr">
        <is>
          <t>Oise</t>
        </is>
      </c>
      <c r="F657" t="inlineStr">
        <is>
          <t>Hauts-de-France</t>
        </is>
      </c>
      <c r="G657" s="3" t="n">
        <v>15940</v>
      </c>
      <c r="H657" t="n">
        <v>20</v>
      </c>
      <c r="I657" t="inlineStr">
        <is>
          <t>4 voie Industrielle, ZI Les Surcens</t>
        </is>
      </c>
      <c r="J657" t="inlineStr">
        <is>
          <t>60350</t>
        </is>
      </c>
      <c r="K657" t="inlineStr">
        <is>
          <t>Attichy</t>
        </is>
      </c>
      <c r="L657" t="inlineStr">
        <is>
          <t>03 44 42 72 25</t>
        </is>
      </c>
      <c r="M657" s="4" t="inlineStr">
        <is>
          <t>contact@ccloise.com</t>
        </is>
      </c>
      <c r="N657" s="4" t="inlineStr">
        <is>
          <t>https://ccloise.com/</t>
        </is>
      </c>
      <c r="O657" s="4" t="inlineStr">
        <is>
          <t>https://ccloise.com/contacts/formulaire-de-demande/</t>
        </is>
      </c>
      <c r="P657" s="4" t="inlineStr">
        <is>
          <t>https://lannuaire.service-public.gouv.fr/hauts-de-france/oise/1c21fc62-913a-4a0a-bef7-1cf4c45a9a15</t>
        </is>
      </c>
      <c r="Q657" t="inlineStr">
        <is>
          <t>Annuaire Service-public.fr</t>
        </is>
      </c>
      <c r="R657" t="inlineStr"/>
      <c r="S657" t="inlineStr"/>
      <c r="T657" t="inlineStr"/>
    </row>
    <row r="658">
      <c r="A658" t="inlineStr">
        <is>
          <t>CC des Pays d'Oise et d'Halatte</t>
        </is>
      </c>
      <c r="B658" t="inlineStr">
        <is>
          <t>Communauté de communes</t>
        </is>
      </c>
      <c r="C658" t="inlineStr">
        <is>
          <t>246000921</t>
        </is>
      </c>
      <c r="D658" t="inlineStr">
        <is>
          <t>60</t>
        </is>
      </c>
      <c r="E658" t="inlineStr">
        <is>
          <t>Oise</t>
        </is>
      </c>
      <c r="F658" t="inlineStr">
        <is>
          <t>Hauts-de-France</t>
        </is>
      </c>
      <c r="G658" s="3" t="n">
        <v>34438</v>
      </c>
      <c r="H658" t="n">
        <v>17</v>
      </c>
      <c r="I658" t="inlineStr">
        <is>
          <t>1 rue d'Halatte</t>
        </is>
      </c>
      <c r="J658" t="inlineStr">
        <is>
          <t>60700</t>
        </is>
      </c>
      <c r="K658" t="inlineStr">
        <is>
          <t>Pont-Sainte-Maxence</t>
        </is>
      </c>
      <c r="L658" t="inlineStr">
        <is>
          <t>03 44 70 04 01</t>
        </is>
      </c>
      <c r="M658" s="4" t="inlineStr">
        <is>
          <t>secretariat@ccpoh.fr</t>
        </is>
      </c>
      <c r="N658" s="4" t="inlineStr">
        <is>
          <t>https://www.ccpoh.fr/</t>
        </is>
      </c>
      <c r="O658" s="4" t="inlineStr">
        <is>
          <t>https://www.ccpoh.fr/informations-pratiques/contact</t>
        </is>
      </c>
      <c r="P658" s="4" t="inlineStr">
        <is>
          <t>https://lannuaire.service-public.gouv.fr/hauts-de-france/oise/ff90b36d-f513-49b0-8733-ce2bdb3b9785</t>
        </is>
      </c>
      <c r="Q658" t="inlineStr">
        <is>
          <t>Annuaire Service-public.fr</t>
        </is>
      </c>
      <c r="R658" t="inlineStr"/>
      <c r="S658" t="inlineStr"/>
      <c r="T658" t="inlineStr"/>
    </row>
    <row r="659">
      <c r="A659" t="inlineStr">
        <is>
          <t>CC des Sablons</t>
        </is>
      </c>
      <c r="B659" t="inlineStr">
        <is>
          <t>Communauté de communes</t>
        </is>
      </c>
      <c r="C659" t="inlineStr">
        <is>
          <t>246000582</t>
        </is>
      </c>
      <c r="D659" t="inlineStr">
        <is>
          <t>60</t>
        </is>
      </c>
      <c r="E659" t="inlineStr">
        <is>
          <t>Oise</t>
        </is>
      </c>
      <c r="F659" t="inlineStr">
        <is>
          <t>Hauts-de-France</t>
        </is>
      </c>
      <c r="G659" s="3" t="n">
        <v>38502</v>
      </c>
      <c r="H659" t="n">
        <v>21</v>
      </c>
      <c r="I659" t="inlineStr">
        <is>
          <t>2 rue de Méru</t>
        </is>
      </c>
      <c r="J659" t="inlineStr">
        <is>
          <t>60175</t>
        </is>
      </c>
      <c r="K659" t="inlineStr">
        <is>
          <t>Villeneuve-les-Sablons</t>
        </is>
      </c>
      <c r="L659" t="inlineStr">
        <is>
          <t>03 44 22 01 60</t>
        </is>
      </c>
      <c r="M659" s="4" t="inlineStr">
        <is>
          <t>contact@cc-sablons.fr</t>
        </is>
      </c>
      <c r="N659" s="4" t="inlineStr">
        <is>
          <t>https://cc-sablons.com/</t>
        </is>
      </c>
      <c r="O659" t="inlineStr"/>
      <c r="P659" s="4" t="inlineStr">
        <is>
          <t>https://lannuaire.service-public.gouv.fr/hauts-de-france/oise/1874b9dc-c3b6-4552-9926-54d9ee6c6db5</t>
        </is>
      </c>
      <c r="Q659" t="inlineStr">
        <is>
          <t>Annuaire Service-public.fr</t>
        </is>
      </c>
      <c r="R659" t="inlineStr"/>
      <c r="S659" t="inlineStr"/>
      <c r="T659" t="inlineStr"/>
    </row>
    <row r="660">
      <c r="A660" t="inlineStr">
        <is>
          <t>CC du Clermontois</t>
        </is>
      </c>
      <c r="B660" t="inlineStr">
        <is>
          <t>Communauté de communes</t>
        </is>
      </c>
      <c r="C660" t="inlineStr">
        <is>
          <t>246000376</t>
        </is>
      </c>
      <c r="D660" t="inlineStr">
        <is>
          <t>60</t>
        </is>
      </c>
      <c r="E660" t="inlineStr">
        <is>
          <t>Oise</t>
        </is>
      </c>
      <c r="F660" t="inlineStr">
        <is>
          <t>Hauts-de-France</t>
        </is>
      </c>
      <c r="G660" s="3" t="n">
        <v>37784</v>
      </c>
      <c r="H660" t="n">
        <v>18</v>
      </c>
      <c r="I660" t="inlineStr">
        <is>
          <t>9 rue Henri-Breuil</t>
        </is>
      </c>
      <c r="J660" t="inlineStr">
        <is>
          <t>60600</t>
        </is>
      </c>
      <c r="K660" t="inlineStr">
        <is>
          <t>Clermont</t>
        </is>
      </c>
      <c r="L660" t="inlineStr">
        <is>
          <t>03 44 50 85 00</t>
        </is>
      </c>
      <c r="M660" s="4" t="inlineStr">
        <is>
          <t>accueil@pays-clermontois.fr</t>
        </is>
      </c>
      <c r="N660" s="4" t="inlineStr">
        <is>
          <t>https://pays-clermontois.fr/</t>
        </is>
      </c>
      <c r="O660" s="4" t="inlineStr">
        <is>
          <t>https://pays-clermontois.fr/nous-contacter/</t>
        </is>
      </c>
      <c r="P660" s="4" t="inlineStr">
        <is>
          <t>https://lannuaire.service-public.gouv.fr/hauts-de-france/oise/b55df963-8412-458e-bc22-a47934ede6d0</t>
        </is>
      </c>
      <c r="Q660" t="inlineStr">
        <is>
          <t>Annuaire Service-public.fr</t>
        </is>
      </c>
      <c r="R660" t="inlineStr"/>
      <c r="S660" t="inlineStr"/>
      <c r="T660" t="inlineStr"/>
    </row>
    <row r="661">
      <c r="A661" t="inlineStr">
        <is>
          <t>CC du Liancourtois</t>
        </is>
      </c>
      <c r="B661" t="inlineStr">
        <is>
          <t>Communauté de communes</t>
        </is>
      </c>
      <c r="C661" t="inlineStr">
        <is>
          <t>246000129</t>
        </is>
      </c>
      <c r="D661" t="inlineStr">
        <is>
          <t>60</t>
        </is>
      </c>
      <c r="E661" t="inlineStr">
        <is>
          <t>Oise</t>
        </is>
      </c>
      <c r="F661" t="inlineStr">
        <is>
          <t>Hauts-de-France</t>
        </is>
      </c>
      <c r="G661" s="3" t="n">
        <v>23878</v>
      </c>
      <c r="H661" t="n">
        <v>10</v>
      </c>
      <c r="I661" t="inlineStr">
        <is>
          <t>1 rue de Nogent</t>
        </is>
      </c>
      <c r="J661" t="inlineStr">
        <is>
          <t>60290</t>
        </is>
      </c>
      <c r="K661" t="inlineStr">
        <is>
          <t>Laigneville</t>
        </is>
      </c>
      <c r="L661" t="inlineStr">
        <is>
          <t>03 44 73 89 10</t>
        </is>
      </c>
      <c r="M661" s="4" t="inlineStr">
        <is>
          <t>contact@ccl-valleedoree.fr</t>
        </is>
      </c>
      <c r="N661" s="4" t="inlineStr">
        <is>
          <t>https://www.ccl-valleedoree.fr/</t>
        </is>
      </c>
      <c r="O661" s="4" t="inlineStr">
        <is>
          <t>https://www.ccl-valleedoree.fr/nous-contacter</t>
        </is>
      </c>
      <c r="P661" s="4" t="inlineStr">
        <is>
          <t>https://lannuaire.service-public.gouv.fr/hauts-de-france/oise/a385ab00-2dec-4154-a21e-a696d195fdc7</t>
        </is>
      </c>
      <c r="Q661" t="inlineStr">
        <is>
          <t>Annuaire Service-public.fr</t>
        </is>
      </c>
      <c r="R661" t="inlineStr"/>
      <c r="S661" t="inlineStr"/>
      <c r="T661" t="inlineStr"/>
    </row>
    <row r="662">
      <c r="A662" t="inlineStr">
        <is>
          <t>CC du Pays Noyonnais</t>
        </is>
      </c>
      <c r="B662" t="inlineStr">
        <is>
          <t>Communauté de communes</t>
        </is>
      </c>
      <c r="C662" t="inlineStr">
        <is>
          <t>246000756</t>
        </is>
      </c>
      <c r="D662" t="inlineStr">
        <is>
          <t>60</t>
        </is>
      </c>
      <c r="E662" t="inlineStr">
        <is>
          <t>Oise</t>
        </is>
      </c>
      <c r="F662" t="inlineStr">
        <is>
          <t>Hauts-de-France</t>
        </is>
      </c>
      <c r="G662" s="3" t="n">
        <v>31879</v>
      </c>
      <c r="H662" t="n">
        <v>42</v>
      </c>
      <c r="I662" t="inlineStr">
        <is>
          <t>Espace Inovia, Bâtiment 9, 1435 boulevard Cambronne</t>
        </is>
      </c>
      <c r="J662" t="inlineStr">
        <is>
          <t>60400</t>
        </is>
      </c>
      <c r="K662" t="inlineStr">
        <is>
          <t>Noyon</t>
        </is>
      </c>
      <c r="L662" t="inlineStr">
        <is>
          <t>03 44 09 60 40</t>
        </is>
      </c>
      <c r="M662" s="4" t="inlineStr">
        <is>
          <t>courrier@paysnoyonnais.fr</t>
        </is>
      </c>
      <c r="N662" s="4" t="inlineStr">
        <is>
          <t>https://www.paysnoyonnais.fr/</t>
        </is>
      </c>
      <c r="O662" s="4" t="inlineStr">
        <is>
          <t>https://www.paysnoyonnais.fr/Contactez-nous.html</t>
        </is>
      </c>
      <c r="P662" s="4" t="inlineStr">
        <is>
          <t>https://lannuaire.service-public.gouv.fr/hauts-de-france/oise/666ac10a-2d02-4fcf-9060-65c0df850a13</t>
        </is>
      </c>
      <c r="Q662" t="inlineStr">
        <is>
          <t>Annuaire Service-public.fr</t>
        </is>
      </c>
      <c r="R662" t="inlineStr"/>
      <c r="S662" t="inlineStr"/>
      <c r="T662" t="inlineStr"/>
    </row>
    <row r="663">
      <c r="A663" t="inlineStr">
        <is>
          <t>CC du Pays de Bray</t>
        </is>
      </c>
      <c r="B663" t="inlineStr">
        <is>
          <t>Communauté de communes</t>
        </is>
      </c>
      <c r="C663" t="inlineStr">
        <is>
          <t>246000913</t>
        </is>
      </c>
      <c r="D663" t="inlineStr">
        <is>
          <t>60</t>
        </is>
      </c>
      <c r="E663" t="inlineStr">
        <is>
          <t>Oise</t>
        </is>
      </c>
      <c r="F663" t="inlineStr">
        <is>
          <t>Hauts-de-France</t>
        </is>
      </c>
      <c r="G663" s="3" t="n">
        <v>18144</v>
      </c>
      <c r="H663" t="n">
        <v>23</v>
      </c>
      <c r="I663" t="inlineStr">
        <is>
          <t>2 rue d'Hodenc</t>
        </is>
      </c>
      <c r="J663" t="inlineStr">
        <is>
          <t>60650</t>
        </is>
      </c>
      <c r="K663" t="inlineStr">
        <is>
          <t>Lachapelle-aux-Pots</t>
        </is>
      </c>
      <c r="L663" t="inlineStr">
        <is>
          <t>03 44 81 35 20</t>
        </is>
      </c>
      <c r="M663" s="4" t="inlineStr">
        <is>
          <t>contact@cc-paysdebray.fr</t>
        </is>
      </c>
      <c r="N663" s="4" t="inlineStr">
        <is>
          <t>https://cc-paysdebray.com/</t>
        </is>
      </c>
      <c r="O663" s="4" t="inlineStr">
        <is>
          <t>https://cc-paysdebray.com/contact</t>
        </is>
      </c>
      <c r="P663" s="4" t="inlineStr">
        <is>
          <t>https://lannuaire.service-public.gouv.fr/hauts-de-france/oise/b88f5193-ba6e-4354-86e4-18bb93181bb6</t>
        </is>
      </c>
      <c r="Q663" t="inlineStr">
        <is>
          <t>Annuaire Service-public.fr</t>
        </is>
      </c>
      <c r="R663" t="inlineStr"/>
      <c r="S663" t="inlineStr"/>
      <c r="T663" t="inlineStr"/>
    </row>
    <row r="664">
      <c r="A664" t="inlineStr">
        <is>
          <t>CC du Pays de Valois</t>
        </is>
      </c>
      <c r="B664" t="inlineStr">
        <is>
          <t>Communauté de communes</t>
        </is>
      </c>
      <c r="C664" t="inlineStr">
        <is>
          <t>246000871</t>
        </is>
      </c>
      <c r="D664" t="inlineStr">
        <is>
          <t>60</t>
        </is>
      </c>
      <c r="E664" t="inlineStr">
        <is>
          <t>Oise</t>
        </is>
      </c>
      <c r="F664" t="inlineStr">
        <is>
          <t>Hauts-de-France</t>
        </is>
      </c>
      <c r="G664" s="3" t="n">
        <v>55394</v>
      </c>
      <c r="H664" t="n">
        <v>62</v>
      </c>
      <c r="I664" t="inlineStr">
        <is>
          <t>62 rue de Soissons</t>
        </is>
      </c>
      <c r="J664" t="inlineStr">
        <is>
          <t>60800</t>
        </is>
      </c>
      <c r="K664" t="inlineStr">
        <is>
          <t>Crépy-en-Valois</t>
        </is>
      </c>
      <c r="L664" t="inlineStr">
        <is>
          <t>03 44 88 05 09</t>
        </is>
      </c>
      <c r="M664" s="4" t="inlineStr">
        <is>
          <t>info@cc-paysdevalois.fr</t>
        </is>
      </c>
      <c r="N664" s="4" t="inlineStr">
        <is>
          <t>https://www.cc-paysdevalois.fr/</t>
        </is>
      </c>
      <c r="O664" t="inlineStr"/>
      <c r="P664" s="4" t="inlineStr">
        <is>
          <t>https://lannuaire.service-public.gouv.fr/hauts-de-france/oise/0f4e5bc8-96c2-4faa-a8b6-6b07baaf3bd6</t>
        </is>
      </c>
      <c r="Q664" t="inlineStr">
        <is>
          <t>Annuaire Service-public.fr</t>
        </is>
      </c>
      <c r="R664" t="inlineStr"/>
      <c r="S664" t="inlineStr"/>
      <c r="T664" t="inlineStr"/>
    </row>
    <row r="665">
      <c r="A665" t="inlineStr">
        <is>
          <t>CC du Pays des Sources</t>
        </is>
      </c>
      <c r="B665" t="inlineStr">
        <is>
          <t>Communauté de communes</t>
        </is>
      </c>
      <c r="C665" t="inlineStr">
        <is>
          <t>246000855</t>
        </is>
      </c>
      <c r="D665" t="inlineStr">
        <is>
          <t>60</t>
        </is>
      </c>
      <c r="E665" t="inlineStr">
        <is>
          <t>Oise</t>
        </is>
      </c>
      <c r="F665" t="inlineStr">
        <is>
          <t>Hauts-de-France</t>
        </is>
      </c>
      <c r="G665" s="3" t="n">
        <v>22141</v>
      </c>
      <c r="H665" t="n">
        <v>48</v>
      </c>
      <c r="I665" t="inlineStr">
        <is>
          <t>408 rue Georges-Latapie</t>
        </is>
      </c>
      <c r="J665" t="inlineStr">
        <is>
          <t>60490</t>
        </is>
      </c>
      <c r="K665" t="inlineStr">
        <is>
          <t>Ressons-sur-Matz</t>
        </is>
      </c>
      <c r="L665" t="inlineStr">
        <is>
          <t>03 44 43 09 57</t>
        </is>
      </c>
      <c r="M665" s="4" t="inlineStr">
        <is>
          <t>contact@cc-pays-sources.org</t>
        </is>
      </c>
      <c r="N665" s="4" t="inlineStr">
        <is>
          <t>https://www.cc-pays-sources.fr/</t>
        </is>
      </c>
      <c r="O665" s="4" t="inlineStr">
        <is>
          <t>https://www.cc-pays-sources.fr/le-pays-des-sources/nous-contacter/</t>
        </is>
      </c>
      <c r="P665" s="4" t="inlineStr">
        <is>
          <t>https://lannuaire.service-public.gouv.fr/hauts-de-france/oise/a0a0a649-6b70-4e9a-9fc9-8097c3610b1e</t>
        </is>
      </c>
      <c r="Q665" t="inlineStr">
        <is>
          <t>Annuaire Service-public.fr</t>
        </is>
      </c>
      <c r="R665" t="inlineStr"/>
      <c r="S665" t="inlineStr"/>
      <c r="T665" t="inlineStr"/>
    </row>
    <row r="666">
      <c r="A666" t="inlineStr">
        <is>
          <t>CC du Plateau Picard</t>
        </is>
      </c>
      <c r="B666" t="inlineStr">
        <is>
          <t>Communauté de communes</t>
        </is>
      </c>
      <c r="C666" t="inlineStr">
        <is>
          <t>246000566</t>
        </is>
      </c>
      <c r="D666" t="inlineStr">
        <is>
          <t>60</t>
        </is>
      </c>
      <c r="E666" t="inlineStr">
        <is>
          <t>Oise</t>
        </is>
      </c>
      <c r="F666" t="inlineStr">
        <is>
          <t>Hauts-de-France</t>
        </is>
      </c>
      <c r="G666" s="3" t="n">
        <v>29684</v>
      </c>
      <c r="H666" t="n">
        <v>52</v>
      </c>
      <c r="I666" t="inlineStr">
        <is>
          <t>Espace de Baynast, 140 rue Verte</t>
        </is>
      </c>
      <c r="J666" t="inlineStr">
        <is>
          <t>60130</t>
        </is>
      </c>
      <c r="K666" t="inlineStr">
        <is>
          <t>Le Plessier-sur-Saint-Just</t>
        </is>
      </c>
      <c r="L666" t="inlineStr">
        <is>
          <t>03 44 78 70 02</t>
        </is>
      </c>
      <c r="M666" s="4" t="inlineStr">
        <is>
          <t>accueil@cc-plateaupicard.fr</t>
        </is>
      </c>
      <c r="N666" s="4" t="inlineStr">
        <is>
          <t>https://www.plateaupicard.fr/</t>
        </is>
      </c>
      <c r="O666" s="4" t="inlineStr">
        <is>
          <t>https://www.plateaupicard.fr/formulaire-de-contact</t>
        </is>
      </c>
      <c r="P666" s="4" t="inlineStr">
        <is>
          <t>https://lannuaire.service-public.gouv.fr/hauts-de-france/oise/c119919a-73fe-45be-8f04-2b78cb6d20f7</t>
        </is>
      </c>
      <c r="Q666" t="inlineStr">
        <is>
          <t>Annuaire Service-public.fr</t>
        </is>
      </c>
      <c r="R666" t="inlineStr"/>
      <c r="S666" t="inlineStr"/>
      <c r="T666" t="inlineStr"/>
    </row>
    <row r="667">
      <c r="A667" t="inlineStr">
        <is>
          <t>CC du Vexin-Thelle</t>
        </is>
      </c>
      <c r="B667" t="inlineStr">
        <is>
          <t>Communauté de communes</t>
        </is>
      </c>
      <c r="C667" t="inlineStr">
        <is>
          <t>246000707</t>
        </is>
      </c>
      <c r="D667" t="inlineStr">
        <is>
          <t>60</t>
        </is>
      </c>
      <c r="E667" t="inlineStr">
        <is>
          <t>Oise</t>
        </is>
      </c>
      <c r="F667" t="inlineStr">
        <is>
          <t>Hauts-de-France</t>
        </is>
      </c>
      <c r="G667" s="3" t="n">
        <v>20561</v>
      </c>
      <c r="H667" t="n">
        <v>37</v>
      </c>
      <c r="I667" t="inlineStr">
        <is>
          <t>6 rue Bertinot-Juel, 5 espace Vexin-Thelle</t>
        </is>
      </c>
      <c r="J667" t="inlineStr">
        <is>
          <t>60240</t>
        </is>
      </c>
      <c r="K667" t="inlineStr">
        <is>
          <t>Chaumont-en-Vexin</t>
        </is>
      </c>
      <c r="L667" t="inlineStr">
        <is>
          <t>03 44 49 15 15</t>
        </is>
      </c>
      <c r="M667" s="4" t="inlineStr">
        <is>
          <t>accueil@vexinthelle.com</t>
        </is>
      </c>
      <c r="N667" s="4" t="inlineStr">
        <is>
          <t>https://www.vexinthelle.fr/</t>
        </is>
      </c>
      <c r="O667" s="4" t="inlineStr">
        <is>
          <t>https://www.vexinthelle.fr/</t>
        </is>
      </c>
      <c r="P667" s="4" t="inlineStr">
        <is>
          <t>https://lannuaire.service-public.gouv.fr/hauts-de-france/oise/ad98507a-2b0d-4018-97cb-f24b78446f93</t>
        </is>
      </c>
      <c r="Q667" t="inlineStr">
        <is>
          <t>Annuaire Service-public.fr</t>
        </is>
      </c>
      <c r="R667" t="inlineStr"/>
      <c r="S667" t="inlineStr"/>
      <c r="T667" t="inlineStr"/>
    </row>
    <row r="668">
      <c r="A668" t="inlineStr">
        <is>
          <t>CC Andaine - Passais</t>
        </is>
      </c>
      <c r="B668" t="inlineStr">
        <is>
          <t>Communauté de communes</t>
        </is>
      </c>
      <c r="C668" t="inlineStr">
        <is>
          <t>200068443</t>
        </is>
      </c>
      <c r="D668" t="inlineStr">
        <is>
          <t>61</t>
        </is>
      </c>
      <c r="E668" t="inlineStr">
        <is>
          <t>Orne</t>
        </is>
      </c>
      <c r="F668" t="inlineStr">
        <is>
          <t>Normandie</t>
        </is>
      </c>
      <c r="G668" s="3" t="n">
        <v>12837</v>
      </c>
      <c r="H668" t="n">
        <v>12</v>
      </c>
      <c r="I668" t="inlineStr">
        <is>
          <t>26 avenue Léopold-Barré</t>
        </is>
      </c>
      <c r="J668" t="inlineStr">
        <is>
          <t>61140</t>
        </is>
      </c>
      <c r="K668" t="inlineStr">
        <is>
          <t>Juvigny-Val-d'Andaine</t>
        </is>
      </c>
      <c r="L668" t="inlineStr">
        <is>
          <t>02 33 37 95 15</t>
        </is>
      </c>
      <c r="M668" s="4" t="inlineStr">
        <is>
          <t>accueilsiege@ccandainepassais.fr</t>
        </is>
      </c>
      <c r="N668" s="4" t="inlineStr">
        <is>
          <t>https://ccandainepassais.org/</t>
        </is>
      </c>
      <c r="O668" s="4" t="inlineStr">
        <is>
          <t>https://ccandainepassais.org/contact/</t>
        </is>
      </c>
      <c r="P668" s="4" t="inlineStr">
        <is>
          <t>https://lannuaire.service-public.gouv.fr/normandie/orne/76398fc4-3c1a-49dd-b9c3-3aab4be48eff</t>
        </is>
      </c>
      <c r="Q668" t="inlineStr">
        <is>
          <t>Annuaire Service-public.fr</t>
        </is>
      </c>
      <c r="R668" t="inlineStr"/>
      <c r="S668" t="inlineStr"/>
      <c r="T668" t="inlineStr"/>
    </row>
    <row r="669">
      <c r="A669" t="inlineStr">
        <is>
          <t>CC Coeur du Perche</t>
        </is>
      </c>
      <c r="B669" t="inlineStr">
        <is>
          <t>Communauté de communes</t>
        </is>
      </c>
      <c r="C669" t="inlineStr">
        <is>
          <t>200068435</t>
        </is>
      </c>
      <c r="D669" t="inlineStr">
        <is>
          <t>61</t>
        </is>
      </c>
      <c r="E669" t="inlineStr">
        <is>
          <t>Orne</t>
        </is>
      </c>
      <c r="F669" t="inlineStr">
        <is>
          <t>Normandie</t>
        </is>
      </c>
      <c r="G669" s="3" t="n">
        <v>11057</v>
      </c>
      <c r="H669" t="n">
        <v>12</v>
      </c>
      <c r="I669" t="inlineStr">
        <is>
          <t>ZA Saint-Marc-Ouest</t>
        </is>
      </c>
      <c r="J669" t="inlineStr">
        <is>
          <t>61110</t>
        </is>
      </c>
      <c r="K669" t="inlineStr">
        <is>
          <t>Rémalard-en-Perche</t>
        </is>
      </c>
      <c r="L669" t="inlineStr">
        <is>
          <t>02 33 25 44 85</t>
        </is>
      </c>
      <c r="M669" s="4" t="inlineStr">
        <is>
          <t>administration@coeurduperche.fr</t>
        </is>
      </c>
      <c r="N669" s="4" t="inlineStr">
        <is>
          <t>https://www.coeurduperche.com/</t>
        </is>
      </c>
      <c r="O669" s="4" t="inlineStr">
        <is>
          <t>https://www.coeurduperche.com/contacts</t>
        </is>
      </c>
      <c r="P669" s="4" t="inlineStr">
        <is>
          <t>https://lannuaire.service-public.gouv.fr/normandie/orne/fedbab45-8bca-4b94-91bc-c6e04c01cf98</t>
        </is>
      </c>
      <c r="Q669" t="inlineStr">
        <is>
          <t>Annuaire Service-public.fr</t>
        </is>
      </c>
      <c r="R669" t="inlineStr"/>
      <c r="S669" t="inlineStr"/>
      <c r="T669" t="inlineStr"/>
    </row>
    <row r="670">
      <c r="A670" t="inlineStr">
        <is>
          <t>CC Domfront Tinchebray Interco</t>
        </is>
      </c>
      <c r="B670" t="inlineStr">
        <is>
          <t>Communauté de communes</t>
        </is>
      </c>
      <c r="C670" t="inlineStr">
        <is>
          <t>200071520</t>
        </is>
      </c>
      <c r="D670" t="inlineStr">
        <is>
          <t>61</t>
        </is>
      </c>
      <c r="E670" t="inlineStr">
        <is>
          <t>Orne</t>
        </is>
      </c>
      <c r="F670" t="inlineStr">
        <is>
          <t>Normandie</t>
        </is>
      </c>
      <c r="G670" s="3" t="n">
        <v>15782</v>
      </c>
      <c r="H670" t="n">
        <v>15</v>
      </c>
      <c r="I670" t="inlineStr">
        <is>
          <t>1 place du Général-Leclerc, Tinchebray</t>
        </is>
      </c>
      <c r="J670" t="inlineStr">
        <is>
          <t>61800</t>
        </is>
      </c>
      <c r="K670" t="inlineStr">
        <is>
          <t>Tinchebray-Bocage</t>
        </is>
      </c>
      <c r="L670" t="inlineStr">
        <is>
          <t>02 33 64 25 52</t>
        </is>
      </c>
      <c r="M670" s="4" t="inlineStr">
        <is>
          <t>mairie@tinchebray.fr</t>
        </is>
      </c>
      <c r="N670" s="4" t="inlineStr">
        <is>
          <t>http://www.domfront-tinchebray-interco.fr</t>
        </is>
      </c>
      <c r="O670" s="4" t="inlineStr">
        <is>
          <t>http://www.domfront-tinchebray-interco.fr/fr/contact</t>
        </is>
      </c>
      <c r="P670" s="4" t="inlineStr">
        <is>
          <t>https://lannuaire.service-public.gouv.fr/normandie/orne/9db14464-b333-43dd-b99c-ecf5b0c91085</t>
        </is>
      </c>
      <c r="Q670" t="inlineStr">
        <is>
          <t>Annuaire Service-public.fr</t>
        </is>
      </c>
      <c r="R670" t="inlineStr"/>
      <c r="S670" t="inlineStr"/>
      <c r="T670" t="inlineStr"/>
    </row>
    <row r="671">
      <c r="A671" t="inlineStr">
        <is>
          <t>CC Maine Saosnois</t>
        </is>
      </c>
      <c r="B671" t="inlineStr">
        <is>
          <t>Communauté de communes</t>
        </is>
      </c>
      <c r="C671" t="inlineStr">
        <is>
          <t>200072676</t>
        </is>
      </c>
      <c r="D671" t="inlineStr">
        <is>
          <t>61, 72</t>
        </is>
      </c>
      <c r="E671" t="inlineStr">
        <is>
          <t>Orne, Sarthe</t>
        </is>
      </c>
      <c r="F671" t="inlineStr">
        <is>
          <t>Normandie, Pays de la Loire</t>
        </is>
      </c>
      <c r="G671" s="3" t="n">
        <v>27476</v>
      </c>
      <c r="H671" t="n">
        <v>51</v>
      </c>
      <c r="I671" t="inlineStr">
        <is>
          <t>7 place Henri-Coutard</t>
        </is>
      </c>
      <c r="J671" t="inlineStr">
        <is>
          <t>72260</t>
        </is>
      </c>
      <c r="K671" t="inlineStr">
        <is>
          <t>Marolles-les-Braults</t>
        </is>
      </c>
      <c r="L671" t="inlineStr">
        <is>
          <t>02 43 34 16 48</t>
        </is>
      </c>
      <c r="M671" s="4" t="inlineStr">
        <is>
          <t>accueil@mainesaosnois.fr</t>
        </is>
      </c>
      <c r="N671" s="4" t="inlineStr">
        <is>
          <t>https://www.mainesaosnois.fr/</t>
        </is>
      </c>
      <c r="O671" s="4" t="inlineStr">
        <is>
          <t>https://www.mainesaosnois.fr/contact/</t>
        </is>
      </c>
      <c r="P671" s="4" t="inlineStr">
        <is>
          <t>https://lannuaire.service-public.gouv.fr/pays-de-la-loire/sarthe/c313440c-0bb4-45f1-85e5-014cec6e50df</t>
        </is>
      </c>
      <c r="Q671" t="inlineStr">
        <is>
          <t>Annuaire Service-public.fr</t>
        </is>
      </c>
      <c r="R671" t="inlineStr"/>
      <c r="S671" t="inlineStr"/>
      <c r="T671" t="inlineStr"/>
    </row>
    <row r="672">
      <c r="A672" t="inlineStr">
        <is>
          <t>CC Terres d'Argentan Interco</t>
        </is>
      </c>
      <c r="B672" t="inlineStr">
        <is>
          <t>Communauté de communes</t>
        </is>
      </c>
      <c r="C672" t="inlineStr">
        <is>
          <t>200068450</t>
        </is>
      </c>
      <c r="D672" t="inlineStr">
        <is>
          <t>61</t>
        </is>
      </c>
      <c r="E672" t="inlineStr">
        <is>
          <t>Orne</t>
        </is>
      </c>
      <c r="F672" t="inlineStr">
        <is>
          <t>Normandie</t>
        </is>
      </c>
      <c r="G672" s="3" t="n">
        <v>33374</v>
      </c>
      <c r="H672" t="n">
        <v>49</v>
      </c>
      <c r="I672" t="inlineStr">
        <is>
          <t>12 route de Sées</t>
        </is>
      </c>
      <c r="J672" t="inlineStr">
        <is>
          <t>61200</t>
        </is>
      </c>
      <c r="K672" t="inlineStr">
        <is>
          <t>Argentan</t>
        </is>
      </c>
      <c r="L672" t="inlineStr">
        <is>
          <t>02 33 12 25 25</t>
        </is>
      </c>
      <c r="M672" s="4" t="inlineStr">
        <is>
          <t>informations@terresdargentan.fr</t>
        </is>
      </c>
      <c r="N672" s="4" t="inlineStr">
        <is>
          <t>https://terresdargentan.fr/</t>
        </is>
      </c>
      <c r="O672" s="4" t="inlineStr">
        <is>
          <t>https://terresdargentan.fr/contact/</t>
        </is>
      </c>
      <c r="P672" s="4" t="inlineStr">
        <is>
          <t>https://lannuaire.service-public.gouv.fr/normandie/orne/934eec5b-e7ad-42f3-a3d6-2f19541b7694</t>
        </is>
      </c>
      <c r="Q672" t="inlineStr">
        <is>
          <t>Annuaire Service-public.fr</t>
        </is>
      </c>
      <c r="R672" t="inlineStr"/>
      <c r="S672" t="inlineStr"/>
      <c r="T672" t="inlineStr"/>
    </row>
    <row r="673">
      <c r="A673" t="inlineStr">
        <is>
          <t>CC de la Vallée de la Haute Sarthe</t>
        </is>
      </c>
      <c r="B673" t="inlineStr">
        <is>
          <t>Communauté de communes</t>
        </is>
      </c>
      <c r="C673" t="inlineStr">
        <is>
          <t>200035103</t>
        </is>
      </c>
      <c r="D673" t="inlineStr">
        <is>
          <t>61</t>
        </is>
      </c>
      <c r="E673" t="inlineStr">
        <is>
          <t>Orne</t>
        </is>
      </c>
      <c r="F673" t="inlineStr">
        <is>
          <t>Normandie</t>
        </is>
      </c>
      <c r="G673" s="3" t="n">
        <v>7531</v>
      </c>
      <c r="H673" t="n">
        <v>31</v>
      </c>
      <c r="I673" t="inlineStr">
        <is>
          <t>21 avenue de Falkenstein</t>
        </is>
      </c>
      <c r="J673" t="inlineStr">
        <is>
          <t>61170</t>
        </is>
      </c>
      <c r="K673" t="inlineStr">
        <is>
          <t>Le Mêle-sur-Sarthe</t>
        </is>
      </c>
      <c r="L673" t="inlineStr">
        <is>
          <t>02 33 27 61 02</t>
        </is>
      </c>
      <c r="M673" s="4" t="inlineStr">
        <is>
          <t>accueil@ccvhs.fr</t>
        </is>
      </c>
      <c r="N673" s="4" t="inlineStr">
        <is>
          <t>http://www.ccvhs.fr</t>
        </is>
      </c>
      <c r="O673" s="4" t="inlineStr">
        <is>
          <t>http://ccvhs.fr/</t>
        </is>
      </c>
      <c r="P673" s="4" t="inlineStr">
        <is>
          <t>https://lannuaire.service-public.gouv.fr/normandie/orne/d819105e-f4d0-4a9b-a871-5bdf375b87f8</t>
        </is>
      </c>
      <c r="Q673" t="inlineStr">
        <is>
          <t>Annuaire Service-public.fr</t>
        </is>
      </c>
      <c r="R673" t="inlineStr"/>
      <c r="S673" t="inlineStr"/>
      <c r="T673" t="inlineStr"/>
    </row>
    <row r="674">
      <c r="A674" t="inlineStr">
        <is>
          <t>CC des Collines du Perche Normand</t>
        </is>
      </c>
      <c r="B674" t="inlineStr">
        <is>
          <t>Communauté de communes</t>
        </is>
      </c>
      <c r="C674" t="inlineStr">
        <is>
          <t>200071504</t>
        </is>
      </c>
      <c r="D674" t="inlineStr">
        <is>
          <t>61</t>
        </is>
      </c>
      <c r="E674" t="inlineStr">
        <is>
          <t>Orne</t>
        </is>
      </c>
      <c r="F674" t="inlineStr">
        <is>
          <t>Normandie</t>
        </is>
      </c>
      <c r="G674" s="3" t="n">
        <v>11894</v>
      </c>
      <c r="H674" t="n">
        <v>16</v>
      </c>
      <c r="I674" t="inlineStr">
        <is>
          <t>3 rue de la Cidrerie, Le Theil-sur-Huisne</t>
        </is>
      </c>
      <c r="J674" t="inlineStr">
        <is>
          <t>61260</t>
        </is>
      </c>
      <c r="K674" t="inlineStr">
        <is>
          <t>Val-au-Perche</t>
        </is>
      </c>
      <c r="L674" t="inlineStr">
        <is>
          <t>02 37 49 63 51</t>
        </is>
      </c>
      <c r="M674" s="4" t="inlineStr">
        <is>
          <t>accueil@perchenormand.fr</t>
        </is>
      </c>
      <c r="N674" s="4" t="inlineStr">
        <is>
          <t>https://www.perchenormand.fr/</t>
        </is>
      </c>
      <c r="O674" t="inlineStr"/>
      <c r="P674" s="4" t="inlineStr">
        <is>
          <t>https://lannuaire.service-public.gouv.fr/normandie/orne/abf1985f-437a-4e73-8bea-9b97ae695e74</t>
        </is>
      </c>
      <c r="Q674" t="inlineStr">
        <is>
          <t>Annuaire Service-public.fr</t>
        </is>
      </c>
      <c r="R674" t="inlineStr"/>
      <c r="S674" t="inlineStr"/>
      <c r="T674" t="inlineStr"/>
    </row>
    <row r="675">
      <c r="A675" t="inlineStr">
        <is>
          <t>CC des Hauts du Perche</t>
        </is>
      </c>
      <c r="B675" t="inlineStr">
        <is>
          <t>Communauté de communes</t>
        </is>
      </c>
      <c r="C675" t="inlineStr">
        <is>
          <t>200068856</t>
        </is>
      </c>
      <c r="D675" t="inlineStr">
        <is>
          <t>61</t>
        </is>
      </c>
      <c r="E675" t="inlineStr">
        <is>
          <t>Orne</t>
        </is>
      </c>
      <c r="F675" t="inlineStr">
        <is>
          <t>Normandie</t>
        </is>
      </c>
      <c r="G675" s="3" t="n">
        <v>7882</v>
      </c>
      <c r="H675" t="n">
        <v>10</v>
      </c>
      <c r="I675" t="inlineStr">
        <is>
          <t>2 rue du Vieux-Moulin, Longny-au-Perche</t>
        </is>
      </c>
      <c r="J675" t="inlineStr">
        <is>
          <t>61290</t>
        </is>
      </c>
      <c r="K675" t="inlineStr">
        <is>
          <t>Longny les Villages</t>
        </is>
      </c>
      <c r="L675" t="inlineStr">
        <is>
          <t>02 33 25 56 00</t>
        </is>
      </c>
      <c r="M675" s="4" t="inlineStr">
        <is>
          <t>accueil@cdchautsperche.fr</t>
        </is>
      </c>
      <c r="N675" s="4" t="inlineStr">
        <is>
          <t>https://www.leshautsduperche.fr</t>
        </is>
      </c>
      <c r="O675" s="4" t="inlineStr">
        <is>
          <t>https://www.leshautsduperche.fr/systeme/contact/</t>
        </is>
      </c>
      <c r="P675" s="4" t="inlineStr">
        <is>
          <t>https://lannuaire.service-public.gouv.fr/normandie/orne/127a9782-bb2f-4b56-9301-e2aa2a9057b6</t>
        </is>
      </c>
      <c r="Q675" t="inlineStr">
        <is>
          <t>Annuaire Service-public.fr</t>
        </is>
      </c>
      <c r="R675" t="inlineStr"/>
      <c r="S675" t="inlineStr"/>
      <c r="T675" t="inlineStr"/>
    </row>
    <row r="676">
      <c r="A676" t="inlineStr">
        <is>
          <t>CC des Pays de L'Aigle</t>
        </is>
      </c>
      <c r="B676" t="inlineStr">
        <is>
          <t>Communauté de communes</t>
        </is>
      </c>
      <c r="C676" t="inlineStr">
        <is>
          <t>200068468</t>
        </is>
      </c>
      <c r="D676" t="inlineStr">
        <is>
          <t>61</t>
        </is>
      </c>
      <c r="E676" t="inlineStr">
        <is>
          <t>Orne</t>
        </is>
      </c>
      <c r="F676" t="inlineStr">
        <is>
          <t>Normandie</t>
        </is>
      </c>
      <c r="G676" s="3" t="n">
        <v>24985</v>
      </c>
      <c r="H676" t="n">
        <v>32</v>
      </c>
      <c r="I676" t="inlineStr">
        <is>
          <t>5 place du Parc, Pôle administratif</t>
        </is>
      </c>
      <c r="J676" t="inlineStr">
        <is>
          <t>61300</t>
        </is>
      </c>
      <c r="K676" t="inlineStr">
        <is>
          <t>L'Aigle</t>
        </is>
      </c>
      <c r="L676" t="inlineStr">
        <is>
          <t>02 33 84 50 40</t>
        </is>
      </c>
      <c r="M676" s="4" t="inlineStr">
        <is>
          <t>cdc@paysdelaigle.fr</t>
        </is>
      </c>
      <c r="N676" s="4" t="inlineStr">
        <is>
          <t>https://www.paysdelaigle.com</t>
        </is>
      </c>
      <c r="O676" t="inlineStr"/>
      <c r="P676" s="4" t="inlineStr">
        <is>
          <t>https://lannuaire.service-public.gouv.fr/normandie/orne/0973b541-2971-4317-b59f-f3e049edc38c</t>
        </is>
      </c>
      <c r="Q676" t="inlineStr">
        <is>
          <t>Annuaire Service-public.fr</t>
        </is>
      </c>
      <c r="R676" t="inlineStr"/>
      <c r="S676" t="inlineStr"/>
      <c r="T676" t="inlineStr"/>
    </row>
    <row r="677">
      <c r="A677" t="inlineStr">
        <is>
          <t>CC des Sources de l'Orne</t>
        </is>
      </c>
      <c r="B677" t="inlineStr">
        <is>
          <t>Communauté de communes</t>
        </is>
      </c>
      <c r="C677" t="inlineStr">
        <is>
          <t>200035111</t>
        </is>
      </c>
      <c r="D677" t="inlineStr">
        <is>
          <t>61</t>
        </is>
      </c>
      <c r="E677" t="inlineStr">
        <is>
          <t>Orne</t>
        </is>
      </c>
      <c r="F677" t="inlineStr">
        <is>
          <t>Normandie</t>
        </is>
      </c>
      <c r="G677" s="3" t="n">
        <v>11960</v>
      </c>
      <c r="H677" t="n">
        <v>23</v>
      </c>
      <c r="I677" t="inlineStr">
        <is>
          <t>2 rue Auguste-Loutreuil</t>
        </is>
      </c>
      <c r="J677" t="inlineStr">
        <is>
          <t>61500</t>
        </is>
      </c>
      <c r="K677" t="inlineStr">
        <is>
          <t>Sées</t>
        </is>
      </c>
      <c r="L677" t="inlineStr">
        <is>
          <t>02 33 28 88 87</t>
        </is>
      </c>
      <c r="M677" s="4" t="inlineStr">
        <is>
          <t>cc-sourcesdelorne@orange.fr</t>
        </is>
      </c>
      <c r="N677" s="4" t="inlineStr">
        <is>
          <t>https://www.cdc-sourcesdelorne.fr/</t>
        </is>
      </c>
      <c r="O677" s="4" t="inlineStr">
        <is>
          <t>https://www.cdc-sourcesdelorne.fr/contact/</t>
        </is>
      </c>
      <c r="P677" s="4" t="inlineStr">
        <is>
          <t>https://lannuaire.service-public.gouv.fr/normandie/orne/339a5951-0f25-4dba-9516-c2a0828b6932</t>
        </is>
      </c>
      <c r="Q677" t="inlineStr">
        <is>
          <t>Annuaire Service-public.fr</t>
        </is>
      </c>
      <c r="R677" t="inlineStr"/>
      <c r="S677" t="inlineStr"/>
      <c r="T677" t="inlineStr"/>
    </row>
    <row r="678">
      <c r="A678" t="inlineStr">
        <is>
          <t>CC des Vallées d'Auge et du Merlerault</t>
        </is>
      </c>
      <c r="B678" t="inlineStr">
        <is>
          <t>Communauté de communes</t>
        </is>
      </c>
      <c r="C678" t="inlineStr">
        <is>
          <t>200069458</t>
        </is>
      </c>
      <c r="D678" t="inlineStr">
        <is>
          <t>61</t>
        </is>
      </c>
      <c r="E678" t="inlineStr">
        <is>
          <t>Orne</t>
        </is>
      </c>
      <c r="F678" t="inlineStr">
        <is>
          <t>Normandie</t>
        </is>
      </c>
      <c r="G678" s="3" t="n">
        <v>14184</v>
      </c>
      <c r="H678" t="n">
        <v>42</v>
      </c>
      <c r="I678" t="inlineStr">
        <is>
          <t>15 rue Pernelle, BP 98</t>
        </is>
      </c>
      <c r="J678" t="inlineStr">
        <is>
          <t>61120</t>
        </is>
      </c>
      <c r="K678" t="inlineStr">
        <is>
          <t>Vimoutiers</t>
        </is>
      </c>
      <c r="L678" t="inlineStr">
        <is>
          <t>02 33 67 54 85</t>
        </is>
      </c>
      <c r="M678" s="4" t="inlineStr">
        <is>
          <t>contact@cdcvam.fr</t>
        </is>
      </c>
      <c r="N678" s="4" t="inlineStr">
        <is>
          <t>https://www.cdcvam.fr/</t>
        </is>
      </c>
      <c r="O678" s="4" t="inlineStr">
        <is>
          <t>https://www.cdcvam.fr/contact</t>
        </is>
      </c>
      <c r="P678" s="4" t="inlineStr">
        <is>
          <t>https://lannuaire.service-public.gouv.fr/normandie/orne/968ff783-cf5c-4f09-88e3-c4aa47517444</t>
        </is>
      </c>
      <c r="Q678" t="inlineStr">
        <is>
          <t>Annuaire Service-public.fr</t>
        </is>
      </c>
      <c r="R678" t="inlineStr"/>
      <c r="S678" t="inlineStr"/>
      <c r="T678" t="inlineStr"/>
    </row>
    <row r="679">
      <c r="A679" t="inlineStr">
        <is>
          <t>CC du Pays Fertois et du Bocage Carrougien</t>
        </is>
      </c>
      <c r="B679" t="inlineStr">
        <is>
          <t>Communauté de communes</t>
        </is>
      </c>
      <c r="C679" t="inlineStr">
        <is>
          <t>200071652</t>
        </is>
      </c>
      <c r="D679" t="inlineStr">
        <is>
          <t>61</t>
        </is>
      </c>
      <c r="E679" t="inlineStr">
        <is>
          <t>Orne</t>
        </is>
      </c>
      <c r="F679" t="inlineStr">
        <is>
          <t>Normandie</t>
        </is>
      </c>
      <c r="G679" s="3" t="n">
        <v>4822</v>
      </c>
      <c r="H679" t="n">
        <v>19</v>
      </c>
      <c r="I679" t="inlineStr">
        <is>
          <t>1 rue Auguste-Durand</t>
        </is>
      </c>
      <c r="J679" t="inlineStr">
        <is>
          <t>61600</t>
        </is>
      </c>
      <c r="K679" t="inlineStr">
        <is>
          <t>Magny-le-Désert</t>
        </is>
      </c>
      <c r="L679" t="inlineStr">
        <is>
          <t>02 33 30 65 40</t>
        </is>
      </c>
      <c r="M679" s="4" t="inlineStr">
        <is>
          <t>contact@ccpfbc.fr</t>
        </is>
      </c>
      <c r="N679" s="4" t="inlineStr">
        <is>
          <t>https://www.ccpfbc.fr/</t>
        </is>
      </c>
      <c r="O679" t="inlineStr"/>
      <c r="P679" s="4" t="inlineStr">
        <is>
          <t>https://lannuaire.service-public.gouv.fr/normandie/orne/76aea0fc-84a0-4d31-9b51-27b7d1d3c1f2</t>
        </is>
      </c>
      <c r="Q679" t="inlineStr">
        <is>
          <t>Annuaire Service-public.fr</t>
        </is>
      </c>
      <c r="R679" t="inlineStr"/>
      <c r="S679" t="inlineStr"/>
      <c r="T679" t="inlineStr"/>
    </row>
    <row r="680">
      <c r="A680" t="inlineStr">
        <is>
          <t>CC du Pays de Mortagne-au-Perche</t>
        </is>
      </c>
      <c r="B680" t="inlineStr">
        <is>
          <t>Communauté de communes</t>
        </is>
      </c>
      <c r="C680" t="inlineStr">
        <is>
          <t>200036069</t>
        </is>
      </c>
      <c r="D680" t="inlineStr">
        <is>
          <t>61</t>
        </is>
      </c>
      <c r="E680" t="inlineStr">
        <is>
          <t>Orne</t>
        </is>
      </c>
      <c r="F680" t="inlineStr">
        <is>
          <t>Normandie</t>
        </is>
      </c>
      <c r="G680" s="3" t="n">
        <v>13515</v>
      </c>
      <c r="H680" t="n">
        <v>33</v>
      </c>
      <c r="I680" t="inlineStr">
        <is>
          <t>4 Z.I de la Grippe, Maison des Territoire</t>
        </is>
      </c>
      <c r="J680" t="inlineStr">
        <is>
          <t>61400</t>
        </is>
      </c>
      <c r="K680" t="inlineStr">
        <is>
          <t>Mortagne-au-Perche</t>
        </is>
      </c>
      <c r="L680" t="inlineStr">
        <is>
          <t>02 33 85 35 80</t>
        </is>
      </c>
      <c r="M680" s="4" t="inlineStr">
        <is>
          <t>info@cdc-mortagne-au-perche.com</t>
        </is>
      </c>
      <c r="N680" s="4" t="inlineStr">
        <is>
          <t>https://www.cdc-mortagne-au-perche.com/</t>
        </is>
      </c>
      <c r="O680" s="4" t="inlineStr">
        <is>
          <t>https://www.cdc-mortagne-au-perche.com/contact/</t>
        </is>
      </c>
      <c r="P680" s="4" t="inlineStr">
        <is>
          <t>https://lannuaire.service-public.gouv.fr/normandie/orne/e5927e20-d264-497b-a162-09da08984453</t>
        </is>
      </c>
      <c r="Q680" t="inlineStr">
        <is>
          <t>Annuaire Service-public.fr</t>
        </is>
      </c>
      <c r="R680" t="inlineStr"/>
      <c r="S680" t="inlineStr"/>
      <c r="T680" t="inlineStr"/>
    </row>
    <row r="681">
      <c r="A681" t="inlineStr">
        <is>
          <t>CC du Val d'Orne</t>
        </is>
      </c>
      <c r="B681" t="inlineStr">
        <is>
          <t>Communauté de communes</t>
        </is>
      </c>
      <c r="C681" t="inlineStr">
        <is>
          <t>246100390</t>
        </is>
      </c>
      <c r="D681" t="inlineStr">
        <is>
          <t>61</t>
        </is>
      </c>
      <c r="E681" t="inlineStr">
        <is>
          <t>Orne</t>
        </is>
      </c>
      <c r="F681" t="inlineStr">
        <is>
          <t>Normandie</t>
        </is>
      </c>
      <c r="G681" s="3" t="n">
        <v>5618</v>
      </c>
      <c r="H681" t="n">
        <v>17</v>
      </c>
      <c r="I681" t="inlineStr">
        <is>
          <t>12 Place de l'Hotel de Ville</t>
        </is>
      </c>
      <c r="J681" t="inlineStr">
        <is>
          <t>61210</t>
        </is>
      </c>
      <c r="K681" t="inlineStr">
        <is>
          <t>Putanges-le-Lac</t>
        </is>
      </c>
      <c r="L681" t="inlineStr">
        <is>
          <t>02 33 36 93 73</t>
        </is>
      </c>
      <c r="M681" s="4" t="inlineStr">
        <is>
          <t>cdc@cdcvaldorne.fr</t>
        </is>
      </c>
      <c r="N681" s="4" t="inlineStr">
        <is>
          <t>https://www.cc-valdorne.fr/</t>
        </is>
      </c>
      <c r="O681" t="inlineStr"/>
      <c r="P681" s="4" t="inlineStr">
        <is>
          <t>https://lannuaire.service-public.gouv.fr/normandie/orne/1bd7e340-0ea8-4f98-b1e3-a6d5f9b5246c</t>
        </is>
      </c>
      <c r="Q681" t="inlineStr">
        <is>
          <t>Annuaire Service-public.fr</t>
        </is>
      </c>
      <c r="R681" t="inlineStr"/>
      <c r="S681" t="inlineStr"/>
      <c r="T681" t="inlineStr"/>
    </row>
    <row r="682">
      <c r="A682" t="inlineStr">
        <is>
          <t>CC Osartis Marquion</t>
        </is>
      </c>
      <c r="B682" t="inlineStr">
        <is>
          <t>Communauté de communes</t>
        </is>
      </c>
      <c r="C682" t="inlineStr">
        <is>
          <t>200044048</t>
        </is>
      </c>
      <c r="D682" t="inlineStr">
        <is>
          <t>62</t>
        </is>
      </c>
      <c r="E682" t="inlineStr">
        <is>
          <t>Pas-de-Calais</t>
        </is>
      </c>
      <c r="F682" t="inlineStr">
        <is>
          <t>Hauts-de-France</t>
        </is>
      </c>
      <c r="G682" s="3" t="n">
        <v>42814</v>
      </c>
      <c r="H682" t="n">
        <v>49</v>
      </c>
      <c r="I682" t="inlineStr">
        <is>
          <t>Rue Jean-Monet</t>
        </is>
      </c>
      <c r="J682" t="inlineStr">
        <is>
          <t>62490</t>
        </is>
      </c>
      <c r="K682" t="inlineStr">
        <is>
          <t>Vitry-en-Artois</t>
        </is>
      </c>
      <c r="L682" t="inlineStr">
        <is>
          <t>03 21 60 06 00</t>
        </is>
      </c>
      <c r="M682" s="4" t="inlineStr">
        <is>
          <t>administration@cc-osartis.com</t>
        </is>
      </c>
      <c r="N682" s="4" t="inlineStr">
        <is>
          <t>https://www.cc-osartis.com/</t>
        </is>
      </c>
      <c r="O682" s="4" t="inlineStr">
        <is>
          <t>https://www.cc-osartis.com/nous-contacter</t>
        </is>
      </c>
      <c r="P682" s="4" t="inlineStr">
        <is>
          <t>https://lannuaire.service-public.gouv.fr/hauts-de-france/pas-de-calais/ade1c496-6ff3-400b-8c42-d7cd85e9ba5a</t>
        </is>
      </c>
      <c r="Q682" t="inlineStr">
        <is>
          <t>Annuaire Service-public.fr</t>
        </is>
      </c>
      <c r="R682" t="inlineStr"/>
      <c r="S682" t="inlineStr"/>
      <c r="T682" t="inlineStr"/>
    </row>
    <row r="683">
      <c r="A683" t="inlineStr">
        <is>
          <t>CC Pays d'Opale</t>
        </is>
      </c>
      <c r="B683" t="inlineStr">
        <is>
          <t>Communauté de communes</t>
        </is>
      </c>
      <c r="C683" t="inlineStr">
        <is>
          <t>200072478</t>
        </is>
      </c>
      <c r="D683" t="inlineStr">
        <is>
          <t>62</t>
        </is>
      </c>
      <c r="E683" t="inlineStr">
        <is>
          <t>Pas-de-Calais</t>
        </is>
      </c>
      <c r="F683" t="inlineStr">
        <is>
          <t>Hauts-de-France</t>
        </is>
      </c>
      <c r="G683" s="3" t="n">
        <v>25182</v>
      </c>
      <c r="H683" t="n">
        <v>23</v>
      </c>
      <c r="I683" t="inlineStr">
        <is>
          <t>9 avenue de la Libération</t>
        </is>
      </c>
      <c r="J683" t="inlineStr">
        <is>
          <t>62340</t>
        </is>
      </c>
      <c r="K683" t="inlineStr">
        <is>
          <t>Guines</t>
        </is>
      </c>
      <c r="L683" t="inlineStr">
        <is>
          <t>03 21 00 83 33</t>
        </is>
      </c>
      <c r="M683" s="4" t="inlineStr">
        <is>
          <t>administration@paysdopale.fr</t>
        </is>
      </c>
      <c r="N683" s="4" t="inlineStr">
        <is>
          <t>https://paysdopale.fr/</t>
        </is>
      </c>
      <c r="O683" s="4" t="inlineStr">
        <is>
          <t>https://www.facebook.com/ccpaysdopale</t>
        </is>
      </c>
      <c r="P683" s="4" t="inlineStr">
        <is>
          <t>https://lannuaire.service-public.gouv.fr/hauts-de-france/pas-de-calais/85518671-a32c-45b8-96f4-f16a29f8dbb6</t>
        </is>
      </c>
      <c r="Q683" t="inlineStr">
        <is>
          <t>Annuaire Service-public.fr</t>
        </is>
      </c>
      <c r="R683" t="inlineStr"/>
      <c r="S683" t="inlineStr"/>
      <c r="T683" t="inlineStr"/>
    </row>
    <row r="684">
      <c r="A684" t="inlineStr">
        <is>
          <t>CC de Desvres-Samer</t>
        </is>
      </c>
      <c r="B684" t="inlineStr">
        <is>
          <t>Communauté de communes</t>
        </is>
      </c>
      <c r="C684" t="inlineStr">
        <is>
          <t>200018083</t>
        </is>
      </c>
      <c r="D684" t="inlineStr">
        <is>
          <t>62</t>
        </is>
      </c>
      <c r="E684" t="inlineStr">
        <is>
          <t>Pas-de-Calais</t>
        </is>
      </c>
      <c r="F684" t="inlineStr">
        <is>
          <t>Hauts-de-France</t>
        </is>
      </c>
      <c r="G684" s="3" t="n">
        <v>23138</v>
      </c>
      <c r="H684" t="n">
        <v>31</v>
      </c>
      <c r="I684" t="inlineStr">
        <is>
          <t>41 rue des Potiers</t>
        </is>
      </c>
      <c r="J684" t="inlineStr">
        <is>
          <t>62240</t>
        </is>
      </c>
      <c r="K684" t="inlineStr">
        <is>
          <t>Desvres</t>
        </is>
      </c>
      <c r="L684" t="inlineStr">
        <is>
          <t>03 21 92 07 20</t>
        </is>
      </c>
      <c r="M684" s="4" t="inlineStr">
        <is>
          <t>com.com@cc-desvressamer.fr</t>
        </is>
      </c>
      <c r="N684" s="4" t="inlineStr">
        <is>
          <t>https://www.cc-desvressamer.fr/</t>
        </is>
      </c>
      <c r="O684" s="4" t="inlineStr">
        <is>
          <t>https://www.cc-desvressamer.fr/contact/</t>
        </is>
      </c>
      <c r="P684" s="4" t="inlineStr">
        <is>
          <t>https://lannuaire.service-public.gouv.fr/hauts-de-france/pas-de-calais/93b98aba-84a3-4ebc-8940-7d46b8343cdd</t>
        </is>
      </c>
      <c r="Q684" t="inlineStr">
        <is>
          <t>Annuaire Service-public.fr</t>
        </is>
      </c>
      <c r="R684" t="inlineStr"/>
      <c r="S684" t="inlineStr"/>
      <c r="T684" t="inlineStr"/>
    </row>
    <row r="685">
      <c r="A685" t="inlineStr">
        <is>
          <t>CC de la Région d'Audruicq</t>
        </is>
      </c>
      <c r="B685" t="inlineStr">
        <is>
          <t>Communauté de communes</t>
        </is>
      </c>
      <c r="C685" t="inlineStr">
        <is>
          <t>246200844</t>
        </is>
      </c>
      <c r="D685" t="inlineStr">
        <is>
          <t>62</t>
        </is>
      </c>
      <c r="E685" t="inlineStr">
        <is>
          <t>Pas-de-Calais</t>
        </is>
      </c>
      <c r="F685" t="inlineStr">
        <is>
          <t>Hauts-de-France</t>
        </is>
      </c>
      <c r="G685" s="3" t="n">
        <v>28187</v>
      </c>
      <c r="H685" t="n">
        <v>15</v>
      </c>
      <c r="I685" t="inlineStr">
        <is>
          <t>66 place du Général-de-Gaulle</t>
        </is>
      </c>
      <c r="J685" t="inlineStr">
        <is>
          <t>62370</t>
        </is>
      </c>
      <c r="K685" t="inlineStr">
        <is>
          <t>Audruicq</t>
        </is>
      </c>
      <c r="L685" t="inlineStr">
        <is>
          <t>03 21 00 83 83</t>
        </is>
      </c>
      <c r="M685" s="4" t="inlineStr">
        <is>
          <t>communaute-reg-audruicq@ccra.fr</t>
        </is>
      </c>
      <c r="N685" s="4" t="inlineStr">
        <is>
          <t>https://www.ccra.fr/</t>
        </is>
      </c>
      <c r="O685" s="4" t="inlineStr">
        <is>
          <t>https://www.ccra.fr/Contact/10/</t>
        </is>
      </c>
      <c r="P685" s="4" t="inlineStr">
        <is>
          <t>https://lannuaire.service-public.gouv.fr/hauts-de-france/pas-de-calais/c80d6338-573e-474b-8661-49170a59e820</t>
        </is>
      </c>
      <c r="Q685" t="inlineStr">
        <is>
          <t>Annuaire Service-public.fr</t>
        </is>
      </c>
      <c r="R685" t="inlineStr"/>
      <c r="S685" t="inlineStr"/>
      <c r="T685" t="inlineStr"/>
    </row>
    <row r="686">
      <c r="A686" t="inlineStr">
        <is>
          <t>CC de la Terre des Deux Caps</t>
        </is>
      </c>
      <c r="B686" t="inlineStr">
        <is>
          <t>Communauté de communes</t>
        </is>
      </c>
      <c r="C686" t="inlineStr">
        <is>
          <t>246200380</t>
        </is>
      </c>
      <c r="D686" t="inlineStr">
        <is>
          <t>62</t>
        </is>
      </c>
      <c r="E686" t="inlineStr">
        <is>
          <t>Pas-de-Calais</t>
        </is>
      </c>
      <c r="F686" t="inlineStr">
        <is>
          <t>Hauts-de-France</t>
        </is>
      </c>
      <c r="G686" s="3" t="n">
        <v>22375</v>
      </c>
      <c r="H686" t="n">
        <v>21</v>
      </c>
      <c r="I686" t="inlineStr">
        <is>
          <t>Le Cardo</t>
        </is>
      </c>
      <c r="J686" t="inlineStr">
        <is>
          <t>62250</t>
        </is>
      </c>
      <c r="K686" t="inlineStr">
        <is>
          <t>Marquise</t>
        </is>
      </c>
      <c r="L686" t="inlineStr">
        <is>
          <t>03 21 87 57 57</t>
        </is>
      </c>
      <c r="M686" s="4" t="inlineStr">
        <is>
          <t>contact@terredes2caps.com</t>
        </is>
      </c>
      <c r="N686" s="4" t="inlineStr">
        <is>
          <t>https://www.terredes2caps.fr/</t>
        </is>
      </c>
      <c r="O686" s="4" t="inlineStr">
        <is>
          <t>https://www.terredes2caps.fr/nous-contacter</t>
        </is>
      </c>
      <c r="P686" s="4" t="inlineStr">
        <is>
          <t>https://lannuaire.service-public.gouv.fr/hauts-de-france/pas-de-calais/00f5bbfd-f0d5-49bd-9b33-abda3aa5aab3</t>
        </is>
      </c>
      <c r="Q686" t="inlineStr">
        <is>
          <t>Annuaire Service-public.fr</t>
        </is>
      </c>
      <c r="R686" t="inlineStr"/>
      <c r="S686" t="inlineStr"/>
      <c r="T686" t="inlineStr"/>
    </row>
    <row r="687">
      <c r="A687" t="inlineStr">
        <is>
          <t>CC des 7 Vallées</t>
        </is>
      </c>
      <c r="B687" t="inlineStr">
        <is>
          <t>Communauté de communes</t>
        </is>
      </c>
      <c r="C687" t="inlineStr">
        <is>
          <t>200044030</t>
        </is>
      </c>
      <c r="D687" t="inlineStr">
        <is>
          <t>62</t>
        </is>
      </c>
      <c r="E687" t="inlineStr">
        <is>
          <t>Pas-de-Calais</t>
        </is>
      </c>
      <c r="F687" t="inlineStr">
        <is>
          <t>Hauts-de-France</t>
        </is>
      </c>
      <c r="G687" s="3" t="n">
        <v>29425</v>
      </c>
      <c r="H687" t="n">
        <v>66</v>
      </c>
      <c r="I687" t="inlineStr">
        <is>
          <t>6 rue du Général-Daullé</t>
        </is>
      </c>
      <c r="J687" t="inlineStr">
        <is>
          <t>62140</t>
        </is>
      </c>
      <c r="K687" t="inlineStr">
        <is>
          <t>Hesdin</t>
        </is>
      </c>
      <c r="L687" t="inlineStr">
        <is>
          <t>03 21 90 42 68</t>
        </is>
      </c>
      <c r="M687" s="4" t="inlineStr">
        <is>
          <t>contact@7vallees.fr</t>
        </is>
      </c>
      <c r="N687" s="4" t="inlineStr">
        <is>
          <t>https://7vallees.fr/</t>
        </is>
      </c>
      <c r="O687" t="inlineStr"/>
      <c r="P687" s="4" t="inlineStr">
        <is>
          <t>https://lannuaire.service-public.gouv.fr/hauts-de-france/pas-de-calais/b1cee102-37ed-4453-92f2-7dbbeda780bc</t>
        </is>
      </c>
      <c r="Q687" t="inlineStr">
        <is>
          <t>Annuaire Service-public.fr</t>
        </is>
      </c>
      <c r="R687" t="inlineStr"/>
      <c r="S687" t="inlineStr"/>
      <c r="T687" t="inlineStr"/>
    </row>
    <row r="688">
      <c r="A688" t="inlineStr">
        <is>
          <t>CC des Campagnes de l'Artois</t>
        </is>
      </c>
      <c r="B688" t="inlineStr">
        <is>
          <t>Communauté de communes</t>
        </is>
      </c>
      <c r="C688" t="inlineStr">
        <is>
          <t>200069482</t>
        </is>
      </c>
      <c r="D688" t="inlineStr">
        <is>
          <t>62</t>
        </is>
      </c>
      <c r="E688" t="inlineStr">
        <is>
          <t>Pas-de-Calais</t>
        </is>
      </c>
      <c r="F688" t="inlineStr">
        <is>
          <t>Hauts-de-France</t>
        </is>
      </c>
      <c r="G688" s="3" t="n">
        <v>33290</v>
      </c>
      <c r="H688" t="n">
        <v>96</v>
      </c>
      <c r="I688" t="inlineStr">
        <is>
          <t>1050 avenue François-Mitterrand</t>
        </is>
      </c>
      <c r="J688" t="inlineStr">
        <is>
          <t>62810</t>
        </is>
      </c>
      <c r="K688" t="inlineStr">
        <is>
          <t>Avesnes-le-Comte</t>
        </is>
      </c>
      <c r="L688" t="inlineStr">
        <is>
          <t>03 21 22 02 00</t>
        </is>
      </c>
      <c r="M688" s="4" t="inlineStr">
        <is>
          <t>accueil@campagnesartois.fr</t>
        </is>
      </c>
      <c r="N688" s="4" t="inlineStr">
        <is>
          <t>https://campagnesartois.fr/</t>
        </is>
      </c>
      <c r="O688" t="inlineStr"/>
      <c r="P688" s="4" t="inlineStr">
        <is>
          <t>https://lannuaire.service-public.gouv.fr/hauts-de-france/pas-de-calais/4268f613-775f-427b-84b8-f4f2ffca273c</t>
        </is>
      </c>
      <c r="Q688" t="inlineStr">
        <is>
          <t>Annuaire Service-public.fr</t>
        </is>
      </c>
      <c r="R688" t="inlineStr"/>
      <c r="S688" t="inlineStr"/>
      <c r="T688" t="inlineStr"/>
    </row>
    <row r="689">
      <c r="A689" t="inlineStr">
        <is>
          <t>CC du Haut Pays du Montreuillois</t>
        </is>
      </c>
      <c r="B689" t="inlineStr">
        <is>
          <t>Communauté de communes</t>
        </is>
      </c>
      <c r="C689" t="inlineStr">
        <is>
          <t>200069235</t>
        </is>
      </c>
      <c r="D689" t="inlineStr">
        <is>
          <t>62</t>
        </is>
      </c>
      <c r="E689" t="inlineStr">
        <is>
          <t>Pas-de-Calais</t>
        </is>
      </c>
      <c r="F689" t="inlineStr">
        <is>
          <t>Hauts-de-France</t>
        </is>
      </c>
      <c r="G689" s="3" t="n">
        <v>15742</v>
      </c>
      <c r="H689" t="n">
        <v>49</v>
      </c>
      <c r="I689" t="inlineStr">
        <is>
          <t>15 ter rue du Marais</t>
        </is>
      </c>
      <c r="J689" t="inlineStr">
        <is>
          <t>62310</t>
        </is>
      </c>
      <c r="K689" t="inlineStr">
        <is>
          <t>Fruges</t>
        </is>
      </c>
      <c r="L689" t="inlineStr">
        <is>
          <t>03 61 52 80 05</t>
        </is>
      </c>
      <c r="M689" s="4" t="inlineStr">
        <is>
          <t>accueil@cchpm.fr</t>
        </is>
      </c>
      <c r="N689" s="4" t="inlineStr">
        <is>
          <t>https://www.cchpm.fr/</t>
        </is>
      </c>
      <c r="O689" s="4" t="inlineStr">
        <is>
          <t>https://www.cchpm.fr/contactez-nous</t>
        </is>
      </c>
      <c r="P689" s="4" t="inlineStr">
        <is>
          <t>https://lannuaire.service-public.gouv.fr/hauts-de-france/pas-de-calais/27f1f922-2092-4b1f-8817-5569845d538e</t>
        </is>
      </c>
      <c r="Q689" t="inlineStr">
        <is>
          <t>Annuaire Service-public.fr</t>
        </is>
      </c>
      <c r="R689" t="inlineStr"/>
      <c r="S689" t="inlineStr"/>
      <c r="T689" t="inlineStr"/>
    </row>
    <row r="690">
      <c r="A690" t="inlineStr">
        <is>
          <t>CC du Pays de Lumbres</t>
        </is>
      </c>
      <c r="B690" t="inlineStr">
        <is>
          <t>Communauté de communes</t>
        </is>
      </c>
      <c r="C690" t="inlineStr">
        <is>
          <t>246201016</t>
        </is>
      </c>
      <c r="D690" t="inlineStr">
        <is>
          <t>62</t>
        </is>
      </c>
      <c r="E690" t="inlineStr">
        <is>
          <t>Pas-de-Calais</t>
        </is>
      </c>
      <c r="F690" t="inlineStr">
        <is>
          <t>Hauts-de-France</t>
        </is>
      </c>
      <c r="G690" s="3" t="n">
        <v>24135</v>
      </c>
      <c r="H690" t="n">
        <v>36</v>
      </c>
      <c r="I690" t="inlineStr">
        <is>
          <t>1 chemin du Pressart</t>
        </is>
      </c>
      <c r="J690" t="inlineStr">
        <is>
          <t>62380</t>
        </is>
      </c>
      <c r="K690" t="inlineStr">
        <is>
          <t>Lumbres</t>
        </is>
      </c>
      <c r="L690" t="inlineStr">
        <is>
          <t>03 21 12 94 94</t>
        </is>
      </c>
      <c r="M690" s="4" t="inlineStr">
        <is>
          <t>accueil@ccplumbres.fr</t>
        </is>
      </c>
      <c r="N690" s="4" t="inlineStr">
        <is>
          <t>https://cc-paysdelumbres.fr/fr</t>
        </is>
      </c>
      <c r="O690" s="4" t="inlineStr">
        <is>
          <t>https://cc-paysdelumbres.fr/fr/contact</t>
        </is>
      </c>
      <c r="P690" s="4" t="inlineStr">
        <is>
          <t>https://lannuaire.service-public.gouv.fr/hauts-de-france/pas-de-calais/e99bd3f4-8102-4840-b8b6-9acc3b2bd26b</t>
        </is>
      </c>
      <c r="Q690" t="inlineStr">
        <is>
          <t>Annuaire Service-public.fr</t>
        </is>
      </c>
      <c r="R690" t="inlineStr"/>
      <c r="S690" t="inlineStr"/>
      <c r="T690" t="inlineStr"/>
    </row>
    <row r="691">
      <c r="A691" t="inlineStr">
        <is>
          <t>CC du Sud Artois</t>
        </is>
      </c>
      <c r="B691" t="inlineStr">
        <is>
          <t>Communauté de communes</t>
        </is>
      </c>
      <c r="C691" t="inlineStr">
        <is>
          <t>200035442</t>
        </is>
      </c>
      <c r="D691" t="inlineStr">
        <is>
          <t>62</t>
        </is>
      </c>
      <c r="E691" t="inlineStr">
        <is>
          <t>Pas-de-Calais</t>
        </is>
      </c>
      <c r="F691" t="inlineStr">
        <is>
          <t>Hauts-de-France</t>
        </is>
      </c>
      <c r="G691" s="3" t="n">
        <v>26936</v>
      </c>
      <c r="H691" t="n">
        <v>64</v>
      </c>
      <c r="I691" t="inlineStr">
        <is>
          <t>5 rue Neuve, CS 30002</t>
        </is>
      </c>
      <c r="J691" t="inlineStr">
        <is>
          <t>62452</t>
        </is>
      </c>
      <c r="K691" t="inlineStr">
        <is>
          <t>Bapaume Cedex</t>
        </is>
      </c>
      <c r="L691" t="inlineStr">
        <is>
          <t>03 21 59 17 17</t>
        </is>
      </c>
      <c r="M691" s="4" t="inlineStr">
        <is>
          <t>accueil@cc-sudartois.fr</t>
        </is>
      </c>
      <c r="N691" s="4" t="inlineStr">
        <is>
          <t>https://www.cc-sudartois.fr/</t>
        </is>
      </c>
      <c r="O691" s="4" t="inlineStr">
        <is>
          <t>https://www.cc-sudartois.fr/contact</t>
        </is>
      </c>
      <c r="P691" s="4" t="inlineStr">
        <is>
          <t>https://lannuaire.service-public.gouv.fr/hauts-de-france/pas-de-calais/b9631fd2-a208-4cf6-ae43-5ed454aedea3</t>
        </is>
      </c>
      <c r="Q691" t="inlineStr">
        <is>
          <t>Annuaire Service-public.fr</t>
        </is>
      </c>
      <c r="R691" t="inlineStr"/>
      <c r="S691" t="inlineStr"/>
      <c r="T691" t="inlineStr"/>
    </row>
    <row r="692">
      <c r="A692" t="inlineStr">
        <is>
          <t>CC du Ternois</t>
        </is>
      </c>
      <c r="B692" t="inlineStr">
        <is>
          <t>Communauté de communes</t>
        </is>
      </c>
      <c r="C692" t="inlineStr">
        <is>
          <t>200069672</t>
        </is>
      </c>
      <c r="D692" t="inlineStr">
        <is>
          <t>62, 80</t>
        </is>
      </c>
      <c r="E692" t="inlineStr">
        <is>
          <t>Pas-de-Calais, Somme</t>
        </is>
      </c>
      <c r="F692" t="inlineStr">
        <is>
          <t>Hauts-de-France</t>
        </is>
      </c>
      <c r="G692" s="3" t="n">
        <v>37150</v>
      </c>
      <c r="H692" t="n">
        <v>103</v>
      </c>
      <c r="I692" t="inlineStr">
        <is>
          <t>400 rue de Maisnil, ZA Parc des Moulins</t>
        </is>
      </c>
      <c r="J692" t="inlineStr">
        <is>
          <t>62130</t>
        </is>
      </c>
      <c r="K692" t="inlineStr">
        <is>
          <t>Herlin-le-Sec</t>
        </is>
      </c>
      <c r="L692" t="inlineStr">
        <is>
          <t>03 21 41 98 45</t>
        </is>
      </c>
      <c r="M692" s="4" t="inlineStr">
        <is>
          <t>contact@ternoiscom.fr</t>
        </is>
      </c>
      <c r="N692" s="4" t="inlineStr">
        <is>
          <t>https://www.ternoiscom.fr/</t>
        </is>
      </c>
      <c r="O692" s="4" t="inlineStr">
        <is>
          <t>https://www.ternoiscom.fr/index.php/contact/</t>
        </is>
      </c>
      <c r="P692" s="4" t="inlineStr">
        <is>
          <t>https://lannuaire.service-public.gouv.fr/hauts-de-france/pas-de-calais/6d5b147c-ce39-4f5a-9551-956077075200</t>
        </is>
      </c>
      <c r="Q692" t="inlineStr">
        <is>
          <t>Annuaire Service-public.fr</t>
        </is>
      </c>
      <c r="R692" t="inlineStr"/>
      <c r="S692" t="inlineStr"/>
      <c r="T692" t="inlineStr"/>
    </row>
    <row r="693">
      <c r="A693" t="inlineStr">
        <is>
          <t>CC Ambert Livradois Forez</t>
        </is>
      </c>
      <c r="B693" t="inlineStr">
        <is>
          <t>Communauté de communes</t>
        </is>
      </c>
      <c r="C693" t="inlineStr">
        <is>
          <t>200070761</t>
        </is>
      </c>
      <c r="D693" t="inlineStr">
        <is>
          <t>63</t>
        </is>
      </c>
      <c r="E693" t="inlineStr">
        <is>
          <t>Puy-de-Dôme</t>
        </is>
      </c>
      <c r="F693" t="inlineStr">
        <is>
          <t>Auvergne-Rhône-Alpes</t>
        </is>
      </c>
      <c r="G693" s="3" t="n">
        <v>27596</v>
      </c>
      <c r="H693" t="n">
        <v>58</v>
      </c>
      <c r="I693" t="inlineStr">
        <is>
          <t>15 avenue du 11-Novembre</t>
        </is>
      </c>
      <c r="J693" t="inlineStr">
        <is>
          <t>63600</t>
        </is>
      </c>
      <c r="K693" t="inlineStr">
        <is>
          <t>Ambert</t>
        </is>
      </c>
      <c r="L693" t="inlineStr">
        <is>
          <t>04 73 72 71 40</t>
        </is>
      </c>
      <c r="M693" s="4" t="inlineStr">
        <is>
          <t>accueil@ambertlivradoisforez.fr</t>
        </is>
      </c>
      <c r="N693" s="4" t="inlineStr">
        <is>
          <t>https://www.ambertlivradoisforez.fr</t>
        </is>
      </c>
      <c r="O693" t="inlineStr"/>
      <c r="P693" s="4" t="inlineStr">
        <is>
          <t>https://lannuaire.service-public.gouv.fr/auvergne-rhone-alpes/puy-de-dome/ee25d5f9-e709-4454-8f5c-45d4b974855b</t>
        </is>
      </c>
      <c r="Q693" t="inlineStr">
        <is>
          <t>Annuaire Service-public.fr</t>
        </is>
      </c>
      <c r="R693" t="inlineStr"/>
      <c r="S693" t="inlineStr"/>
      <c r="T693" t="inlineStr"/>
    </row>
    <row r="694">
      <c r="A694" t="inlineStr">
        <is>
          <t>CC Billom Communauté</t>
        </is>
      </c>
      <c r="B694" t="inlineStr">
        <is>
          <t>Communauté de communes</t>
        </is>
      </c>
      <c r="C694" t="inlineStr">
        <is>
          <t>200067627</t>
        </is>
      </c>
      <c r="D694" t="inlineStr">
        <is>
          <t>63</t>
        </is>
      </c>
      <c r="E694" t="inlineStr">
        <is>
          <t>Puy-de-Dôme</t>
        </is>
      </c>
      <c r="F694" t="inlineStr">
        <is>
          <t>Auvergne-Rhône-Alpes</t>
        </is>
      </c>
      <c r="G694" s="3" t="n">
        <v>26098</v>
      </c>
      <c r="H694" t="n">
        <v>25</v>
      </c>
      <c r="I694" t="inlineStr">
        <is>
          <t>35 avenue de la Gare</t>
        </is>
      </c>
      <c r="J694" t="inlineStr">
        <is>
          <t>63160</t>
        </is>
      </c>
      <c r="K694" t="inlineStr">
        <is>
          <t>Billom</t>
        </is>
      </c>
      <c r="L694" t="inlineStr">
        <is>
          <t>04 73 73 43 24</t>
        </is>
      </c>
      <c r="M694" s="4" t="inlineStr">
        <is>
          <t>contact@billomcommunaute.fr</t>
        </is>
      </c>
      <c r="N694" s="4" t="inlineStr">
        <is>
          <t>https://billomcommunaute.fr</t>
        </is>
      </c>
      <c r="O694" s="4" t="inlineStr">
        <is>
          <t>https://billomcommunaute.fr/contact/</t>
        </is>
      </c>
      <c r="P694" s="4" t="inlineStr">
        <is>
          <t>https://lannuaire.service-public.gouv.fr/auvergne-rhone-alpes/puy-de-dome/fdd94983-958c-4f40-a991-2934a9d31df3</t>
        </is>
      </c>
      <c r="Q694" t="inlineStr">
        <is>
          <t>Annuaire Service-public.fr</t>
        </is>
      </c>
      <c r="R694" t="inlineStr"/>
      <c r="S694" t="inlineStr"/>
      <c r="T694" t="inlineStr"/>
    </row>
    <row r="695">
      <c r="A695" t="inlineStr">
        <is>
          <t>CC Chavanon Combrailles et Volcans</t>
        </is>
      </c>
      <c r="B695" t="inlineStr">
        <is>
          <t>Communauté de communes</t>
        </is>
      </c>
      <c r="C695" t="inlineStr">
        <is>
          <t>200071215</t>
        </is>
      </c>
      <c r="D695" t="inlineStr">
        <is>
          <t>63</t>
        </is>
      </c>
      <c r="E695" t="inlineStr">
        <is>
          <t>Puy-de-Dôme</t>
        </is>
      </c>
      <c r="F695" t="inlineStr">
        <is>
          <t>Auvergne-Rhône-Alpes</t>
        </is>
      </c>
      <c r="G695" s="3" t="n">
        <v>12657</v>
      </c>
      <c r="H695" t="n">
        <v>36</v>
      </c>
      <c r="I695" t="inlineStr">
        <is>
          <t>6 avenue du Marronnier</t>
        </is>
      </c>
      <c r="J695" t="inlineStr">
        <is>
          <t>63380</t>
        </is>
      </c>
      <c r="K695" t="inlineStr">
        <is>
          <t>Pontaumur</t>
        </is>
      </c>
      <c r="L695" t="inlineStr">
        <is>
          <t>04 73 79 70 70</t>
        </is>
      </c>
      <c r="M695" s="4" t="inlineStr">
        <is>
          <t>contact@ccvcommunaute.fr</t>
        </is>
      </c>
      <c r="N695" s="4" t="inlineStr">
        <is>
          <t>https://www.ccvcommunaute.fr</t>
        </is>
      </c>
      <c r="O695" s="4" t="inlineStr">
        <is>
          <t>https://www.ccvcommunaute.fr/nos-horaires/</t>
        </is>
      </c>
      <c r="P695" s="4" t="inlineStr">
        <is>
          <t>https://lannuaire.service-public.gouv.fr/auvergne-rhone-alpes/puy-de-dome/d216b03a-a8fe-46e1-8987-c249f8c1609d</t>
        </is>
      </c>
      <c r="Q695" t="inlineStr">
        <is>
          <t>Annuaire Service-public.fr</t>
        </is>
      </c>
      <c r="R695" t="inlineStr"/>
      <c r="S695" t="inlineStr"/>
      <c r="T695" t="inlineStr"/>
    </row>
    <row r="696">
      <c r="A696" t="inlineStr">
        <is>
          <t>CC Combrailles Sioule et Morge</t>
        </is>
      </c>
      <c r="B696" t="inlineStr">
        <is>
          <t>Communauté de communes</t>
        </is>
      </c>
      <c r="C696" t="inlineStr">
        <is>
          <t>200072098</t>
        </is>
      </c>
      <c r="D696" t="inlineStr">
        <is>
          <t>63</t>
        </is>
      </c>
      <c r="E696" t="inlineStr">
        <is>
          <t>Puy-de-Dôme</t>
        </is>
      </c>
      <c r="F696" t="inlineStr">
        <is>
          <t>Auvergne-Rhône-Alpes</t>
        </is>
      </c>
      <c r="G696" s="3" t="n">
        <v>19861</v>
      </c>
      <c r="H696" t="n">
        <v>29</v>
      </c>
      <c r="I696" t="inlineStr">
        <is>
          <t>21-23 rue Victor-Mazuel</t>
        </is>
      </c>
      <c r="J696" t="inlineStr">
        <is>
          <t>63410</t>
        </is>
      </c>
      <c r="K696" t="inlineStr">
        <is>
          <t>Manzat</t>
        </is>
      </c>
      <c r="L696" t="inlineStr">
        <is>
          <t>04 73 86 99 19</t>
        </is>
      </c>
      <c r="M696" s="4" t="inlineStr">
        <is>
          <t>secretariat-general@comcom-csm.fr</t>
        </is>
      </c>
      <c r="N696" s="4" t="inlineStr">
        <is>
          <t>https://www.combrailles-sioule-morge.fr/</t>
        </is>
      </c>
      <c r="O696" s="4" t="inlineStr">
        <is>
          <t>https://www.combrailles-sioule-morge.fr/</t>
        </is>
      </c>
      <c r="P696" s="4" t="inlineStr">
        <is>
          <t>https://lannuaire.service-public.gouv.fr/auvergne-rhone-alpes/puy-de-dome/fd3dce84-07b3-4547-9ed1-49c5b60f4e64</t>
        </is>
      </c>
      <c r="Q696" t="inlineStr">
        <is>
          <t>Annuaire Service-public.fr</t>
        </is>
      </c>
      <c r="R696" t="inlineStr"/>
      <c r="S696" t="inlineStr"/>
      <c r="T696" t="inlineStr"/>
    </row>
    <row r="697">
      <c r="A697" t="inlineStr">
        <is>
          <t>CC Dômes Sancy Artense</t>
        </is>
      </c>
      <c r="B697" t="inlineStr">
        <is>
          <t>Communauté de communes</t>
        </is>
      </c>
      <c r="C697" t="inlineStr">
        <is>
          <t>200069169</t>
        </is>
      </c>
      <c r="D697" t="inlineStr">
        <is>
          <t>63</t>
        </is>
      </c>
      <c r="E697" t="inlineStr">
        <is>
          <t>Puy-de-Dôme</t>
        </is>
      </c>
      <c r="F697" t="inlineStr">
        <is>
          <t>Auvergne-Rhône-Alpes</t>
        </is>
      </c>
      <c r="G697" s="3" t="n">
        <v>12591</v>
      </c>
      <c r="H697" t="n">
        <v>27</v>
      </c>
      <c r="I697" t="inlineStr">
        <is>
          <t>23 route de Clermont</t>
        </is>
      </c>
      <c r="J697" t="inlineStr">
        <is>
          <t>63210</t>
        </is>
      </c>
      <c r="K697" t="inlineStr">
        <is>
          <t>Rochefort-Montagne</t>
        </is>
      </c>
      <c r="L697" t="inlineStr">
        <is>
          <t>04 73 65 87 63</t>
        </is>
      </c>
      <c r="M697" s="4" t="inlineStr">
        <is>
          <t>accueil@domes-sancyartense.fr</t>
        </is>
      </c>
      <c r="N697" s="4" t="inlineStr">
        <is>
          <t>https://www.domes-sancyartense.fr/</t>
        </is>
      </c>
      <c r="O697" t="inlineStr"/>
      <c r="P697" s="4" t="inlineStr">
        <is>
          <t>https://lannuaire.service-public.gouv.fr/auvergne-rhone-alpes/puy-de-dome/0cf5db2f-b352-4259-81ce-9522e85443be</t>
        </is>
      </c>
      <c r="Q697" t="inlineStr">
        <is>
          <t>Annuaire Service-public.fr</t>
        </is>
      </c>
      <c r="R697" t="inlineStr"/>
      <c r="S697" t="inlineStr"/>
      <c r="T697" t="inlineStr"/>
    </row>
    <row r="698">
      <c r="A698" t="inlineStr">
        <is>
          <t>CC Entre Dore et Allier</t>
        </is>
      </c>
      <c r="B698" t="inlineStr">
        <is>
          <t>Communauté de communes</t>
        </is>
      </c>
      <c r="C698" t="inlineStr">
        <is>
          <t>246301097</t>
        </is>
      </c>
      <c r="D698" t="inlineStr">
        <is>
          <t>63</t>
        </is>
      </c>
      <c r="E698" t="inlineStr">
        <is>
          <t>Puy-de-Dôme</t>
        </is>
      </c>
      <c r="F698" t="inlineStr">
        <is>
          <t>Auvergne-Rhône-Alpes</t>
        </is>
      </c>
      <c r="G698" s="3" t="n">
        <v>19687</v>
      </c>
      <c r="H698" t="n">
        <v>14</v>
      </c>
      <c r="I698" t="inlineStr">
        <is>
          <t>29 avenue de Verdun</t>
        </is>
      </c>
      <c r="J698" t="inlineStr">
        <is>
          <t>63190</t>
        </is>
      </c>
      <c r="K698" t="inlineStr">
        <is>
          <t>Lezoux</t>
        </is>
      </c>
      <c r="L698" t="inlineStr">
        <is>
          <t>04 73 73 95 10</t>
        </is>
      </c>
      <c r="M698" s="4" t="inlineStr">
        <is>
          <t>contact@ccdoreallier.fr</t>
        </is>
      </c>
      <c r="N698" s="4" t="inlineStr">
        <is>
          <t>http://www.ccdoreallier.fr</t>
        </is>
      </c>
      <c r="O698" s="4" t="inlineStr">
        <is>
          <t>http://www.ccdoreallier.fr/contact/</t>
        </is>
      </c>
      <c r="P698" s="4" t="inlineStr">
        <is>
          <t>https://lannuaire.service-public.gouv.fr/auvergne-rhone-alpes/puy-de-dome/c109728b-d82b-403c-86cb-754d6965039e</t>
        </is>
      </c>
      <c r="Q698" t="inlineStr">
        <is>
          <t>Annuaire Service-public.fr</t>
        </is>
      </c>
      <c r="R698" t="inlineStr"/>
      <c r="S698" t="inlineStr"/>
      <c r="T698" t="inlineStr"/>
    </row>
    <row r="699">
      <c r="A699" t="inlineStr">
        <is>
          <t>CC Mond'Arverne Communauté</t>
        </is>
      </c>
      <c r="B699" t="inlineStr">
        <is>
          <t>Communauté de communes</t>
        </is>
      </c>
      <c r="C699" t="inlineStr">
        <is>
          <t>200069177</t>
        </is>
      </c>
      <c r="D699" t="inlineStr">
        <is>
          <t>63</t>
        </is>
      </c>
      <c r="E699" t="inlineStr">
        <is>
          <t>Puy-de-Dôme</t>
        </is>
      </c>
      <c r="F699" t="inlineStr">
        <is>
          <t>Auvergne-Rhône-Alpes</t>
        </is>
      </c>
      <c r="G699" s="3" t="n">
        <v>41032</v>
      </c>
      <c r="H699" t="n">
        <v>27</v>
      </c>
      <c r="I699" t="inlineStr">
        <is>
          <t>ZA Le Pra-de-Serre</t>
        </is>
      </c>
      <c r="J699" t="inlineStr">
        <is>
          <t>63960</t>
        </is>
      </c>
      <c r="K699" t="inlineStr">
        <is>
          <t>Veyre-Monton</t>
        </is>
      </c>
      <c r="L699" t="inlineStr">
        <is>
          <t>04 73 39 62 00</t>
        </is>
      </c>
      <c r="M699" s="4" t="inlineStr">
        <is>
          <t>contact@mond-arverne.fr</t>
        </is>
      </c>
      <c r="N699" s="4" t="inlineStr">
        <is>
          <t>https://www.mond-arverne.fr/</t>
        </is>
      </c>
      <c r="O699" s="4" t="inlineStr">
        <is>
          <t>https://www.mond-arverne.fr/</t>
        </is>
      </c>
      <c r="P699" s="4" t="inlineStr">
        <is>
          <t>https://lannuaire.service-public.gouv.fr/auvergne-rhone-alpes/puy-de-dome/90d0cc8d-8259-438f-86c6-fda5baba8eee</t>
        </is>
      </c>
      <c r="Q699" t="inlineStr">
        <is>
          <t>Annuaire Service-public.fr</t>
        </is>
      </c>
      <c r="R699" t="inlineStr"/>
      <c r="S699" t="inlineStr"/>
      <c r="T699" t="inlineStr"/>
    </row>
    <row r="700">
      <c r="A700" t="inlineStr">
        <is>
          <t>CC Plaine Limagne</t>
        </is>
      </c>
      <c r="B700" t="inlineStr">
        <is>
          <t>Communauté de communes</t>
        </is>
      </c>
      <c r="C700" t="inlineStr">
        <is>
          <t>200071199</t>
        </is>
      </c>
      <c r="D700" t="inlineStr">
        <is>
          <t>63</t>
        </is>
      </c>
      <c r="E700" t="inlineStr">
        <is>
          <t>Puy-de-Dôme</t>
        </is>
      </c>
      <c r="F700" t="inlineStr">
        <is>
          <t>Auvergne-Rhône-Alpes</t>
        </is>
      </c>
      <c r="G700" s="3" t="n">
        <v>21410</v>
      </c>
      <c r="H700" t="n">
        <v>25</v>
      </c>
      <c r="I700" t="inlineStr">
        <is>
          <t>158 Grande rue</t>
        </is>
      </c>
      <c r="J700" t="inlineStr">
        <is>
          <t>63260</t>
        </is>
      </c>
      <c r="K700" t="inlineStr">
        <is>
          <t>Aigueperse</t>
        </is>
      </c>
      <c r="L700" t="inlineStr">
        <is>
          <t>04 73 86 89 80</t>
        </is>
      </c>
      <c r="M700" s="4" t="inlineStr">
        <is>
          <t>contact@plainelimagne.fr</t>
        </is>
      </c>
      <c r="N700" s="4" t="inlineStr">
        <is>
          <t>https://www.plainelimagne.com/</t>
        </is>
      </c>
      <c r="O700" s="4" t="inlineStr">
        <is>
          <t>https://www.plainelimagne.com/</t>
        </is>
      </c>
      <c r="P700" s="4" t="inlineStr">
        <is>
          <t>https://lannuaire.service-public.gouv.fr/auvergne-rhone-alpes/puy-de-dome/6837692d-1e5b-49e8-88ee-ef8483598bb5</t>
        </is>
      </c>
      <c r="Q700" t="inlineStr">
        <is>
          <t>Annuaire Service-public.fr</t>
        </is>
      </c>
      <c r="R700" t="inlineStr"/>
      <c r="S700" t="inlineStr"/>
      <c r="T700" t="inlineStr"/>
    </row>
    <row r="701">
      <c r="A701" t="inlineStr">
        <is>
          <t>CC Thiers Dore et Montagne</t>
        </is>
      </c>
      <c r="B701" t="inlineStr">
        <is>
          <t>Communauté de communes</t>
        </is>
      </c>
      <c r="C701" t="inlineStr">
        <is>
          <t>200070712</t>
        </is>
      </c>
      <c r="D701" t="inlineStr">
        <is>
          <t>63</t>
        </is>
      </c>
      <c r="E701" t="inlineStr">
        <is>
          <t>Puy-de-Dôme</t>
        </is>
      </c>
      <c r="F701" t="inlineStr">
        <is>
          <t>Auvergne-Rhône-Alpes</t>
        </is>
      </c>
      <c r="G701" s="3" t="n">
        <v>36767</v>
      </c>
      <c r="H701" t="n">
        <v>30</v>
      </c>
      <c r="I701" t="inlineStr">
        <is>
          <t>47 avenue du Général-de-Gaulle</t>
        </is>
      </c>
      <c r="J701" t="inlineStr">
        <is>
          <t>63300</t>
        </is>
      </c>
      <c r="K701" t="inlineStr">
        <is>
          <t>Thiers</t>
        </is>
      </c>
      <c r="L701" t="inlineStr">
        <is>
          <t>04 73 53 24 71</t>
        </is>
      </c>
      <c r="M701" s="4" t="inlineStr">
        <is>
          <t>contact@cctdm.fr</t>
        </is>
      </c>
      <c r="N701" s="4" t="inlineStr">
        <is>
          <t>https://www.cctdm.fr/</t>
        </is>
      </c>
      <c r="O701" s="4" t="inlineStr">
        <is>
          <t>https://www.cctdm.fr/contact</t>
        </is>
      </c>
      <c r="P701" s="4" t="inlineStr">
        <is>
          <t>https://lannuaire.service-public.gouv.fr/auvergne-rhone-alpes/puy-de-dome/9beda32a-fe8d-4785-a934-3036869e54b6</t>
        </is>
      </c>
      <c r="Q701" t="inlineStr">
        <is>
          <t>Annuaire Service-public.fr</t>
        </is>
      </c>
      <c r="R701" t="inlineStr"/>
      <c r="S701" t="inlineStr"/>
      <c r="T701" t="inlineStr"/>
    </row>
    <row r="702">
      <c r="A702" t="inlineStr">
        <is>
          <t>CC du Pays de Saint-Eloy</t>
        </is>
      </c>
      <c r="B702" t="inlineStr">
        <is>
          <t>Communauté de communes</t>
        </is>
      </c>
      <c r="C702" t="inlineStr">
        <is>
          <t>200072080</t>
        </is>
      </c>
      <c r="D702" t="inlineStr">
        <is>
          <t>63</t>
        </is>
      </c>
      <c r="E702" t="inlineStr">
        <is>
          <t>Puy-de-Dôme</t>
        </is>
      </c>
      <c r="F702" t="inlineStr">
        <is>
          <t>Auvergne-Rhône-Alpes</t>
        </is>
      </c>
      <c r="G702" s="3" t="n">
        <v>15464</v>
      </c>
      <c r="H702" t="n">
        <v>34</v>
      </c>
      <c r="I702" t="inlineStr">
        <is>
          <t>Rue du Puits-Saint-Joseph</t>
        </is>
      </c>
      <c r="J702" t="inlineStr">
        <is>
          <t>63700</t>
        </is>
      </c>
      <c r="K702" t="inlineStr">
        <is>
          <t>Saint-Eloy-les-Mines</t>
        </is>
      </c>
      <c r="L702" t="inlineStr">
        <is>
          <t>04 73 52 72 72</t>
        </is>
      </c>
      <c r="M702" s="4" t="inlineStr">
        <is>
          <t>accueil@paysdesainteloy.fr</t>
        </is>
      </c>
      <c r="N702" s="4" t="inlineStr">
        <is>
          <t>https://www.paysdesainteloy.fr</t>
        </is>
      </c>
      <c r="O702" t="inlineStr"/>
      <c r="P702" s="4" t="inlineStr">
        <is>
          <t>https://lannuaire.service-public.gouv.fr/auvergne-rhone-alpes/puy-de-dome/a21980d3-e074-467c-88aa-b01ca0366097</t>
        </is>
      </c>
      <c r="Q702" t="inlineStr">
        <is>
          <t>Annuaire Service-public.fr</t>
        </is>
      </c>
      <c r="R702" t="inlineStr"/>
      <c r="S702" t="inlineStr"/>
      <c r="T702" t="inlineStr"/>
    </row>
    <row r="703">
      <c r="A703" t="inlineStr">
        <is>
          <t>CC Adour Madiran</t>
        </is>
      </c>
      <c r="B703" t="inlineStr">
        <is>
          <t>Communauté de communes</t>
        </is>
      </c>
      <c r="C703" t="inlineStr">
        <is>
          <t>200072106</t>
        </is>
      </c>
      <c r="D703" t="inlineStr">
        <is>
          <t>64, 65</t>
        </is>
      </c>
      <c r="E703" t="inlineStr">
        <is>
          <t>Pyrénées-Atlantiques, Hautes-Pyrénées</t>
        </is>
      </c>
      <c r="F703" t="inlineStr">
        <is>
          <t>Nouvelle-Aquitaine, Occitanie</t>
        </is>
      </c>
      <c r="G703" s="3" t="n">
        <v>23958</v>
      </c>
      <c r="H703" t="n">
        <v>72</v>
      </c>
      <c r="I703" t="inlineStr">
        <is>
          <t>21 place du Corps-Franc-Pommiès</t>
        </is>
      </c>
      <c r="J703" t="inlineStr">
        <is>
          <t>65500</t>
        </is>
      </c>
      <c r="K703" t="inlineStr">
        <is>
          <t>Vic-en-Bigorre</t>
        </is>
      </c>
      <c r="L703" t="inlineStr">
        <is>
          <t>05 62 31 68 84</t>
        </is>
      </c>
      <c r="M703" s="4" t="inlineStr">
        <is>
          <t>contact@adour-madiran.fr</t>
        </is>
      </c>
      <c r="N703" s="4" t="inlineStr">
        <is>
          <t>https://www.adour-madiran.fr/</t>
        </is>
      </c>
      <c r="O703" s="4" t="inlineStr">
        <is>
          <t>https://www.adour-madiran.fr/systeme/nous-contacter/</t>
        </is>
      </c>
      <c r="P703" s="4" t="inlineStr">
        <is>
          <t>https://lannuaire.service-public.gouv.fr/occitanie/hautes-pyrenees/1a85d3a4-75fb-4d31-aacc-41c33033086f</t>
        </is>
      </c>
      <c r="Q703" t="inlineStr">
        <is>
          <t>Annuaire Service-public.fr</t>
        </is>
      </c>
      <c r="R703" t="inlineStr"/>
      <c r="S703" t="inlineStr"/>
      <c r="T703" t="inlineStr"/>
    </row>
    <row r="704">
      <c r="A704" t="inlineStr">
        <is>
          <t>CC Pays de Nay</t>
        </is>
      </c>
      <c r="B704" t="inlineStr">
        <is>
          <t>Communauté de communes</t>
        </is>
      </c>
      <c r="C704" t="inlineStr">
        <is>
          <t>246401756</t>
        </is>
      </c>
      <c r="D704" t="inlineStr">
        <is>
          <t>64, 65</t>
        </is>
      </c>
      <c r="E704" t="inlineStr">
        <is>
          <t>Pyrénées-Atlantiques, Hautes-Pyrénées</t>
        </is>
      </c>
      <c r="F704" t="inlineStr">
        <is>
          <t>Nouvelle-Aquitaine, Occitanie</t>
        </is>
      </c>
      <c r="G704" s="3" t="n">
        <v>28877</v>
      </c>
      <c r="H704" t="n">
        <v>29</v>
      </c>
      <c r="I704" t="inlineStr">
        <is>
          <t>12 rue Montplaisir, Parc d'activités économiques Montplaisir</t>
        </is>
      </c>
      <c r="J704" t="inlineStr">
        <is>
          <t>64800</t>
        </is>
      </c>
      <c r="K704" t="inlineStr">
        <is>
          <t>Bénéjacq</t>
        </is>
      </c>
      <c r="L704" t="inlineStr">
        <is>
          <t>05 59 61 11 82</t>
        </is>
      </c>
      <c r="M704" s="4" t="inlineStr">
        <is>
          <t>contact@paysdenay.fr</t>
        </is>
      </c>
      <c r="N704" s="4" t="inlineStr">
        <is>
          <t>https://www.paysdenay.fr/</t>
        </is>
      </c>
      <c r="O704" s="4" t="inlineStr">
        <is>
          <t>https://www.paysdenay.fr/contact</t>
        </is>
      </c>
      <c r="P704" s="4" t="inlineStr">
        <is>
          <t>https://lannuaire.service-public.gouv.fr/nouvelle-aquitaine/pyrenees-atlantiques/78b4775a-2dbe-4281-a0df-c7c2e191969b</t>
        </is>
      </c>
      <c r="Q704" t="inlineStr">
        <is>
          <t>Annuaire Service-public.fr</t>
        </is>
      </c>
      <c r="R704" t="inlineStr"/>
      <c r="S704" t="inlineStr"/>
      <c r="T704" t="inlineStr"/>
    </row>
    <row r="705">
      <c r="A705" t="inlineStr">
        <is>
          <t>CC de Lacq-Orthez</t>
        </is>
      </c>
      <c r="B705" t="inlineStr">
        <is>
          <t>Communauté de communes</t>
        </is>
      </c>
      <c r="C705" t="inlineStr">
        <is>
          <t>200039204</t>
        </is>
      </c>
      <c r="D705" t="inlineStr">
        <is>
          <t>64</t>
        </is>
      </c>
      <c r="E705" t="inlineStr">
        <is>
          <t>Pyrénées-Atlantiques</t>
        </is>
      </c>
      <c r="F705" t="inlineStr">
        <is>
          <t>Nouvelle-Aquitaine</t>
        </is>
      </c>
      <c r="G705" s="3" t="n">
        <v>52957</v>
      </c>
      <c r="H705" t="n">
        <v>60</v>
      </c>
      <c r="I705" t="inlineStr">
        <is>
          <t>Rond-point des Chênes</t>
        </is>
      </c>
      <c r="J705" t="inlineStr">
        <is>
          <t>64150</t>
        </is>
      </c>
      <c r="K705" t="inlineStr">
        <is>
          <t>Mourenx</t>
        </is>
      </c>
      <c r="L705" t="inlineStr">
        <is>
          <t>05 59 60 03 46</t>
        </is>
      </c>
      <c r="M705" s="4" t="inlineStr">
        <is>
          <t>contact@cc-lacqorthez.fr</t>
        </is>
      </c>
      <c r="N705" s="4" t="inlineStr">
        <is>
          <t>https://www.cc-lacqorthez.fr/</t>
        </is>
      </c>
      <c r="O705" s="4" t="inlineStr">
        <is>
          <t>https://www.cc-lacqorthez.fr/contactez-nous</t>
        </is>
      </c>
      <c r="P705" s="4" t="inlineStr">
        <is>
          <t>https://lannuaire.service-public.gouv.fr/nouvelle-aquitaine/pyrenees-atlantiques/061530ab-d7e6-4ec2-a484-6008ffb58f03</t>
        </is>
      </c>
      <c r="Q705" t="inlineStr">
        <is>
          <t>Annuaire Service-public.fr</t>
        </is>
      </c>
      <c r="R705" t="inlineStr"/>
      <c r="S705" t="inlineStr"/>
      <c r="T705" t="inlineStr"/>
    </row>
    <row r="706">
      <c r="A706" t="inlineStr">
        <is>
          <t>CC de la Vallée d'Ossau</t>
        </is>
      </c>
      <c r="B706" t="inlineStr">
        <is>
          <t>Communauté de communes</t>
        </is>
      </c>
      <c r="C706" t="inlineStr">
        <is>
          <t>246400337</t>
        </is>
      </c>
      <c r="D706" t="inlineStr">
        <is>
          <t>64</t>
        </is>
      </c>
      <c r="E706" t="inlineStr">
        <is>
          <t>Pyrénées-Atlantiques</t>
        </is>
      </c>
      <c r="F706" t="inlineStr">
        <is>
          <t>Nouvelle-Aquitaine</t>
        </is>
      </c>
      <c r="G706" s="3" t="n">
        <v>9728</v>
      </c>
      <c r="H706" t="n">
        <v>18</v>
      </c>
      <c r="I706" t="inlineStr">
        <is>
          <t>1 avenue des Pyrénées</t>
        </is>
      </c>
      <c r="J706" t="inlineStr">
        <is>
          <t>64260</t>
        </is>
      </c>
      <c r="K706" t="inlineStr">
        <is>
          <t>Arudy</t>
        </is>
      </c>
      <c r="L706" t="inlineStr">
        <is>
          <t>05 59 05 66 77</t>
        </is>
      </c>
      <c r="M706" s="4" t="inlineStr">
        <is>
          <t>ccvo@cc-ossau.fr</t>
        </is>
      </c>
      <c r="N706" s="4" t="inlineStr">
        <is>
          <t>https://cc-ossau.fr/</t>
        </is>
      </c>
      <c r="O706" t="inlineStr"/>
      <c r="P706" s="4" t="inlineStr">
        <is>
          <t>https://lannuaire.service-public.gouv.fr/nouvelle-aquitaine/pyrenees-atlantiques/50595a6f-3069-4b86-9b1c-0e1ce110fa9a</t>
        </is>
      </c>
      <c r="Q706" t="inlineStr">
        <is>
          <t>Annuaire Service-public.fr</t>
        </is>
      </c>
      <c r="R706" t="inlineStr"/>
      <c r="S706" t="inlineStr"/>
      <c r="T706" t="inlineStr"/>
    </row>
    <row r="707">
      <c r="A707" t="inlineStr">
        <is>
          <t>CC des Luys en Béarn</t>
        </is>
      </c>
      <c r="B707" t="inlineStr">
        <is>
          <t>Communauté de communes</t>
        </is>
      </c>
      <c r="C707" t="inlineStr">
        <is>
          <t>200067239</t>
        </is>
      </c>
      <c r="D707" t="inlineStr">
        <is>
          <t>64</t>
        </is>
      </c>
      <c r="E707" t="inlineStr">
        <is>
          <t>Pyrénées-Atlantiques</t>
        </is>
      </c>
      <c r="F707" t="inlineStr">
        <is>
          <t>Nouvelle-Aquitaine</t>
        </is>
      </c>
      <c r="G707" s="3" t="n">
        <v>29307</v>
      </c>
      <c r="H707" t="n">
        <v>66</v>
      </c>
      <c r="I707" t="inlineStr">
        <is>
          <t>68 chemin de Pau</t>
        </is>
      </c>
      <c r="J707" t="inlineStr">
        <is>
          <t>64121</t>
        </is>
      </c>
      <c r="K707" t="inlineStr">
        <is>
          <t>Serres-Castet</t>
        </is>
      </c>
      <c r="L707" t="inlineStr">
        <is>
          <t>05 59 33 72 34</t>
        </is>
      </c>
      <c r="M707" s="4" t="inlineStr">
        <is>
          <t>contact@cclb64.fr</t>
        </is>
      </c>
      <c r="N707" s="4" t="inlineStr">
        <is>
          <t>https://www.cclb64.fr/</t>
        </is>
      </c>
      <c r="O707" t="inlineStr"/>
      <c r="P707" s="4" t="inlineStr">
        <is>
          <t>https://lannuaire.service-public.gouv.fr/nouvelle-aquitaine/pyrenees-atlantiques/2fd23b93-30af-4a9c-a125-aa44d04b3db8</t>
        </is>
      </c>
      <c r="Q707" t="inlineStr">
        <is>
          <t>Annuaire Service-public.fr</t>
        </is>
      </c>
      <c r="R707" t="inlineStr"/>
      <c r="S707" t="inlineStr"/>
      <c r="T707" t="inlineStr"/>
    </row>
    <row r="708">
      <c r="A708" t="inlineStr">
        <is>
          <t>CC du Béarn des Gaves</t>
        </is>
      </c>
      <c r="B708" t="inlineStr">
        <is>
          <t>Communauté de communes</t>
        </is>
      </c>
      <c r="C708" t="inlineStr">
        <is>
          <t>200067288</t>
        </is>
      </c>
      <c r="D708" t="inlineStr">
        <is>
          <t>64</t>
        </is>
      </c>
      <c r="E708" t="inlineStr">
        <is>
          <t>Pyrénées-Atlantiques</t>
        </is>
      </c>
      <c r="F708" t="inlineStr">
        <is>
          <t>Nouvelle-Aquitaine</t>
        </is>
      </c>
      <c r="G708" s="3" t="n">
        <v>17547</v>
      </c>
      <c r="H708" t="n">
        <v>53</v>
      </c>
      <c r="I708" t="inlineStr">
        <is>
          <t>289 route d'Orthez</t>
        </is>
      </c>
      <c r="J708" t="inlineStr">
        <is>
          <t>64270</t>
        </is>
      </c>
      <c r="K708" t="inlineStr">
        <is>
          <t>Salies-de-Béarn</t>
        </is>
      </c>
      <c r="L708" t="inlineStr">
        <is>
          <t>05 59 38 30 46</t>
        </is>
      </c>
      <c r="M708" s="4" t="inlineStr">
        <is>
          <t>accueil@ccbearndesgaves.fr</t>
        </is>
      </c>
      <c r="N708" s="4" t="inlineStr">
        <is>
          <t>https://www.ccbearndesgaves.fr/</t>
        </is>
      </c>
      <c r="O708" s="4" t="inlineStr">
        <is>
          <t>https://www.ccbearndesgaves.fr/contact</t>
        </is>
      </c>
      <c r="P708" s="4" t="inlineStr">
        <is>
          <t>https://lannuaire.service-public.gouv.fr/nouvelle-aquitaine/pyrenees-atlantiques/8cff5c4b-0be2-417e-b596-001faf3d66bf</t>
        </is>
      </c>
      <c r="Q708" t="inlineStr">
        <is>
          <t>Annuaire Service-public.fr</t>
        </is>
      </c>
      <c r="R708" t="inlineStr"/>
      <c r="S708" t="inlineStr"/>
      <c r="T708" t="inlineStr"/>
    </row>
    <row r="709">
      <c r="A709" t="inlineStr">
        <is>
          <t>CC du Haut Béarn</t>
        </is>
      </c>
      <c r="B709" t="inlineStr">
        <is>
          <t>Communauté de communes</t>
        </is>
      </c>
      <c r="C709" t="inlineStr">
        <is>
          <t>200067262</t>
        </is>
      </c>
      <c r="D709" t="inlineStr">
        <is>
          <t>64</t>
        </is>
      </c>
      <c r="E709" t="inlineStr">
        <is>
          <t>Pyrénées-Atlantiques</t>
        </is>
      </c>
      <c r="F709" t="inlineStr">
        <is>
          <t>Nouvelle-Aquitaine</t>
        </is>
      </c>
      <c r="G709" s="3" t="n">
        <v>32038</v>
      </c>
      <c r="H709" t="n">
        <v>48</v>
      </c>
      <c r="I709" t="inlineStr">
        <is>
          <t>12 place de Jaca, CS 20067</t>
        </is>
      </c>
      <c r="J709" t="inlineStr">
        <is>
          <t>64402</t>
        </is>
      </c>
      <c r="K709" t="inlineStr">
        <is>
          <t>Oloron-Sainte-Marie Cedex</t>
        </is>
      </c>
      <c r="L709" t="inlineStr">
        <is>
          <t>05 59 10 35 70</t>
        </is>
      </c>
      <c r="M709" s="4" t="inlineStr">
        <is>
          <t>dgs@hautbearn.fr</t>
        </is>
      </c>
      <c r="N709" s="4" t="inlineStr">
        <is>
          <t>https://www.hautbearn.fr</t>
        </is>
      </c>
      <c r="O709" s="4" t="inlineStr">
        <is>
          <t>https://www.hautbearn.fr/contactez-nous</t>
        </is>
      </c>
      <c r="P709" s="4" t="inlineStr">
        <is>
          <t>https://lannuaire.service-public.gouv.fr/nouvelle-aquitaine/pyrenees-atlantiques/46574109-cb84-4fb6-b9d1-641e7de8cdf6</t>
        </is>
      </c>
      <c r="Q709" t="inlineStr">
        <is>
          <t>Annuaire Service-public.fr</t>
        </is>
      </c>
      <c r="R709" t="inlineStr"/>
      <c r="S709" t="inlineStr"/>
      <c r="T709" t="inlineStr"/>
    </row>
    <row r="710">
      <c r="A710" t="inlineStr">
        <is>
          <t>CC du Nord Est Béarn</t>
        </is>
      </c>
      <c r="B710" t="inlineStr">
        <is>
          <t>Communauté de communes</t>
        </is>
      </c>
      <c r="C710" t="inlineStr">
        <is>
          <t>200067296</t>
        </is>
      </c>
      <c r="D710" t="inlineStr">
        <is>
          <t>64</t>
        </is>
      </c>
      <c r="E710" t="inlineStr">
        <is>
          <t>Pyrénées-Atlantiques</t>
        </is>
      </c>
      <c r="F710" t="inlineStr">
        <is>
          <t>Nouvelle-Aquitaine</t>
        </is>
      </c>
      <c r="G710" s="3" t="n">
        <v>34830</v>
      </c>
      <c r="H710" t="n">
        <v>73</v>
      </c>
      <c r="I710" t="inlineStr">
        <is>
          <t>1 rue Saint-Exupéry</t>
        </is>
      </c>
      <c r="J710" t="inlineStr">
        <is>
          <t>64160</t>
        </is>
      </c>
      <c r="K710" t="inlineStr">
        <is>
          <t>Morlaàs</t>
        </is>
      </c>
      <c r="L710" t="inlineStr">
        <is>
          <t>05 59 33 46 10</t>
        </is>
      </c>
      <c r="M710" s="4" t="inlineStr">
        <is>
          <t>contact@cc-nordestbearn.fr</t>
        </is>
      </c>
      <c r="N710" s="4" t="inlineStr">
        <is>
          <t>https://www.cc-nordestbearn.fr/</t>
        </is>
      </c>
      <c r="O710" s="4" t="inlineStr">
        <is>
          <t>https://www.cc-nordestbearn.fr/formulaire-de-contact</t>
        </is>
      </c>
      <c r="P710" s="4" t="inlineStr">
        <is>
          <t>https://lannuaire.service-public.gouv.fr/nouvelle-aquitaine/pyrenees-atlantiques/8dd94f32-51f0-4ca0-8d51-b7e792903eda</t>
        </is>
      </c>
      <c r="Q710" t="inlineStr">
        <is>
          <t>Annuaire Service-public.fr</t>
        </is>
      </c>
      <c r="R710" t="inlineStr"/>
      <c r="S710" t="inlineStr"/>
      <c r="T710" t="inlineStr"/>
    </row>
    <row r="711">
      <c r="A711" t="inlineStr">
        <is>
          <t>CC Aure Louron</t>
        </is>
      </c>
      <c r="B711" t="inlineStr">
        <is>
          <t>Communauté de communes</t>
        </is>
      </c>
      <c r="C711" t="inlineStr">
        <is>
          <t>246500573</t>
        </is>
      </c>
      <c r="D711" t="inlineStr">
        <is>
          <t>65</t>
        </is>
      </c>
      <c r="E711" t="inlineStr">
        <is>
          <t>Hautes-Pyrénées</t>
        </is>
      </c>
      <c r="F711" t="inlineStr">
        <is>
          <t>Occitanie</t>
        </is>
      </c>
      <c r="G711" s="3" t="n">
        <v>6961</v>
      </c>
      <c r="H711" t="n">
        <v>46</v>
      </c>
      <c r="I711" t="inlineStr">
        <is>
          <t>2 avenue Calamun, Château de Ségure</t>
        </is>
      </c>
      <c r="J711" t="inlineStr">
        <is>
          <t>65240</t>
        </is>
      </c>
      <c r="K711" t="inlineStr">
        <is>
          <t>Arreau</t>
        </is>
      </c>
      <c r="L711" t="inlineStr">
        <is>
          <t>05 62 40 10 71</t>
        </is>
      </c>
      <c r="M711" s="4" t="inlineStr">
        <is>
          <t>contact@aure-louron.fr</t>
        </is>
      </c>
      <c r="N711" s="4" t="inlineStr">
        <is>
          <t>https://www.aure-louron.fr/</t>
        </is>
      </c>
      <c r="O711" s="4" t="inlineStr">
        <is>
          <t>https://www.aure-louron.fr/contact.html</t>
        </is>
      </c>
      <c r="P711" s="4" t="inlineStr">
        <is>
          <t>https://lannuaire.service-public.gouv.fr/occitanie/hautes-pyrenees/df300c30-7b29-444d-a637-392cdc54f733</t>
        </is>
      </c>
      <c r="Q711" t="inlineStr">
        <is>
          <t>Annuaire Service-public.fr</t>
        </is>
      </c>
      <c r="R711" t="inlineStr"/>
      <c r="S711" t="inlineStr"/>
      <c r="T711" t="inlineStr"/>
    </row>
    <row r="712">
      <c r="A712" t="inlineStr">
        <is>
          <t>CC Neste Barousse</t>
        </is>
      </c>
      <c r="B712" t="inlineStr">
        <is>
          <t>Communauté de communes</t>
        </is>
      </c>
      <c r="C712" t="inlineStr">
        <is>
          <t>200070829</t>
        </is>
      </c>
      <c r="D712" t="inlineStr">
        <is>
          <t>65</t>
        </is>
      </c>
      <c r="E712" t="inlineStr">
        <is>
          <t>Hautes-Pyrénées</t>
        </is>
      </c>
      <c r="F712" t="inlineStr">
        <is>
          <t>Occitanie</t>
        </is>
      </c>
      <c r="G712" s="3" t="n">
        <v>7354</v>
      </c>
      <c r="H712" t="n">
        <v>43</v>
      </c>
      <c r="I712" t="inlineStr">
        <is>
          <t>15 croix des Huguenots, Communauté de communes - Neste Barousse</t>
        </is>
      </c>
      <c r="J712" t="inlineStr">
        <is>
          <t>65370</t>
        </is>
      </c>
      <c r="K712" t="inlineStr">
        <is>
          <t>Sarp</t>
        </is>
      </c>
      <c r="L712" t="inlineStr">
        <is>
          <t>05 62 99 35 23</t>
        </is>
      </c>
      <c r="M712" s="4" t="inlineStr">
        <is>
          <t>accueil@neste-barousse.fr</t>
        </is>
      </c>
      <c r="N712" s="4" t="inlineStr">
        <is>
          <t>https://neste-barousse.fr/</t>
        </is>
      </c>
      <c r="O712" s="4" t="inlineStr">
        <is>
          <t>https://neste-barousse.fr/cc-neste-barousse/contact/</t>
        </is>
      </c>
      <c r="P712" s="4" t="inlineStr">
        <is>
          <t>https://lannuaire.service-public.gouv.fr/occitanie/hautes-pyrenees/3a1f59d6-92f9-4c56-918d-b8ebbee406b8</t>
        </is>
      </c>
      <c r="Q712" t="inlineStr">
        <is>
          <t>Annuaire Service-public.fr</t>
        </is>
      </c>
      <c r="R712" t="inlineStr"/>
      <c r="S712" t="inlineStr"/>
      <c r="T712" t="inlineStr"/>
    </row>
    <row r="713">
      <c r="A713" t="inlineStr">
        <is>
          <t>CC Pyrénées Vallées des Gaves</t>
        </is>
      </c>
      <c r="B713" t="inlineStr">
        <is>
          <t>Communauté de communes</t>
        </is>
      </c>
      <c r="C713" t="inlineStr">
        <is>
          <t>200070811</t>
        </is>
      </c>
      <c r="D713" t="inlineStr">
        <is>
          <t>65</t>
        </is>
      </c>
      <c r="E713" t="inlineStr">
        <is>
          <t>Hautes-Pyrénées</t>
        </is>
      </c>
      <c r="F713" t="inlineStr">
        <is>
          <t>Occitanie</t>
        </is>
      </c>
      <c r="G713" s="3" t="n">
        <v>15144</v>
      </c>
      <c r="H713" t="n">
        <v>46</v>
      </c>
      <c r="I713" t="inlineStr">
        <is>
          <t>1 rue Saint-Orens</t>
        </is>
      </c>
      <c r="J713" t="inlineStr">
        <is>
          <t>65400</t>
        </is>
      </c>
      <c r="K713" t="inlineStr">
        <is>
          <t>Argelès-Gazost</t>
        </is>
      </c>
      <c r="L713" t="inlineStr">
        <is>
          <t>05 62 97 55 18</t>
        </is>
      </c>
      <c r="M713" s="4" t="inlineStr">
        <is>
          <t>courriel@ccpvg.fr</t>
        </is>
      </c>
      <c r="N713" s="4" t="inlineStr">
        <is>
          <t>https://ccpvg.fr/</t>
        </is>
      </c>
      <c r="O713" s="4" t="inlineStr">
        <is>
          <t>https://ccpvg.fr/contactez-nous/</t>
        </is>
      </c>
      <c r="P713" s="4" t="inlineStr">
        <is>
          <t>https://lannuaire.service-public.gouv.fr/occitanie/hautes-pyrenees/3f2838cd-86ba-4c29-ab46-54fcef78a3a4</t>
        </is>
      </c>
      <c r="Q713" t="inlineStr">
        <is>
          <t>Annuaire Service-public.fr</t>
        </is>
      </c>
      <c r="R713" t="inlineStr"/>
      <c r="S713" t="inlineStr"/>
      <c r="T713" t="inlineStr"/>
    </row>
    <row r="714">
      <c r="A714" t="inlineStr">
        <is>
          <t>CC de la Haute-Bigorre</t>
        </is>
      </c>
      <c r="B714" t="inlineStr">
        <is>
          <t>Communauté de communes</t>
        </is>
      </c>
      <c r="C714" t="inlineStr">
        <is>
          <t>246500482</t>
        </is>
      </c>
      <c r="D714" t="inlineStr">
        <is>
          <t>65</t>
        </is>
      </c>
      <c r="E714" t="inlineStr">
        <is>
          <t>Hautes-Pyrénées</t>
        </is>
      </c>
      <c r="F714" t="inlineStr">
        <is>
          <t>Occitanie</t>
        </is>
      </c>
      <c r="G714" s="3" t="n">
        <v>16510</v>
      </c>
      <c r="H714" t="n">
        <v>25</v>
      </c>
      <c r="I714" t="inlineStr">
        <is>
          <t>28 place de Vignaux</t>
        </is>
      </c>
      <c r="J714" t="inlineStr">
        <is>
          <t>65201</t>
        </is>
      </c>
      <c r="K714" t="inlineStr">
        <is>
          <t>Bagnères-de-Bigorre</t>
        </is>
      </c>
      <c r="L714" t="inlineStr">
        <is>
          <t>05 62 95 08 05</t>
        </is>
      </c>
      <c r="M714" s="4" t="inlineStr">
        <is>
          <t>accueil@haute-bigorre.fr</t>
        </is>
      </c>
      <c r="N714" s="4" t="inlineStr">
        <is>
          <t>https://www.haute-bigorre.fr/</t>
        </is>
      </c>
      <c r="O714" s="4" t="inlineStr">
        <is>
          <t>https://www.haute-bigorre.fr/contactez-nous/</t>
        </is>
      </c>
      <c r="P714" s="4" t="inlineStr">
        <is>
          <t>https://lannuaire.service-public.gouv.fr/occitanie/hautes-pyrenees/a0a9039e-58d4-425c-bcb4-48698db4564e</t>
        </is>
      </c>
      <c r="Q714" t="inlineStr">
        <is>
          <t>Annuaire Service-public.fr</t>
        </is>
      </c>
      <c r="R714" t="inlineStr"/>
      <c r="S714" t="inlineStr"/>
      <c r="T714" t="inlineStr"/>
    </row>
    <row r="715">
      <c r="A715" t="inlineStr">
        <is>
          <t>CC des Coteaux du Val d'Arros</t>
        </is>
      </c>
      <c r="B715" t="inlineStr">
        <is>
          <t>Communauté de communes</t>
        </is>
      </c>
      <c r="C715" t="inlineStr">
        <is>
          <t>200070803</t>
        </is>
      </c>
      <c r="D715" t="inlineStr">
        <is>
          <t>65</t>
        </is>
      </c>
      <c r="E715" t="inlineStr">
        <is>
          <t>Hautes-Pyrénées</t>
        </is>
      </c>
      <c r="F715" t="inlineStr">
        <is>
          <t>Occitanie</t>
        </is>
      </c>
      <c r="G715" s="3" t="n">
        <v>11143</v>
      </c>
      <c r="H715" t="n">
        <v>53</v>
      </c>
      <c r="I715" t="inlineStr">
        <is>
          <t>15 place d'Astarac</t>
        </is>
      </c>
      <c r="J715" t="inlineStr">
        <is>
          <t>65190</t>
        </is>
      </c>
      <c r="K715" t="inlineStr">
        <is>
          <t>Tournay</t>
        </is>
      </c>
      <c r="L715" t="inlineStr">
        <is>
          <t>05 62 35 24 23</t>
        </is>
      </c>
      <c r="M715" s="4" t="inlineStr">
        <is>
          <t>contact@coteaux-val-arros.fr</t>
        </is>
      </c>
      <c r="N715" s="4" t="inlineStr">
        <is>
          <t>https://www.coteaux-val-arros.fr/</t>
        </is>
      </c>
      <c r="O715" s="4" t="inlineStr">
        <is>
          <t>https://www.coteaux-val-arros.fr/contactez-nous/</t>
        </is>
      </c>
      <c r="P715" s="4" t="inlineStr">
        <is>
          <t>https://lannuaire.service-public.gouv.fr/occitanie/hautes-pyrenees/e357af4a-81a0-4e62-ad79-13849f124495</t>
        </is>
      </c>
      <c r="Q715" t="inlineStr">
        <is>
          <t>Annuaire Service-public.fr</t>
        </is>
      </c>
      <c r="R715" t="inlineStr"/>
      <c r="S715" t="inlineStr"/>
      <c r="T715" t="inlineStr"/>
    </row>
    <row r="716">
      <c r="A716" t="inlineStr">
        <is>
          <t>CC du Pays de Trie et du Magnoac</t>
        </is>
      </c>
      <c r="B716" t="inlineStr">
        <is>
          <t>Communauté de communes</t>
        </is>
      </c>
      <c r="C716" t="inlineStr">
        <is>
          <t>200070795</t>
        </is>
      </c>
      <c r="D716" t="inlineStr">
        <is>
          <t>65</t>
        </is>
      </c>
      <c r="E716" t="inlineStr">
        <is>
          <t>Hautes-Pyrénées</t>
        </is>
      </c>
      <c r="F716" t="inlineStr">
        <is>
          <t>Occitanie</t>
        </is>
      </c>
      <c r="G716" s="3" t="n">
        <v>6772</v>
      </c>
      <c r="H716" t="n">
        <v>50</v>
      </c>
      <c r="I716" t="inlineStr">
        <is>
          <t>31 place de la Mairie</t>
        </is>
      </c>
      <c r="J716" t="inlineStr">
        <is>
          <t>65220</t>
        </is>
      </c>
      <c r="K716" t="inlineStr">
        <is>
          <t>Trie-sur-Baïse</t>
        </is>
      </c>
      <c r="L716" t="inlineStr">
        <is>
          <t>05 62 35 06 09</t>
        </is>
      </c>
      <c r="M716" s="4" t="inlineStr">
        <is>
          <t>ccptpaystrie@orange.fr</t>
        </is>
      </c>
      <c r="N716" s="4" t="inlineStr">
        <is>
          <t>https://www.ccptm.fr/</t>
        </is>
      </c>
      <c r="O716" s="4" t="inlineStr">
        <is>
          <t>https://ccptm.fr/contactez-nous-2/</t>
        </is>
      </c>
      <c r="P716" s="4" t="inlineStr">
        <is>
          <t>https://lannuaire.service-public.gouv.fr/occitanie/hautes-pyrenees/6756168f-ac70-43ae-90c1-9e4b89ffcf67</t>
        </is>
      </c>
      <c r="Q716" t="inlineStr">
        <is>
          <t>Annuaire Service-public.fr</t>
        </is>
      </c>
      <c r="R716" t="inlineStr"/>
      <c r="S716" t="inlineStr"/>
      <c r="T716" t="inlineStr"/>
    </row>
    <row r="717">
      <c r="A717" t="inlineStr">
        <is>
          <t>CC du Plateau de Lannemezan</t>
        </is>
      </c>
      <c r="B717" t="inlineStr">
        <is>
          <t>Communauté de communes</t>
        </is>
      </c>
      <c r="C717" t="inlineStr">
        <is>
          <t>200070787</t>
        </is>
      </c>
      <c r="D717" t="inlineStr">
        <is>
          <t>65</t>
        </is>
      </c>
      <c r="E717" t="inlineStr">
        <is>
          <t>Hautes-Pyrénées</t>
        </is>
      </c>
      <c r="F717" t="inlineStr">
        <is>
          <t>Occitanie</t>
        </is>
      </c>
      <c r="G717" s="3" t="n">
        <v>17673</v>
      </c>
      <c r="H717" t="n">
        <v>57</v>
      </c>
      <c r="I717" t="inlineStr">
        <is>
          <t>1 route d'Espagne</t>
        </is>
      </c>
      <c r="J717" t="inlineStr">
        <is>
          <t>65250</t>
        </is>
      </c>
      <c r="K717" t="inlineStr">
        <is>
          <t>La Barthe-de-Neste</t>
        </is>
      </c>
      <c r="L717" t="inlineStr">
        <is>
          <t>05 62 98 84 09</t>
        </is>
      </c>
      <c r="M717" s="4" t="inlineStr">
        <is>
          <t>accueil@ccplannemezan.fr</t>
        </is>
      </c>
      <c r="N717" s="4" t="inlineStr">
        <is>
          <t>https://www.ccplateaudelannemezan.fr/</t>
        </is>
      </c>
      <c r="O717" t="inlineStr"/>
      <c r="P717" s="4" t="inlineStr">
        <is>
          <t>https://lannuaire.service-public.gouv.fr/occitanie/hautes-pyrenees/11b0e009-c237-4bb7-b7ee-461abbcd170b</t>
        </is>
      </c>
      <c r="Q717" t="inlineStr">
        <is>
          <t>Annuaire Service-public.fr</t>
        </is>
      </c>
      <c r="R717" t="inlineStr"/>
      <c r="S717" t="inlineStr"/>
      <c r="T717" t="inlineStr"/>
    </row>
    <row r="718">
      <c r="A718" t="inlineStr">
        <is>
          <t>CC Agly Fenouillèdes</t>
        </is>
      </c>
      <c r="B718" t="inlineStr">
        <is>
          <t>Communauté de communes</t>
        </is>
      </c>
      <c r="C718" t="inlineStr">
        <is>
          <t>246600423</t>
        </is>
      </c>
      <c r="D718" t="inlineStr">
        <is>
          <t>66</t>
        </is>
      </c>
      <c r="E718" t="inlineStr">
        <is>
          <t>Pyrénées-Orientales</t>
        </is>
      </c>
      <c r="F718" t="inlineStr">
        <is>
          <t>Occitanie</t>
        </is>
      </c>
      <c r="G718" s="3" t="n">
        <v>6284</v>
      </c>
      <c r="H718" t="n">
        <v>24</v>
      </c>
      <c r="I718" t="inlineStr">
        <is>
          <t>14 rue de Lesquerde</t>
        </is>
      </c>
      <c r="J718" t="inlineStr">
        <is>
          <t>66220</t>
        </is>
      </c>
      <c r="K718" t="inlineStr">
        <is>
          <t>Saint-Paul-de-Fenouillet</t>
        </is>
      </c>
      <c r="L718" t="inlineStr">
        <is>
          <t>04 68 59 20 13</t>
        </is>
      </c>
      <c r="M718" s="4" t="inlineStr">
        <is>
          <t>contact@cc-aglyfenouilledes.fr</t>
        </is>
      </c>
      <c r="N718" s="4" t="inlineStr">
        <is>
          <t>http://www.cc-aglyfenouilledes.fr</t>
        </is>
      </c>
      <c r="O718" t="inlineStr"/>
      <c r="P718" s="4" t="inlineStr">
        <is>
          <t>https://lannuaire.service-public.gouv.fr/occitanie/pyrenees-orientales/0ac1f21d-2274-465a-959d-9c797096b9a8</t>
        </is>
      </c>
      <c r="Q718" t="inlineStr">
        <is>
          <t>Annuaire Service-public.fr</t>
        </is>
      </c>
      <c r="R718" t="inlineStr"/>
      <c r="S718" t="inlineStr"/>
      <c r="T718" t="inlineStr"/>
    </row>
    <row r="719">
      <c r="A719" t="inlineStr">
        <is>
          <t>CC Conflent-Canigó</t>
        </is>
      </c>
      <c r="B719" t="inlineStr">
        <is>
          <t>Communauté de communes</t>
        </is>
      </c>
      <c r="C719" t="inlineStr">
        <is>
          <t>200049211</t>
        </is>
      </c>
      <c r="D719" t="inlineStr">
        <is>
          <t>66</t>
        </is>
      </c>
      <c r="E719" t="inlineStr">
        <is>
          <t>Pyrénées-Orientales</t>
        </is>
      </c>
      <c r="F719" t="inlineStr">
        <is>
          <t>Occitanie</t>
        </is>
      </c>
      <c r="G719" s="3" t="n">
        <v>20918</v>
      </c>
      <c r="H719" t="n">
        <v>45</v>
      </c>
      <c r="I719" t="inlineStr">
        <is>
          <t>Route de Ria</t>
        </is>
      </c>
      <c r="J719" t="inlineStr">
        <is>
          <t>66500</t>
        </is>
      </c>
      <c r="K719" t="inlineStr">
        <is>
          <t>Prades</t>
        </is>
      </c>
      <c r="L719" t="inlineStr">
        <is>
          <t>04 68 05 05 13</t>
        </is>
      </c>
      <c r="M719" s="4" t="inlineStr">
        <is>
          <t>contact@conflentcanigo.fr</t>
        </is>
      </c>
      <c r="N719" s="4" t="inlineStr">
        <is>
          <t>https://www.conflentcanigo.fr/</t>
        </is>
      </c>
      <c r="O719" s="4" t="inlineStr">
        <is>
          <t>https://www.conflentcanigo.fr/contact</t>
        </is>
      </c>
      <c r="P719" s="4" t="inlineStr">
        <is>
          <t>https://lannuaire.service-public.gouv.fr/occitanie/pyrenees-orientales/512d8839-1409-4986-93ea-0235d973b571</t>
        </is>
      </c>
      <c r="Q719" t="inlineStr">
        <is>
          <t>Annuaire Service-public.fr</t>
        </is>
      </c>
      <c r="R719" t="inlineStr"/>
      <c r="S719" t="inlineStr"/>
      <c r="T719" t="inlineStr"/>
    </row>
    <row r="720">
      <c r="A720" t="inlineStr">
        <is>
          <t>CC Pyrénées Catalanes</t>
        </is>
      </c>
      <c r="B720" t="inlineStr">
        <is>
          <t>Communauté de communes</t>
        </is>
      </c>
      <c r="C720" t="inlineStr">
        <is>
          <t>246600464</t>
        </is>
      </c>
      <c r="D720" t="inlineStr">
        <is>
          <t>66</t>
        </is>
      </c>
      <c r="E720" t="inlineStr">
        <is>
          <t>Pyrénées-Orientales</t>
        </is>
      </c>
      <c r="F720" t="inlineStr">
        <is>
          <t>Occitanie</t>
        </is>
      </c>
      <c r="G720" s="3" t="n">
        <v>5951</v>
      </c>
      <c r="H720" t="n">
        <v>19</v>
      </c>
      <c r="I720" t="inlineStr">
        <is>
          <t>Col de la Quillane</t>
        </is>
      </c>
      <c r="J720" t="inlineStr">
        <is>
          <t>66210</t>
        </is>
      </c>
      <c r="K720" t="inlineStr">
        <is>
          <t>La Llagonne</t>
        </is>
      </c>
      <c r="L720" t="inlineStr">
        <is>
          <t>04 68 04 49 86</t>
        </is>
      </c>
      <c r="M720" s="4" t="inlineStr">
        <is>
          <t>contact@pyrenees-catalanes.com</t>
        </is>
      </c>
      <c r="N720" s="4" t="inlineStr">
        <is>
          <t>https://www.pyrenees-catalanes.net/</t>
        </is>
      </c>
      <c r="O720" s="4" t="inlineStr">
        <is>
          <t>https://www.pyrenees-catalanes.net/fr/nous-contacter</t>
        </is>
      </c>
      <c r="P720" s="4" t="inlineStr">
        <is>
          <t>https://lannuaire.service-public.gouv.fr/occitanie/pyrenees-orientales/21db85f0-9a54-4d7c-9ea5-788d11973520</t>
        </is>
      </c>
      <c r="Q720" t="inlineStr">
        <is>
          <t>Annuaire Service-public.fr</t>
        </is>
      </c>
      <c r="R720" t="inlineStr"/>
      <c r="S720" t="inlineStr"/>
      <c r="T720" t="inlineStr"/>
    </row>
    <row r="721">
      <c r="A721" t="inlineStr">
        <is>
          <t>CC Pyrénées Cerdagne</t>
        </is>
      </c>
      <c r="B721" t="inlineStr">
        <is>
          <t>Communauté de communes</t>
        </is>
      </c>
      <c r="C721" t="inlineStr">
        <is>
          <t>246600399</t>
        </is>
      </c>
      <c r="D721" t="inlineStr">
        <is>
          <t>66</t>
        </is>
      </c>
      <c r="E721" t="inlineStr">
        <is>
          <t>Pyrénées-Orientales</t>
        </is>
      </c>
      <c r="F721" t="inlineStr">
        <is>
          <t>Occitanie</t>
        </is>
      </c>
      <c r="G721" s="3" t="n">
        <v>8709</v>
      </c>
      <c r="H721" t="n">
        <v>19</v>
      </c>
      <c r="I721" t="inlineStr">
        <is>
          <t>4 rue du Torrent</t>
        </is>
      </c>
      <c r="J721" t="inlineStr">
        <is>
          <t>66800</t>
        </is>
      </c>
      <c r="K721" t="inlineStr">
        <is>
          <t>Saillagouse</t>
        </is>
      </c>
      <c r="L721" t="inlineStr">
        <is>
          <t>04 68 04 53 30</t>
        </is>
      </c>
      <c r="M721" s="4" t="inlineStr">
        <is>
          <t>contact@pyrenees-cerdagne.com</t>
        </is>
      </c>
      <c r="N721" s="4" t="inlineStr">
        <is>
          <t>https://www.pyrenees-cerdagne.fr/</t>
        </is>
      </c>
      <c r="O721" s="4" t="inlineStr">
        <is>
          <t>https://www.pyrenees-cerdagne.fr/vie-pratique/nous-contacter</t>
        </is>
      </c>
      <c r="P721" s="4" t="inlineStr">
        <is>
          <t>https://lannuaire.service-public.gouv.fr/occitanie/pyrenees-orientales/910ba4b3-e5d2-4ddf-a632-eac3e7434e7d</t>
        </is>
      </c>
      <c r="Q721" t="inlineStr">
        <is>
          <t>Annuaire Service-public.fr</t>
        </is>
      </c>
      <c r="R721" t="inlineStr"/>
      <c r="S721" t="inlineStr"/>
      <c r="T721" t="inlineStr"/>
    </row>
    <row r="722">
      <c r="A722" t="inlineStr">
        <is>
          <t>CC Roussillon-Conflent</t>
        </is>
      </c>
      <c r="B722" t="inlineStr">
        <is>
          <t>Communauté de communes</t>
        </is>
      </c>
      <c r="C722" t="inlineStr">
        <is>
          <t>246600415</t>
        </is>
      </c>
      <c r="D722" t="inlineStr">
        <is>
          <t>66</t>
        </is>
      </c>
      <c r="E722" t="inlineStr">
        <is>
          <t>Pyrénées-Orientales</t>
        </is>
      </c>
      <c r="F722" t="inlineStr">
        <is>
          <t>Occitanie</t>
        </is>
      </c>
      <c r="G722" s="3" t="n">
        <v>17036</v>
      </c>
      <c r="H722" t="n">
        <v>15</v>
      </c>
      <c r="I722" t="inlineStr">
        <is>
          <t>1 rue Michel-Blanc</t>
        </is>
      </c>
      <c r="J722" t="inlineStr">
        <is>
          <t>66130</t>
        </is>
      </c>
      <c r="K722" t="inlineStr">
        <is>
          <t>Ille-sur-Tet</t>
        </is>
      </c>
      <c r="L722" t="inlineStr">
        <is>
          <t>04 68 57 86 85</t>
        </is>
      </c>
      <c r="M722" s="4" t="inlineStr">
        <is>
          <t>accueil@roussillon-conflent.fr</t>
        </is>
      </c>
      <c r="N722" s="4" t="inlineStr">
        <is>
          <t>https://www.roussillon-conflent.fr/</t>
        </is>
      </c>
      <c r="O722" t="inlineStr"/>
      <c r="P722" s="4" t="inlineStr">
        <is>
          <t>https://lannuaire.service-public.gouv.fr/occitanie/pyrenees-orientales/61b26ada-c60e-4f2b-8f20-7c86e0def5ac</t>
        </is>
      </c>
      <c r="Q722" t="inlineStr">
        <is>
          <t>Annuaire Service-public.fr</t>
        </is>
      </c>
      <c r="R722" t="inlineStr"/>
      <c r="S722" t="inlineStr"/>
      <c r="T722" t="inlineStr"/>
    </row>
    <row r="723">
      <c r="A723" t="inlineStr">
        <is>
          <t>CC Sud-Roussillon</t>
        </is>
      </c>
      <c r="B723" t="inlineStr">
        <is>
          <t>Communauté de communes</t>
        </is>
      </c>
      <c r="C723" t="inlineStr">
        <is>
          <t>246600282</t>
        </is>
      </c>
      <c r="D723" t="inlineStr">
        <is>
          <t>66</t>
        </is>
      </c>
      <c r="E723" t="inlineStr">
        <is>
          <t>Pyrénées-Orientales</t>
        </is>
      </c>
      <c r="F723" t="inlineStr">
        <is>
          <t>Occitanie</t>
        </is>
      </c>
      <c r="G723" s="3" t="n">
        <v>25386</v>
      </c>
      <c r="H723" t="n">
        <v>6</v>
      </c>
      <c r="I723" t="inlineStr">
        <is>
          <t>16 rue Jérôme-et-Jean-Tharaud</t>
        </is>
      </c>
      <c r="J723" t="inlineStr">
        <is>
          <t>66750</t>
        </is>
      </c>
      <c r="K723" t="inlineStr">
        <is>
          <t>Saint-Cyprien</t>
        </is>
      </c>
      <c r="L723" t="inlineStr">
        <is>
          <t>04 68 37 30 60</t>
        </is>
      </c>
      <c r="M723" s="4" t="inlineStr">
        <is>
          <t>info@sudroussillon.fr</t>
        </is>
      </c>
      <c r="N723" s="4" t="inlineStr">
        <is>
          <t>https://sudroussillon.fr/</t>
        </is>
      </c>
      <c r="O723" t="inlineStr"/>
      <c r="P723" s="4" t="inlineStr">
        <is>
          <t>https://lannuaire.service-public.gouv.fr/occitanie/pyrenees-orientales/ebdde942-900d-41d2-b443-0e708a1c1e57</t>
        </is>
      </c>
      <c r="Q723" t="inlineStr">
        <is>
          <t>Annuaire Service-public.fr</t>
        </is>
      </c>
      <c r="R723" t="inlineStr"/>
      <c r="S723" t="inlineStr"/>
      <c r="T723" t="inlineStr"/>
    </row>
    <row r="724">
      <c r="A724" t="inlineStr">
        <is>
          <t>CC des Albères, de la Côte Vermeille et de l'Illibéris</t>
        </is>
      </c>
      <c r="B724" t="inlineStr">
        <is>
          <t>Communauté de communes</t>
        </is>
      </c>
      <c r="C724" t="inlineStr">
        <is>
          <t>200043602</t>
        </is>
      </c>
      <c r="D724" t="inlineStr">
        <is>
          <t>66</t>
        </is>
      </c>
      <c r="E724" t="inlineStr">
        <is>
          <t>Pyrénées-Orientales</t>
        </is>
      </c>
      <c r="F724" t="inlineStr">
        <is>
          <t>Occitanie</t>
        </is>
      </c>
      <c r="G724" s="3" t="n">
        <v>57632</v>
      </c>
      <c r="H724" t="n">
        <v>15</v>
      </c>
      <c r="I724" t="inlineStr">
        <is>
          <t>3 impasse de Charlemagne</t>
        </is>
      </c>
      <c r="J724" t="inlineStr">
        <is>
          <t>66700</t>
        </is>
      </c>
      <c r="K724" t="inlineStr">
        <is>
          <t>Argelès-sur-Mer</t>
        </is>
      </c>
      <c r="L724" t="inlineStr">
        <is>
          <t>04 68 81 63 77</t>
        </is>
      </c>
      <c r="M724" s="4" t="inlineStr">
        <is>
          <t>accueil@cc-acvi.com</t>
        </is>
      </c>
      <c r="N724" s="4" t="inlineStr">
        <is>
          <t>https://www.cc-acvi.com/</t>
        </is>
      </c>
      <c r="O724" s="4" t="inlineStr">
        <is>
          <t>https://www.cc-acvi.com/nous-contacter/</t>
        </is>
      </c>
      <c r="P724" s="4" t="inlineStr">
        <is>
          <t>https://lannuaire.service-public.gouv.fr/occitanie/pyrenees-orientales/5b70bf08-85bb-4131-99a5-79ff6a617344</t>
        </is>
      </c>
      <c r="Q724" t="inlineStr">
        <is>
          <t>Annuaire Service-public.fr</t>
        </is>
      </c>
      <c r="R724" t="inlineStr"/>
      <c r="S724" t="inlineStr"/>
      <c r="T724" t="inlineStr"/>
    </row>
    <row r="725">
      <c r="A725" t="inlineStr">
        <is>
          <t>CC des Aspres</t>
        </is>
      </c>
      <c r="B725" t="inlineStr">
        <is>
          <t>Communauté de communes</t>
        </is>
      </c>
      <c r="C725" t="inlineStr">
        <is>
          <t>246600449</t>
        </is>
      </c>
      <c r="D725" t="inlineStr">
        <is>
          <t>66</t>
        </is>
      </c>
      <c r="E725" t="inlineStr">
        <is>
          <t>Pyrénées-Orientales</t>
        </is>
      </c>
      <c r="F725" t="inlineStr">
        <is>
          <t>Occitanie</t>
        </is>
      </c>
      <c r="G725" s="3" t="n">
        <v>22955</v>
      </c>
      <c r="H725" t="n">
        <v>19</v>
      </c>
      <c r="I725" t="inlineStr">
        <is>
          <t>Immeuble Christian-Bourquin, 2e étage, Allée Hector-Capdellayre</t>
        </is>
      </c>
      <c r="J725" t="inlineStr">
        <is>
          <t>66300</t>
        </is>
      </c>
      <c r="K725" t="inlineStr">
        <is>
          <t>Thuir</t>
        </is>
      </c>
      <c r="L725" t="inlineStr">
        <is>
          <t>04 68 53 21 87</t>
        </is>
      </c>
      <c r="M725" s="4" t="inlineStr">
        <is>
          <t>contact@cc-aspres.fr</t>
        </is>
      </c>
      <c r="N725" s="4" t="inlineStr">
        <is>
          <t>https://www.cc-aspres.fr/</t>
        </is>
      </c>
      <c r="O725" t="inlineStr"/>
      <c r="P725" s="4" t="inlineStr">
        <is>
          <t>https://lannuaire.service-public.gouv.fr/occitanie/pyrenees-orientales/851d2dad-aa3a-4100-b069-4fa3d9660e55</t>
        </is>
      </c>
      <c r="Q725" t="inlineStr">
        <is>
          <t>Annuaire Service-public.fr</t>
        </is>
      </c>
      <c r="R725" t="inlineStr"/>
      <c r="S725" t="inlineStr"/>
      <c r="T725" t="inlineStr"/>
    </row>
    <row r="726">
      <c r="A726" t="inlineStr">
        <is>
          <t>CC du Haut Vallespir</t>
        </is>
      </c>
      <c r="B726" t="inlineStr">
        <is>
          <t>Communauté de communes</t>
        </is>
      </c>
      <c r="C726" t="inlineStr">
        <is>
          <t>246600548</t>
        </is>
      </c>
      <c r="D726" t="inlineStr">
        <is>
          <t>66</t>
        </is>
      </c>
      <c r="E726" t="inlineStr">
        <is>
          <t>Pyrénées-Orientales</t>
        </is>
      </c>
      <c r="F726" t="inlineStr">
        <is>
          <t>Occitanie</t>
        </is>
      </c>
      <c r="G726" s="3" t="n">
        <v>9814</v>
      </c>
      <c r="H726" t="n">
        <v>14</v>
      </c>
      <c r="I726" t="inlineStr">
        <is>
          <t>8 boulevard du Riuferrer</t>
        </is>
      </c>
      <c r="J726" t="inlineStr">
        <is>
          <t>66150</t>
        </is>
      </c>
      <c r="K726" t="inlineStr">
        <is>
          <t>Arles-sur-Tech</t>
        </is>
      </c>
      <c r="L726" t="inlineStr">
        <is>
          <t>04 68 21 82 05</t>
        </is>
      </c>
      <c r="M726" s="4" t="inlineStr">
        <is>
          <t>accueil@haut-vallespir.fr</t>
        </is>
      </c>
      <c r="N726" s="4" t="inlineStr">
        <is>
          <t>https://www.haut-vallespir.fr/</t>
        </is>
      </c>
      <c r="O726" t="inlineStr"/>
      <c r="P726" s="4" t="inlineStr">
        <is>
          <t>https://lannuaire.service-public.gouv.fr/occitanie/pyrenees-orientales/b34b9e40-49df-4205-8b4c-e256b470cb45</t>
        </is>
      </c>
      <c r="Q726" t="inlineStr">
        <is>
          <t>Annuaire Service-public.fr</t>
        </is>
      </c>
      <c r="R726" t="inlineStr"/>
      <c r="S726" t="inlineStr"/>
      <c r="T726" t="inlineStr"/>
    </row>
    <row r="727">
      <c r="A727" t="inlineStr">
        <is>
          <t>CC du Vallespir</t>
        </is>
      </c>
      <c r="B727" t="inlineStr">
        <is>
          <t>Communauté de communes</t>
        </is>
      </c>
      <c r="C727" t="inlineStr">
        <is>
          <t>246600373</t>
        </is>
      </c>
      <c r="D727" t="inlineStr">
        <is>
          <t>66</t>
        </is>
      </c>
      <c r="E727" t="inlineStr">
        <is>
          <t>Pyrénées-Orientales</t>
        </is>
      </c>
      <c r="F727" t="inlineStr">
        <is>
          <t>Occitanie</t>
        </is>
      </c>
      <c r="G727" s="3" t="n">
        <v>20490</v>
      </c>
      <c r="H727" t="n">
        <v>10</v>
      </c>
      <c r="I727" t="inlineStr">
        <is>
          <t>2 avenue du Vallespir</t>
        </is>
      </c>
      <c r="J727" t="inlineStr">
        <is>
          <t>66400</t>
        </is>
      </c>
      <c r="K727" t="inlineStr">
        <is>
          <t>Céret</t>
        </is>
      </c>
      <c r="L727" t="inlineStr">
        <is>
          <t>04 68 87 69 05</t>
        </is>
      </c>
      <c r="M727" s="4" t="inlineStr">
        <is>
          <t>accueil@vallespir.com</t>
        </is>
      </c>
      <c r="N727" s="4" t="inlineStr">
        <is>
          <t>https://www.vallespir.com/</t>
        </is>
      </c>
      <c r="O727" s="4" t="inlineStr">
        <is>
          <t>https://www.vallespir.com/nous-contacter/</t>
        </is>
      </c>
      <c r="P727" s="4" t="inlineStr">
        <is>
          <t>https://lannuaire.service-public.gouv.fr/occitanie/pyrenees-orientales/c6bde7da-bd68-420b-b354-dff24bff2583</t>
        </is>
      </c>
      <c r="Q727" t="inlineStr">
        <is>
          <t>Annuaire Service-public.fr</t>
        </is>
      </c>
      <c r="R727" t="inlineStr"/>
      <c r="S727" t="inlineStr"/>
      <c r="T727" t="inlineStr"/>
    </row>
    <row r="728">
      <c r="A728" t="inlineStr">
        <is>
          <t>CC Sauer-Pechelbronn</t>
        </is>
      </c>
      <c r="B728" t="inlineStr">
        <is>
          <t>Communauté de communes</t>
        </is>
      </c>
      <c r="C728" t="inlineStr">
        <is>
          <t>200013050</t>
        </is>
      </c>
      <c r="D728" t="inlineStr">
        <is>
          <t>67</t>
        </is>
      </c>
      <c r="E728" t="inlineStr">
        <is>
          <t>Bas-Rhin</t>
        </is>
      </c>
      <c r="F728" t="inlineStr">
        <is>
          <t>Grand Est</t>
        </is>
      </c>
      <c r="G728" s="3" t="n">
        <v>17281</v>
      </c>
      <c r="H728" t="n">
        <v>24</v>
      </c>
      <c r="I728" t="inlineStr">
        <is>
          <t>1 rue de l'Obermatt, Maison des services et des associations</t>
        </is>
      </c>
      <c r="J728" t="inlineStr">
        <is>
          <t>67360</t>
        </is>
      </c>
      <c r="K728" t="inlineStr">
        <is>
          <t>Durrenbach</t>
        </is>
      </c>
      <c r="L728" t="inlineStr">
        <is>
          <t>03 88 90 77 60</t>
        </is>
      </c>
      <c r="M728" s="4" t="inlineStr">
        <is>
          <t>info@sauer-pechelbronn.fr</t>
        </is>
      </c>
      <c r="N728" s="4" t="inlineStr">
        <is>
          <t>https://www.sauer-pechelbronn.fr/</t>
        </is>
      </c>
      <c r="O728" t="inlineStr"/>
      <c r="P728" s="4" t="inlineStr">
        <is>
          <t>https://lannuaire.service-public.gouv.fr/grand-est/bas-rhin/f7eb1b65-33b6-4526-affb-a5f42b7d3388</t>
        </is>
      </c>
      <c r="Q728" t="inlineStr">
        <is>
          <t>Annuaire Service-public.fr</t>
        </is>
      </c>
      <c r="R728" t="inlineStr"/>
      <c r="S728" t="inlineStr"/>
      <c r="T728" t="inlineStr"/>
    </row>
    <row r="729">
      <c r="A729" t="inlineStr">
        <is>
          <t>CC de Hanau-La Petite Pierre</t>
        </is>
      </c>
      <c r="B729" t="inlineStr">
        <is>
          <t>Communauté de communes</t>
        </is>
      </c>
      <c r="C729" t="inlineStr">
        <is>
          <t>200067783</t>
        </is>
      </c>
      <c r="D729" t="inlineStr">
        <is>
          <t>67</t>
        </is>
      </c>
      <c r="E729" t="inlineStr">
        <is>
          <t>Bas-Rhin</t>
        </is>
      </c>
      <c r="F729" t="inlineStr">
        <is>
          <t>Grand Est</t>
        </is>
      </c>
      <c r="G729" s="3" t="n">
        <v>26172</v>
      </c>
      <c r="H729" t="n">
        <v>38</v>
      </c>
      <c r="I729" t="inlineStr">
        <is>
          <t>10 route d'Obermodern, Maison de l'intercommunalité</t>
        </is>
      </c>
      <c r="J729" t="inlineStr">
        <is>
          <t>67330</t>
        </is>
      </c>
      <c r="K729" t="inlineStr">
        <is>
          <t>Bouxwiller</t>
        </is>
      </c>
      <c r="L729" t="inlineStr">
        <is>
          <t>03 88 71 31 79</t>
        </is>
      </c>
      <c r="M729" s="4" t="inlineStr">
        <is>
          <t>accueil@hanau-lapetitepierre.alsace</t>
        </is>
      </c>
      <c r="N729" s="4" t="inlineStr">
        <is>
          <t>https://www.hanau-lapetitepierre.alsace/</t>
        </is>
      </c>
      <c r="O729" s="4" t="inlineStr">
        <is>
          <t>https://www.hanau-lapetitepierre.alsace/contact/</t>
        </is>
      </c>
      <c r="P729" s="4" t="inlineStr">
        <is>
          <t>https://lannuaire.service-public.gouv.fr/grand-est/bas-rhin/800fcec5-ef77-4e1a-82cb-7283a975c1e3</t>
        </is>
      </c>
      <c r="Q729" t="inlineStr">
        <is>
          <t>Annuaire Service-public.fr</t>
        </is>
      </c>
      <c r="R729" t="inlineStr"/>
      <c r="S729" t="inlineStr"/>
      <c r="T729" t="inlineStr"/>
    </row>
    <row r="730">
      <c r="A730" t="inlineStr">
        <is>
          <t>CC de Sélestat</t>
        </is>
      </c>
      <c r="B730" t="inlineStr">
        <is>
          <t>Communauté de communes</t>
        </is>
      </c>
      <c r="C730" t="inlineStr">
        <is>
          <t>246700967</t>
        </is>
      </c>
      <c r="D730" t="inlineStr">
        <is>
          <t>67</t>
        </is>
      </c>
      <c r="E730" t="inlineStr">
        <is>
          <t>Bas-Rhin</t>
        </is>
      </c>
      <c r="F730" t="inlineStr">
        <is>
          <t>Grand Est</t>
        </is>
      </c>
      <c r="G730" s="3" t="n">
        <v>37404</v>
      </c>
      <c r="H730" t="n">
        <v>12</v>
      </c>
      <c r="I730" t="inlineStr">
        <is>
          <t>15 boulevard du Maréchal-Leclerc</t>
        </is>
      </c>
      <c r="J730" t="inlineStr">
        <is>
          <t>67600</t>
        </is>
      </c>
      <c r="K730" t="inlineStr">
        <is>
          <t>Sélestat</t>
        </is>
      </c>
      <c r="L730" t="inlineStr">
        <is>
          <t>03 88 58 01 60</t>
        </is>
      </c>
      <c r="M730" s="4" t="inlineStr">
        <is>
          <t>contact@cc-selestat.fr</t>
        </is>
      </c>
      <c r="N730" s="4" t="inlineStr">
        <is>
          <t>https://www.cc-selestat.fr/</t>
        </is>
      </c>
      <c r="O730" t="inlineStr"/>
      <c r="P730" s="4" t="inlineStr">
        <is>
          <t>https://lannuaire.service-public.gouv.fr/grand-est/bas-rhin/819d4568-bf83-4264-8dde-1f9fe00cd71c</t>
        </is>
      </c>
      <c r="Q730" t="inlineStr">
        <is>
          <t>Annuaire Service-public.fr</t>
        </is>
      </c>
      <c r="R730" t="inlineStr"/>
      <c r="S730" t="inlineStr"/>
      <c r="T730" t="inlineStr"/>
    </row>
    <row r="731">
      <c r="A731" t="inlineStr">
        <is>
          <t>CC de l'Alsace Bossue</t>
        </is>
      </c>
      <c r="B731" t="inlineStr">
        <is>
          <t>Communauté de communes</t>
        </is>
      </c>
      <c r="C731" t="inlineStr">
        <is>
          <t>200067841</t>
        </is>
      </c>
      <c r="D731" t="inlineStr">
        <is>
          <t>67</t>
        </is>
      </c>
      <c r="E731" t="inlineStr">
        <is>
          <t>Bas-Rhin</t>
        </is>
      </c>
      <c r="F731" t="inlineStr">
        <is>
          <t>Grand Est</t>
        </is>
      </c>
      <c r="G731" s="3" t="n">
        <v>23966</v>
      </c>
      <c r="H731" t="n">
        <v>45</v>
      </c>
      <c r="I731" t="inlineStr">
        <is>
          <t>14 rue Vincent-d'Indy</t>
        </is>
      </c>
      <c r="J731" t="inlineStr">
        <is>
          <t>67260</t>
        </is>
      </c>
      <c r="K731" t="inlineStr">
        <is>
          <t>Sarre-Union</t>
        </is>
      </c>
      <c r="L731" t="inlineStr">
        <is>
          <t>03 88 01 67 07</t>
        </is>
      </c>
      <c r="M731" s="4" t="inlineStr">
        <is>
          <t>accueil@ccab.eu</t>
        </is>
      </c>
      <c r="N731" s="4" t="inlineStr">
        <is>
          <t>https://www.alsace-bossue.fr/</t>
        </is>
      </c>
      <c r="O731" t="inlineStr"/>
      <c r="P731" s="4" t="inlineStr">
        <is>
          <t>https://lannuaire.service-public.gouv.fr/grand-est/bas-rhin/9cd57644-efde-47fe-9c04-9ac640b38e7d</t>
        </is>
      </c>
      <c r="Q731" t="inlineStr">
        <is>
          <t>Annuaire Service-public.fr</t>
        </is>
      </c>
      <c r="R731" t="inlineStr"/>
      <c r="S731" t="inlineStr"/>
      <c r="T731" t="inlineStr"/>
    </row>
    <row r="732">
      <c r="A732" t="inlineStr">
        <is>
          <t>CC de l'Outre-Forêt</t>
        </is>
      </c>
      <c r="B732" t="inlineStr">
        <is>
          <t>Communauté de communes</t>
        </is>
      </c>
      <c r="C732" t="inlineStr">
        <is>
          <t>200040178</t>
        </is>
      </c>
      <c r="D732" t="inlineStr">
        <is>
          <t>67</t>
        </is>
      </c>
      <c r="E732" t="inlineStr">
        <is>
          <t>Bas-Rhin</t>
        </is>
      </c>
      <c r="F732" t="inlineStr">
        <is>
          <t>Grand Est</t>
        </is>
      </c>
      <c r="G732" s="3" t="n">
        <v>16194</v>
      </c>
      <c r="H732" t="n">
        <v>13</v>
      </c>
      <c r="I732" t="inlineStr">
        <is>
          <t>4 rue de l'École</t>
        </is>
      </c>
      <c r="J732" t="inlineStr">
        <is>
          <t>67250</t>
        </is>
      </c>
      <c r="K732" t="inlineStr">
        <is>
          <t>Hohwiller</t>
        </is>
      </c>
      <c r="L732" t="inlineStr">
        <is>
          <t>03 88 05 61 10</t>
        </is>
      </c>
      <c r="M732" s="4" t="inlineStr">
        <is>
          <t>contact@cc-outreforet.fr</t>
        </is>
      </c>
      <c r="N732" s="4" t="inlineStr">
        <is>
          <t>https://www.cc-outreforet.fr/</t>
        </is>
      </c>
      <c r="O732" s="4" t="inlineStr">
        <is>
          <t>https://www.cc-outreforet.fr/contact/</t>
        </is>
      </c>
      <c r="P732" s="4" t="inlineStr">
        <is>
          <t>https://lannuaire.service-public.gouv.fr/grand-est/bas-rhin/989e39cf-0843-447b-88d7-17cace2b9d3d</t>
        </is>
      </c>
      <c r="Q732" t="inlineStr">
        <is>
          <t>Annuaire Service-public.fr</t>
        </is>
      </c>
      <c r="R732" t="inlineStr"/>
      <c r="S732" t="inlineStr"/>
      <c r="T732" t="inlineStr"/>
    </row>
    <row r="733">
      <c r="A733" t="inlineStr">
        <is>
          <t>CC de la Basse-Zorn</t>
        </is>
      </c>
      <c r="B733" t="inlineStr">
        <is>
          <t>Communauté de communes</t>
        </is>
      </c>
      <c r="C733" t="inlineStr">
        <is>
          <t>246700843</t>
        </is>
      </c>
      <c r="D733" t="inlineStr">
        <is>
          <t>67</t>
        </is>
      </c>
      <c r="E733" t="inlineStr">
        <is>
          <t>Bas-Rhin</t>
        </is>
      </c>
      <c r="F733" t="inlineStr">
        <is>
          <t>Grand Est</t>
        </is>
      </c>
      <c r="G733" s="3" t="n">
        <v>17802</v>
      </c>
      <c r="H733" t="n">
        <v>7</v>
      </c>
      <c r="I733" t="inlineStr">
        <is>
          <t>34 rue de la Wantzenau</t>
        </is>
      </c>
      <c r="J733" t="inlineStr">
        <is>
          <t>67720</t>
        </is>
      </c>
      <c r="K733" t="inlineStr">
        <is>
          <t>Hoerdt</t>
        </is>
      </c>
      <c r="L733" t="inlineStr">
        <is>
          <t>03 90 64 25 50</t>
        </is>
      </c>
      <c r="M733" s="4" t="inlineStr">
        <is>
          <t>info@cc-basse-zorn.fr</t>
        </is>
      </c>
      <c r="N733" s="4" t="inlineStr">
        <is>
          <t>https://www.cc-basse-zorn.fr/</t>
        </is>
      </c>
      <c r="O733" s="4" t="inlineStr">
        <is>
          <t>https://www.cc-basse-zorn.fr/FR/Divers/Nous-contacter.html</t>
        </is>
      </c>
      <c r="P733" s="4" t="inlineStr">
        <is>
          <t>https://lannuaire.service-public.gouv.fr/grand-est/bas-rhin/1741c3d2-ca28-40a1-add3-4efcede11f11</t>
        </is>
      </c>
      <c r="Q733" t="inlineStr">
        <is>
          <t>Annuaire Service-public.fr</t>
        </is>
      </c>
      <c r="R733" t="inlineStr"/>
      <c r="S733" t="inlineStr"/>
      <c r="T733" t="inlineStr"/>
    </row>
    <row r="734">
      <c r="A734" t="inlineStr">
        <is>
          <t>CC de la Mossig et du Vignoble</t>
        </is>
      </c>
      <c r="B734" t="inlineStr">
        <is>
          <t>Communauté de communes</t>
        </is>
      </c>
      <c r="C734" t="inlineStr">
        <is>
          <t>200068864</t>
        </is>
      </c>
      <c r="D734" t="inlineStr">
        <is>
          <t>67</t>
        </is>
      </c>
      <c r="E734" t="inlineStr">
        <is>
          <t>Bas-Rhin</t>
        </is>
      </c>
      <c r="F734" t="inlineStr">
        <is>
          <t>Grand Est</t>
        </is>
      </c>
      <c r="G734" s="3" t="n">
        <v>24826</v>
      </c>
      <c r="H734" t="n">
        <v>24</v>
      </c>
      <c r="I734" t="inlineStr">
        <is>
          <t>33 rue des Pins</t>
        </is>
      </c>
      <c r="J734" t="inlineStr">
        <is>
          <t>67310</t>
        </is>
      </c>
      <c r="K734" t="inlineStr">
        <is>
          <t>Wasselonne</t>
        </is>
      </c>
      <c r="L734" t="inlineStr">
        <is>
          <t>03 88 59 12 10</t>
        </is>
      </c>
      <c r="M734" s="4" t="inlineStr">
        <is>
          <t>contact@mossigvignoble.fr</t>
        </is>
      </c>
      <c r="N734" s="4" t="inlineStr">
        <is>
          <t>https://www.mossigvignoble.fr/</t>
        </is>
      </c>
      <c r="O734" s="4" t="inlineStr">
        <is>
          <t>https://www.mossigvignoble.fr/formulaire-de-contact/</t>
        </is>
      </c>
      <c r="P734" s="4" t="inlineStr">
        <is>
          <t>https://lannuaire.service-public.gouv.fr/grand-est/bas-rhin/e14b71c9-8bef-4d09-a227-f8c590f3be31</t>
        </is>
      </c>
      <c r="Q734" t="inlineStr">
        <is>
          <t>Annuaire Service-public.fr</t>
        </is>
      </c>
      <c r="R734" t="inlineStr"/>
      <c r="S734" t="inlineStr"/>
      <c r="T734" t="inlineStr"/>
    </row>
    <row r="735">
      <c r="A735" t="inlineStr">
        <is>
          <t>CC de la Plaine du Rhin</t>
        </is>
      </c>
      <c r="B735" t="inlineStr">
        <is>
          <t>Communauté de communes</t>
        </is>
      </c>
      <c r="C735" t="inlineStr">
        <is>
          <t>200041283</t>
        </is>
      </c>
      <c r="D735" t="inlineStr">
        <is>
          <t>67</t>
        </is>
      </c>
      <c r="E735" t="inlineStr">
        <is>
          <t>Bas-Rhin</t>
        </is>
      </c>
      <c r="F735" t="inlineStr">
        <is>
          <t>Grand Est</t>
        </is>
      </c>
      <c r="G735" s="3" t="n">
        <v>18379</v>
      </c>
      <c r="H735" t="n">
        <v>19</v>
      </c>
      <c r="I735" t="inlineStr">
        <is>
          <t>3 rue Principale</t>
        </is>
      </c>
      <c r="J735" t="inlineStr">
        <is>
          <t>67930</t>
        </is>
      </c>
      <c r="K735" t="inlineStr">
        <is>
          <t>Beinheim</t>
        </is>
      </c>
      <c r="L735" t="inlineStr">
        <is>
          <t>03 88 53 08 20</t>
        </is>
      </c>
      <c r="M735" s="4" t="inlineStr">
        <is>
          <t>contact@cc-plaine-rhin.fr</t>
        </is>
      </c>
      <c r="N735" s="4" t="inlineStr">
        <is>
          <t>https://cc-plaine-rhin.fr/</t>
        </is>
      </c>
      <c r="O735" s="4" t="inlineStr">
        <is>
          <t>https://cc-plaine-rhin.fr/informations/formulaire-de-contact/</t>
        </is>
      </c>
      <c r="P735" s="4" t="inlineStr">
        <is>
          <t>https://lannuaire.service-public.gouv.fr/grand-est/bas-rhin/c1cade55-6446-49b5-b8d8-14beab28ec76</t>
        </is>
      </c>
      <c r="Q735" t="inlineStr">
        <is>
          <t>Annuaire Service-public.fr</t>
        </is>
      </c>
      <c r="R735" t="inlineStr"/>
      <c r="S735" t="inlineStr"/>
      <c r="T735" t="inlineStr"/>
    </row>
    <row r="736">
      <c r="A736" t="inlineStr">
        <is>
          <t>CC de la Région de Molsheim-Mutzig</t>
        </is>
      </c>
      <c r="B736" t="inlineStr">
        <is>
          <t>Communauté de communes</t>
        </is>
      </c>
      <c r="C736" t="inlineStr">
        <is>
          <t>246701064</t>
        </is>
      </c>
      <c r="D736" t="inlineStr">
        <is>
          <t>67</t>
        </is>
      </c>
      <c r="E736" t="inlineStr">
        <is>
          <t>Bas-Rhin</t>
        </is>
      </c>
      <c r="F736" t="inlineStr">
        <is>
          <t>Grand Est</t>
        </is>
      </c>
      <c r="G736" s="3" t="n">
        <v>40929</v>
      </c>
      <c r="H736" t="n">
        <v>18</v>
      </c>
      <c r="I736" t="inlineStr">
        <is>
          <t>2 route Écospace</t>
        </is>
      </c>
      <c r="J736" t="inlineStr">
        <is>
          <t>67120</t>
        </is>
      </c>
      <c r="K736" t="inlineStr">
        <is>
          <t>Molsheim</t>
        </is>
      </c>
      <c r="L736" t="inlineStr">
        <is>
          <t>03 88 49 82 58</t>
        </is>
      </c>
      <c r="M736" s="4" t="inlineStr">
        <is>
          <t>secretariat@cc-molsheim-mutzig.fr</t>
        </is>
      </c>
      <c r="N736" s="4" t="inlineStr">
        <is>
          <t>https://www.cc-molsheim-mutzig.fr/</t>
        </is>
      </c>
      <c r="O736" s="4" t="inlineStr">
        <is>
          <t>https://www.cc-molsheim-mutzig.fr/contact.htm</t>
        </is>
      </c>
      <c r="P736" s="4" t="inlineStr">
        <is>
          <t>https://lannuaire.service-public.gouv.fr/grand-est/bas-rhin/838b4dd8-03a6-432b-bade-8d60fcd8a874</t>
        </is>
      </c>
      <c r="Q736" t="inlineStr">
        <is>
          <t>Annuaire Service-public.fr</t>
        </is>
      </c>
      <c r="R736" t="inlineStr"/>
      <c r="S736" t="inlineStr"/>
      <c r="T736" t="inlineStr"/>
    </row>
    <row r="737">
      <c r="A737" t="inlineStr">
        <is>
          <t>CC de la Vallée de Villé</t>
        </is>
      </c>
      <c r="B737" t="inlineStr">
        <is>
          <t>Communauté de communes</t>
        </is>
      </c>
      <c r="C737" t="inlineStr">
        <is>
          <t>246700777</t>
        </is>
      </c>
      <c r="D737" t="inlineStr">
        <is>
          <t>67</t>
        </is>
      </c>
      <c r="E737" t="inlineStr">
        <is>
          <t>Bas-Rhin</t>
        </is>
      </c>
      <c r="F737" t="inlineStr">
        <is>
          <t>Grand Est</t>
        </is>
      </c>
      <c r="G737" s="3" t="n">
        <v>10771</v>
      </c>
      <c r="H737" t="n">
        <v>18</v>
      </c>
      <c r="I737" t="inlineStr">
        <is>
          <t>1 rue Principale, Centre administratif</t>
        </is>
      </c>
      <c r="J737" t="inlineStr">
        <is>
          <t>67220</t>
        </is>
      </c>
      <c r="K737" t="inlineStr">
        <is>
          <t>Bassemberg</t>
        </is>
      </c>
      <c r="L737" t="inlineStr">
        <is>
          <t>03 88 58 91 65</t>
        </is>
      </c>
      <c r="M737" s="4" t="inlineStr">
        <is>
          <t>contact@valleedeville.fr</t>
        </is>
      </c>
      <c r="N737" s="4" t="inlineStr">
        <is>
          <t>https://cdc.valleedeville.fr/</t>
        </is>
      </c>
      <c r="O737" t="inlineStr"/>
      <c r="P737" s="4" t="inlineStr">
        <is>
          <t>https://lannuaire.service-public.gouv.fr/grand-est/bas-rhin/cc17ab82-7f03-4766-ab8a-0d3f538cb5a8</t>
        </is>
      </c>
      <c r="Q737" t="inlineStr">
        <is>
          <t>Annuaire Service-public.fr</t>
        </is>
      </c>
      <c r="R737" t="inlineStr"/>
      <c r="S737" t="inlineStr"/>
      <c r="T737" t="inlineStr"/>
    </row>
    <row r="738">
      <c r="A738" t="inlineStr">
        <is>
          <t>CC de la Vallée de la Bruche</t>
        </is>
      </c>
      <c r="B738" t="inlineStr">
        <is>
          <t>Communauté de communes</t>
        </is>
      </c>
      <c r="C738" t="inlineStr">
        <is>
          <t>246700306</t>
        </is>
      </c>
      <c r="D738" t="inlineStr">
        <is>
          <t>67</t>
        </is>
      </c>
      <c r="E738" t="inlineStr">
        <is>
          <t>Bas-Rhin</t>
        </is>
      </c>
      <c r="F738" t="inlineStr">
        <is>
          <t>Grand Est</t>
        </is>
      </c>
      <c r="G738" s="3" t="n">
        <v>20517</v>
      </c>
      <c r="H738" t="n">
        <v>26</v>
      </c>
      <c r="I738" t="inlineStr">
        <is>
          <t>114 Grand'Rue</t>
        </is>
      </c>
      <c r="J738" t="inlineStr">
        <is>
          <t>67130</t>
        </is>
      </c>
      <c r="K738" t="inlineStr">
        <is>
          <t>Schirmeck</t>
        </is>
      </c>
      <c r="L738" t="inlineStr">
        <is>
          <t>03 88 97 86 20</t>
        </is>
      </c>
      <c r="M738" s="4" t="inlineStr">
        <is>
          <t>contact@valleedelabruche.fr</t>
        </is>
      </c>
      <c r="N738" s="4" t="inlineStr">
        <is>
          <t>https://cc.valleedelabruche.fr/</t>
        </is>
      </c>
      <c r="O738" t="inlineStr"/>
      <c r="P738" s="4" t="inlineStr">
        <is>
          <t>https://lannuaire.service-public.gouv.fr/grand-est/bas-rhin/89239143-8b09-4e97-8117-a6c380ec7e22</t>
        </is>
      </c>
      <c r="Q738" t="inlineStr">
        <is>
          <t>Annuaire Service-public.fr</t>
        </is>
      </c>
      <c r="R738" t="inlineStr"/>
      <c r="S738" t="inlineStr"/>
      <c r="T738" t="inlineStr"/>
    </row>
    <row r="739">
      <c r="A739" t="inlineStr">
        <is>
          <t>CC des Portes de Rosheim</t>
        </is>
      </c>
      <c r="B739" t="inlineStr">
        <is>
          <t>Communauté de communes</t>
        </is>
      </c>
      <c r="C739" t="inlineStr">
        <is>
          <t>246700744</t>
        </is>
      </c>
      <c r="D739" t="inlineStr">
        <is>
          <t>67</t>
        </is>
      </c>
      <c r="E739" t="inlineStr">
        <is>
          <t>Bas-Rhin</t>
        </is>
      </c>
      <c r="F739" t="inlineStr">
        <is>
          <t>Grand Est</t>
        </is>
      </c>
      <c r="G739" s="3" t="n">
        <v>18395</v>
      </c>
      <c r="H739" t="n">
        <v>9</v>
      </c>
      <c r="I739" t="inlineStr">
        <is>
          <t>86 bis place de la République, BP 58</t>
        </is>
      </c>
      <c r="J739" t="inlineStr">
        <is>
          <t>67560</t>
        </is>
      </c>
      <c r="K739" t="inlineStr">
        <is>
          <t>Rosheim</t>
        </is>
      </c>
      <c r="L739" t="inlineStr">
        <is>
          <t>03 88 50 47 16</t>
        </is>
      </c>
      <c r="M739" s="4" t="inlineStr">
        <is>
          <t>courrier@ccp-r.fr</t>
        </is>
      </c>
      <c r="N739" s="4" t="inlineStr">
        <is>
          <t>https://www.cc-portesderosheim.fr/</t>
        </is>
      </c>
      <c r="O739" s="4" t="inlineStr">
        <is>
          <t>https://www.cc-portesderosheim.fr/formulaire-de-contact/</t>
        </is>
      </c>
      <c r="P739" s="4" t="inlineStr">
        <is>
          <t>https://lannuaire.service-public.gouv.fr/grand-est/bas-rhin/6d42e6d7-3d0e-4068-a804-b0fef0b3f278</t>
        </is>
      </c>
      <c r="Q739" t="inlineStr">
        <is>
          <t>Annuaire Service-public.fr</t>
        </is>
      </c>
      <c r="R739" t="inlineStr"/>
      <c r="S739" t="inlineStr"/>
      <c r="T739" t="inlineStr"/>
    </row>
    <row r="740">
      <c r="A740" t="inlineStr">
        <is>
          <t>CC du Canton d'Erstein</t>
        </is>
      </c>
      <c r="B740" t="inlineStr">
        <is>
          <t>Communauté de communes</t>
        </is>
      </c>
      <c r="C740" t="inlineStr">
        <is>
          <t>200067924</t>
        </is>
      </c>
      <c r="D740" t="inlineStr">
        <is>
          <t>67</t>
        </is>
      </c>
      <c r="E740" t="inlineStr">
        <is>
          <t>Bas-Rhin</t>
        </is>
      </c>
      <c r="F740" t="inlineStr">
        <is>
          <t>Grand Est</t>
        </is>
      </c>
      <c r="G740" s="3" t="n">
        <v>49088</v>
      </c>
      <c r="H740" t="n">
        <v>28</v>
      </c>
      <c r="I740" t="inlineStr">
        <is>
          <t>1 rue des 11-Communes</t>
        </is>
      </c>
      <c r="J740" t="inlineStr">
        <is>
          <t>67230</t>
        </is>
      </c>
      <c r="K740" t="inlineStr">
        <is>
          <t>Benfeld</t>
        </is>
      </c>
      <c r="L740" t="inlineStr">
        <is>
          <t>03 88 74 50 00</t>
        </is>
      </c>
      <c r="M740" s="4" t="inlineStr">
        <is>
          <t>contact@cc-erstein.fr</t>
        </is>
      </c>
      <c r="N740" s="4" t="inlineStr">
        <is>
          <t>https://www.cc-erstein.fr/</t>
        </is>
      </c>
      <c r="O740" t="inlineStr"/>
      <c r="P740" s="4" t="inlineStr">
        <is>
          <t>https://lannuaire.service-public.gouv.fr/grand-est/bas-rhin/f05f0280-b177-47d2-bcc1-6ead4de3cc9f</t>
        </is>
      </c>
      <c r="Q740" t="inlineStr">
        <is>
          <t>Annuaire Service-public.fr</t>
        </is>
      </c>
      <c r="R740" t="inlineStr"/>
      <c r="S740" t="inlineStr"/>
      <c r="T740" t="inlineStr"/>
    </row>
    <row r="741">
      <c r="A741" t="inlineStr">
        <is>
          <t>CC du Kochersberg</t>
        </is>
      </c>
      <c r="B741" t="inlineStr">
        <is>
          <t>Communauté de communes</t>
        </is>
      </c>
      <c r="C741" t="inlineStr">
        <is>
          <t>200034635</t>
        </is>
      </c>
      <c r="D741" t="inlineStr">
        <is>
          <t>67</t>
        </is>
      </c>
      <c r="E741" t="inlineStr">
        <is>
          <t>Bas-Rhin</t>
        </is>
      </c>
      <c r="F741" t="inlineStr">
        <is>
          <t>Grand Est</t>
        </is>
      </c>
      <c r="G741" s="3" t="n">
        <v>26637</v>
      </c>
      <c r="H741" t="n">
        <v>23</v>
      </c>
      <c r="I741" t="inlineStr">
        <is>
          <t>32 rue des Romains</t>
        </is>
      </c>
      <c r="J741" t="inlineStr">
        <is>
          <t>67370</t>
        </is>
      </c>
      <c r="K741" t="inlineStr">
        <is>
          <t>Truchtersheim</t>
        </is>
      </c>
      <c r="L741" t="inlineStr">
        <is>
          <t>03 88 69 76 29</t>
        </is>
      </c>
      <c r="M741" s="4" t="inlineStr">
        <is>
          <t>com.com@kochersberg.fr</t>
        </is>
      </c>
      <c r="N741" s="4" t="inlineStr">
        <is>
          <t>https://www.kochersberg.fr/</t>
        </is>
      </c>
      <c r="O741" s="4" t="inlineStr">
        <is>
          <t>https://www.kochersberg.fr/Divers/Nous-contacter.html</t>
        </is>
      </c>
      <c r="P741" s="4" t="inlineStr">
        <is>
          <t>https://lannuaire.service-public.gouv.fr/grand-est/bas-rhin/e7e4ca35-1db7-4975-a92f-5e927cc8efe7</t>
        </is>
      </c>
      <c r="Q741" t="inlineStr">
        <is>
          <t>Annuaire Service-public.fr</t>
        </is>
      </c>
      <c r="R741" t="inlineStr"/>
      <c r="S741" t="inlineStr"/>
      <c r="T741" t="inlineStr"/>
    </row>
    <row r="742">
      <c r="A742" t="inlineStr">
        <is>
          <t>CC du Pays Rhénan</t>
        </is>
      </c>
      <c r="B742" t="inlineStr">
        <is>
          <t>Communauté de communes</t>
        </is>
      </c>
      <c r="C742" t="inlineStr">
        <is>
          <t>200041325</t>
        </is>
      </c>
      <c r="D742" t="inlineStr">
        <is>
          <t>67</t>
        </is>
      </c>
      <c r="E742" t="inlineStr">
        <is>
          <t>Bas-Rhin</t>
        </is>
      </c>
      <c r="F742" t="inlineStr">
        <is>
          <t>Grand Est</t>
        </is>
      </c>
      <c r="G742" s="3" t="n">
        <v>37259</v>
      </c>
      <c r="H742" t="n">
        <v>17</v>
      </c>
      <c r="I742" t="inlineStr">
        <is>
          <t>1 A route de Herrlisheim, Communauté de communes</t>
        </is>
      </c>
      <c r="J742" t="inlineStr">
        <is>
          <t>67410</t>
        </is>
      </c>
      <c r="K742" t="inlineStr">
        <is>
          <t>Drusenheim</t>
        </is>
      </c>
      <c r="L742" t="inlineStr">
        <is>
          <t>03 88 06 74 30</t>
        </is>
      </c>
      <c r="M742" s="4" t="inlineStr">
        <is>
          <t>contact@cc-paysrhenan.fr</t>
        </is>
      </c>
      <c r="N742" s="4" t="inlineStr">
        <is>
          <t>https://www.cc-paysrhenan.fr/</t>
        </is>
      </c>
      <c r="O742" s="4" t="inlineStr">
        <is>
          <t>https://www.cc-paysrhenan.fr/Contact.html</t>
        </is>
      </c>
      <c r="P742" s="4" t="inlineStr">
        <is>
          <t>https://lannuaire.service-public.gouv.fr/grand-est/bas-rhin/a0069d80-5201-4958-9234-def67f592adc</t>
        </is>
      </c>
      <c r="Q742" t="inlineStr">
        <is>
          <t>Annuaire Service-public.fr</t>
        </is>
      </c>
      <c r="R742" t="inlineStr"/>
      <c r="S742" t="inlineStr"/>
      <c r="T742" t="inlineStr"/>
    </row>
    <row r="743">
      <c r="A743" t="inlineStr">
        <is>
          <t>CC du Pays de Barr</t>
        </is>
      </c>
      <c r="B743" t="inlineStr">
        <is>
          <t>Communauté de communes</t>
        </is>
      </c>
      <c r="C743" t="inlineStr">
        <is>
          <t>200034270</t>
        </is>
      </c>
      <c r="D743" t="inlineStr">
        <is>
          <t>67</t>
        </is>
      </c>
      <c r="E743" t="inlineStr">
        <is>
          <t>Bas-Rhin</t>
        </is>
      </c>
      <c r="F743" t="inlineStr">
        <is>
          <t>Grand Est</t>
        </is>
      </c>
      <c r="G743" s="3" t="n">
        <v>23882</v>
      </c>
      <c r="H743" t="n">
        <v>20</v>
      </c>
      <c r="I743" t="inlineStr">
        <is>
          <t>57 rue de la Kirneck</t>
        </is>
      </c>
      <c r="J743" t="inlineStr">
        <is>
          <t>67140</t>
        </is>
      </c>
      <c r="K743" t="inlineStr">
        <is>
          <t>Barr</t>
        </is>
      </c>
      <c r="L743" t="inlineStr">
        <is>
          <t>03 88 58 52 22</t>
        </is>
      </c>
      <c r="M743" s="4" t="inlineStr">
        <is>
          <t>contact@paysdebarr.fr</t>
        </is>
      </c>
      <c r="N743" s="4" t="inlineStr">
        <is>
          <t>https://www.paysdebarr.fr/</t>
        </is>
      </c>
      <c r="O743" s="4" t="inlineStr">
        <is>
          <t>https://www.paysdebarr.fr/fr/nous-contacter</t>
        </is>
      </c>
      <c r="P743" s="4" t="inlineStr">
        <is>
          <t>https://lannuaire.service-public.gouv.fr/grand-est/bas-rhin/4bc43939-5e5c-459e-b54d-ab0484055d3a</t>
        </is>
      </c>
      <c r="Q743" t="inlineStr">
        <is>
          <t>Annuaire Service-public.fr</t>
        </is>
      </c>
      <c r="R743" t="inlineStr"/>
      <c r="S743" t="inlineStr"/>
      <c r="T743" t="inlineStr"/>
    </row>
    <row r="744">
      <c r="A744" t="inlineStr">
        <is>
          <t>CC du Pays de Niederbronn-les-Bains</t>
        </is>
      </c>
      <c r="B744" t="inlineStr">
        <is>
          <t>Communauté de communes</t>
        </is>
      </c>
      <c r="C744" t="inlineStr">
        <is>
          <t>246701098</t>
        </is>
      </c>
      <c r="D744" t="inlineStr">
        <is>
          <t>67</t>
        </is>
      </c>
      <c r="E744" t="inlineStr">
        <is>
          <t>Bas-Rhin</t>
        </is>
      </c>
      <c r="F744" t="inlineStr">
        <is>
          <t>Grand Est</t>
        </is>
      </c>
      <c r="G744" s="3" t="n">
        <v>23291</v>
      </c>
      <c r="H744" t="n">
        <v>13</v>
      </c>
      <c r="I744" t="inlineStr">
        <is>
          <t>5 place du Bureau-Central</t>
        </is>
      </c>
      <c r="J744" t="inlineStr">
        <is>
          <t>67110</t>
        </is>
      </c>
      <c r="K744" t="inlineStr">
        <is>
          <t>Nierdebronn-les-Bains</t>
        </is>
      </c>
      <c r="L744" t="inlineStr">
        <is>
          <t>03 88 05 86 86</t>
        </is>
      </c>
      <c r="M744" s="4" t="inlineStr">
        <is>
          <t>contact@ccpaysniederbronn.fr</t>
        </is>
      </c>
      <c r="N744" s="4" t="inlineStr">
        <is>
          <t>https://www.ccpaysniederbronn.fr/</t>
        </is>
      </c>
      <c r="O744" s="4" t="inlineStr">
        <is>
          <t>https://www.ccpaysniederbronn.fr/Nous-contacter.html</t>
        </is>
      </c>
      <c r="P744" s="4" t="inlineStr">
        <is>
          <t>https://lannuaire.service-public.gouv.fr/grand-est/bas-rhin/324e636a-9094-457e-88fb-036c812cfbd2</t>
        </is>
      </c>
      <c r="Q744" t="inlineStr">
        <is>
          <t>Annuaire Service-public.fr</t>
        </is>
      </c>
      <c r="R744" t="inlineStr"/>
      <c r="S744" t="inlineStr"/>
      <c r="T744" t="inlineStr"/>
    </row>
    <row r="745">
      <c r="A745" t="inlineStr">
        <is>
          <t>CC du Pays de Sainte-Odile</t>
        </is>
      </c>
      <c r="B745" t="inlineStr">
        <is>
          <t>Communauté de communes</t>
        </is>
      </c>
      <c r="C745" t="inlineStr">
        <is>
          <t>246701080</t>
        </is>
      </c>
      <c r="D745" t="inlineStr">
        <is>
          <t>67</t>
        </is>
      </c>
      <c r="E745" t="inlineStr">
        <is>
          <t>Bas-Rhin</t>
        </is>
      </c>
      <c r="F745" t="inlineStr">
        <is>
          <t>Grand Est</t>
        </is>
      </c>
      <c r="G745" s="3" t="n">
        <v>19552</v>
      </c>
      <c r="H745" t="n">
        <v>6</v>
      </c>
      <c r="I745" t="inlineStr">
        <is>
          <t>38 rue du Maréchal-Koenig, CS 5085</t>
        </is>
      </c>
      <c r="J745" t="inlineStr">
        <is>
          <t>67213</t>
        </is>
      </c>
      <c r="K745" t="inlineStr">
        <is>
          <t>Obernai Cedex</t>
        </is>
      </c>
      <c r="L745" t="inlineStr">
        <is>
          <t>03 88 95 53 52</t>
        </is>
      </c>
      <c r="M745" s="4" t="inlineStr">
        <is>
          <t>ccpso@ccpso.com</t>
        </is>
      </c>
      <c r="N745" s="4" t="inlineStr">
        <is>
          <t>http://www.cc-paysdesainteodile.fr</t>
        </is>
      </c>
      <c r="O745" s="4" t="inlineStr">
        <is>
          <t>http://www.cc-paysdesainteodile.fr/contact/</t>
        </is>
      </c>
      <c r="P745" s="4" t="inlineStr">
        <is>
          <t>https://lannuaire.service-public.gouv.fr/grand-est/bas-rhin/1cc87d8c-9830-4933-909f-0bf5183bc430</t>
        </is>
      </c>
      <c r="Q745" t="inlineStr">
        <is>
          <t>Annuaire Service-public.fr</t>
        </is>
      </c>
      <c r="R745" t="inlineStr"/>
      <c r="S745" t="inlineStr"/>
      <c r="T745" t="inlineStr"/>
    </row>
    <row r="746">
      <c r="A746" t="inlineStr">
        <is>
          <t>CC du Pays de Saverne</t>
        </is>
      </c>
      <c r="B746" t="inlineStr">
        <is>
          <t>Communauté de communes</t>
        </is>
      </c>
      <c r="C746" t="inlineStr">
        <is>
          <t>200068112</t>
        </is>
      </c>
      <c r="D746" t="inlineStr">
        <is>
          <t>67</t>
        </is>
      </c>
      <c r="E746" t="inlineStr">
        <is>
          <t>Bas-Rhin</t>
        </is>
      </c>
      <c r="F746" t="inlineStr">
        <is>
          <t>Grand Est</t>
        </is>
      </c>
      <c r="G746" s="3" t="n">
        <v>35675</v>
      </c>
      <c r="H746" t="n">
        <v>35</v>
      </c>
      <c r="I746" t="inlineStr">
        <is>
          <t>16 rue du Zornhoff</t>
        </is>
      </c>
      <c r="J746" t="inlineStr">
        <is>
          <t>67700</t>
        </is>
      </c>
      <c r="K746" t="inlineStr">
        <is>
          <t>Saverne</t>
        </is>
      </c>
      <c r="L746" t="inlineStr">
        <is>
          <t>03 88 71 12 29</t>
        </is>
      </c>
      <c r="M746" s="4" t="inlineStr">
        <is>
          <t>contact@cc-saverne.fr</t>
        </is>
      </c>
      <c r="N746" s="4" t="inlineStr">
        <is>
          <t>https://www.cc-paysdesaverne.fr/</t>
        </is>
      </c>
      <c r="O746" t="inlineStr"/>
      <c r="P746" s="4" t="inlineStr">
        <is>
          <t>https://lannuaire.service-public.gouv.fr/grand-est/bas-rhin/08215e48-479d-429c-b7be-9634644fbda9</t>
        </is>
      </c>
      <c r="Q746" t="inlineStr">
        <is>
          <t>Annuaire Service-public.fr</t>
        </is>
      </c>
      <c r="R746" t="inlineStr"/>
      <c r="S746" t="inlineStr"/>
      <c r="T746" t="inlineStr"/>
    </row>
    <row r="747">
      <c r="A747" t="inlineStr">
        <is>
          <t>CC du Pays de Wissembourg</t>
        </is>
      </c>
      <c r="B747" t="inlineStr">
        <is>
          <t>Communauté de communes</t>
        </is>
      </c>
      <c r="C747" t="inlineStr">
        <is>
          <t>246700926</t>
        </is>
      </c>
      <c r="D747" t="inlineStr">
        <is>
          <t>67</t>
        </is>
      </c>
      <c r="E747" t="inlineStr">
        <is>
          <t>Bas-Rhin</t>
        </is>
      </c>
      <c r="F747" t="inlineStr">
        <is>
          <t>Grand Est</t>
        </is>
      </c>
      <c r="G747" s="3" t="n">
        <v>15749</v>
      </c>
      <c r="H747" t="n">
        <v>12</v>
      </c>
      <c r="I747" t="inlineStr">
        <is>
          <t>4 quai du 24-Novembre, BP 80023</t>
        </is>
      </c>
      <c r="J747" t="inlineStr">
        <is>
          <t>67161</t>
        </is>
      </c>
      <c r="K747" t="inlineStr">
        <is>
          <t>Wissembourg Cedex</t>
        </is>
      </c>
      <c r="L747" t="inlineStr">
        <is>
          <t>03 88 05 35 50</t>
        </is>
      </c>
      <c r="M747" s="4" t="inlineStr">
        <is>
          <t>infos@cc-pays-wissembourg.fr</t>
        </is>
      </c>
      <c r="N747" s="4" t="inlineStr">
        <is>
          <t>https://www.cc-pays-wissembourg.fr/</t>
        </is>
      </c>
      <c r="O747" s="4" t="inlineStr">
        <is>
          <t>https://www.cc-pays-wissembourg.fr/fr/Contact.html</t>
        </is>
      </c>
      <c r="P747" s="4" t="inlineStr">
        <is>
          <t>https://lannuaire.service-public.gouv.fr/grand-est/bas-rhin/ea5e77ed-6740-4114-bde1-115e79aee82c</t>
        </is>
      </c>
      <c r="Q747" t="inlineStr">
        <is>
          <t>Annuaire Service-public.fr</t>
        </is>
      </c>
      <c r="R747" t="inlineStr"/>
      <c r="S747" t="inlineStr"/>
      <c r="T747" t="inlineStr"/>
    </row>
    <row r="748">
      <c r="A748" t="inlineStr">
        <is>
          <t>CC du Pays de la Zorn</t>
        </is>
      </c>
      <c r="B748" t="inlineStr">
        <is>
          <t>Communauté de communes</t>
        </is>
      </c>
      <c r="C748" t="inlineStr">
        <is>
          <t>246700959</t>
        </is>
      </c>
      <c r="D748" t="inlineStr">
        <is>
          <t>67</t>
        </is>
      </c>
      <c r="E748" t="inlineStr">
        <is>
          <t>Bas-Rhin</t>
        </is>
      </c>
      <c r="F748" t="inlineStr">
        <is>
          <t>Grand Est</t>
        </is>
      </c>
      <c r="G748" s="3" t="n">
        <v>16195</v>
      </c>
      <c r="H748" t="n">
        <v>20</v>
      </c>
      <c r="I748" t="inlineStr">
        <is>
          <t>43 Rte De Strasbourg</t>
        </is>
      </c>
      <c r="J748" t="inlineStr">
        <is>
          <t>67270</t>
        </is>
      </c>
      <c r="K748" t="inlineStr">
        <is>
          <t>Hochfelden</t>
        </is>
      </c>
      <c r="L748" t="inlineStr"/>
      <c r="M748" t="inlineStr"/>
      <c r="N748" t="inlineStr"/>
      <c r="O748" t="inlineStr"/>
      <c r="P748" t="inlineStr"/>
      <c r="Q748" t="inlineStr">
        <is>
          <t>SIRENE (siège) : pas de fiche dans l’annuaire</t>
        </is>
      </c>
      <c r="R748" t="inlineStr"/>
      <c r="S748" t="inlineStr"/>
      <c r="T748" t="inlineStr"/>
    </row>
    <row r="749">
      <c r="A749" t="inlineStr">
        <is>
          <t>CC du Ried de Marckolsheim</t>
        </is>
      </c>
      <c r="B749" t="inlineStr">
        <is>
          <t>Communauté de communes</t>
        </is>
      </c>
      <c r="C749" t="inlineStr">
        <is>
          <t>200030526</t>
        </is>
      </c>
      <c r="D749" t="inlineStr">
        <is>
          <t>67, 68</t>
        </is>
      </c>
      <c r="E749" t="inlineStr">
        <is>
          <t>Bas-Rhin, Haut-Rhin</t>
        </is>
      </c>
      <c r="F749" t="inlineStr">
        <is>
          <t>Grand Est</t>
        </is>
      </c>
      <c r="G749" s="3" t="n">
        <v>20664</v>
      </c>
      <c r="H749" t="n">
        <v>18</v>
      </c>
      <c r="I749" t="inlineStr">
        <is>
          <t>24 rue du Maréchal-Foch, BP 50034</t>
        </is>
      </c>
      <c r="J749" t="inlineStr">
        <is>
          <t>67390</t>
        </is>
      </c>
      <c r="K749" t="inlineStr">
        <is>
          <t>Marckolsheim</t>
        </is>
      </c>
      <c r="L749" t="inlineStr">
        <is>
          <t>03 88 92 53 73</t>
        </is>
      </c>
      <c r="M749" s="4" t="inlineStr">
        <is>
          <t>contact@ried-marckolsheim.fr</t>
        </is>
      </c>
      <c r="N749" s="4" t="inlineStr">
        <is>
          <t>https://www.ried-marckolsheim.fr/</t>
        </is>
      </c>
      <c r="O749" s="4" t="inlineStr">
        <is>
          <t>https://www.ried-marckolsheim.fr/contactez-nous</t>
        </is>
      </c>
      <c r="P749" s="4" t="inlineStr">
        <is>
          <t>https://lannuaire.service-public.gouv.fr/grand-est/bas-rhin/5b0ac28f-73b8-4a2f-9986-84aafd37effa</t>
        </is>
      </c>
      <c r="Q749" t="inlineStr">
        <is>
          <t>Annuaire Service-public.fr</t>
        </is>
      </c>
      <c r="R749" t="inlineStr"/>
      <c r="S749" t="inlineStr"/>
      <c r="T749" t="inlineStr"/>
    </row>
    <row r="750">
      <c r="A750" t="inlineStr">
        <is>
          <t>CC Alsace Rhin Brisach</t>
        </is>
      </c>
      <c r="B750" t="inlineStr">
        <is>
          <t>Communauté de communes</t>
        </is>
      </c>
      <c r="C750" t="inlineStr">
        <is>
          <t>200066025</t>
        </is>
      </c>
      <c r="D750" t="inlineStr">
        <is>
          <t>68</t>
        </is>
      </c>
      <c r="E750" t="inlineStr">
        <is>
          <t>Haut-Rhin</t>
        </is>
      </c>
      <c r="F750" t="inlineStr">
        <is>
          <t>Grand Est</t>
        </is>
      </c>
      <c r="G750" s="3" t="n">
        <v>34031</v>
      </c>
      <c r="H750" t="n">
        <v>29</v>
      </c>
      <c r="I750" t="inlineStr">
        <is>
          <t>16 rue de Neuf-Brisach</t>
        </is>
      </c>
      <c r="J750" t="inlineStr">
        <is>
          <t>68600</t>
        </is>
      </c>
      <c r="K750" t="inlineStr">
        <is>
          <t>Volgelsheim</t>
        </is>
      </c>
      <c r="L750" t="inlineStr">
        <is>
          <t>03 89 72 56 49</t>
        </is>
      </c>
      <c r="M750" s="4" t="inlineStr">
        <is>
          <t>contact@alsacerhinbrisach.fr</t>
        </is>
      </c>
      <c r="N750" s="4" t="inlineStr">
        <is>
          <t>https://cc-alsacerhinbrisach.fr/</t>
        </is>
      </c>
      <c r="O750" s="4" t="inlineStr">
        <is>
          <t>https://www.paysrhinbrisach.fr/communaute-de-communes/contact-plan-dacces/</t>
        </is>
      </c>
      <c r="P750" s="4" t="inlineStr">
        <is>
          <t>https://lannuaire.service-public.gouv.fr/grand-est/haut-rhin/7c6f00ab-c570-402d-aed3-8d2da00aad09</t>
        </is>
      </c>
      <c r="Q750" t="inlineStr">
        <is>
          <t>Annuaire Service-public.fr</t>
        </is>
      </c>
      <c r="R750" t="inlineStr"/>
      <c r="S750" t="inlineStr"/>
      <c r="T750" t="inlineStr"/>
    </row>
    <row r="751">
      <c r="A751" t="inlineStr">
        <is>
          <t>CC Sud Alsace Largue</t>
        </is>
      </c>
      <c r="B751" t="inlineStr">
        <is>
          <t>Communauté de communes</t>
        </is>
      </c>
      <c r="C751" t="inlineStr">
        <is>
          <t>200066033</t>
        </is>
      </c>
      <c r="D751" t="inlineStr">
        <is>
          <t>68</t>
        </is>
      </c>
      <c r="E751" t="inlineStr">
        <is>
          <t>Haut-Rhin</t>
        </is>
      </c>
      <c r="F751" t="inlineStr">
        <is>
          <t>Grand Est</t>
        </is>
      </c>
      <c r="G751" s="3" t="n">
        <v>22331</v>
      </c>
      <c r="H751" t="n">
        <v>44</v>
      </c>
      <c r="I751" t="inlineStr">
        <is>
          <t>7 rue de Bâle</t>
        </is>
      </c>
      <c r="J751" t="inlineStr">
        <is>
          <t>68210</t>
        </is>
      </c>
      <c r="K751" t="inlineStr">
        <is>
          <t>Dannemarie</t>
        </is>
      </c>
      <c r="L751" t="inlineStr">
        <is>
          <t>03 89 07 24 24</t>
        </is>
      </c>
      <c r="M751" s="4" t="inlineStr">
        <is>
          <t>info@sudalsace-largue.fr</t>
        </is>
      </c>
      <c r="N751" s="4" t="inlineStr">
        <is>
          <t>https://www.sudalsace-largue.fr</t>
        </is>
      </c>
      <c r="O751" s="4" t="inlineStr">
        <is>
          <t>https://www.sudalsace-largue.fr/territoire-intercommunal/ecrivez-nous.htm</t>
        </is>
      </c>
      <c r="P751" s="4" t="inlineStr">
        <is>
          <t>https://lannuaire.service-public.gouv.fr/grand-est/haut-rhin/f2fae96d-8cf2-4ced-bee1-763c38e93016</t>
        </is>
      </c>
      <c r="Q751" t="inlineStr">
        <is>
          <t>Annuaire Service-public.fr</t>
        </is>
      </c>
      <c r="R751" t="inlineStr"/>
      <c r="S751" t="inlineStr"/>
      <c r="T751" t="inlineStr"/>
    </row>
    <row r="752">
      <c r="A752" t="inlineStr">
        <is>
          <t>CC Sundgau</t>
        </is>
      </c>
      <c r="B752" t="inlineStr">
        <is>
          <t>Communauté de communes</t>
        </is>
      </c>
      <c r="C752" t="inlineStr">
        <is>
          <t>200066041</t>
        </is>
      </c>
      <c r="D752" t="inlineStr">
        <is>
          <t>68</t>
        </is>
      </c>
      <c r="E752" t="inlineStr">
        <is>
          <t>Haut-Rhin</t>
        </is>
      </c>
      <c r="F752" t="inlineStr">
        <is>
          <t>Grand Est</t>
        </is>
      </c>
      <c r="G752" s="3" t="n">
        <v>47603</v>
      </c>
      <c r="H752" t="n">
        <v>64</v>
      </c>
      <c r="I752" t="inlineStr">
        <is>
          <t>Quartier Plessier, Avenue du 8ème régiment de Hussards</t>
        </is>
      </c>
      <c r="J752" t="inlineStr">
        <is>
          <t>68131</t>
        </is>
      </c>
      <c r="K752" t="inlineStr">
        <is>
          <t>Altkirch Cedex</t>
        </is>
      </c>
      <c r="L752" t="inlineStr">
        <is>
          <t>03 89 08 36 20</t>
        </is>
      </c>
      <c r="M752" s="4" t="inlineStr">
        <is>
          <t>accueil@cc-sundgau.fr</t>
        </is>
      </c>
      <c r="N752" s="4" t="inlineStr">
        <is>
          <t>https://www.cc-sundgau.fr/</t>
        </is>
      </c>
      <c r="O752" s="4" t="inlineStr">
        <is>
          <t>https://cc-sundgau.fr/formulaire-de-contact/</t>
        </is>
      </c>
      <c r="P752" s="4" t="inlineStr">
        <is>
          <t>https://lannuaire.service-public.gouv.fr/grand-est/haut-rhin/417d0bc2-a123-4de6-9021-da5b7ec5aab2</t>
        </is>
      </c>
      <c r="Q752" t="inlineStr">
        <is>
          <t>Annuaire Service-public.fr</t>
        </is>
      </c>
      <c r="R752" t="inlineStr"/>
      <c r="S752" t="inlineStr"/>
      <c r="T752" t="inlineStr"/>
    </row>
    <row r="753">
      <c r="A753" t="inlineStr">
        <is>
          <t>CC de Thann-Cernay</t>
        </is>
      </c>
      <c r="B753" t="inlineStr">
        <is>
          <t>Communauté de communes</t>
        </is>
      </c>
      <c r="C753" t="inlineStr">
        <is>
          <t>200036465</t>
        </is>
      </c>
      <c r="D753" t="inlineStr">
        <is>
          <t>68</t>
        </is>
      </c>
      <c r="E753" t="inlineStr">
        <is>
          <t>Haut-Rhin</t>
        </is>
      </c>
      <c r="F753" t="inlineStr">
        <is>
          <t>Grand Est</t>
        </is>
      </c>
      <c r="G753" s="3" t="n">
        <v>37567</v>
      </c>
      <c r="H753" t="n">
        <v>16</v>
      </c>
      <c r="I753" t="inlineStr">
        <is>
          <t>3 A rue de l'Industrie</t>
        </is>
      </c>
      <c r="J753" t="inlineStr">
        <is>
          <t>68700</t>
        </is>
      </c>
      <c r="K753" t="inlineStr">
        <is>
          <t>Cernay</t>
        </is>
      </c>
      <c r="L753" t="inlineStr">
        <is>
          <t>03 89 75 47 72</t>
        </is>
      </c>
      <c r="M753" s="4" t="inlineStr">
        <is>
          <t>contact@cc-thann-cernay.fr</t>
        </is>
      </c>
      <c r="N753" s="4" t="inlineStr">
        <is>
          <t>https://www.cc-thann-cernay.fr</t>
        </is>
      </c>
      <c r="O753" s="4" t="inlineStr">
        <is>
          <t>https://cc-thann-cernay.fr/contact-services/</t>
        </is>
      </c>
      <c r="P753" s="4" t="inlineStr">
        <is>
          <t>https://lannuaire.service-public.gouv.fr/grand-est/haut-rhin/532eebec-7bf3-4cf5-bbe1-d654f08351c1</t>
        </is>
      </c>
      <c r="Q753" t="inlineStr">
        <is>
          <t>Annuaire Service-public.fr</t>
        </is>
      </c>
      <c r="R753" t="inlineStr"/>
      <c r="S753" t="inlineStr"/>
      <c r="T753" t="inlineStr"/>
    </row>
    <row r="754">
      <c r="A754" t="inlineStr">
        <is>
          <t>CC de la Région de Guebwiller</t>
        </is>
      </c>
      <c r="B754" t="inlineStr">
        <is>
          <t>Communauté de communes</t>
        </is>
      </c>
      <c r="C754" t="inlineStr">
        <is>
          <t>246800569</t>
        </is>
      </c>
      <c r="D754" t="inlineStr">
        <is>
          <t>68</t>
        </is>
      </c>
      <c r="E754" t="inlineStr">
        <is>
          <t>Haut-Rhin</t>
        </is>
      </c>
      <c r="F754" t="inlineStr">
        <is>
          <t>Grand Est</t>
        </is>
      </c>
      <c r="G754" s="3" t="n">
        <v>38172</v>
      </c>
      <c r="H754" t="n">
        <v>19</v>
      </c>
      <c r="I754" t="inlineStr">
        <is>
          <t>1 rue des Malgrés-Nous, BP 80114</t>
        </is>
      </c>
      <c r="J754" t="inlineStr">
        <is>
          <t>68502</t>
        </is>
      </c>
      <c r="K754" t="inlineStr">
        <is>
          <t>Guebwiller Cedex</t>
        </is>
      </c>
      <c r="L754" t="inlineStr">
        <is>
          <t>03 89 62 12 34</t>
        </is>
      </c>
      <c r="M754" s="4" t="inlineStr">
        <is>
          <t>infos@cc-guebwiller.fr</t>
        </is>
      </c>
      <c r="N754" s="4" t="inlineStr">
        <is>
          <t>https://www.cc-guebwiller.fr/</t>
        </is>
      </c>
      <c r="O754" s="4" t="inlineStr">
        <is>
          <t>https://www.cc-guebwiller.fr/contact-ccrg/</t>
        </is>
      </c>
      <c r="P754" s="4" t="inlineStr">
        <is>
          <t>https://lannuaire.service-public.gouv.fr/grand-est/haut-rhin/e5711f76-c87c-49c6-aac5-99978d3b1d49</t>
        </is>
      </c>
      <c r="Q754" t="inlineStr">
        <is>
          <t>Annuaire Service-public.fr</t>
        </is>
      </c>
      <c r="R754" t="inlineStr"/>
      <c r="S754" t="inlineStr"/>
      <c r="T754" t="inlineStr"/>
    </row>
    <row r="755">
      <c r="A755" t="inlineStr">
        <is>
          <t>CC de la Vallée de Kaysersberg</t>
        </is>
      </c>
      <c r="B755" t="inlineStr">
        <is>
          <t>Communauté de communes</t>
        </is>
      </c>
      <c r="C755" t="inlineStr">
        <is>
          <t>246800551</t>
        </is>
      </c>
      <c r="D755" t="inlineStr">
        <is>
          <t>68</t>
        </is>
      </c>
      <c r="E755" t="inlineStr">
        <is>
          <t>Haut-Rhin</t>
        </is>
      </c>
      <c r="F755" t="inlineStr">
        <is>
          <t>Grand Est</t>
        </is>
      </c>
      <c r="G755" s="3" t="n">
        <v>16043</v>
      </c>
      <c r="H755" t="n">
        <v>8</v>
      </c>
      <c r="I755" t="inlineStr">
        <is>
          <t>31 rue du Geisbourg</t>
        </is>
      </c>
      <c r="J755" t="inlineStr">
        <is>
          <t>68240</t>
        </is>
      </c>
      <c r="K755" t="inlineStr">
        <is>
          <t>Kaysersberg-Vignoble</t>
        </is>
      </c>
      <c r="L755" t="inlineStr">
        <is>
          <t>03 89 78 21 55</t>
        </is>
      </c>
      <c r="M755" s="4" t="inlineStr">
        <is>
          <t>info@cc-kaysersberg.fr</t>
        </is>
      </c>
      <c r="N755" s="4" t="inlineStr">
        <is>
          <t>https://www.cc-kaysersberg.fr</t>
        </is>
      </c>
      <c r="O755" s="4" t="inlineStr">
        <is>
          <t>https://www.cc-kaysersberg.fr/contact.htm</t>
        </is>
      </c>
      <c r="P755" s="4" t="inlineStr">
        <is>
          <t>https://lannuaire.service-public.gouv.fr/grand-est/haut-rhin/91754233-c9fb-47fb-bb26-71cc6ffe79c1</t>
        </is>
      </c>
      <c r="Q755" t="inlineStr">
        <is>
          <t>Annuaire Service-public.fr</t>
        </is>
      </c>
      <c r="R755" t="inlineStr"/>
      <c r="S755" t="inlineStr"/>
      <c r="T755" t="inlineStr"/>
    </row>
    <row r="756">
      <c r="A756" t="inlineStr">
        <is>
          <t>CC de la Vallée de Munster</t>
        </is>
      </c>
      <c r="B756" t="inlineStr">
        <is>
          <t>Communauté de communes</t>
        </is>
      </c>
      <c r="C756" t="inlineStr">
        <is>
          <t>246800585</t>
        </is>
      </c>
      <c r="D756" t="inlineStr">
        <is>
          <t>68</t>
        </is>
      </c>
      <c r="E756" t="inlineStr">
        <is>
          <t>Haut-Rhin</t>
        </is>
      </c>
      <c r="F756" t="inlineStr">
        <is>
          <t>Grand Est</t>
        </is>
      </c>
      <c r="G756" s="3" t="n">
        <v>16258</v>
      </c>
      <c r="H756" t="n">
        <v>16</v>
      </c>
      <c r="I756" t="inlineStr">
        <is>
          <t>9 rue Sébastopol</t>
        </is>
      </c>
      <c r="J756" t="inlineStr">
        <is>
          <t>68140</t>
        </is>
      </c>
      <c r="K756" t="inlineStr">
        <is>
          <t>Munster</t>
        </is>
      </c>
      <c r="L756" t="inlineStr">
        <is>
          <t>03 89 77 50 32</t>
        </is>
      </c>
      <c r="M756" s="4" t="inlineStr">
        <is>
          <t>ccvm@cc-vallee-munster.fr</t>
        </is>
      </c>
      <c r="N756" s="4" t="inlineStr">
        <is>
          <t>https://www.cc-vallee-munster.fr/</t>
        </is>
      </c>
      <c r="O756" t="inlineStr"/>
      <c r="P756" s="4" t="inlineStr">
        <is>
          <t>https://lannuaire.service-public.gouv.fr/grand-est/haut-rhin/56566b1c-fba2-4634-930f-c5569b137065</t>
        </is>
      </c>
      <c r="Q756" t="inlineStr">
        <is>
          <t>Annuaire Service-public.fr</t>
        </is>
      </c>
      <c r="R756" t="inlineStr"/>
      <c r="S756" t="inlineStr"/>
      <c r="T756" t="inlineStr"/>
    </row>
    <row r="757">
      <c r="A757" t="inlineStr">
        <is>
          <t>CC de la Vallée de Saint-Amarin</t>
        </is>
      </c>
      <c r="B757" t="inlineStr">
        <is>
          <t>Communauté de communes</t>
        </is>
      </c>
      <c r="C757" t="inlineStr">
        <is>
          <t>246800205</t>
        </is>
      </c>
      <c r="D757" t="inlineStr">
        <is>
          <t>68</t>
        </is>
      </c>
      <c r="E757" t="inlineStr">
        <is>
          <t>Haut-Rhin</t>
        </is>
      </c>
      <c r="F757" t="inlineStr">
        <is>
          <t>Grand Est</t>
        </is>
      </c>
      <c r="G757" s="3" t="n">
        <v>11976</v>
      </c>
      <c r="H757" t="n">
        <v>15</v>
      </c>
      <c r="I757" t="inlineStr">
        <is>
          <t>70 rue Charles-de-Gaulle</t>
        </is>
      </c>
      <c r="J757" t="inlineStr">
        <is>
          <t>68550</t>
        </is>
      </c>
      <c r="K757" t="inlineStr">
        <is>
          <t>Saint-Amarin</t>
        </is>
      </c>
      <c r="L757" t="inlineStr">
        <is>
          <t>03 89 82 60 01</t>
        </is>
      </c>
      <c r="M757" s="4" t="inlineStr">
        <is>
          <t>contact@ccvsa.fr</t>
        </is>
      </c>
      <c r="N757" s="4" t="inlineStr">
        <is>
          <t>https://ccvsa.fr/</t>
        </is>
      </c>
      <c r="O757" s="4" t="inlineStr">
        <is>
          <t>https://ccvsa.fr/contact-services/</t>
        </is>
      </c>
      <c r="P757" s="4" t="inlineStr">
        <is>
          <t>https://lannuaire.service-public.gouv.fr/grand-est/haut-rhin/c8d775c7-fac1-4c77-8dcc-480b19e851eb</t>
        </is>
      </c>
      <c r="Q757" t="inlineStr">
        <is>
          <t>Annuaire Service-public.fr</t>
        </is>
      </c>
      <c r="R757" t="inlineStr"/>
      <c r="S757" t="inlineStr"/>
      <c r="T757" t="inlineStr"/>
    </row>
    <row r="758">
      <c r="A758" t="inlineStr">
        <is>
          <t>CC de la Vallée de la Doller et du Soultzbach</t>
        </is>
      </c>
      <c r="B758" t="inlineStr">
        <is>
          <t>Communauté de communes</t>
        </is>
      </c>
      <c r="C758" t="inlineStr">
        <is>
          <t>246800676</t>
        </is>
      </c>
      <c r="D758" t="inlineStr">
        <is>
          <t>68</t>
        </is>
      </c>
      <c r="E758" t="inlineStr">
        <is>
          <t>Haut-Rhin</t>
        </is>
      </c>
      <c r="F758" t="inlineStr">
        <is>
          <t>Grand Est</t>
        </is>
      </c>
      <c r="G758" s="3" t="n">
        <v>15914</v>
      </c>
      <c r="H758" t="n">
        <v>15</v>
      </c>
      <c r="I758" t="inlineStr">
        <is>
          <t>9 place des Alliés</t>
        </is>
      </c>
      <c r="J758" t="inlineStr">
        <is>
          <t>68290</t>
        </is>
      </c>
      <c r="K758" t="inlineStr">
        <is>
          <t>Masevaux-Niederbruck</t>
        </is>
      </c>
      <c r="L758" t="inlineStr">
        <is>
          <t>03 89 38 81 75</t>
        </is>
      </c>
      <c r="M758" s="4" t="inlineStr">
        <is>
          <t>contact@cc-vallee-doller.fr</t>
        </is>
      </c>
      <c r="N758" s="4" t="inlineStr">
        <is>
          <t>https://www.cc-vallee-doller.fr/</t>
        </is>
      </c>
      <c r="O758" t="inlineStr"/>
      <c r="P758" s="4" t="inlineStr">
        <is>
          <t>https://lannuaire.service-public.gouv.fr/grand-est/haut-rhin/12312613-fc77-481c-ab2f-8a7d5e10b442</t>
        </is>
      </c>
      <c r="Q758" t="inlineStr">
        <is>
          <t>Annuaire Service-public.fr</t>
        </is>
      </c>
      <c r="R758" t="inlineStr"/>
      <c r="S758" t="inlineStr"/>
      <c r="T758" t="inlineStr"/>
    </row>
    <row r="759">
      <c r="A759" t="inlineStr">
        <is>
          <t>CC du Centre du Haut-Rhin</t>
        </is>
      </c>
      <c r="B759" t="inlineStr">
        <is>
          <t>Communauté de communes</t>
        </is>
      </c>
      <c r="C759" t="inlineStr">
        <is>
          <t>246800445</t>
        </is>
      </c>
      <c r="D759" t="inlineStr">
        <is>
          <t>68</t>
        </is>
      </c>
      <c r="E759" t="inlineStr">
        <is>
          <t>Haut-Rhin</t>
        </is>
      </c>
      <c r="F759" t="inlineStr">
        <is>
          <t>Grand Est</t>
        </is>
      </c>
      <c r="G759" s="3" t="n">
        <v>16348</v>
      </c>
      <c r="H759" t="n">
        <v>9</v>
      </c>
      <c r="I759" t="inlineStr">
        <is>
          <t>6 place de l'Église</t>
        </is>
      </c>
      <c r="J759" t="inlineStr">
        <is>
          <t>68190</t>
        </is>
      </c>
      <c r="K759" t="inlineStr">
        <is>
          <t>Ensisheim</t>
        </is>
      </c>
      <c r="L759" t="inlineStr">
        <is>
          <t>03 89 26 40 70</t>
        </is>
      </c>
      <c r="M759" s="4" t="inlineStr">
        <is>
          <t>contact@ccchr.fr</t>
        </is>
      </c>
      <c r="N759" s="4" t="inlineStr">
        <is>
          <t>https://ccchr.fr/</t>
        </is>
      </c>
      <c r="O759" t="inlineStr"/>
      <c r="P759" s="4" t="inlineStr">
        <is>
          <t>https://lannuaire.service-public.gouv.fr/grand-est/haut-rhin/9fa9b4cc-84cd-4da2-adef-a4f2b73b81ef</t>
        </is>
      </c>
      <c r="Q759" t="inlineStr">
        <is>
          <t>Annuaire Service-public.fr</t>
        </is>
      </c>
      <c r="R759" t="inlineStr"/>
      <c r="S759" t="inlineStr"/>
      <c r="T759" t="inlineStr"/>
    </row>
    <row r="760">
      <c r="A760" t="inlineStr">
        <is>
          <t>CC du Pays de Ribeauvillé</t>
        </is>
      </c>
      <c r="B760" t="inlineStr">
        <is>
          <t>Communauté de communes</t>
        </is>
      </c>
      <c r="C760" t="inlineStr">
        <is>
          <t>246800577</t>
        </is>
      </c>
      <c r="D760" t="inlineStr">
        <is>
          <t>68</t>
        </is>
      </c>
      <c r="E760" t="inlineStr">
        <is>
          <t>Haut-Rhin</t>
        </is>
      </c>
      <c r="F760" t="inlineStr">
        <is>
          <t>Grand Est</t>
        </is>
      </c>
      <c r="G760" s="3" t="n">
        <v>18133</v>
      </c>
      <c r="H760" t="n">
        <v>16</v>
      </c>
      <c r="I760" t="inlineStr">
        <is>
          <t>1 rue Pierre-de-Coubertin</t>
        </is>
      </c>
      <c r="J760" t="inlineStr">
        <is>
          <t>68150</t>
        </is>
      </c>
      <c r="K760" t="inlineStr">
        <is>
          <t>Ribeauvillé</t>
        </is>
      </c>
      <c r="L760" t="inlineStr">
        <is>
          <t>03 89 73 27 10</t>
        </is>
      </c>
      <c r="M760" s="4" t="inlineStr">
        <is>
          <t>contact@paysderibeauville.fr</t>
        </is>
      </c>
      <c r="N760" s="4" t="inlineStr">
        <is>
          <t>https://www.cc-ribeauville.fr/</t>
        </is>
      </c>
      <c r="O760" t="inlineStr"/>
      <c r="P760" s="4" t="inlineStr">
        <is>
          <t>https://lannuaire.service-public.gouv.fr/grand-est/haut-rhin/17433479-e09e-472a-ac1f-54f9d1dde9bb</t>
        </is>
      </c>
      <c r="Q760" t="inlineStr">
        <is>
          <t>Annuaire Service-public.fr</t>
        </is>
      </c>
      <c r="R760" t="inlineStr"/>
      <c r="S760" t="inlineStr"/>
      <c r="T760" t="inlineStr"/>
    </row>
    <row r="761">
      <c r="A761" t="inlineStr">
        <is>
          <t>CC du Pays de Rouffach, Vignobles et Châteaux</t>
        </is>
      </c>
      <c r="B761" t="inlineStr">
        <is>
          <t>Communauté de communes</t>
        </is>
      </c>
      <c r="C761" t="inlineStr">
        <is>
          <t>246800494</t>
        </is>
      </c>
      <c r="D761" t="inlineStr">
        <is>
          <t>68</t>
        </is>
      </c>
      <c r="E761" t="inlineStr">
        <is>
          <t>Haut-Rhin</t>
        </is>
      </c>
      <c r="F761" t="inlineStr">
        <is>
          <t>Grand Est</t>
        </is>
      </c>
      <c r="G761" s="3" t="n">
        <v>12891</v>
      </c>
      <c r="H761" t="n">
        <v>11</v>
      </c>
      <c r="I761" t="inlineStr">
        <is>
          <t>9 aux Remparts</t>
        </is>
      </c>
      <c r="J761" t="inlineStr">
        <is>
          <t>68250</t>
        </is>
      </c>
      <c r="K761" t="inlineStr">
        <is>
          <t>Rouffach</t>
        </is>
      </c>
      <c r="L761" t="inlineStr">
        <is>
          <t>03 89 78 51 44</t>
        </is>
      </c>
      <c r="M761" s="4" t="inlineStr">
        <is>
          <t>accueil@cc-paysderouffach.fr</t>
        </is>
      </c>
      <c r="N761" s="4" t="inlineStr">
        <is>
          <t>https://www.cc-paysderouffach-vignobles-chateaux.fr/</t>
        </is>
      </c>
      <c r="O761" s="4" t="inlineStr">
        <is>
          <t>https://www.cc-paysderouffach-vignobles-chateaux.fr/formulaire-de-contact</t>
        </is>
      </c>
      <c r="P761" s="4" t="inlineStr">
        <is>
          <t>https://lannuaire.service-public.gouv.fr/grand-est/haut-rhin/e1969655-0559-4893-bff6-f62ef1613f20</t>
        </is>
      </c>
      <c r="Q761" t="inlineStr">
        <is>
          <t>Annuaire Service-public.fr</t>
        </is>
      </c>
      <c r="R761" t="inlineStr"/>
      <c r="S761" t="inlineStr"/>
      <c r="T761" t="inlineStr"/>
    </row>
    <row r="762">
      <c r="A762" t="inlineStr">
        <is>
          <t>CC du Val d'Argent</t>
        </is>
      </c>
      <c r="B762" t="inlineStr">
        <is>
          <t>Communauté de communes</t>
        </is>
      </c>
      <c r="C762" t="inlineStr">
        <is>
          <t>246800395</t>
        </is>
      </c>
      <c r="D762" t="inlineStr">
        <is>
          <t>68</t>
        </is>
      </c>
      <c r="E762" t="inlineStr">
        <is>
          <t>Haut-Rhin</t>
        </is>
      </c>
      <c r="F762" t="inlineStr">
        <is>
          <t>Grand Est</t>
        </is>
      </c>
      <c r="G762" s="3" t="n">
        <v>9133</v>
      </c>
      <c r="H762" t="n">
        <v>4</v>
      </c>
      <c r="I762" t="inlineStr">
        <is>
          <t>11 A rue Maurice-Burrus</t>
        </is>
      </c>
      <c r="J762" t="inlineStr">
        <is>
          <t>68160</t>
        </is>
      </c>
      <c r="K762" t="inlineStr">
        <is>
          <t>Sainte-Croix-aux-Mines</t>
        </is>
      </c>
      <c r="L762" t="inlineStr">
        <is>
          <t>03 89 58 83 45</t>
        </is>
      </c>
      <c r="M762" s="4" t="inlineStr">
        <is>
          <t>accueil@cc-valdargent.fr</t>
        </is>
      </c>
      <c r="N762" s="4" t="inlineStr">
        <is>
          <t>https://www.cc-valdargent.fr/</t>
        </is>
      </c>
      <c r="O762" s="4" t="inlineStr">
        <is>
          <t>https://www.cc-valdargent.fr/contact</t>
        </is>
      </c>
      <c r="P762" s="4" t="inlineStr">
        <is>
          <t>https://lannuaire.service-public.gouv.fr/grand-est/haut-rhin/ad1b17ac-2cf1-433a-967b-c2b552e31720</t>
        </is>
      </c>
      <c r="Q762" t="inlineStr">
        <is>
          <t>Annuaire Service-public.fr</t>
        </is>
      </c>
      <c r="R762" t="inlineStr"/>
      <c r="S762" t="inlineStr"/>
      <c r="T762" t="inlineStr"/>
    </row>
    <row r="763">
      <c r="A763" t="inlineStr">
        <is>
          <t>CC Beaujolais Pierres Dorées</t>
        </is>
      </c>
      <c r="B763" t="inlineStr">
        <is>
          <t>Communauté de communes</t>
        </is>
      </c>
      <c r="C763" t="inlineStr">
        <is>
          <t>200040574</t>
        </is>
      </c>
      <c r="D763" t="inlineStr">
        <is>
          <t>69</t>
        </is>
      </c>
      <c r="E763" t="inlineStr">
        <is>
          <t>Rhône</t>
        </is>
      </c>
      <c r="F763" t="inlineStr">
        <is>
          <t>Auvergne-Rhône-Alpes</t>
        </is>
      </c>
      <c r="G763" s="3" t="n">
        <v>56155</v>
      </c>
      <c r="H763" t="n">
        <v>32</v>
      </c>
      <c r="I763" t="inlineStr">
        <is>
          <t>Domaine des communes, 1277 route des Crêtes</t>
        </is>
      </c>
      <c r="J763" t="inlineStr">
        <is>
          <t>69480</t>
        </is>
      </c>
      <c r="K763" t="inlineStr">
        <is>
          <t>Anse</t>
        </is>
      </c>
      <c r="L763" t="inlineStr">
        <is>
          <t>04 74 67 00 25</t>
        </is>
      </c>
      <c r="M763" s="4" t="inlineStr">
        <is>
          <t>contact@cc-pierresdorees.com</t>
        </is>
      </c>
      <c r="N763" s="4" t="inlineStr">
        <is>
          <t>https://www.cc-pierresdorees.com/</t>
        </is>
      </c>
      <c r="O763" s="4" t="inlineStr">
        <is>
          <t>https://www.cc-pierresdorees.com/contact</t>
        </is>
      </c>
      <c r="P763" s="4" t="inlineStr">
        <is>
          <t>https://lannuaire.service-public.gouv.fr/auvergne-rhone-alpes/rhone/314edd8d-49a5-40d5-bd83-356b55bfa7ec</t>
        </is>
      </c>
      <c r="Q763" t="inlineStr">
        <is>
          <t>Annuaire Service-public.fr</t>
        </is>
      </c>
      <c r="R763" t="inlineStr"/>
      <c r="S763" t="inlineStr"/>
      <c r="T763" t="inlineStr"/>
    </row>
    <row r="764">
      <c r="A764" t="inlineStr">
        <is>
          <t>CC Saône-Beaujolais</t>
        </is>
      </c>
      <c r="B764" t="inlineStr">
        <is>
          <t>Communauté de communes</t>
        </is>
      </c>
      <c r="C764" t="inlineStr">
        <is>
          <t>200067817</t>
        </is>
      </c>
      <c r="D764" t="inlineStr">
        <is>
          <t>69</t>
        </is>
      </c>
      <c r="E764" t="inlineStr">
        <is>
          <t>Rhône</t>
        </is>
      </c>
      <c r="F764" t="inlineStr">
        <is>
          <t>Auvergne-Rhône-Alpes</t>
        </is>
      </c>
      <c r="G764" s="3" t="n">
        <v>45642</v>
      </c>
      <c r="H764" t="n">
        <v>35</v>
      </c>
      <c r="I764" t="inlineStr">
        <is>
          <t>105 rue de la République, CS 30010</t>
        </is>
      </c>
      <c r="J764" t="inlineStr">
        <is>
          <t>69220</t>
        </is>
      </c>
      <c r="K764" t="inlineStr">
        <is>
          <t>Belleville-en-Beaujolais</t>
        </is>
      </c>
      <c r="L764" t="inlineStr">
        <is>
          <t>04 74 66 35 98</t>
        </is>
      </c>
      <c r="M764" s="4" t="inlineStr">
        <is>
          <t>contact@ccsb-saonebeaujolais.fr</t>
        </is>
      </c>
      <c r="N764" s="4" t="inlineStr">
        <is>
          <t>https://ccsb-saonebeaujolais.fr/</t>
        </is>
      </c>
      <c r="O764" s="4" t="inlineStr">
        <is>
          <t>https://ccsb-saonebeaujolais.fr/contactez-la-ccsb/</t>
        </is>
      </c>
      <c r="P764" s="4" t="inlineStr">
        <is>
          <t>https://lannuaire.service-public.gouv.fr/auvergne-rhone-alpes/rhone/c89d5a8e-c557-4dab-94f2-4168e551e748</t>
        </is>
      </c>
      <c r="Q764" t="inlineStr">
        <is>
          <t>Annuaire Service-public.fr</t>
        </is>
      </c>
      <c r="R764" t="inlineStr"/>
      <c r="S764" t="inlineStr"/>
      <c r="T764" t="inlineStr"/>
    </row>
    <row r="765">
      <c r="A765" t="inlineStr">
        <is>
          <t>CC de l'Est Lyonnais (CCEL)</t>
        </is>
      </c>
      <c r="B765" t="inlineStr">
        <is>
          <t>Communauté de communes</t>
        </is>
      </c>
      <c r="C765" t="inlineStr">
        <is>
          <t>246900575</t>
        </is>
      </c>
      <c r="D765" t="inlineStr">
        <is>
          <t>69</t>
        </is>
      </c>
      <c r="E765" t="inlineStr">
        <is>
          <t>Rhône</t>
        </is>
      </c>
      <c r="F765" t="inlineStr">
        <is>
          <t>Auvergne-Rhône-Alpes</t>
        </is>
      </c>
      <c r="G765" s="3" t="n">
        <v>42457</v>
      </c>
      <c r="H765" t="n">
        <v>8</v>
      </c>
      <c r="I765" t="inlineStr">
        <is>
          <t>40 rue de Norvège, Aéroport de Lyon - Saint-Exupéry, CS 60001</t>
        </is>
      </c>
      <c r="J765" t="inlineStr">
        <is>
          <t>69125</t>
        </is>
      </c>
      <c r="K765" t="inlineStr">
        <is>
          <t>Colombier-Saugnieu Cedex</t>
        </is>
      </c>
      <c r="L765" t="inlineStr">
        <is>
          <t>04 72 79 05 34</t>
        </is>
      </c>
      <c r="M765" s="4" t="inlineStr">
        <is>
          <t>accueil@ccel.fr</t>
        </is>
      </c>
      <c r="N765" s="4" t="inlineStr">
        <is>
          <t>https://ccel.fr/</t>
        </is>
      </c>
      <c r="O765" s="4" t="inlineStr">
        <is>
          <t>https://ccel.fr/contact/</t>
        </is>
      </c>
      <c r="P765" s="4" t="inlineStr">
        <is>
          <t>https://lannuaire.service-public.gouv.fr/auvergne-rhone-alpes/rhone/21432a76-82df-4325-96bd-70c856aaff98</t>
        </is>
      </c>
      <c r="Q765" t="inlineStr">
        <is>
          <t>Annuaire Service-public.fr</t>
        </is>
      </c>
      <c r="R765" t="inlineStr"/>
      <c r="S765" t="inlineStr"/>
      <c r="T765" t="inlineStr"/>
    </row>
    <row r="766">
      <c r="A766" t="inlineStr">
        <is>
          <t>CC de la Vallée du Garon (CCVG)</t>
        </is>
      </c>
      <c r="B766" t="inlineStr">
        <is>
          <t>Communauté de communes</t>
        </is>
      </c>
      <c r="C766" t="inlineStr">
        <is>
          <t>246900757</t>
        </is>
      </c>
      <c r="D766" t="inlineStr">
        <is>
          <t>69</t>
        </is>
      </c>
      <c r="E766" t="inlineStr">
        <is>
          <t>Rhône</t>
        </is>
      </c>
      <c r="F766" t="inlineStr">
        <is>
          <t>Auvergne-Rhône-Alpes</t>
        </is>
      </c>
      <c r="G766" s="3" t="n">
        <v>32435</v>
      </c>
      <c r="H766" t="n">
        <v>5</v>
      </c>
      <c r="I766" t="inlineStr">
        <is>
          <t>262 rue Barthélémy-Thimonnier, Parc d'activités de Sacuny</t>
        </is>
      </c>
      <c r="J766" t="inlineStr">
        <is>
          <t>69530</t>
        </is>
      </c>
      <c r="K766" t="inlineStr">
        <is>
          <t>Brignais</t>
        </is>
      </c>
      <c r="L766" t="inlineStr">
        <is>
          <t>04 72 31 78 72</t>
        </is>
      </c>
      <c r="M766" s="4" t="inlineStr">
        <is>
          <t>contact@cc-valleedugaron.fr</t>
        </is>
      </c>
      <c r="N766" s="4" t="inlineStr">
        <is>
          <t>https://www.ccvalleedugaron.com/</t>
        </is>
      </c>
      <c r="O766" s="4" t="inlineStr">
        <is>
          <t>https://www.ccvalleedugaron.com/contact/</t>
        </is>
      </c>
      <c r="P766" s="4" t="inlineStr">
        <is>
          <t>https://lannuaire.service-public.gouv.fr/auvergne-rhone-alpes/rhone/68d4be09-461e-41f4-9d56-16f3fb80d433</t>
        </is>
      </c>
      <c r="Q766" t="inlineStr">
        <is>
          <t>Annuaire Service-public.fr</t>
        </is>
      </c>
      <c r="R766" t="inlineStr"/>
      <c r="S766" t="inlineStr"/>
      <c r="T766" t="inlineStr"/>
    </row>
    <row r="767">
      <c r="A767" t="inlineStr">
        <is>
          <t>CC des Vallons du Lyonnais (CCVL)</t>
        </is>
      </c>
      <c r="B767" t="inlineStr">
        <is>
          <t>Communauté de communes</t>
        </is>
      </c>
      <c r="C767" t="inlineStr">
        <is>
          <t>246900724</t>
        </is>
      </c>
      <c r="D767" t="inlineStr">
        <is>
          <t>69</t>
        </is>
      </c>
      <c r="E767" t="inlineStr">
        <is>
          <t>Rhône</t>
        </is>
      </c>
      <c r="F767" t="inlineStr">
        <is>
          <t>Auvergne-Rhône-Alpes</t>
        </is>
      </c>
      <c r="G767" s="3" t="n">
        <v>32088</v>
      </c>
      <c r="H767" t="n">
        <v>8</v>
      </c>
      <c r="I767" t="inlineStr">
        <is>
          <t>27 chemin du Stade</t>
        </is>
      </c>
      <c r="J767" t="inlineStr">
        <is>
          <t>69670</t>
        </is>
      </c>
      <c r="K767" t="inlineStr">
        <is>
          <t>Vaugneray</t>
        </is>
      </c>
      <c r="L767" t="inlineStr">
        <is>
          <t>04 78 57 83 80</t>
        </is>
      </c>
      <c r="M767" s="4" t="inlineStr">
        <is>
          <t>ccvl@ccvl.fr</t>
        </is>
      </c>
      <c r="N767" s="4" t="inlineStr">
        <is>
          <t>http://www.ccvl.fr</t>
        </is>
      </c>
      <c r="O767" t="inlineStr"/>
      <c r="P767" s="4" t="inlineStr">
        <is>
          <t>https://lannuaire.service-public.gouv.fr/auvergne-rhone-alpes/rhone/efed0eb0-dfe3-4b41-8a18-efb5856f5fac</t>
        </is>
      </c>
      <c r="Q767" t="inlineStr">
        <is>
          <t>Annuaire Service-public.fr</t>
        </is>
      </c>
      <c r="R767" t="inlineStr"/>
      <c r="S767" t="inlineStr"/>
      <c r="T767" t="inlineStr"/>
    </row>
    <row r="768">
      <c r="A768" t="inlineStr">
        <is>
          <t>CC du Pays Mornantais (COPAMO)</t>
        </is>
      </c>
      <c r="B768" t="inlineStr">
        <is>
          <t>Communauté de communes</t>
        </is>
      </c>
      <c r="C768" t="inlineStr">
        <is>
          <t>246900740</t>
        </is>
      </c>
      <c r="D768" t="inlineStr">
        <is>
          <t>69</t>
        </is>
      </c>
      <c r="E768" t="inlineStr">
        <is>
          <t>Rhône</t>
        </is>
      </c>
      <c r="F768" t="inlineStr">
        <is>
          <t>Auvergne-Rhône-Alpes</t>
        </is>
      </c>
      <c r="G768" s="3" t="n">
        <v>29758</v>
      </c>
      <c r="H768" t="n">
        <v>11</v>
      </c>
      <c r="I768" t="inlineStr">
        <is>
          <t>50 avenue du Pays-Mornantais, Le Clos-Fournereau</t>
        </is>
      </c>
      <c r="J768" t="inlineStr">
        <is>
          <t>69440</t>
        </is>
      </c>
      <c r="K768" t="inlineStr">
        <is>
          <t>Mornant</t>
        </is>
      </c>
      <c r="L768" t="inlineStr">
        <is>
          <t>04 78 44 14 39</t>
        </is>
      </c>
      <c r="M768" s="4" t="inlineStr">
        <is>
          <t>copamo@cc-paysmornantais.fr</t>
        </is>
      </c>
      <c r="N768" s="4" t="inlineStr">
        <is>
          <t>https://cc-paysmornantais.fr/</t>
        </is>
      </c>
      <c r="O768" s="4" t="inlineStr">
        <is>
          <t>https://cc-paysmornantais.fr/contact.html</t>
        </is>
      </c>
      <c r="P768" s="4" t="inlineStr">
        <is>
          <t>https://lannuaire.service-public.gouv.fr/auvergne-rhone-alpes/rhone/6e004bed-cf5c-4c00-bebe-673c86a79da0</t>
        </is>
      </c>
      <c r="Q768" t="inlineStr">
        <is>
          <t>Annuaire Service-public.fr</t>
        </is>
      </c>
      <c r="R768" t="inlineStr"/>
      <c r="S768" t="inlineStr"/>
      <c r="T768" t="inlineStr"/>
    </row>
    <row r="769">
      <c r="A769" t="inlineStr">
        <is>
          <t>CC du Pays de l'Arbresle (CCPA)</t>
        </is>
      </c>
      <c r="B769" t="inlineStr">
        <is>
          <t>Communauté de communes</t>
        </is>
      </c>
      <c r="C769" t="inlineStr">
        <is>
          <t>246900625</t>
        </is>
      </c>
      <c r="D769" t="inlineStr">
        <is>
          <t>69</t>
        </is>
      </c>
      <c r="E769" t="inlineStr">
        <is>
          <t>Rhône</t>
        </is>
      </c>
      <c r="F769" t="inlineStr">
        <is>
          <t>Auvergne-Rhône-Alpes</t>
        </is>
      </c>
      <c r="G769" s="3" t="n">
        <v>38945</v>
      </c>
      <c r="H769" t="n">
        <v>17</v>
      </c>
      <c r="I769" t="inlineStr">
        <is>
          <t>117 rue Pierre-Passemard</t>
        </is>
      </c>
      <c r="J769" t="inlineStr">
        <is>
          <t>69210</t>
        </is>
      </c>
      <c r="K769" t="inlineStr">
        <is>
          <t>L'Arbresle</t>
        </is>
      </c>
      <c r="L769" t="inlineStr">
        <is>
          <t>04 74 01 68 90</t>
        </is>
      </c>
      <c r="M769" s="4" t="inlineStr">
        <is>
          <t>ccpa@paysdelarbresle.fr</t>
        </is>
      </c>
      <c r="N769" s="4" t="inlineStr">
        <is>
          <t>https://www.paysdelarbresle.fr/</t>
        </is>
      </c>
      <c r="O769" s="4" t="inlineStr">
        <is>
          <t>https://www.paysdelarbresle.fr/contact/</t>
        </is>
      </c>
      <c r="P769" s="4" t="inlineStr">
        <is>
          <t>https://lannuaire.service-public.gouv.fr/auvergne-rhone-alpes/rhone/062dc07a-5ad8-4a1c-850d-4fead6d18936</t>
        </is>
      </c>
      <c r="Q769" t="inlineStr">
        <is>
          <t>Annuaire Service-public.fr</t>
        </is>
      </c>
      <c r="R769" t="inlineStr"/>
      <c r="S769" t="inlineStr"/>
      <c r="T769" t="inlineStr"/>
    </row>
    <row r="770">
      <c r="A770" t="inlineStr">
        <is>
          <t>CC du Pays de l'Ozon</t>
        </is>
      </c>
      <c r="B770" t="inlineStr">
        <is>
          <t>Communauté de communes</t>
        </is>
      </c>
      <c r="C770" t="inlineStr">
        <is>
          <t>246900765</t>
        </is>
      </c>
      <c r="D770" t="inlineStr">
        <is>
          <t>69</t>
        </is>
      </c>
      <c r="E770" t="inlineStr">
        <is>
          <t>Rhône</t>
        </is>
      </c>
      <c r="F770" t="inlineStr">
        <is>
          <t>Auvergne-Rhône-Alpes</t>
        </is>
      </c>
      <c r="G770" s="3" t="n">
        <v>27623</v>
      </c>
      <c r="H770" t="n">
        <v>7</v>
      </c>
      <c r="I770" t="inlineStr">
        <is>
          <t>1 rue du Stade</t>
        </is>
      </c>
      <c r="J770" t="inlineStr">
        <is>
          <t>69360</t>
        </is>
      </c>
      <c r="K770" t="inlineStr">
        <is>
          <t>Saint-Symphorien-d'Ozon</t>
        </is>
      </c>
      <c r="L770" t="inlineStr">
        <is>
          <t>04 78 02 93 68</t>
        </is>
      </c>
      <c r="M770" s="4" t="inlineStr">
        <is>
          <t>ccpo@pays-ozon.com</t>
        </is>
      </c>
      <c r="N770" s="4" t="inlineStr">
        <is>
          <t>http://www.pays-ozon.com</t>
        </is>
      </c>
      <c r="O770" t="inlineStr"/>
      <c r="P770" s="4" t="inlineStr">
        <is>
          <t>https://lannuaire.service-public.gouv.fr/auvergne-rhone-alpes/rhone/056b286e-06cd-491f-8c81-c45863ffa3d6</t>
        </is>
      </c>
      <c r="Q770" t="inlineStr">
        <is>
          <t>Annuaire Service-public.fr</t>
        </is>
      </c>
      <c r="R770" t="inlineStr"/>
      <c r="S770" t="inlineStr"/>
      <c r="T770" t="inlineStr"/>
    </row>
    <row r="771">
      <c r="A771" t="inlineStr">
        <is>
          <t>CC Rahin et Chérimont</t>
        </is>
      </c>
      <c r="B771" t="inlineStr">
        <is>
          <t>Communauté de communes</t>
        </is>
      </c>
      <c r="C771" t="inlineStr">
        <is>
          <t>247000821</t>
        </is>
      </c>
      <c r="D771" t="inlineStr">
        <is>
          <t>70</t>
        </is>
      </c>
      <c r="E771" t="inlineStr">
        <is>
          <t>Haute-Saône</t>
        </is>
      </c>
      <c r="F771" t="inlineStr">
        <is>
          <t>Bourgogne-Franche-Comté</t>
        </is>
      </c>
      <c r="G771" s="3" t="n">
        <v>11627</v>
      </c>
      <c r="H771" t="n">
        <v>9</v>
      </c>
      <c r="I771" t="inlineStr">
        <is>
          <t>20 rue Paul-Strauss</t>
        </is>
      </c>
      <c r="J771" t="inlineStr">
        <is>
          <t>70250</t>
        </is>
      </c>
      <c r="K771" t="inlineStr">
        <is>
          <t>Ronchamp</t>
        </is>
      </c>
      <c r="L771" t="inlineStr">
        <is>
          <t>03 84 27 93 15</t>
        </is>
      </c>
      <c r="M771" s="4" t="inlineStr">
        <is>
          <t>ccrahincherimont@wanadoo.fr</t>
        </is>
      </c>
      <c r="N771" s="4" t="inlineStr">
        <is>
          <t>https://www.ccrc70.fr/</t>
        </is>
      </c>
      <c r="O771" s="4" t="inlineStr">
        <is>
          <t>https://www.ccrc70.fr/contacter-la-ccrc/</t>
        </is>
      </c>
      <c r="P771" s="4" t="inlineStr">
        <is>
          <t>https://lannuaire.service-public.gouv.fr/bourgogne-franche-comte/haute-saone/28b1f71e-b9fd-40e0-a193-3d15ece5f8a5</t>
        </is>
      </c>
      <c r="Q771" t="inlineStr">
        <is>
          <t>Annuaire Service-public.fr</t>
        </is>
      </c>
      <c r="R771" t="inlineStr"/>
      <c r="S771" t="inlineStr"/>
      <c r="T771" t="inlineStr"/>
    </row>
    <row r="772">
      <c r="A772" t="inlineStr">
        <is>
          <t>CC Terres de Saône</t>
        </is>
      </c>
      <c r="B772" t="inlineStr">
        <is>
          <t>Communauté de communes</t>
        </is>
      </c>
      <c r="C772" t="inlineStr">
        <is>
          <t>200041879</t>
        </is>
      </c>
      <c r="D772" t="inlineStr">
        <is>
          <t>70</t>
        </is>
      </c>
      <c r="E772" t="inlineStr">
        <is>
          <t>Haute-Saône</t>
        </is>
      </c>
      <c r="F772" t="inlineStr">
        <is>
          <t>Bourgogne-Franche-Comté</t>
        </is>
      </c>
      <c r="G772" s="3" t="n">
        <v>13103</v>
      </c>
      <c r="H772" t="n">
        <v>39</v>
      </c>
      <c r="I772" t="inlineStr">
        <is>
          <t>73 rue François-Mitterrand</t>
        </is>
      </c>
      <c r="J772" t="inlineStr">
        <is>
          <t>70170</t>
        </is>
      </c>
      <c r="K772" t="inlineStr">
        <is>
          <t>Port-sur-Saône</t>
        </is>
      </c>
      <c r="L772" t="inlineStr">
        <is>
          <t>03 84 91 66 00</t>
        </is>
      </c>
      <c r="M772" s="4" t="inlineStr">
        <is>
          <t>contact@cctds.fr</t>
        </is>
      </c>
      <c r="N772" s="4" t="inlineStr">
        <is>
          <t>https://www.cctds.fr/</t>
        </is>
      </c>
      <c r="O772" s="4" t="inlineStr">
        <is>
          <t>https://www.cctds.fr/contact</t>
        </is>
      </c>
      <c r="P772" s="4" t="inlineStr">
        <is>
          <t>https://lannuaire.service-public.gouv.fr/bourgogne-franche-comte/haute-saone/a22bbfdd-2d27-4b1e-a32d-71f59d72413d</t>
        </is>
      </c>
      <c r="Q772" t="inlineStr">
        <is>
          <t>Annuaire Service-public.fr</t>
        </is>
      </c>
      <c r="R772" t="inlineStr"/>
      <c r="S772" t="inlineStr"/>
      <c r="T772" t="inlineStr"/>
    </row>
    <row r="773">
      <c r="A773" t="inlineStr">
        <is>
          <t>CC Val de Gray</t>
        </is>
      </c>
      <c r="B773" t="inlineStr">
        <is>
          <t>Communauté de communes</t>
        </is>
      </c>
      <c r="C773" t="inlineStr">
        <is>
          <t>200036549</t>
        </is>
      </c>
      <c r="D773" t="inlineStr">
        <is>
          <t>70</t>
        </is>
      </c>
      <c r="E773" t="inlineStr">
        <is>
          <t>Haute-Saône</t>
        </is>
      </c>
      <c r="F773" t="inlineStr">
        <is>
          <t>Bourgogne-Franche-Comté</t>
        </is>
      </c>
      <c r="G773" s="3" t="n">
        <v>20109</v>
      </c>
      <c r="H773" t="n">
        <v>48</v>
      </c>
      <c r="I773" t="inlineStr">
        <is>
          <t>Rue André-Marie-Ampère</t>
        </is>
      </c>
      <c r="J773" t="inlineStr">
        <is>
          <t>70100</t>
        </is>
      </c>
      <c r="K773" t="inlineStr">
        <is>
          <t>Gray</t>
        </is>
      </c>
      <c r="L773" t="inlineStr">
        <is>
          <t>03 84 65 58 69</t>
        </is>
      </c>
      <c r="M773" s="4" t="inlineStr">
        <is>
          <t>secretariat@cc-valdegray.fr</t>
        </is>
      </c>
      <c r="N773" s="4" t="inlineStr">
        <is>
          <t>https://www.cc-valdegray.fr/</t>
        </is>
      </c>
      <c r="O773" s="4" t="inlineStr">
        <is>
          <t>https://www.cc-valdegray.fr/contact--1614786823.html</t>
        </is>
      </c>
      <c r="P773" s="4" t="inlineStr">
        <is>
          <t>https://lannuaire.service-public.gouv.fr/bourgogne-franche-comte/haute-saone/dc4faf37-30c3-42ff-b73d-a8a9adc800c4</t>
        </is>
      </c>
      <c r="Q773" t="inlineStr">
        <is>
          <t>Annuaire Service-public.fr</t>
        </is>
      </c>
      <c r="R773" t="inlineStr"/>
      <c r="S773" t="inlineStr"/>
      <c r="T773" t="inlineStr"/>
    </row>
    <row r="774">
      <c r="A774" t="inlineStr">
        <is>
          <t>CC de la Haute Comté</t>
        </is>
      </c>
      <c r="B774" t="inlineStr">
        <is>
          <t>Communauté de communes</t>
        </is>
      </c>
      <c r="C774" t="inlineStr">
        <is>
          <t>200041721</t>
        </is>
      </c>
      <c r="D774" t="inlineStr">
        <is>
          <t>70</t>
        </is>
      </c>
      <c r="E774" t="inlineStr">
        <is>
          <t>Haute-Saône</t>
        </is>
      </c>
      <c r="F774" t="inlineStr">
        <is>
          <t>Bourgogne-Franche-Comté</t>
        </is>
      </c>
      <c r="G774" s="3" t="n">
        <v>16798</v>
      </c>
      <c r="H774" t="n">
        <v>37</v>
      </c>
      <c r="I774" t="inlineStr">
        <is>
          <t>57 rue des Ballastières</t>
        </is>
      </c>
      <c r="J774" t="inlineStr">
        <is>
          <t>70320</t>
        </is>
      </c>
      <c r="K774" t="inlineStr">
        <is>
          <t>Corbenay</t>
        </is>
      </c>
      <c r="L774" t="inlineStr">
        <is>
          <t>03 84 94 17 93</t>
        </is>
      </c>
      <c r="M774" s="4" t="inlineStr">
        <is>
          <t>contact@cchc.fr</t>
        </is>
      </c>
      <c r="N774" s="4" t="inlineStr">
        <is>
          <t>https://www.cchc.fr/</t>
        </is>
      </c>
      <c r="O774" s="4" t="inlineStr">
        <is>
          <t>https://www.cchc.fr/contact/</t>
        </is>
      </c>
      <c r="P774" s="4" t="inlineStr">
        <is>
          <t>https://lannuaire.service-public.gouv.fr/bourgogne-franche-comte/haute-saone/4dc6bce0-c9fd-49e7-a513-04e0437f6357</t>
        </is>
      </c>
      <c r="Q774" t="inlineStr">
        <is>
          <t>Annuaire Service-public.fr</t>
        </is>
      </c>
      <c r="R774" t="inlineStr"/>
      <c r="S774" t="inlineStr"/>
      <c r="T774" t="inlineStr"/>
    </row>
    <row r="775">
      <c r="A775" t="inlineStr">
        <is>
          <t>CC des 1000 étangs</t>
        </is>
      </c>
      <c r="B775" t="inlineStr">
        <is>
          <t>Communauté de communes</t>
        </is>
      </c>
      <c r="C775" t="inlineStr">
        <is>
          <t>247000854</t>
        </is>
      </c>
      <c r="D775" t="inlineStr">
        <is>
          <t>70</t>
        </is>
      </c>
      <c r="E775" t="inlineStr">
        <is>
          <t>Haute-Saône</t>
        </is>
      </c>
      <c r="F775" t="inlineStr">
        <is>
          <t>Bourgogne-Franche-Comté</t>
        </is>
      </c>
      <c r="G775" s="3" t="n">
        <v>8471</v>
      </c>
      <c r="H775" t="n">
        <v>26</v>
      </c>
      <c r="I775" t="inlineStr">
        <is>
          <t>14 place du Marché</t>
        </is>
      </c>
      <c r="J775" t="inlineStr">
        <is>
          <t>70270</t>
        </is>
      </c>
      <c r="K775" t="inlineStr">
        <is>
          <t>Mélisey</t>
        </is>
      </c>
      <c r="L775" t="inlineStr">
        <is>
          <t>03 84 20 05 53</t>
        </is>
      </c>
      <c r="M775" s="4" t="inlineStr">
        <is>
          <t>melisey.ccme@orange.fr</t>
        </is>
      </c>
      <c r="N775" s="4" t="inlineStr">
        <is>
          <t>https://www.cc-1000etangs.fr/</t>
        </is>
      </c>
      <c r="O775" t="inlineStr"/>
      <c r="P775" s="4" t="inlineStr">
        <is>
          <t>https://lannuaire.service-public.gouv.fr/bourgogne-franche-comte/haute-saone/a61ea15b-ffdf-4b5e-ac9a-a6955a8002b8</t>
        </is>
      </c>
      <c r="Q775" t="inlineStr">
        <is>
          <t>Annuaire Service-public.fr</t>
        </is>
      </c>
      <c r="R775" t="inlineStr"/>
      <c r="S775" t="inlineStr"/>
      <c r="T775" t="inlineStr"/>
    </row>
    <row r="776">
      <c r="A776" t="inlineStr">
        <is>
          <t>CC des Combes</t>
        </is>
      </c>
      <c r="B776" t="inlineStr">
        <is>
          <t>Communauté de communes</t>
        </is>
      </c>
      <c r="C776" t="inlineStr">
        <is>
          <t>247000367</t>
        </is>
      </c>
      <c r="D776" t="inlineStr">
        <is>
          <t>70</t>
        </is>
      </c>
      <c r="E776" t="inlineStr">
        <is>
          <t>Haute-Saône</t>
        </is>
      </c>
      <c r="F776" t="inlineStr">
        <is>
          <t>Bourgogne-Franche-Comté</t>
        </is>
      </c>
      <c r="G776" s="3" t="n">
        <v>7541</v>
      </c>
      <c r="H776" t="n">
        <v>27</v>
      </c>
      <c r="I776" t="inlineStr">
        <is>
          <t>24 avenue des Patis, Mairie</t>
        </is>
      </c>
      <c r="J776" t="inlineStr">
        <is>
          <t>70360</t>
        </is>
      </c>
      <c r="K776" t="inlineStr">
        <is>
          <t>Scey-sur-Saône-et-Saint-Albin</t>
        </is>
      </c>
      <c r="L776" t="inlineStr">
        <is>
          <t>03 84 92 72 12</t>
        </is>
      </c>
      <c r="M776" s="4" t="inlineStr">
        <is>
          <t>lescombes@wanadoo.fr</t>
        </is>
      </c>
      <c r="N776" s="4" t="inlineStr">
        <is>
          <t>http://www.cc-descombes.fr</t>
        </is>
      </c>
      <c r="O776" s="4" t="inlineStr">
        <is>
          <t>http://www.cc-descombes.fr/courriel.php</t>
        </is>
      </c>
      <c r="P776" s="4" t="inlineStr">
        <is>
          <t>https://lannuaire.service-public.gouv.fr/bourgogne-franche-comte/haute-saone/e911e692-1be4-464d-980d-4c8602f99dd9</t>
        </is>
      </c>
      <c r="Q776" t="inlineStr">
        <is>
          <t>Annuaire Service-public.fr</t>
        </is>
      </c>
      <c r="R776" t="inlineStr"/>
      <c r="S776" t="inlineStr"/>
      <c r="T776" t="inlineStr"/>
    </row>
    <row r="777">
      <c r="A777" t="inlineStr">
        <is>
          <t>CC des Hauts du Val de Saône</t>
        </is>
      </c>
      <c r="B777" t="inlineStr">
        <is>
          <t>Communauté de communes</t>
        </is>
      </c>
      <c r="C777" t="inlineStr">
        <is>
          <t>200036150</t>
        </is>
      </c>
      <c r="D777" t="inlineStr">
        <is>
          <t>70</t>
        </is>
      </c>
      <c r="E777" t="inlineStr">
        <is>
          <t>Haute-Saône</t>
        </is>
      </c>
      <c r="F777" t="inlineStr">
        <is>
          <t>Bourgogne-Franche-Comté</t>
        </is>
      </c>
      <c r="G777" s="3" t="n">
        <v>8373</v>
      </c>
      <c r="H777" t="n">
        <v>48</v>
      </c>
      <c r="I777" t="inlineStr">
        <is>
          <t>Pré Jean-Roche</t>
        </is>
      </c>
      <c r="J777" t="inlineStr">
        <is>
          <t>70500</t>
        </is>
      </c>
      <c r="K777" t="inlineStr">
        <is>
          <t>Jussey</t>
        </is>
      </c>
      <c r="L777" t="inlineStr">
        <is>
          <t>03 84 77 19 90</t>
        </is>
      </c>
      <c r="M777" s="4" t="inlineStr">
        <is>
          <t>cchvs@cchvs.fr</t>
        </is>
      </c>
      <c r="N777" s="4" t="inlineStr">
        <is>
          <t>https://www.cchvs.fr/</t>
        </is>
      </c>
      <c r="O777" s="4" t="inlineStr">
        <is>
          <t>https://www.cchvs.fr/contact.html</t>
        </is>
      </c>
      <c r="P777" s="4" t="inlineStr">
        <is>
          <t>https://lannuaire.service-public.gouv.fr/bourgogne-franche-comte/haute-saone/c18336d5-c79b-4bb5-b730-12fcfbc1a6c0</t>
        </is>
      </c>
      <c r="Q777" t="inlineStr">
        <is>
          <t>Annuaire Service-public.fr</t>
        </is>
      </c>
      <c r="R777" t="inlineStr"/>
      <c r="S777" t="inlineStr"/>
      <c r="T777" t="inlineStr"/>
    </row>
    <row r="778">
      <c r="A778" t="inlineStr">
        <is>
          <t>CC des Monts de Gy</t>
        </is>
      </c>
      <c r="B778" t="inlineStr">
        <is>
          <t>Communauté de communes</t>
        </is>
      </c>
      <c r="C778" t="inlineStr">
        <is>
          <t>247000698</t>
        </is>
      </c>
      <c r="D778" t="inlineStr">
        <is>
          <t>70</t>
        </is>
      </c>
      <c r="E778" t="inlineStr">
        <is>
          <t>Haute-Saône</t>
        </is>
      </c>
      <c r="F778" t="inlineStr">
        <is>
          <t>Bourgogne-Franche-Comté</t>
        </is>
      </c>
      <c r="G778" s="3" t="n">
        <v>6143</v>
      </c>
      <c r="H778" t="n">
        <v>24</v>
      </c>
      <c r="I778" t="inlineStr">
        <is>
          <t>2 rue du Grand-Mont</t>
        </is>
      </c>
      <c r="J778" t="inlineStr">
        <is>
          <t>70700</t>
        </is>
      </c>
      <c r="K778" t="inlineStr">
        <is>
          <t>Gy</t>
        </is>
      </c>
      <c r="L778" t="inlineStr">
        <is>
          <t>03 84 32 97 61</t>
        </is>
      </c>
      <c r="M778" s="4" t="inlineStr">
        <is>
          <t>ccmgy@wanadoo.fr</t>
        </is>
      </c>
      <c r="N778" s="4" t="inlineStr">
        <is>
          <t>https://montsdegy.fr/</t>
        </is>
      </c>
      <c r="O778" s="4" t="inlineStr">
        <is>
          <t>https://montsdegy.fr/contact--1614182146.html</t>
        </is>
      </c>
      <c r="P778" s="4" t="inlineStr">
        <is>
          <t>https://lannuaire.service-public.gouv.fr/bourgogne-franche-comte/haute-saone/fa80aede-ec43-4316-ad64-1e93bf72aff7</t>
        </is>
      </c>
      <c r="Q778" t="inlineStr">
        <is>
          <t>Annuaire Service-public.fr</t>
        </is>
      </c>
      <c r="R778" t="inlineStr"/>
      <c r="S778" t="inlineStr"/>
      <c r="T778" t="inlineStr"/>
    </row>
    <row r="779">
      <c r="A779" t="inlineStr">
        <is>
          <t>CC des Quatre Rivières</t>
        </is>
      </c>
      <c r="B779" t="inlineStr">
        <is>
          <t>Communauté de communes</t>
        </is>
      </c>
      <c r="C779" t="inlineStr">
        <is>
          <t>247000623</t>
        </is>
      </c>
      <c r="D779" t="inlineStr">
        <is>
          <t>70</t>
        </is>
      </c>
      <c r="E779" t="inlineStr">
        <is>
          <t>Haute-Saône</t>
        </is>
      </c>
      <c r="F779" t="inlineStr">
        <is>
          <t>Bourgogne-Franche-Comté</t>
        </is>
      </c>
      <c r="G779" s="3" t="n">
        <v>9437</v>
      </c>
      <c r="H779" t="n">
        <v>41</v>
      </c>
      <c r="I779" t="inlineStr">
        <is>
          <t>8 rue Jean-Mourey</t>
        </is>
      </c>
      <c r="J779" t="inlineStr">
        <is>
          <t>70180</t>
        </is>
      </c>
      <c r="K779" t="inlineStr">
        <is>
          <t>Dampierre-sur-Salon</t>
        </is>
      </c>
      <c r="L779" t="inlineStr">
        <is>
          <t>03 84 67 13 74</t>
        </is>
      </c>
      <c r="M779" s="4" t="inlineStr">
        <is>
          <t>secretariat@cc4r.eu</t>
        </is>
      </c>
      <c r="N779" s="4" t="inlineStr">
        <is>
          <t>https://communaute.4rivieres.fr/</t>
        </is>
      </c>
      <c r="O779" s="4" t="inlineStr">
        <is>
          <t>https://communaute.4rivieres.fr/--04c679a3252339c5bc2780817efce2f8.html</t>
        </is>
      </c>
      <c r="P779" s="4" t="inlineStr">
        <is>
          <t>https://lannuaire.service-public.gouv.fr/bourgogne-franche-comte/haute-saone/67f4702d-ddd1-4aa0-88ac-29d0770e3bd2</t>
        </is>
      </c>
      <c r="Q779" t="inlineStr">
        <is>
          <t>Annuaire Service-public.fr</t>
        </is>
      </c>
      <c r="R779" t="inlineStr"/>
      <c r="S779" t="inlineStr"/>
      <c r="T779" t="inlineStr"/>
    </row>
    <row r="780">
      <c r="A780" t="inlineStr">
        <is>
          <t>CC du Pays Riolais</t>
        </is>
      </c>
      <c r="B780" t="inlineStr">
        <is>
          <t>Communauté de communes</t>
        </is>
      </c>
      <c r="C780" t="inlineStr">
        <is>
          <t>247000706</t>
        </is>
      </c>
      <c r="D780" t="inlineStr">
        <is>
          <t>70</t>
        </is>
      </c>
      <c r="E780" t="inlineStr">
        <is>
          <t>Haute-Saône</t>
        </is>
      </c>
      <c r="F780" t="inlineStr">
        <is>
          <t>Bourgogne-Franche-Comté</t>
        </is>
      </c>
      <c r="G780" s="3" t="n">
        <v>13266</v>
      </c>
      <c r="H780" t="n">
        <v>33</v>
      </c>
      <c r="I780" t="inlineStr">
        <is>
          <t>Rue des Frères-Lumière</t>
        </is>
      </c>
      <c r="J780" t="inlineStr">
        <is>
          <t>70190</t>
        </is>
      </c>
      <c r="K780" t="inlineStr">
        <is>
          <t>Rioz</t>
        </is>
      </c>
      <c r="L780" t="inlineStr">
        <is>
          <t>03 84 91 84 94</t>
        </is>
      </c>
      <c r="M780" s="4" t="inlineStr">
        <is>
          <t>communaute-communes@cc-pays-riolais.fr</t>
        </is>
      </c>
      <c r="N780" s="4" t="inlineStr">
        <is>
          <t>https://www.cc-pays-riolais.fr/</t>
        </is>
      </c>
      <c r="O780" s="4" t="inlineStr">
        <is>
          <t>https://www.cc-pays-riolais.fr/connaitre/contact/</t>
        </is>
      </c>
      <c r="P780" s="4" t="inlineStr">
        <is>
          <t>https://lannuaire.service-public.gouv.fr/bourgogne-franche-comte/haute-saone/35922041-379f-4463-82d3-6166c0805a7b</t>
        </is>
      </c>
      <c r="Q780" t="inlineStr">
        <is>
          <t>Annuaire Service-public.fr</t>
        </is>
      </c>
      <c r="R780" t="inlineStr"/>
      <c r="S780" t="inlineStr"/>
      <c r="T780" t="inlineStr"/>
    </row>
    <row r="781">
      <c r="A781" t="inlineStr">
        <is>
          <t>CC du Pays de Lure</t>
        </is>
      </c>
      <c r="B781" t="inlineStr">
        <is>
          <t>Communauté de communes</t>
        </is>
      </c>
      <c r="C781" t="inlineStr">
        <is>
          <t>247000664</t>
        </is>
      </c>
      <c r="D781" t="inlineStr">
        <is>
          <t>70</t>
        </is>
      </c>
      <c r="E781" t="inlineStr">
        <is>
          <t>Haute-Saône</t>
        </is>
      </c>
      <c r="F781" t="inlineStr">
        <is>
          <t>Bourgogne-Franche-Comté</t>
        </is>
      </c>
      <c r="G781" s="3" t="n">
        <v>19128</v>
      </c>
      <c r="H781" t="n">
        <v>23</v>
      </c>
      <c r="I781" t="inlineStr">
        <is>
          <t>Rue des Berniers, ZA de la Saline, BP50</t>
        </is>
      </c>
      <c r="J781" t="inlineStr">
        <is>
          <t>70200</t>
        </is>
      </c>
      <c r="K781" t="inlineStr">
        <is>
          <t>Lure</t>
        </is>
      </c>
      <c r="L781" t="inlineStr">
        <is>
          <t>03 84 89 00 30</t>
        </is>
      </c>
      <c r="M781" s="4" t="inlineStr">
        <is>
          <t>contact@pays-de-lure.fr</t>
        </is>
      </c>
      <c r="N781" s="4" t="inlineStr">
        <is>
          <t>https://www.pays-de-lure.fr/</t>
        </is>
      </c>
      <c r="O781" s="4" t="inlineStr">
        <is>
          <t>https://www.pays-de-lure.fr/contact.htm</t>
        </is>
      </c>
      <c r="P781" s="4" t="inlineStr">
        <is>
          <t>https://lannuaire.service-public.gouv.fr/bourgogne-franche-comte/haute-saone/9231a4ca-7fa8-44c6-9969-46ea904fd157</t>
        </is>
      </c>
      <c r="Q781" t="inlineStr">
        <is>
          <t>Annuaire Service-public.fr</t>
        </is>
      </c>
      <c r="R781" t="inlineStr"/>
      <c r="S781" t="inlineStr"/>
      <c r="T781" t="inlineStr"/>
    </row>
    <row r="782">
      <c r="A782" t="inlineStr">
        <is>
          <t>CC du Pays de Luxeuil</t>
        </is>
      </c>
      <c r="B782" t="inlineStr">
        <is>
          <t>Communauté de communes</t>
        </is>
      </c>
      <c r="C782" t="inlineStr">
        <is>
          <t>247000755</t>
        </is>
      </c>
      <c r="D782" t="inlineStr">
        <is>
          <t>70</t>
        </is>
      </c>
      <c r="E782" t="inlineStr">
        <is>
          <t>Haute-Saône</t>
        </is>
      </c>
      <c r="F782" t="inlineStr">
        <is>
          <t>Bourgogne-Franche-Comté</t>
        </is>
      </c>
      <c r="G782" s="3" t="n">
        <v>14856</v>
      </c>
      <c r="H782" t="n">
        <v>15</v>
      </c>
      <c r="I782" t="inlineStr">
        <is>
          <t>22 rue Jules-Jeanneney</t>
        </is>
      </c>
      <c r="J782" t="inlineStr">
        <is>
          <t>70300</t>
        </is>
      </c>
      <c r="K782" t="inlineStr">
        <is>
          <t>Luxeuil-les-Bains</t>
        </is>
      </c>
      <c r="L782" t="inlineStr">
        <is>
          <t>03 84 40 63 00</t>
        </is>
      </c>
      <c r="M782" s="4" t="inlineStr">
        <is>
          <t>accueil@paysdeluxeuil.fr</t>
        </is>
      </c>
      <c r="N782" s="4" t="inlineStr">
        <is>
          <t>https://www.paysdeluxeuil.fr/</t>
        </is>
      </c>
      <c r="O782" t="inlineStr"/>
      <c r="P782" s="4" t="inlineStr">
        <is>
          <t>https://lannuaire.service-public.gouv.fr/bourgogne-franche-comte/haute-saone/9b075301-2670-4662-8aef-e62ae6f9c051</t>
        </is>
      </c>
      <c r="Q782" t="inlineStr">
        <is>
          <t>Annuaire Service-public.fr</t>
        </is>
      </c>
      <c r="R782" t="inlineStr"/>
      <c r="S782" t="inlineStr"/>
      <c r="T782" t="inlineStr"/>
    </row>
    <row r="783">
      <c r="A783" t="inlineStr">
        <is>
          <t>CC du Pays de Montbozon et du Chanois</t>
        </is>
      </c>
      <c r="B783" t="inlineStr">
        <is>
          <t>Communauté de communes</t>
        </is>
      </c>
      <c r="C783" t="inlineStr">
        <is>
          <t>200041853</t>
        </is>
      </c>
      <c r="D783" t="inlineStr">
        <is>
          <t>70</t>
        </is>
      </c>
      <c r="E783" t="inlineStr">
        <is>
          <t>Haute-Saône</t>
        </is>
      </c>
      <c r="F783" t="inlineStr">
        <is>
          <t>Bourgogne-Franche-Comté</t>
        </is>
      </c>
      <c r="G783" s="3" t="n">
        <v>6661</v>
      </c>
      <c r="H783" t="n">
        <v>27</v>
      </c>
      <c r="I783" t="inlineStr">
        <is>
          <t>ZA Le Vay-du-Soleil</t>
        </is>
      </c>
      <c r="J783" t="inlineStr">
        <is>
          <t>70230</t>
        </is>
      </c>
      <c r="K783" t="inlineStr">
        <is>
          <t>Montbozon</t>
        </is>
      </c>
      <c r="L783" t="inlineStr">
        <is>
          <t>03 84 92 34 70</t>
        </is>
      </c>
      <c r="M783" s="4" t="inlineStr">
        <is>
          <t>contact@ccpmc.fr</t>
        </is>
      </c>
      <c r="N783" s="4" t="inlineStr">
        <is>
          <t>https://www.ccpmc.fr/</t>
        </is>
      </c>
      <c r="O783" s="4" t="inlineStr">
        <is>
          <t>https://www.ccpmc.fr/contact</t>
        </is>
      </c>
      <c r="P783" s="4" t="inlineStr">
        <is>
          <t>https://lannuaire.service-public.gouv.fr/bourgogne-franche-comte/haute-saone/355766bd-791d-4588-8d95-cfb24d0f3694</t>
        </is>
      </c>
      <c r="Q783" t="inlineStr">
        <is>
          <t>Annuaire Service-public.fr</t>
        </is>
      </c>
      <c r="R783" t="inlineStr"/>
      <c r="S783" t="inlineStr"/>
      <c r="T783" t="inlineStr"/>
    </row>
    <row r="784">
      <c r="A784" t="inlineStr">
        <is>
          <t>CC du Triangle Vert</t>
        </is>
      </c>
      <c r="B784" t="inlineStr">
        <is>
          <t>Communauté de communes</t>
        </is>
      </c>
      <c r="C784" t="inlineStr">
        <is>
          <t>200041861</t>
        </is>
      </c>
      <c r="D784" t="inlineStr">
        <is>
          <t>70</t>
        </is>
      </c>
      <c r="E784" t="inlineStr">
        <is>
          <t>Haute-Saône</t>
        </is>
      </c>
      <c r="F784" t="inlineStr">
        <is>
          <t>Bourgogne-Franche-Comté</t>
        </is>
      </c>
      <c r="G784" s="3" t="n">
        <v>10976</v>
      </c>
      <c r="H784" t="n">
        <v>42</v>
      </c>
      <c r="I784" t="inlineStr">
        <is>
          <t>27 Grande rue</t>
        </is>
      </c>
      <c r="J784" t="inlineStr">
        <is>
          <t>70240</t>
        </is>
      </c>
      <c r="K784" t="inlineStr">
        <is>
          <t>Saulx</t>
        </is>
      </c>
      <c r="L784" t="inlineStr">
        <is>
          <t>03 84 95 89 90</t>
        </is>
      </c>
      <c r="M784" s="4" t="inlineStr">
        <is>
          <t>contact@cctv70.fr</t>
        </is>
      </c>
      <c r="N784" s="4" t="inlineStr">
        <is>
          <t>https://cctv70.fr/fr/</t>
        </is>
      </c>
      <c r="O784" s="4" t="inlineStr">
        <is>
          <t>https://cctv70.fr/fr/</t>
        </is>
      </c>
      <c r="P784" s="4" t="inlineStr">
        <is>
          <t>https://lannuaire.service-public.gouv.fr/bourgogne-franche-comte/haute-saone/2310fba1-01c9-47e6-a5b9-8a83114baa59</t>
        </is>
      </c>
      <c r="Q784" t="inlineStr">
        <is>
          <t>Annuaire Service-public.fr</t>
        </is>
      </c>
      <c r="R784" t="inlineStr"/>
      <c r="S784" t="inlineStr"/>
      <c r="T784" t="inlineStr"/>
    </row>
    <row r="785">
      <c r="A785" t="inlineStr">
        <is>
          <t>CC Bresse Louhannaise Intercom'</t>
        </is>
      </c>
      <c r="B785" t="inlineStr">
        <is>
          <t>Communauté de communes</t>
        </is>
      </c>
      <c r="C785" t="inlineStr">
        <is>
          <t>200071579</t>
        </is>
      </c>
      <c r="D785" t="inlineStr">
        <is>
          <t>71</t>
        </is>
      </c>
      <c r="E785" t="inlineStr">
        <is>
          <t>Saône-et-Loire</t>
        </is>
      </c>
      <c r="F785" t="inlineStr">
        <is>
          <t>Bourgogne-Franche-Comté</t>
        </is>
      </c>
      <c r="G785" s="3" t="n">
        <v>28331</v>
      </c>
      <c r="H785" t="n">
        <v>30</v>
      </c>
      <c r="I785" t="inlineStr">
        <is>
          <t>1 place Saint-Jean</t>
        </is>
      </c>
      <c r="J785" t="inlineStr">
        <is>
          <t>71500</t>
        </is>
      </c>
      <c r="K785" t="inlineStr">
        <is>
          <t>Louhans‑Châteaurenaud</t>
        </is>
      </c>
      <c r="L785" t="inlineStr">
        <is>
          <t>03 85 60 10 95</t>
        </is>
      </c>
      <c r="M785" s="4" t="inlineStr">
        <is>
          <t>contact@blintercom.fr</t>
        </is>
      </c>
      <c r="N785" s="4" t="inlineStr">
        <is>
          <t>https://www.bresselouhannaiseintercom.fr/</t>
        </is>
      </c>
      <c r="O785" s="4" t="inlineStr">
        <is>
          <t>https://www.bresselouhannaiseintercom.fr/contactez-nous/</t>
        </is>
      </c>
      <c r="P785" s="4" t="inlineStr">
        <is>
          <t>https://lannuaire.service-public.gouv.fr/bourgogne-franche-comte/saone-et-loire/75acc33f-e068-4433-8a62-474922532f2e</t>
        </is>
      </c>
      <c r="Q785" t="inlineStr">
        <is>
          <t>Annuaire Service-public.fr</t>
        </is>
      </c>
      <c r="R785" t="inlineStr"/>
      <c r="S785" t="inlineStr"/>
      <c r="T785" t="inlineStr"/>
    </row>
    <row r="786">
      <c r="A786" t="inlineStr">
        <is>
          <t>CC Bresse Nord Intercom'</t>
        </is>
      </c>
      <c r="B786" t="inlineStr">
        <is>
          <t>Communauté de communes</t>
        </is>
      </c>
      <c r="C786" t="inlineStr">
        <is>
          <t>247100647</t>
        </is>
      </c>
      <c r="D786" t="inlineStr">
        <is>
          <t>71</t>
        </is>
      </c>
      <c r="E786" t="inlineStr">
        <is>
          <t>Saône-et-Loire</t>
        </is>
      </c>
      <c r="F786" t="inlineStr">
        <is>
          <t>Bourgogne-Franche-Comté</t>
        </is>
      </c>
      <c r="G786" s="3" t="n">
        <v>6544</v>
      </c>
      <c r="H786" t="n">
        <v>16</v>
      </c>
      <c r="I786" t="inlineStr">
        <is>
          <t>4 rue du Château</t>
        </is>
      </c>
      <c r="J786" t="inlineStr">
        <is>
          <t>71270</t>
        </is>
      </c>
      <c r="K786" t="inlineStr">
        <is>
          <t>Pierre-de-Bresse</t>
        </is>
      </c>
      <c r="L786" t="inlineStr">
        <is>
          <t>03 79 57 07 60</t>
        </is>
      </c>
      <c r="M786" s="4" t="inlineStr">
        <is>
          <t>accueil@bressenordintercom.fr</t>
        </is>
      </c>
      <c r="N786" s="4" t="inlineStr">
        <is>
          <t>https://www.bressenordintercom.fr</t>
        </is>
      </c>
      <c r="O786" s="4" t="inlineStr">
        <is>
          <t>https://www.bressenordintercom.fr/contactez-nous/</t>
        </is>
      </c>
      <c r="P786" s="4" t="inlineStr">
        <is>
          <t>https://lannuaire.service-public.gouv.fr/bourgogne-franche-comte/saone-et-loire/602c57e8-36f3-45c0-af98-b681eb49b01d</t>
        </is>
      </c>
      <c r="Q786" t="inlineStr">
        <is>
          <t>Annuaire Service-public.fr</t>
        </is>
      </c>
      <c r="R786" t="inlineStr"/>
      <c r="S786" t="inlineStr"/>
      <c r="T786" t="inlineStr"/>
    </row>
    <row r="787">
      <c r="A787" t="inlineStr">
        <is>
          <t>CC Bresse Revermont 71</t>
        </is>
      </c>
      <c r="B787" t="inlineStr">
        <is>
          <t>Communauté de communes</t>
        </is>
      </c>
      <c r="C787" t="inlineStr">
        <is>
          <t>200042414</t>
        </is>
      </c>
      <c r="D787" t="inlineStr">
        <is>
          <t>71</t>
        </is>
      </c>
      <c r="E787" t="inlineStr">
        <is>
          <t>Saône-et-Loire</t>
        </is>
      </c>
      <c r="F787" t="inlineStr">
        <is>
          <t>Bourgogne-Franche-Comté</t>
        </is>
      </c>
      <c r="G787" s="3" t="n">
        <v>10001</v>
      </c>
      <c r="H787" t="n">
        <v>17</v>
      </c>
      <c r="I787" t="inlineStr">
        <is>
          <t>8 rue Pontpierre</t>
        </is>
      </c>
      <c r="J787" t="inlineStr">
        <is>
          <t>71330</t>
        </is>
      </c>
      <c r="K787" t="inlineStr">
        <is>
          <t>Saint-Germain-du-Bois</t>
        </is>
      </c>
      <c r="L787" t="inlineStr">
        <is>
          <t>03 85 72 02 19</t>
        </is>
      </c>
      <c r="M787" s="4" t="inlineStr">
        <is>
          <t>ccbr71@orange.fr</t>
        </is>
      </c>
      <c r="N787" s="4" t="inlineStr">
        <is>
          <t>https://www.ccbresserevermont71.fr/</t>
        </is>
      </c>
      <c r="O787" s="4" t="inlineStr">
        <is>
          <t>https://www.ccbresserevermont71.fr/contactez-nous/</t>
        </is>
      </c>
      <c r="P787" s="4" t="inlineStr">
        <is>
          <t>https://lannuaire.service-public.gouv.fr/bourgogne-franche-comte/saone-et-loire/c2f751b7-2297-4296-b53f-c312a61873ed</t>
        </is>
      </c>
      <c r="Q787" t="inlineStr">
        <is>
          <t>Annuaire Service-public.fr</t>
        </is>
      </c>
      <c r="R787" t="inlineStr"/>
      <c r="S787" t="inlineStr"/>
      <c r="T787" t="inlineStr"/>
    </row>
    <row r="788">
      <c r="A788" t="inlineStr">
        <is>
          <t>CC Brionnais Sud Bourgogne</t>
        </is>
      </c>
      <c r="B788" t="inlineStr">
        <is>
          <t>Communauté de communes</t>
        </is>
      </c>
      <c r="C788" t="inlineStr">
        <is>
          <t>200070548</t>
        </is>
      </c>
      <c r="D788" t="inlineStr">
        <is>
          <t>71</t>
        </is>
      </c>
      <c r="E788" t="inlineStr">
        <is>
          <t>Saône-et-Loire</t>
        </is>
      </c>
      <c r="F788" t="inlineStr">
        <is>
          <t>Bourgogne-Franche-Comté</t>
        </is>
      </c>
      <c r="G788" s="3" t="n">
        <v>14950</v>
      </c>
      <c r="H788" t="n">
        <v>29</v>
      </c>
      <c r="I788" t="inlineStr">
        <is>
          <t>4 rue Elie-Maurette</t>
        </is>
      </c>
      <c r="J788" t="inlineStr">
        <is>
          <t>71170</t>
        </is>
      </c>
      <c r="K788" t="inlineStr">
        <is>
          <t>Chauffailles</t>
        </is>
      </c>
      <c r="L788" t="inlineStr">
        <is>
          <t>03 85 26 52 20</t>
        </is>
      </c>
      <c r="M788" s="4" t="inlineStr">
        <is>
          <t>cc@brionnaissudbourgogne.fr</t>
        </is>
      </c>
      <c r="N788" s="4" t="inlineStr">
        <is>
          <t>https://brionnaissudbourgogne.fr</t>
        </is>
      </c>
      <c r="O788" t="inlineStr"/>
      <c r="P788" s="4" t="inlineStr">
        <is>
          <t>https://lannuaire.service-public.gouv.fr/bourgogne-franche-comte/saone-et-loire/1e391588-b861-43ba-8955-2482970b3d6a</t>
        </is>
      </c>
      <c r="Q788" t="inlineStr">
        <is>
          <t>Annuaire Service-public.fr</t>
        </is>
      </c>
      <c r="R788" t="inlineStr"/>
      <c r="S788" t="inlineStr"/>
      <c r="T788" t="inlineStr"/>
    </row>
    <row r="789">
      <c r="A789" t="inlineStr">
        <is>
          <t>CC Entre Arroux, Loire et Somme</t>
        </is>
      </c>
      <c r="B789" t="inlineStr">
        <is>
          <t>Communauté de communes</t>
        </is>
      </c>
      <c r="C789" t="inlineStr">
        <is>
          <t>200070316</t>
        </is>
      </c>
      <c r="D789" t="inlineStr">
        <is>
          <t>71</t>
        </is>
      </c>
      <c r="E789" t="inlineStr">
        <is>
          <t>Saône-et-Loire</t>
        </is>
      </c>
      <c r="F789" t="inlineStr">
        <is>
          <t>Bourgogne-Franche-Comté</t>
        </is>
      </c>
      <c r="G789" s="3" t="n">
        <v>21615</v>
      </c>
      <c r="H789" t="n">
        <v>30</v>
      </c>
      <c r="I789" t="inlineStr">
        <is>
          <t>1 rue Pasteur, BP 44</t>
        </is>
      </c>
      <c r="J789" t="inlineStr">
        <is>
          <t>71130</t>
        </is>
      </c>
      <c r="K789" t="inlineStr">
        <is>
          <t>Gueugnon</t>
        </is>
      </c>
      <c r="L789" t="inlineStr">
        <is>
          <t>03 85 85 12 92</t>
        </is>
      </c>
      <c r="M789" s="4" t="inlineStr">
        <is>
          <t>accueil@cceals.fr</t>
        </is>
      </c>
      <c r="N789" s="4" t="inlineStr">
        <is>
          <t>https://cceals.fr</t>
        </is>
      </c>
      <c r="O789" t="inlineStr"/>
      <c r="P789" s="4" t="inlineStr">
        <is>
          <t>https://lannuaire.service-public.gouv.fr/bourgogne-franche-comte/saone-et-loire/1454e4dc-bb66-4aa7-af25-7806b53ac98e</t>
        </is>
      </c>
      <c r="Q789" t="inlineStr">
        <is>
          <t>Annuaire Service-public.fr</t>
        </is>
      </c>
      <c r="R789" t="inlineStr"/>
      <c r="S789" t="inlineStr"/>
      <c r="T789" t="inlineStr"/>
    </row>
    <row r="790">
      <c r="A790" t="inlineStr">
        <is>
          <t>CC Entre Saône et Grosne</t>
        </is>
      </c>
      <c r="B790" t="inlineStr">
        <is>
          <t>Communauté de communes</t>
        </is>
      </c>
      <c r="C790" t="inlineStr">
        <is>
          <t>247103765</t>
        </is>
      </c>
      <c r="D790" t="inlineStr">
        <is>
          <t>71</t>
        </is>
      </c>
      <c r="E790" t="inlineStr">
        <is>
          <t>Saône-et-Loire</t>
        </is>
      </c>
      <c r="F790" t="inlineStr">
        <is>
          <t>Bourgogne-Franche-Comté</t>
        </is>
      </c>
      <c r="G790" s="3" t="n">
        <v>11101</v>
      </c>
      <c r="H790" t="n">
        <v>23</v>
      </c>
      <c r="I790" t="inlineStr">
        <is>
          <t>30 rue des Mûriers</t>
        </is>
      </c>
      <c r="J790" t="inlineStr">
        <is>
          <t>71240</t>
        </is>
      </c>
      <c r="K790" t="inlineStr">
        <is>
          <t>Sennecey-le-Grand</t>
        </is>
      </c>
      <c r="L790" t="inlineStr">
        <is>
          <t>03 85 44 91 92</t>
        </is>
      </c>
      <c r="M790" s="4" t="inlineStr">
        <is>
          <t>administratif@cc-saonegrosne.fr</t>
        </is>
      </c>
      <c r="N790" s="4" t="inlineStr">
        <is>
          <t>https://www.cc-entresaoneetgrosne.fr/</t>
        </is>
      </c>
      <c r="O790" s="4" t="inlineStr">
        <is>
          <t>https://www.cc-entresaoneetgrosne.fr/contact/</t>
        </is>
      </c>
      <c r="P790" s="4" t="inlineStr">
        <is>
          <t>https://lannuaire.service-public.gouv.fr/bourgogne-franche-comte/saone-et-loire/fd7dedb1-3ef7-4673-aee4-605710dbe47a</t>
        </is>
      </c>
      <c r="Q790" t="inlineStr">
        <is>
          <t>Annuaire Service-public.fr</t>
        </is>
      </c>
      <c r="R790" t="inlineStr"/>
      <c r="S790" t="inlineStr"/>
      <c r="T790" t="inlineStr"/>
    </row>
    <row r="791">
      <c r="A791" t="inlineStr">
        <is>
          <t>CC Mâconnais - Tournugeois</t>
        </is>
      </c>
      <c r="B791" t="inlineStr">
        <is>
          <t>Communauté de communes</t>
        </is>
      </c>
      <c r="C791" t="inlineStr">
        <is>
          <t>200069698</t>
        </is>
      </c>
      <c r="D791" t="inlineStr">
        <is>
          <t>71</t>
        </is>
      </c>
      <c r="E791" t="inlineStr">
        <is>
          <t>Saône-et-Loire</t>
        </is>
      </c>
      <c r="F791" t="inlineStr">
        <is>
          <t>Bourgogne-Franche-Comté</t>
        </is>
      </c>
      <c r="G791" s="3" t="n">
        <v>15906</v>
      </c>
      <c r="H791" t="n">
        <v>24</v>
      </c>
      <c r="I791" t="inlineStr">
        <is>
          <t>107 rue du Cardinal-de-Fleury, ZA du Pas-Fleury</t>
        </is>
      </c>
      <c r="J791" t="inlineStr">
        <is>
          <t>71700</t>
        </is>
      </c>
      <c r="K791" t="inlineStr">
        <is>
          <t>Tournus</t>
        </is>
      </c>
      <c r="L791" t="inlineStr">
        <is>
          <t>03 85 51 05 56</t>
        </is>
      </c>
      <c r="M791" s="4" t="inlineStr">
        <is>
          <t>accueil@ccmt71.fr</t>
        </is>
      </c>
      <c r="N791" s="4" t="inlineStr">
        <is>
          <t>https://maconnais-tournugeois.fr/</t>
        </is>
      </c>
      <c r="O791" t="inlineStr"/>
      <c r="P791" s="4" t="inlineStr">
        <is>
          <t>https://lannuaire.service-public.gouv.fr/bourgogne-franche-comte/saone-et-loire/ce230276-0e90-4cdd-b845-1472f0e743e8</t>
        </is>
      </c>
      <c r="Q791" t="inlineStr">
        <is>
          <t>Annuaire Service-public.fr</t>
        </is>
      </c>
      <c r="R791" t="inlineStr"/>
      <c r="S791" t="inlineStr"/>
      <c r="T791" t="inlineStr"/>
    </row>
    <row r="792">
      <c r="A792" t="inlineStr">
        <is>
          <t>CC Saint Cyr Mère Boitier entre Charolais et Mâconnais</t>
        </is>
      </c>
      <c r="B792" t="inlineStr">
        <is>
          <t>Communauté de communes</t>
        </is>
      </c>
      <c r="C792" t="inlineStr">
        <is>
          <t>200071645</t>
        </is>
      </c>
      <c r="D792" t="inlineStr">
        <is>
          <t>71</t>
        </is>
      </c>
      <c r="E792" t="inlineStr">
        <is>
          <t>Saône-et-Loire</t>
        </is>
      </c>
      <c r="F792" t="inlineStr">
        <is>
          <t>Bourgogne-Franche-Comté</t>
        </is>
      </c>
      <c r="G792" s="3" t="n">
        <v>8058</v>
      </c>
      <c r="H792" t="n">
        <v>16</v>
      </c>
      <c r="I792" t="inlineStr">
        <is>
          <t>Communauté de Communes Saint Cyr Mère Boitier, Mairie</t>
        </is>
      </c>
      <c r="J792" t="inlineStr">
        <is>
          <t>71520</t>
        </is>
      </c>
      <c r="K792" t="inlineStr">
        <is>
          <t>Trambly</t>
        </is>
      </c>
      <c r="L792" t="inlineStr">
        <is>
          <t>03 85 50 26 45</t>
        </is>
      </c>
      <c r="M792" s="4" t="inlineStr">
        <is>
          <t>contact@scmb71.com</t>
        </is>
      </c>
      <c r="N792" s="4" t="inlineStr">
        <is>
          <t>https://www.scmb71.com/</t>
        </is>
      </c>
      <c r="O792" s="4" t="inlineStr">
        <is>
          <t>https://www.scmb71.com/contact</t>
        </is>
      </c>
      <c r="P792" s="4" t="inlineStr">
        <is>
          <t>https://lannuaire.service-public.gouv.fr/bourgogne-franche-comte/saone-et-loire/59cc6119-59b6-4b56-b436-159b90ebbb76</t>
        </is>
      </c>
      <c r="Q792" t="inlineStr">
        <is>
          <t>Annuaire Service-public.fr</t>
        </is>
      </c>
      <c r="R792" t="inlineStr"/>
      <c r="S792" t="inlineStr"/>
      <c r="T792" t="inlineStr"/>
    </row>
    <row r="793">
      <c r="A793" t="inlineStr">
        <is>
          <t>CC Saône Doubs Bresse</t>
        </is>
      </c>
      <c r="B793" t="inlineStr">
        <is>
          <t>Communauté de communes</t>
        </is>
      </c>
      <c r="C793" t="inlineStr">
        <is>
          <t>200040038</t>
        </is>
      </c>
      <c r="D793" t="inlineStr">
        <is>
          <t>71</t>
        </is>
      </c>
      <c r="E793" t="inlineStr">
        <is>
          <t>Saône-et-Loire</t>
        </is>
      </c>
      <c r="F793" t="inlineStr">
        <is>
          <t>Bourgogne-Franche-Comté</t>
        </is>
      </c>
      <c r="G793" s="3" t="n">
        <v>12073</v>
      </c>
      <c r="H793" t="n">
        <v>26</v>
      </c>
      <c r="I793" t="inlineStr">
        <is>
          <t>16 rue de la République</t>
        </is>
      </c>
      <c r="J793" t="inlineStr">
        <is>
          <t>71350</t>
        </is>
      </c>
      <c r="K793" t="inlineStr">
        <is>
          <t>Verdun-Ciel</t>
        </is>
      </c>
      <c r="L793" t="inlineStr">
        <is>
          <t>03 85 91 66 16</t>
        </is>
      </c>
      <c r="M793" s="4" t="inlineStr">
        <is>
          <t>contact@saonedoubsbresse.fr</t>
        </is>
      </c>
      <c r="N793" s="4" t="inlineStr">
        <is>
          <t>http://www.saonedoubsbresse.fr</t>
        </is>
      </c>
      <c r="O793" s="4" t="inlineStr">
        <is>
          <t>http://www.saonedoubsbresse.fr/contact/</t>
        </is>
      </c>
      <c r="P793" s="4" t="inlineStr">
        <is>
          <t>https://lannuaire.service-public.gouv.fr/bourgogne-franche-comte/saone-et-loire/2a93461c-76a7-455b-b3c3-7feea66dc160</t>
        </is>
      </c>
      <c r="Q793" t="inlineStr">
        <is>
          <t>Annuaire Service-public.fr</t>
        </is>
      </c>
      <c r="R793" t="inlineStr"/>
      <c r="S793" t="inlineStr"/>
      <c r="T793" t="inlineStr"/>
    </row>
    <row r="794">
      <c r="A794" t="inlineStr">
        <is>
          <t>CC Sud Côte Chalonnaise</t>
        </is>
      </c>
      <c r="B794" t="inlineStr">
        <is>
          <t>Communauté de communes</t>
        </is>
      </c>
      <c r="C794" t="inlineStr">
        <is>
          <t>247104094</t>
        </is>
      </c>
      <c r="D794" t="inlineStr">
        <is>
          <t>71</t>
        </is>
      </c>
      <c r="E794" t="inlineStr">
        <is>
          <t>Saône-et-Loire</t>
        </is>
      </c>
      <c r="F794" t="inlineStr">
        <is>
          <t>Bourgogne-Franche-Comté</t>
        </is>
      </c>
      <c r="G794" s="3" t="n">
        <v>11540</v>
      </c>
      <c r="H794" t="n">
        <v>36</v>
      </c>
      <c r="I794" t="inlineStr">
        <is>
          <t>3 impasse des Marbres</t>
        </is>
      </c>
      <c r="J794" t="inlineStr">
        <is>
          <t>71390</t>
        </is>
      </c>
      <c r="K794" t="inlineStr">
        <is>
          <t>Buxy</t>
        </is>
      </c>
      <c r="L794" t="inlineStr">
        <is>
          <t>03 85 45 05 26</t>
        </is>
      </c>
      <c r="M794" s="4" t="inlineStr">
        <is>
          <t>secretariat@ccscc.fr</t>
        </is>
      </c>
      <c r="N794" s="4" t="inlineStr">
        <is>
          <t>https://www.cc-sud-cote-chalonnaise.fr/</t>
        </is>
      </c>
      <c r="O794" t="inlineStr"/>
      <c r="P794" s="4" t="inlineStr">
        <is>
          <t>https://lannuaire.service-public.gouv.fr/bourgogne-franche-comte/saone-et-loire/98e65ad2-cd9d-44ce-a853-98fe0b12583d</t>
        </is>
      </c>
      <c r="Q794" t="inlineStr">
        <is>
          <t>Annuaire Service-public.fr</t>
        </is>
      </c>
      <c r="R794" t="inlineStr"/>
      <c r="S794" t="inlineStr"/>
      <c r="T794" t="inlineStr"/>
    </row>
    <row r="795">
      <c r="A795" t="inlineStr">
        <is>
          <t>CC Terres de Bresse</t>
        </is>
      </c>
      <c r="B795" t="inlineStr">
        <is>
          <t>Communauté de communes</t>
        </is>
      </c>
      <c r="C795" t="inlineStr">
        <is>
          <t>200071538</t>
        </is>
      </c>
      <c r="D795" t="inlineStr">
        <is>
          <t>71</t>
        </is>
      </c>
      <c r="E795" t="inlineStr">
        <is>
          <t>Saône-et-Loire</t>
        </is>
      </c>
      <c r="F795" t="inlineStr">
        <is>
          <t>Bourgogne-Franche-Comté</t>
        </is>
      </c>
      <c r="G795" s="3" t="n">
        <v>22711</v>
      </c>
      <c r="H795" t="n">
        <v>25</v>
      </c>
      <c r="I795" t="inlineStr">
        <is>
          <t>Rue Wachenheim</t>
        </is>
      </c>
      <c r="J795" t="inlineStr">
        <is>
          <t>71290</t>
        </is>
      </c>
      <c r="K795" t="inlineStr">
        <is>
          <t>Cuisery</t>
        </is>
      </c>
      <c r="L795" t="inlineStr">
        <is>
          <t>03 85 32 30 07</t>
        </is>
      </c>
      <c r="M795" s="4" t="inlineStr">
        <is>
          <t>comcom@terresdebresse.fr</t>
        </is>
      </c>
      <c r="N795" s="4" t="inlineStr">
        <is>
          <t>https://www.terresdebresse.fr/</t>
        </is>
      </c>
      <c r="O795" t="inlineStr"/>
      <c r="P795" s="4" t="inlineStr">
        <is>
          <t>https://lannuaire.service-public.gouv.fr/bourgogne-franche-comte/saone-et-loire/378b1fe1-8104-4dce-b3ca-30b6e33e6de0</t>
        </is>
      </c>
      <c r="Q795" t="inlineStr">
        <is>
          <t>Annuaire Service-public.fr</t>
        </is>
      </c>
      <c r="R795" t="inlineStr"/>
      <c r="S795" t="inlineStr"/>
      <c r="T795" t="inlineStr"/>
    </row>
    <row r="796">
      <c r="A796" t="inlineStr">
        <is>
          <t>CC de Marcigny</t>
        </is>
      </c>
      <c r="B796" t="inlineStr">
        <is>
          <t>Communauté de communes</t>
        </is>
      </c>
      <c r="C796" t="inlineStr">
        <is>
          <t>247100639</t>
        </is>
      </c>
      <c r="D796" t="inlineStr">
        <is>
          <t>71</t>
        </is>
      </c>
      <c r="E796" t="inlineStr">
        <is>
          <t>Saône-et-Loire</t>
        </is>
      </c>
      <c r="F796" t="inlineStr">
        <is>
          <t>Bourgogne-Franche-Comté</t>
        </is>
      </c>
      <c r="G796" s="3" t="n">
        <v>5999</v>
      </c>
      <c r="H796" t="n">
        <v>12</v>
      </c>
      <c r="I796" t="inlineStr">
        <is>
          <t>5 place du Cours</t>
        </is>
      </c>
      <c r="J796" t="inlineStr">
        <is>
          <t>71110</t>
        </is>
      </c>
      <c r="K796" t="inlineStr">
        <is>
          <t>Marcigny</t>
        </is>
      </c>
      <c r="L796" t="inlineStr">
        <is>
          <t>03 85 25 37 08</t>
        </is>
      </c>
      <c r="M796" s="4" t="inlineStr">
        <is>
          <t>contact@ccmarcigny.fr</t>
        </is>
      </c>
      <c r="N796" s="4" t="inlineStr">
        <is>
          <t>https://www.cc-marcigny.fr/</t>
        </is>
      </c>
      <c r="O796" t="inlineStr"/>
      <c r="P796" s="4" t="inlineStr">
        <is>
          <t>https://lannuaire.service-public.gouv.fr/bourgogne-franche-comte/saone-et-loire/1d833994-b964-4beb-9f5f-f6bf7fdf2bc1</t>
        </is>
      </c>
      <c r="Q796" t="inlineStr">
        <is>
          <t>Annuaire Service-public.fr</t>
        </is>
      </c>
      <c r="R796" t="inlineStr"/>
      <c r="S796" t="inlineStr"/>
      <c r="T796" t="inlineStr"/>
    </row>
    <row r="797">
      <c r="A797" t="inlineStr">
        <is>
          <t>CC de Semur en Brionnais</t>
        </is>
      </c>
      <c r="B797" t="inlineStr">
        <is>
          <t>Communauté de communes</t>
        </is>
      </c>
      <c r="C797" t="inlineStr">
        <is>
          <t>247103864</t>
        </is>
      </c>
      <c r="D797" t="inlineStr">
        <is>
          <t>71</t>
        </is>
      </c>
      <c r="E797" t="inlineStr">
        <is>
          <t>Saône-et-Loire</t>
        </is>
      </c>
      <c r="F797" t="inlineStr">
        <is>
          <t>Bourgogne-Franche-Comté</t>
        </is>
      </c>
      <c r="G797" s="3" t="n">
        <v>5206</v>
      </c>
      <c r="H797" t="n">
        <v>14</v>
      </c>
      <c r="I797" t="inlineStr">
        <is>
          <t>5 rue des Ébaulais</t>
        </is>
      </c>
      <c r="J797" t="inlineStr">
        <is>
          <t>71800</t>
        </is>
      </c>
      <c r="K797" t="inlineStr">
        <is>
          <t>Saint-Christophe-en-Brionnais</t>
        </is>
      </c>
      <c r="L797" t="inlineStr">
        <is>
          <t>03 85 25 86 47</t>
        </is>
      </c>
      <c r="M797" s="4" t="inlineStr">
        <is>
          <t>contact@ccsemur.fr</t>
        </is>
      </c>
      <c r="N797" s="4" t="inlineStr">
        <is>
          <t>https://www.cc-semur-en-brionnais.fr/</t>
        </is>
      </c>
      <c r="O797" t="inlineStr"/>
      <c r="P797" s="4" t="inlineStr">
        <is>
          <t>https://lannuaire.service-public.gouv.fr/bourgogne-franche-comte/saone-et-loire/fe2b1626-1ee4-460b-adf3-53e328c2f293</t>
        </is>
      </c>
      <c r="Q797" t="inlineStr">
        <is>
          <t>Annuaire Service-public.fr</t>
        </is>
      </c>
      <c r="R797" t="inlineStr"/>
      <c r="S797" t="inlineStr"/>
      <c r="T797" t="inlineStr"/>
    </row>
    <row r="798">
      <c r="A798" t="inlineStr">
        <is>
          <t>CC du Clunisois</t>
        </is>
      </c>
      <c r="B798" t="inlineStr">
        <is>
          <t>Communauté de communes</t>
        </is>
      </c>
      <c r="C798" t="inlineStr">
        <is>
          <t>200040293</t>
        </is>
      </c>
      <c r="D798" t="inlineStr">
        <is>
          <t>71</t>
        </is>
      </c>
      <c r="E798" t="inlineStr">
        <is>
          <t>Saône-et-Loire</t>
        </is>
      </c>
      <c r="F798" t="inlineStr">
        <is>
          <t>Bourgogne-Franche-Comté</t>
        </is>
      </c>
      <c r="G798" s="3" t="n">
        <v>14020</v>
      </c>
      <c r="H798" t="n">
        <v>41</v>
      </c>
      <c r="I798" t="inlineStr">
        <is>
          <t>5 place du Marché</t>
        </is>
      </c>
      <c r="J798" t="inlineStr">
        <is>
          <t>71250</t>
        </is>
      </c>
      <c r="K798" t="inlineStr">
        <is>
          <t>Cluny</t>
        </is>
      </c>
      <c r="L798" t="inlineStr">
        <is>
          <t>03 85 20 00 11</t>
        </is>
      </c>
      <c r="M798" s="4" t="inlineStr">
        <is>
          <t>contact@enclunisois.fr</t>
        </is>
      </c>
      <c r="N798" s="4" t="inlineStr">
        <is>
          <t>https://enclunisois.fr/</t>
        </is>
      </c>
      <c r="O798" s="4" t="inlineStr">
        <is>
          <t>https://enclunisois.fr/accueil/contact/</t>
        </is>
      </c>
      <c r="P798" s="4" t="inlineStr">
        <is>
          <t>https://lannuaire.service-public.gouv.fr/bourgogne-franche-comte/saone-et-loire/21eb2109-21c5-4803-83f3-0dbe6b15bb77</t>
        </is>
      </c>
      <c r="Q798" t="inlineStr">
        <is>
          <t>Annuaire Service-public.fr</t>
        </is>
      </c>
      <c r="R798" t="inlineStr"/>
      <c r="S798" t="inlineStr"/>
      <c r="T798" t="inlineStr"/>
    </row>
    <row r="799">
      <c r="A799" t="inlineStr">
        <is>
          <t>CC du Grand Autunois Morvan</t>
        </is>
      </c>
      <c r="B799" t="inlineStr">
        <is>
          <t>Communauté de communes</t>
        </is>
      </c>
      <c r="C799" t="inlineStr">
        <is>
          <t>200070530</t>
        </is>
      </c>
      <c r="D799" t="inlineStr">
        <is>
          <t>71</t>
        </is>
      </c>
      <c r="E799" t="inlineStr">
        <is>
          <t>Saône-et-Loire</t>
        </is>
      </c>
      <c r="F799" t="inlineStr">
        <is>
          <t>Bourgogne-Franche-Comté</t>
        </is>
      </c>
      <c r="G799" s="3" t="n">
        <v>35106</v>
      </c>
      <c r="H799" t="n">
        <v>55</v>
      </c>
      <c r="I799" t="inlineStr">
        <is>
          <t>7 route du Bois-de-Sapin, BP 97</t>
        </is>
      </c>
      <c r="J799" t="inlineStr">
        <is>
          <t>71400</t>
        </is>
      </c>
      <c r="K799" t="inlineStr">
        <is>
          <t>Autun</t>
        </is>
      </c>
      <c r="L799" t="inlineStr">
        <is>
          <t>03 85 86 80 52</t>
        </is>
      </c>
      <c r="M799" s="4" t="inlineStr">
        <is>
          <t>contact@grandautunoismorvan.fr</t>
        </is>
      </c>
      <c r="N799" s="4" t="inlineStr">
        <is>
          <t>https://www.grandautunoismorvan.fr/</t>
        </is>
      </c>
      <c r="O799" s="4" t="inlineStr">
        <is>
          <t>https://www.grandautunoismorvan.fr/contact-20.html</t>
        </is>
      </c>
      <c r="P799" s="4" t="inlineStr">
        <is>
          <t>https://lannuaire.service-public.gouv.fr/bourgogne-franche-comte/saone-et-loire/5b8c552f-1cc8-4ce9-8f06-f8edcf4910d4</t>
        </is>
      </c>
      <c r="Q799" t="inlineStr">
        <is>
          <t>Annuaire Service-public.fr</t>
        </is>
      </c>
      <c r="R799" t="inlineStr"/>
      <c r="S799" t="inlineStr"/>
      <c r="T799" t="inlineStr"/>
    </row>
    <row r="800">
      <c r="A800" t="inlineStr">
        <is>
          <t>CC Haute Sarthe Alpes Mancelles</t>
        </is>
      </c>
      <c r="B800" t="inlineStr">
        <is>
          <t>Communauté de communes</t>
        </is>
      </c>
      <c r="C800" t="inlineStr">
        <is>
          <t>200072700</t>
        </is>
      </c>
      <c r="D800" t="inlineStr">
        <is>
          <t>72</t>
        </is>
      </c>
      <c r="E800" t="inlineStr">
        <is>
          <t>Sarthe</t>
        </is>
      </c>
      <c r="F800" t="inlineStr">
        <is>
          <t>Pays de la Loire</t>
        </is>
      </c>
      <c r="G800" s="3" t="n">
        <v>22528</v>
      </c>
      <c r="H800" t="n">
        <v>38</v>
      </c>
      <c r="I800" t="inlineStr">
        <is>
          <t>2 rue Abbé-Lelièvre, Maison de pays</t>
        </is>
      </c>
      <c r="J800" t="inlineStr">
        <is>
          <t>72130</t>
        </is>
      </c>
      <c r="K800" t="inlineStr">
        <is>
          <t>Fresnay-sur-Sarthe</t>
        </is>
      </c>
      <c r="L800" t="inlineStr">
        <is>
          <t>02 43 34 34 59</t>
        </is>
      </c>
      <c r="M800" s="4" t="inlineStr">
        <is>
          <t>contact@cchautesarthealpesmancelles.fr</t>
        </is>
      </c>
      <c r="N800" s="4" t="inlineStr">
        <is>
          <t>https://www.cchautesarthealpesmancelles.fr/</t>
        </is>
      </c>
      <c r="O800" s="4" t="inlineStr">
        <is>
          <t>https://www.cchautesarthealpesmancelles.fr/contact/</t>
        </is>
      </c>
      <c r="P800" s="4" t="inlineStr">
        <is>
          <t>https://lannuaire.service-public.gouv.fr/pays-de-la-loire/sarthe/7d41352c-06ad-46e7-9936-8d43967d231b</t>
        </is>
      </c>
      <c r="Q800" t="inlineStr">
        <is>
          <t>Annuaire Service-public.fr</t>
        </is>
      </c>
      <c r="R800" t="inlineStr"/>
      <c r="S800" t="inlineStr"/>
      <c r="T800" t="inlineStr"/>
    </row>
    <row r="801">
      <c r="A801" t="inlineStr">
        <is>
          <t>CC LBN Communauté</t>
        </is>
      </c>
      <c r="B801" t="inlineStr">
        <is>
          <t>Communauté de communes</t>
        </is>
      </c>
      <c r="C801" t="inlineStr">
        <is>
          <t>200040475</t>
        </is>
      </c>
      <c r="D801" t="inlineStr">
        <is>
          <t>72</t>
        </is>
      </c>
      <c r="E801" t="inlineStr">
        <is>
          <t>Sarthe</t>
        </is>
      </c>
      <c r="F801" t="inlineStr">
        <is>
          <t>Pays de la Loire</t>
        </is>
      </c>
      <c r="G801" s="3" t="n">
        <v>17824</v>
      </c>
      <c r="H801" t="n">
        <v>29</v>
      </c>
      <c r="I801" t="inlineStr">
        <is>
          <t>27 rue Rémy-Lambert</t>
        </is>
      </c>
      <c r="J801" t="inlineStr">
        <is>
          <t>72540</t>
        </is>
      </c>
      <c r="K801" t="inlineStr">
        <is>
          <t>Loué</t>
        </is>
      </c>
      <c r="L801" t="inlineStr">
        <is>
          <t>02 43 92 31 58</t>
        </is>
      </c>
      <c r="M801" s="4" t="inlineStr">
        <is>
          <t>accueil@cc-lbn.fr</t>
        </is>
      </c>
      <c r="N801" s="4" t="inlineStr">
        <is>
          <t>https://www.cc-lbn.fr/</t>
        </is>
      </c>
      <c r="O801" s="4" t="inlineStr">
        <is>
          <t>https://www.cc-lbn.fr/nous-contacter/</t>
        </is>
      </c>
      <c r="P801" s="4" t="inlineStr">
        <is>
          <t>https://lannuaire.service-public.gouv.fr/pays-de-la-loire/sarthe/76dcc28a-3cdf-4b4b-b49c-244082fc0a16</t>
        </is>
      </c>
      <c r="Q801" t="inlineStr">
        <is>
          <t>Annuaire Service-public.fr</t>
        </is>
      </c>
      <c r="R801" t="inlineStr"/>
      <c r="S801" t="inlineStr"/>
      <c r="T801" t="inlineStr"/>
    </row>
    <row r="802">
      <c r="A802" t="inlineStr">
        <is>
          <t>CC Le Gesnois Bilurien</t>
        </is>
      </c>
      <c r="B802" t="inlineStr">
        <is>
          <t>Communauté de communes</t>
        </is>
      </c>
      <c r="C802" t="inlineStr">
        <is>
          <t>200072684</t>
        </is>
      </c>
      <c r="D802" t="inlineStr">
        <is>
          <t>72</t>
        </is>
      </c>
      <c r="E802" t="inlineStr">
        <is>
          <t>Sarthe</t>
        </is>
      </c>
      <c r="F802" t="inlineStr">
        <is>
          <t>Pays de la Loire</t>
        </is>
      </c>
      <c r="G802" s="3" t="n">
        <v>30265</v>
      </c>
      <c r="H802" t="n">
        <v>21</v>
      </c>
      <c r="I802" t="inlineStr">
        <is>
          <t>783 Route des Sittelles</t>
        </is>
      </c>
      <c r="J802" t="inlineStr">
        <is>
          <t>72450</t>
        </is>
      </c>
      <c r="K802" t="inlineStr">
        <is>
          <t>Montfort-le-Gesnois</t>
        </is>
      </c>
      <c r="L802" t="inlineStr">
        <is>
          <t>02 43 54 80 40</t>
        </is>
      </c>
      <c r="M802" s="4" t="inlineStr">
        <is>
          <t>contact@cc-gesnoisbilurien.fr</t>
        </is>
      </c>
      <c r="N802" s="4" t="inlineStr">
        <is>
          <t>https://www.cc-gesnoisbilurien.fr/</t>
        </is>
      </c>
      <c r="O802" s="4" t="inlineStr">
        <is>
          <t>https://www.cc-gesnoisbilurien.fr/interco/contact-cdc/</t>
        </is>
      </c>
      <c r="P802" s="4" t="inlineStr">
        <is>
          <t>https://lannuaire.service-public.gouv.fr/pays-de-la-loire/sarthe/6ec069b2-efd5-4d2b-abe3-e065e35f1ad6</t>
        </is>
      </c>
      <c r="Q802" t="inlineStr">
        <is>
          <t>Annuaire Service-public.fr</t>
        </is>
      </c>
      <c r="R802" t="inlineStr"/>
      <c r="S802" t="inlineStr"/>
      <c r="T802" t="inlineStr"/>
    </row>
    <row r="803">
      <c r="A803" t="inlineStr">
        <is>
          <t>CC Loir-Lucé-Bercé</t>
        </is>
      </c>
      <c r="B803" t="inlineStr">
        <is>
          <t>Communauté de communes</t>
        </is>
      </c>
      <c r="C803" t="inlineStr">
        <is>
          <t>200070373</t>
        </is>
      </c>
      <c r="D803" t="inlineStr">
        <is>
          <t>72</t>
        </is>
      </c>
      <c r="E803" t="inlineStr">
        <is>
          <t>Sarthe</t>
        </is>
      </c>
      <c r="F803" t="inlineStr">
        <is>
          <t>Pays de la Loire</t>
        </is>
      </c>
      <c r="G803" s="3" t="n">
        <v>23207</v>
      </c>
      <c r="H803" t="n">
        <v>24</v>
      </c>
      <c r="I803" t="inlineStr">
        <is>
          <t>1 place Clémenceau</t>
        </is>
      </c>
      <c r="J803" t="inlineStr">
        <is>
          <t>72500</t>
        </is>
      </c>
      <c r="K803" t="inlineStr">
        <is>
          <t>Montval-sur-Loir</t>
        </is>
      </c>
      <c r="L803" t="inlineStr">
        <is>
          <t>02 43 38 17 17</t>
        </is>
      </c>
      <c r="M803" s="4" t="inlineStr">
        <is>
          <t>secretariat@loirluceberce.fr</t>
        </is>
      </c>
      <c r="N803" s="4" t="inlineStr">
        <is>
          <t>https://www.loirluceberce.fr/</t>
        </is>
      </c>
      <c r="O803" s="4" t="inlineStr">
        <is>
          <t>https://www.loirluceberce.fr/systeme/contact/</t>
        </is>
      </c>
      <c r="P803" s="4" t="inlineStr">
        <is>
          <t>https://lannuaire.service-public.gouv.fr/pays-de-la-loire/sarthe/35da8128-f0d8-49ec-a23b-784c8a533de5</t>
        </is>
      </c>
      <c r="Q803" t="inlineStr">
        <is>
          <t>Annuaire Service-public.fr</t>
        </is>
      </c>
      <c r="R803" t="inlineStr"/>
      <c r="S803" t="inlineStr"/>
      <c r="T803" t="inlineStr"/>
    </row>
    <row r="804">
      <c r="A804" t="inlineStr">
        <is>
          <t>CC Maine Coeur de Sarthe</t>
        </is>
      </c>
      <c r="B804" t="inlineStr">
        <is>
          <t>Communauté de communes</t>
        </is>
      </c>
      <c r="C804" t="inlineStr">
        <is>
          <t>200068963</t>
        </is>
      </c>
      <c r="D804" t="inlineStr">
        <is>
          <t>72</t>
        </is>
      </c>
      <c r="E804" t="inlineStr">
        <is>
          <t>Sarthe</t>
        </is>
      </c>
      <c r="F804" t="inlineStr">
        <is>
          <t>Pays de la Loire</t>
        </is>
      </c>
      <c r="G804" s="3" t="n">
        <v>21871</v>
      </c>
      <c r="H804" t="n">
        <v>13</v>
      </c>
      <c r="I804" t="inlineStr">
        <is>
          <t>918 rue des Petites-Forges, ZA Les Petites Forges</t>
        </is>
      </c>
      <c r="J804" t="inlineStr">
        <is>
          <t>72380</t>
        </is>
      </c>
      <c r="K804" t="inlineStr">
        <is>
          <t>Joué-l'Abbé</t>
        </is>
      </c>
      <c r="L804" t="inlineStr">
        <is>
          <t>02 43 27 37 20</t>
        </is>
      </c>
      <c r="M804" s="4" t="inlineStr">
        <is>
          <t>contact@mainecoeurdesarthe.fr</t>
        </is>
      </c>
      <c r="N804" s="4" t="inlineStr">
        <is>
          <t>https://www.mainecoeurdesarthe.fr/</t>
        </is>
      </c>
      <c r="O804" s="4" t="inlineStr">
        <is>
          <t>https://www.mainecoeurdesarthe.fr/contact/</t>
        </is>
      </c>
      <c r="P804" s="4" t="inlineStr">
        <is>
          <t>https://lannuaire.service-public.gouv.fr/pays-de-la-loire/sarthe/f3247e35-762b-42c4-8be1-68ea4b36d5dc</t>
        </is>
      </c>
      <c r="Q804" t="inlineStr">
        <is>
          <t>Annuaire Service-public.fr</t>
        </is>
      </c>
      <c r="R804" t="inlineStr"/>
      <c r="S804" t="inlineStr"/>
      <c r="T804" t="inlineStr"/>
    </row>
    <row r="805">
      <c r="A805" t="inlineStr">
        <is>
          <t>CC Orée de Bercé - Belinois</t>
        </is>
      </c>
      <c r="B805" t="inlineStr">
        <is>
          <t>Communauté de communes</t>
        </is>
      </c>
      <c r="C805" t="inlineStr">
        <is>
          <t>247200447</t>
        </is>
      </c>
      <c r="D805" t="inlineStr">
        <is>
          <t>72</t>
        </is>
      </c>
      <c r="E805" t="inlineStr">
        <is>
          <t>Sarthe</t>
        </is>
      </c>
      <c r="F805" t="inlineStr">
        <is>
          <t>Pays de la Loire</t>
        </is>
      </c>
      <c r="G805" s="3" t="n">
        <v>19472</v>
      </c>
      <c r="H805" t="n">
        <v>7</v>
      </c>
      <c r="I805" t="inlineStr">
        <is>
          <t>1 rue Sainte-Anne</t>
        </is>
      </c>
      <c r="J805" t="inlineStr">
        <is>
          <t>72220</t>
        </is>
      </c>
      <c r="K805" t="inlineStr">
        <is>
          <t>Écommoy</t>
        </is>
      </c>
      <c r="L805" t="inlineStr">
        <is>
          <t>02 43 47 02 20</t>
        </is>
      </c>
      <c r="M805" s="4" t="inlineStr">
        <is>
          <t>communautedecommunes@belinois.fr</t>
        </is>
      </c>
      <c r="N805" s="4" t="inlineStr">
        <is>
          <t>https://www.cc-berce-belinois.fr/</t>
        </is>
      </c>
      <c r="O805" s="4" t="inlineStr">
        <is>
          <t>https://www.cc-berce-belinois.fr/nous-contacter/</t>
        </is>
      </c>
      <c r="P805" s="4" t="inlineStr">
        <is>
          <t>https://lannuaire.service-public.gouv.fr/pays-de-la-loire/sarthe/e9e699e5-b582-4bd3-bfae-adcb76933830</t>
        </is>
      </c>
      <c r="Q805" t="inlineStr">
        <is>
          <t>Annuaire Service-public.fr</t>
        </is>
      </c>
      <c r="R805" t="inlineStr"/>
      <c r="S805" t="inlineStr"/>
      <c r="T805" t="inlineStr"/>
    </row>
    <row r="806">
      <c r="A806" t="inlineStr">
        <is>
          <t>CC Sud Sarthe</t>
        </is>
      </c>
      <c r="B806" t="inlineStr">
        <is>
          <t>Communauté de communes</t>
        </is>
      </c>
      <c r="C806" t="inlineStr">
        <is>
          <t>200073112</t>
        </is>
      </c>
      <c r="D806" t="inlineStr">
        <is>
          <t>72</t>
        </is>
      </c>
      <c r="E806" t="inlineStr">
        <is>
          <t>Sarthe</t>
        </is>
      </c>
      <c r="F806" t="inlineStr">
        <is>
          <t>Pays de la Loire</t>
        </is>
      </c>
      <c r="G806" s="3" t="n">
        <v>22583</v>
      </c>
      <c r="H806" t="n">
        <v>19</v>
      </c>
      <c r="I806" t="inlineStr">
        <is>
          <t>5 rue des Écoles</t>
        </is>
      </c>
      <c r="J806" t="inlineStr">
        <is>
          <t>72800</t>
        </is>
      </c>
      <c r="K806" t="inlineStr">
        <is>
          <t>Aubigné-Racan</t>
        </is>
      </c>
      <c r="L806" t="inlineStr">
        <is>
          <t>02 85 29 12 00</t>
        </is>
      </c>
      <c r="M806" s="4" t="inlineStr">
        <is>
          <t>accueil@comcomsudsarthe.fr</t>
        </is>
      </c>
      <c r="N806" s="4" t="inlineStr">
        <is>
          <t>https://www.comcomsudsarthe.fr/</t>
        </is>
      </c>
      <c r="O806" t="inlineStr"/>
      <c r="P806" s="4" t="inlineStr">
        <is>
          <t>https://lannuaire.service-public.gouv.fr/pays-de-la-loire/sarthe/98f60cc0-2f49-40c7-8919-b41c4b17adba</t>
        </is>
      </c>
      <c r="Q806" t="inlineStr">
        <is>
          <t>Annuaire Service-public.fr</t>
        </is>
      </c>
      <c r="R806" t="inlineStr"/>
      <c r="S806" t="inlineStr"/>
      <c r="T806" t="inlineStr"/>
    </row>
    <row r="807">
      <c r="A807" t="inlineStr">
        <is>
          <t>CC de la Champagne Conlinoise et du Pays de Sillé</t>
        </is>
      </c>
      <c r="B807" t="inlineStr">
        <is>
          <t>Communauté de communes</t>
        </is>
      </c>
      <c r="C807" t="inlineStr">
        <is>
          <t>200072718</t>
        </is>
      </c>
      <c r="D807" t="inlineStr">
        <is>
          <t>72</t>
        </is>
      </c>
      <c r="E807" t="inlineStr">
        <is>
          <t>Sarthe</t>
        </is>
      </c>
      <c r="F807" t="inlineStr">
        <is>
          <t>Pays de la Loire</t>
        </is>
      </c>
      <c r="G807" s="3" t="n">
        <v>17914</v>
      </c>
      <c r="H807" t="n">
        <v>24</v>
      </c>
      <c r="I807" t="inlineStr">
        <is>
          <t>4 rue de Gaucher</t>
        </is>
      </c>
      <c r="J807" t="inlineStr">
        <is>
          <t>72240</t>
        </is>
      </c>
      <c r="K807" t="inlineStr">
        <is>
          <t>Conlie</t>
        </is>
      </c>
      <c r="L807" t="inlineStr">
        <is>
          <t>02 43 52 11 67</t>
        </is>
      </c>
      <c r="M807" s="4" t="inlineStr">
        <is>
          <t>contact@4cps.fr</t>
        </is>
      </c>
      <c r="N807" s="4" t="inlineStr">
        <is>
          <t>https://www.4cps.fr</t>
        </is>
      </c>
      <c r="O807" s="4" t="inlineStr">
        <is>
          <t>https://www.4cps.fr/a-votre-service/contact/</t>
        </is>
      </c>
      <c r="P807" s="4" t="inlineStr">
        <is>
          <t>https://lannuaire.service-public.gouv.fr/pays-de-la-loire/sarthe/2a126d55-d289-43a8-aa36-b9919c704814</t>
        </is>
      </c>
      <c r="Q807" t="inlineStr">
        <is>
          <t>Annuaire Service-public.fr</t>
        </is>
      </c>
      <c r="R807" t="inlineStr"/>
      <c r="S807" t="inlineStr"/>
      <c r="T807" t="inlineStr"/>
    </row>
    <row r="808">
      <c r="A808" t="inlineStr">
        <is>
          <t>CC des Vallées de la Braye et de l'Anille</t>
        </is>
      </c>
      <c r="B808" t="inlineStr">
        <is>
          <t>Communauté de communes</t>
        </is>
      </c>
      <c r="C808" t="inlineStr">
        <is>
          <t>200072692</t>
        </is>
      </c>
      <c r="D808" t="inlineStr">
        <is>
          <t>72</t>
        </is>
      </c>
      <c r="E808" t="inlineStr">
        <is>
          <t>Sarthe</t>
        </is>
      </c>
      <c r="F808" t="inlineStr">
        <is>
          <t>Pays de la Loire</t>
        </is>
      </c>
      <c r="G808" s="3" t="n">
        <v>14775</v>
      </c>
      <c r="H808" t="n">
        <v>19</v>
      </c>
      <c r="I808" t="inlineStr">
        <is>
          <t>10 rue Saint-Pierre</t>
        </is>
      </c>
      <c r="J808" t="inlineStr">
        <is>
          <t>72120</t>
        </is>
      </c>
      <c r="K808" t="inlineStr">
        <is>
          <t>Saint-Calais</t>
        </is>
      </c>
      <c r="L808" t="inlineStr">
        <is>
          <t>02 43 35 11 03</t>
        </is>
      </c>
      <c r="M808" s="4" t="inlineStr">
        <is>
          <t>ccvba@cc-vba.com</t>
        </is>
      </c>
      <c r="N808" s="4" t="inlineStr">
        <is>
          <t>https://www.cc-vba.com/</t>
        </is>
      </c>
      <c r="O808" t="inlineStr"/>
      <c r="P808" s="4" t="inlineStr">
        <is>
          <t>https://lannuaire.service-public.gouv.fr/pays-de-la-loire/sarthe/c7ce1b76-b444-478f-8636-25d07a80413c</t>
        </is>
      </c>
      <c r="Q808" t="inlineStr">
        <is>
          <t>Annuaire Service-public.fr</t>
        </is>
      </c>
      <c r="R808" t="inlineStr"/>
      <c r="S808" t="inlineStr"/>
      <c r="T808" t="inlineStr"/>
    </row>
    <row r="809">
      <c r="A809" t="inlineStr">
        <is>
          <t>CC du Pays Fléchois</t>
        </is>
      </c>
      <c r="B809" t="inlineStr">
        <is>
          <t>Communauté de communes</t>
        </is>
      </c>
      <c r="C809" t="inlineStr">
        <is>
          <t>247200348</t>
        </is>
      </c>
      <c r="D809" t="inlineStr">
        <is>
          <t>72</t>
        </is>
      </c>
      <c r="E809" t="inlineStr">
        <is>
          <t>Sarthe</t>
        </is>
      </c>
      <c r="F809" t="inlineStr">
        <is>
          <t>Pays de la Loire</t>
        </is>
      </c>
      <c r="G809" s="3" t="n">
        <v>27049</v>
      </c>
      <c r="H809" t="n">
        <v>14</v>
      </c>
      <c r="I809" t="inlineStr">
        <is>
          <t>6 rue Fernand-Guillot</t>
        </is>
      </c>
      <c r="J809" t="inlineStr">
        <is>
          <t>72200</t>
        </is>
      </c>
      <c r="K809" t="inlineStr">
        <is>
          <t>La Flèche</t>
        </is>
      </c>
      <c r="L809" t="inlineStr">
        <is>
          <t>02 43 48 66 00</t>
        </is>
      </c>
      <c r="M809" s="4" t="inlineStr">
        <is>
          <t>contact@cc-paysflechois.fr</t>
        </is>
      </c>
      <c r="N809" s="4" t="inlineStr">
        <is>
          <t>https://www.paysflechois.fr</t>
        </is>
      </c>
      <c r="O809" t="inlineStr"/>
      <c r="P809" s="4" t="inlineStr">
        <is>
          <t>https://lannuaire.service-public.gouv.fr/pays-de-la-loire/sarthe/899bbffa-f4df-4db9-be02-6b45878c40b3</t>
        </is>
      </c>
      <c r="Q809" t="inlineStr">
        <is>
          <t>Annuaire Service-public.fr</t>
        </is>
      </c>
      <c r="R809" t="inlineStr"/>
      <c r="S809" t="inlineStr"/>
      <c r="T809" t="inlineStr"/>
    </row>
    <row r="810">
      <c r="A810" t="inlineStr">
        <is>
          <t>CC du Pays de l'Huisne Sarthoise</t>
        </is>
      </c>
      <c r="B810" t="inlineStr">
        <is>
          <t>Communauté de communes</t>
        </is>
      </c>
      <c r="C810" t="inlineStr">
        <is>
          <t>247200686</t>
        </is>
      </c>
      <c r="D810" t="inlineStr">
        <is>
          <t>72</t>
        </is>
      </c>
      <c r="E810" t="inlineStr">
        <is>
          <t>Sarthe</t>
        </is>
      </c>
      <c r="F810" t="inlineStr">
        <is>
          <t>Pays de la Loire</t>
        </is>
      </c>
      <c r="G810" s="3" t="n">
        <v>28362</v>
      </c>
      <c r="H810" t="n">
        <v>33</v>
      </c>
      <c r="I810" t="inlineStr">
        <is>
          <t>25 rue Jean-Courtois</t>
        </is>
      </c>
      <c r="J810" t="inlineStr">
        <is>
          <t>72400</t>
        </is>
      </c>
      <c r="K810" t="inlineStr">
        <is>
          <t>La Ferté-Bernard</t>
        </is>
      </c>
      <c r="L810" t="inlineStr">
        <is>
          <t>02 43 60 72 71</t>
        </is>
      </c>
      <c r="M810" s="4" t="inlineStr">
        <is>
          <t>contact@huisne-sarthoise.com</t>
        </is>
      </c>
      <c r="N810" s="4" t="inlineStr">
        <is>
          <t>https://www.huisne-sarthoise.com/</t>
        </is>
      </c>
      <c r="O810" s="4" t="inlineStr">
        <is>
          <t>https://www.huisne-sarthoise.com/contact/</t>
        </is>
      </c>
      <c r="P810" s="4" t="inlineStr">
        <is>
          <t>https://lannuaire.service-public.gouv.fr/pays-de-la-loire/sarthe/7559481a-64ab-456c-84af-b200edae722e</t>
        </is>
      </c>
      <c r="Q810" t="inlineStr">
        <is>
          <t>Annuaire Service-public.fr</t>
        </is>
      </c>
      <c r="R810" t="inlineStr"/>
      <c r="S810" t="inlineStr"/>
      <c r="T810" t="inlineStr"/>
    </row>
    <row r="811">
      <c r="A811" t="inlineStr">
        <is>
          <t>CC du Sud Est Manceau</t>
        </is>
      </c>
      <c r="B811" t="inlineStr">
        <is>
          <t>Communauté de communes</t>
        </is>
      </c>
      <c r="C811" t="inlineStr">
        <is>
          <t>247200421</t>
        </is>
      </c>
      <c r="D811" t="inlineStr">
        <is>
          <t>72</t>
        </is>
      </c>
      <c r="E811" t="inlineStr">
        <is>
          <t>Sarthe</t>
        </is>
      </c>
      <c r="F811" t="inlineStr">
        <is>
          <t>Pays de la Loire</t>
        </is>
      </c>
      <c r="G811" s="3" t="n">
        <v>17929</v>
      </c>
      <c r="H811" t="n">
        <v>5</v>
      </c>
      <c r="I811" t="inlineStr">
        <is>
          <t>Rue des Écoles</t>
        </is>
      </c>
      <c r="J811" t="inlineStr">
        <is>
          <t>72250</t>
        </is>
      </c>
      <c r="K811" t="inlineStr">
        <is>
          <t>Parigné-l'Évêque</t>
        </is>
      </c>
      <c r="L811" t="inlineStr">
        <is>
          <t>02 43 40 09 98</t>
        </is>
      </c>
      <c r="M811" s="4" t="inlineStr">
        <is>
          <t>communaute.communes@sudestmanceau.com</t>
        </is>
      </c>
      <c r="N811" s="4" t="inlineStr">
        <is>
          <t>https://www.cc-sudestmanceau.fr/</t>
        </is>
      </c>
      <c r="O811" s="4" t="inlineStr">
        <is>
          <t>https://www.cc-sudestmanceau.fr/nous-contacter/</t>
        </is>
      </c>
      <c r="P811" s="4" t="inlineStr">
        <is>
          <t>https://lannuaire.service-public.gouv.fr/pays-de-la-loire/sarthe/f4521a47-699e-425a-b5d7-e02c4c0c1c8b</t>
        </is>
      </c>
      <c r="Q811" t="inlineStr">
        <is>
          <t>Annuaire Service-public.fr</t>
        </is>
      </c>
      <c r="R811" t="inlineStr"/>
      <c r="S811" t="inlineStr"/>
      <c r="T811" t="inlineStr"/>
    </row>
    <row r="812">
      <c r="A812" t="inlineStr">
        <is>
          <t>CC du Val de Sarthe</t>
        </is>
      </c>
      <c r="B812" t="inlineStr">
        <is>
          <t>Communauté de communes</t>
        </is>
      </c>
      <c r="C812" t="inlineStr">
        <is>
          <t>247200629</t>
        </is>
      </c>
      <c r="D812" t="inlineStr">
        <is>
          <t>72</t>
        </is>
      </c>
      <c r="E812" t="inlineStr">
        <is>
          <t>Sarthe</t>
        </is>
      </c>
      <c r="F812" t="inlineStr">
        <is>
          <t>Pays de la Loire</t>
        </is>
      </c>
      <c r="G812" s="3" t="n">
        <v>30404</v>
      </c>
      <c r="H812" t="n">
        <v>16</v>
      </c>
      <c r="I812" t="inlineStr">
        <is>
          <t>27 rue du 11-Novembre</t>
        </is>
      </c>
      <c r="J812" t="inlineStr">
        <is>
          <t>72200</t>
        </is>
      </c>
      <c r="K812" t="inlineStr">
        <is>
          <t>La Suze-sur-Sarthe</t>
        </is>
      </c>
      <c r="L812" t="inlineStr">
        <is>
          <t>02 43 83 51 12</t>
        </is>
      </c>
      <c r="M812" s="4" t="inlineStr">
        <is>
          <t>communaute@cc-valdesarthe.fr</t>
        </is>
      </c>
      <c r="N812" s="4" t="inlineStr">
        <is>
          <t>https://www.val-de-sarthe.fr/</t>
        </is>
      </c>
      <c r="O812" s="4" t="inlineStr">
        <is>
          <t>https://www.val-de-sarthe.fr/contact-siege/</t>
        </is>
      </c>
      <c r="P812" s="4" t="inlineStr">
        <is>
          <t>https://lannuaire.service-public.gouv.fr/pays-de-la-loire/sarthe/58f4909a-f302-468d-9df7-59154a13a4ef</t>
        </is>
      </c>
      <c r="Q812" t="inlineStr">
        <is>
          <t>Annuaire Service-public.fr</t>
        </is>
      </c>
      <c r="R812" t="inlineStr"/>
      <c r="S812" t="inlineStr"/>
      <c r="T812" t="inlineStr"/>
    </row>
    <row r="813">
      <c r="A813" t="inlineStr">
        <is>
          <t>CC Coeur de Maurienne Arvan</t>
        </is>
      </c>
      <c r="B813" t="inlineStr">
        <is>
          <t>Communauté de communes</t>
        </is>
      </c>
      <c r="C813" t="inlineStr">
        <is>
          <t>200070464</t>
        </is>
      </c>
      <c r="D813" t="inlineStr">
        <is>
          <t>73</t>
        </is>
      </c>
      <c r="E813" t="inlineStr">
        <is>
          <t>Savoie</t>
        </is>
      </c>
      <c r="F813" t="inlineStr">
        <is>
          <t>Auvergne-Rhône-Alpes</t>
        </is>
      </c>
      <c r="G813" s="3" t="n">
        <v>14302</v>
      </c>
      <c r="H813" t="n">
        <v>14</v>
      </c>
      <c r="I813" t="inlineStr">
        <is>
          <t>Avenue d'Italie, Maison de l'intercommunalité</t>
        </is>
      </c>
      <c r="J813" t="inlineStr">
        <is>
          <t>73300</t>
        </is>
      </c>
      <c r="K813" t="inlineStr">
        <is>
          <t>Saint-Jean-de-Maurienne</t>
        </is>
      </c>
      <c r="L813" t="inlineStr">
        <is>
          <t>04 79 83 07 20</t>
        </is>
      </c>
      <c r="M813" s="4" t="inlineStr">
        <is>
          <t>contact@3cma73.com</t>
        </is>
      </c>
      <c r="N813" s="4" t="inlineStr">
        <is>
          <t>https://www.coeurdemaurienne-arvan.com/</t>
        </is>
      </c>
      <c r="O813" s="4" t="inlineStr">
        <is>
          <t>https://www.coeurdemaurienne-arvan.com/nous-contacter/</t>
        </is>
      </c>
      <c r="P813" s="4" t="inlineStr">
        <is>
          <t>https://lannuaire.service-public.gouv.fr/auvergne-rhone-alpes/savoie/926e4888-742a-40a0-ad60-5f46255ccd8d</t>
        </is>
      </c>
      <c r="Q813" t="inlineStr">
        <is>
          <t>Annuaire Service-public.fr</t>
        </is>
      </c>
      <c r="R813" t="inlineStr"/>
      <c r="S813" t="inlineStr"/>
      <c r="T813" t="inlineStr"/>
    </row>
    <row r="814">
      <c r="A814" t="inlineStr">
        <is>
          <t>CC Coeur de Savoie</t>
        </is>
      </c>
      <c r="B814" t="inlineStr">
        <is>
          <t>Communauté de communes</t>
        </is>
      </c>
      <c r="C814" t="inlineStr">
        <is>
          <t>200041010</t>
        </is>
      </c>
      <c r="D814" t="inlineStr">
        <is>
          <t>73</t>
        </is>
      </c>
      <c r="E814" t="inlineStr">
        <is>
          <t>Savoie</t>
        </is>
      </c>
      <c r="F814" t="inlineStr">
        <is>
          <t>Auvergne-Rhône-Alpes</t>
        </is>
      </c>
      <c r="G814" s="3" t="n">
        <v>37780</v>
      </c>
      <c r="H814" t="n">
        <v>41</v>
      </c>
      <c r="I814" t="inlineStr">
        <is>
          <t>Place Albert-Serraz</t>
        </is>
      </c>
      <c r="J814" t="inlineStr">
        <is>
          <t>73800</t>
        </is>
      </c>
      <c r="K814" t="inlineStr">
        <is>
          <t>Montmélian</t>
        </is>
      </c>
      <c r="L814" t="inlineStr">
        <is>
          <t>04 79 84 36 27</t>
        </is>
      </c>
      <c r="M814" s="4" t="inlineStr">
        <is>
          <t>secretariat@cc.coeurdesavoie.fr</t>
        </is>
      </c>
      <c r="N814" s="4" t="inlineStr">
        <is>
          <t>https://www.coeurdesavoie.fr/</t>
        </is>
      </c>
      <c r="O814" s="4" t="inlineStr">
        <is>
          <t>https://www.coeurdesavoie.fr/3786-contact.htm</t>
        </is>
      </c>
      <c r="P814" s="4" t="inlineStr">
        <is>
          <t>https://lannuaire.service-public.gouv.fr/auvergne-rhone-alpes/savoie/bf7aeb11-7e0d-4bcd-87a8-a97a34ebb150</t>
        </is>
      </c>
      <c r="Q814" t="inlineStr">
        <is>
          <t>Annuaire Service-public.fr</t>
        </is>
      </c>
      <c r="R814" t="inlineStr"/>
      <c r="S814" t="inlineStr"/>
      <c r="T814" t="inlineStr"/>
    </row>
    <row r="815">
      <c r="A815" t="inlineStr">
        <is>
          <t>CC Coeur de Tarentaise</t>
        </is>
      </c>
      <c r="B815" t="inlineStr">
        <is>
          <t>Communauté de communes</t>
        </is>
      </c>
      <c r="C815" t="inlineStr">
        <is>
          <t>200023299</t>
        </is>
      </c>
      <c r="D815" t="inlineStr">
        <is>
          <t>73</t>
        </is>
      </c>
      <c r="E815" t="inlineStr">
        <is>
          <t>Savoie</t>
        </is>
      </c>
      <c r="F815" t="inlineStr">
        <is>
          <t>Auvergne-Rhône-Alpes</t>
        </is>
      </c>
      <c r="G815" s="3" t="n">
        <v>9098</v>
      </c>
      <c r="H815" t="n">
        <v>6</v>
      </c>
      <c r="I815" t="inlineStr">
        <is>
          <t>133 quai Saint-Réal</t>
        </is>
      </c>
      <c r="J815" t="inlineStr">
        <is>
          <t>73600</t>
        </is>
      </c>
      <c r="K815" t="inlineStr">
        <is>
          <t>Moûtiers</t>
        </is>
      </c>
      <c r="L815" t="inlineStr">
        <is>
          <t>04 79 24 41 41</t>
        </is>
      </c>
      <c r="M815" s="4" t="inlineStr">
        <is>
          <t>contact@coeurdetarentaise.fr</t>
        </is>
      </c>
      <c r="N815" s="4" t="inlineStr">
        <is>
          <t>https://www.coeurdetarentaise.fr/</t>
        </is>
      </c>
      <c r="O815" t="inlineStr"/>
      <c r="P815" s="4" t="inlineStr">
        <is>
          <t>https://lannuaire.service-public.gouv.fr/auvergne-rhone-alpes/savoie/7d2382ff-7455-4f54-a595-d097652f8506</t>
        </is>
      </c>
      <c r="Q815" t="inlineStr">
        <is>
          <t>Annuaire Service-public.fr</t>
        </is>
      </c>
      <c r="R815" t="inlineStr"/>
      <c r="S815" t="inlineStr"/>
      <c r="T815" t="inlineStr"/>
    </row>
    <row r="816">
      <c r="A816" t="inlineStr">
        <is>
          <t>CC Haute Maurienne Vanoise</t>
        </is>
      </c>
      <c r="B816" t="inlineStr">
        <is>
          <t>Communauté de communes</t>
        </is>
      </c>
      <c r="C816" t="inlineStr">
        <is>
          <t>200070340</t>
        </is>
      </c>
      <c r="D816" t="inlineStr">
        <is>
          <t>73</t>
        </is>
      </c>
      <c r="E816" t="inlineStr">
        <is>
          <t>Savoie</t>
        </is>
      </c>
      <c r="F816" t="inlineStr">
        <is>
          <t>Auvergne-Rhône-Alpes</t>
        </is>
      </c>
      <c r="G816" s="3" t="n">
        <v>8435</v>
      </c>
      <c r="H816" t="n">
        <v>10</v>
      </c>
      <c r="I816" t="inlineStr">
        <is>
          <t>9 place Sommeiller</t>
        </is>
      </c>
      <c r="J816" t="inlineStr">
        <is>
          <t>73500</t>
        </is>
      </c>
      <c r="K816" t="inlineStr">
        <is>
          <t>Modane</t>
        </is>
      </c>
      <c r="L816" t="inlineStr">
        <is>
          <t>04 79 05 10 54</t>
        </is>
      </c>
      <c r="M816" s="4" t="inlineStr">
        <is>
          <t>info@cchmv.fr</t>
        </is>
      </c>
      <c r="N816" s="4" t="inlineStr">
        <is>
          <t>https://www.cchautemaurienne.com/</t>
        </is>
      </c>
      <c r="O816" t="inlineStr"/>
      <c r="P816" s="4" t="inlineStr">
        <is>
          <t>https://lannuaire.service-public.gouv.fr/auvergne-rhone-alpes/savoie/2d73c578-3ce6-4c9c-8c2e-9c6e5e1e1bbe</t>
        </is>
      </c>
      <c r="Q816" t="inlineStr">
        <is>
          <t>Annuaire Service-public.fr</t>
        </is>
      </c>
      <c r="R816" t="inlineStr"/>
      <c r="S816" t="inlineStr"/>
      <c r="T816" t="inlineStr"/>
    </row>
    <row r="817">
      <c r="A817" t="inlineStr">
        <is>
          <t>CC Les Versants d'Aime</t>
        </is>
      </c>
      <c r="B817" t="inlineStr">
        <is>
          <t>Communauté de communes</t>
        </is>
      </c>
      <c r="C817" t="inlineStr">
        <is>
          <t>247300817</t>
        </is>
      </c>
      <c r="D817" t="inlineStr">
        <is>
          <t>73</t>
        </is>
      </c>
      <c r="E817" t="inlineStr">
        <is>
          <t>Savoie</t>
        </is>
      </c>
      <c r="F817" t="inlineStr">
        <is>
          <t>Auvergne-Rhône-Alpes</t>
        </is>
      </c>
      <c r="G817" s="3" t="n">
        <v>9677</v>
      </c>
      <c r="H817" t="n">
        <v>4</v>
      </c>
      <c r="I817" t="inlineStr">
        <is>
          <t>Le Chalet, 1002 avenue de Tarentaise</t>
        </is>
      </c>
      <c r="J817" t="inlineStr">
        <is>
          <t>73212</t>
        </is>
      </c>
      <c r="K817" t="inlineStr">
        <is>
          <t>Aime-la-Plagne</t>
        </is>
      </c>
      <c r="L817" t="inlineStr">
        <is>
          <t>04 79 55 40 27</t>
        </is>
      </c>
      <c r="M817" s="4" t="inlineStr">
        <is>
          <t>contact@versantsdaime.fr</t>
        </is>
      </c>
      <c r="N817" s="4" t="inlineStr">
        <is>
          <t>http://www.versantsdaime.fr</t>
        </is>
      </c>
      <c r="O817" t="inlineStr"/>
      <c r="P817" s="4" t="inlineStr">
        <is>
          <t>https://lannuaire.service-public.gouv.fr/auvergne-rhone-alpes/savoie/08956eb9-4b9a-44be-b342-00eb5740fdb9</t>
        </is>
      </c>
      <c r="Q817" t="inlineStr">
        <is>
          <t>Annuaire Service-public.fr</t>
        </is>
      </c>
      <c r="R817" t="inlineStr"/>
      <c r="S817" t="inlineStr"/>
      <c r="T817" t="inlineStr"/>
    </row>
    <row r="818">
      <c r="A818" t="inlineStr">
        <is>
          <t>CC Maurienne Galibier</t>
        </is>
      </c>
      <c r="B818" t="inlineStr">
        <is>
          <t>Communauté de communes</t>
        </is>
      </c>
      <c r="C818" t="inlineStr">
        <is>
          <t>247300452</t>
        </is>
      </c>
      <c r="D818" t="inlineStr">
        <is>
          <t>73</t>
        </is>
      </c>
      <c r="E818" t="inlineStr">
        <is>
          <t>Savoie</t>
        </is>
      </c>
      <c r="F818" t="inlineStr">
        <is>
          <t>Auvergne-Rhône-Alpes</t>
        </is>
      </c>
      <c r="G818" s="3" t="n">
        <v>5399</v>
      </c>
      <c r="H818" t="n">
        <v>6</v>
      </c>
      <c r="I818" t="inlineStr">
        <is>
          <t>54 rue du Général-Ferrié</t>
        </is>
      </c>
      <c r="J818" t="inlineStr">
        <is>
          <t>73140</t>
        </is>
      </c>
      <c r="K818" t="inlineStr">
        <is>
          <t>Saint-Michel-de-Maurienne</t>
        </is>
      </c>
      <c r="L818" t="inlineStr">
        <is>
          <t>04 79 56 52 54</t>
        </is>
      </c>
      <c r="M818" s="4" t="inlineStr">
        <is>
          <t>info@maurienne-galibier.com</t>
        </is>
      </c>
      <c r="N818" s="4" t="inlineStr">
        <is>
          <t>https://www.maurienne-galibier.com/fr/index.aspx</t>
        </is>
      </c>
      <c r="O818" t="inlineStr"/>
      <c r="P818" s="4" t="inlineStr">
        <is>
          <t>https://lannuaire.service-public.gouv.fr/auvergne-rhone-alpes/savoie/170235ae-804f-43b7-8c45-13008c7c9a8f</t>
        </is>
      </c>
      <c r="Q818" t="inlineStr">
        <is>
          <t>Annuaire Service-public.fr</t>
        </is>
      </c>
      <c r="R818" t="inlineStr"/>
      <c r="S818" t="inlineStr"/>
      <c r="T818" t="inlineStr"/>
    </row>
    <row r="819">
      <c r="A819" t="inlineStr">
        <is>
          <t>CC Porte de Maurienne</t>
        </is>
      </c>
      <c r="B819" t="inlineStr">
        <is>
          <t>Communauté de communes</t>
        </is>
      </c>
      <c r="C819" t="inlineStr">
        <is>
          <t>247300676</t>
        </is>
      </c>
      <c r="D819" t="inlineStr">
        <is>
          <t>73</t>
        </is>
      </c>
      <c r="E819" t="inlineStr">
        <is>
          <t>Savoie</t>
        </is>
      </c>
      <c r="F819" t="inlineStr">
        <is>
          <t>Auvergne-Rhône-Alpes</t>
        </is>
      </c>
      <c r="G819" s="3" t="n">
        <v>7104</v>
      </c>
      <c r="H819" t="n">
        <v>11</v>
      </c>
      <c r="I819" t="inlineStr">
        <is>
          <t>73 Grande rue, Aiguebelle</t>
        </is>
      </c>
      <c r="J819" t="inlineStr">
        <is>
          <t>73220</t>
        </is>
      </c>
      <c r="K819" t="inlineStr">
        <is>
          <t>Val-d'Arc</t>
        </is>
      </c>
      <c r="L819" t="inlineStr">
        <is>
          <t>04 79 44 31 61</t>
        </is>
      </c>
      <c r="M819" s="4" t="inlineStr">
        <is>
          <t>communautedecommunes@portedemaurienne.eu</t>
        </is>
      </c>
      <c r="N819" s="4" t="inlineStr">
        <is>
          <t>https://www.portedemaurienne-tourisme.com/communaute-de-communes</t>
        </is>
      </c>
      <c r="O819" s="4" t="inlineStr">
        <is>
          <t>https://www.portedemaurienne-tourisme.com/contactez-nous</t>
        </is>
      </c>
      <c r="P819" s="4" t="inlineStr">
        <is>
          <t>https://lannuaire.service-public.gouv.fr/auvergne-rhone-alpes/savoie/f2bf2fe1-e3f6-45ef-977d-fd832ef2d6c9</t>
        </is>
      </c>
      <c r="Q819" t="inlineStr">
        <is>
          <t>Annuaire Service-public.fr</t>
        </is>
      </c>
      <c r="R819" t="inlineStr"/>
      <c r="S819" t="inlineStr"/>
      <c r="T819" t="inlineStr"/>
    </row>
    <row r="820">
      <c r="A820" t="inlineStr">
        <is>
          <t>CC Val Guiers</t>
        </is>
      </c>
      <c r="B820" t="inlineStr">
        <is>
          <t>Communauté de communes</t>
        </is>
      </c>
      <c r="C820" t="inlineStr">
        <is>
          <t>247300528</t>
        </is>
      </c>
      <c r="D820" t="inlineStr">
        <is>
          <t>73</t>
        </is>
      </c>
      <c r="E820" t="inlineStr">
        <is>
          <t>Savoie</t>
        </is>
      </c>
      <c r="F820" t="inlineStr">
        <is>
          <t>Auvergne-Rhône-Alpes</t>
        </is>
      </c>
      <c r="G820" s="3" t="n">
        <v>12493</v>
      </c>
      <c r="H820" t="n">
        <v>11</v>
      </c>
      <c r="I820" t="inlineStr">
        <is>
          <t>585 route de Tramonet, ZI Val-Guiers</t>
        </is>
      </c>
      <c r="J820" t="inlineStr">
        <is>
          <t>73330</t>
        </is>
      </c>
      <c r="K820" t="inlineStr">
        <is>
          <t>Belmont-Tramonet</t>
        </is>
      </c>
      <c r="L820" t="inlineStr">
        <is>
          <t>04 76 37 36 45</t>
        </is>
      </c>
      <c r="M820" s="4" t="inlineStr">
        <is>
          <t>contact@ccvalguiers.fr</t>
        </is>
      </c>
      <c r="N820" s="4" t="inlineStr">
        <is>
          <t>https://www.ccvalguiers.fr/infos/</t>
        </is>
      </c>
      <c r="O820" t="inlineStr"/>
      <c r="P820" s="4" t="inlineStr">
        <is>
          <t>https://lannuaire.service-public.gouv.fr/auvergne-rhone-alpes/savoie/479dc17a-b6aa-48ac-8619-9d444b4a16fa</t>
        </is>
      </c>
      <c r="Q820" t="inlineStr">
        <is>
          <t>Annuaire Service-public.fr</t>
        </is>
      </c>
      <c r="R820" t="inlineStr"/>
      <c r="S820" t="inlineStr"/>
      <c r="T820" t="inlineStr"/>
    </row>
    <row r="821">
      <c r="A821" t="inlineStr">
        <is>
          <t>CC Val Vanoise</t>
        </is>
      </c>
      <c r="B821" t="inlineStr">
        <is>
          <t>Communauté de communes</t>
        </is>
      </c>
      <c r="C821" t="inlineStr">
        <is>
          <t>200040798</t>
        </is>
      </c>
      <c r="D821" t="inlineStr">
        <is>
          <t>73</t>
        </is>
      </c>
      <c r="E821" t="inlineStr">
        <is>
          <t>Savoie</t>
        </is>
      </c>
      <c r="F821" t="inlineStr">
        <is>
          <t>Auvergne-Rhône-Alpes</t>
        </is>
      </c>
      <c r="G821" s="3" t="n">
        <v>9045</v>
      </c>
      <c r="H821" t="n">
        <v>9</v>
      </c>
      <c r="I821" t="inlineStr">
        <is>
          <t>47 rue Sainte-Barbe</t>
        </is>
      </c>
      <c r="J821" t="inlineStr">
        <is>
          <t>73350</t>
        </is>
      </c>
      <c r="K821" t="inlineStr">
        <is>
          <t>Bozel</t>
        </is>
      </c>
      <c r="L821" t="inlineStr">
        <is>
          <t>04 79 55 03 34</t>
        </is>
      </c>
      <c r="M821" s="4" t="inlineStr">
        <is>
          <t>info@valvanoise.fr</t>
        </is>
      </c>
      <c r="N821" s="4" t="inlineStr">
        <is>
          <t>https://www.valvanoise.fr/</t>
        </is>
      </c>
      <c r="O821" s="4" t="inlineStr">
        <is>
          <t>https://www.valvanoise.fr/525-contact.htm</t>
        </is>
      </c>
      <c r="P821" s="4" t="inlineStr">
        <is>
          <t>https://lannuaire.service-public.gouv.fr/auvergne-rhone-alpes/savoie/917d60d9-0f8f-49fc-ab97-2e4f36a9c6ef</t>
        </is>
      </c>
      <c r="Q821" t="inlineStr">
        <is>
          <t>Annuaire Service-public.fr</t>
        </is>
      </c>
      <c r="R821" t="inlineStr"/>
      <c r="S821" t="inlineStr"/>
      <c r="T821" t="inlineStr"/>
    </row>
    <row r="822">
      <c r="A822" t="inlineStr">
        <is>
          <t>CC de Haute-Tarentaise</t>
        </is>
      </c>
      <c r="B822" t="inlineStr">
        <is>
          <t>Communauté de communes</t>
        </is>
      </c>
      <c r="C822" t="inlineStr">
        <is>
          <t>247300254</t>
        </is>
      </c>
      <c r="D822" t="inlineStr">
        <is>
          <t>73</t>
        </is>
      </c>
      <c r="E822" t="inlineStr">
        <is>
          <t>Savoie</t>
        </is>
      </c>
      <c r="F822" t="inlineStr">
        <is>
          <t>Auvergne-Rhône-Alpes</t>
        </is>
      </c>
      <c r="G822" s="3" t="n">
        <v>15557</v>
      </c>
      <c r="H822" t="n">
        <v>8</v>
      </c>
      <c r="I822" t="inlineStr">
        <is>
          <t>8 rue Célestin-Freppaz</t>
        </is>
      </c>
      <c r="J822" t="inlineStr">
        <is>
          <t>73700</t>
        </is>
      </c>
      <c r="K822" t="inlineStr">
        <is>
          <t>Séez</t>
        </is>
      </c>
      <c r="L822" t="inlineStr">
        <is>
          <t>04 79 41 01 63</t>
        </is>
      </c>
      <c r="M822" s="4" t="inlineStr">
        <is>
          <t>contact@hautetarentaise.fr</t>
        </is>
      </c>
      <c r="N822" s="4" t="inlineStr">
        <is>
          <t>https://www.hautetarentaise.fr/</t>
        </is>
      </c>
      <c r="O822" t="inlineStr"/>
      <c r="P822" s="4" t="inlineStr">
        <is>
          <t>https://lannuaire.service-public.gouv.fr/auvergne-rhone-alpes/savoie/fb20012f-176d-4453-813b-d69651712755</t>
        </is>
      </c>
      <c r="Q822" t="inlineStr">
        <is>
          <t>Annuaire Service-public.fr</t>
        </is>
      </c>
      <c r="R822" t="inlineStr"/>
      <c r="S822" t="inlineStr"/>
      <c r="T822" t="inlineStr"/>
    </row>
    <row r="823">
      <c r="A823" t="inlineStr">
        <is>
          <t>CC de Yenne</t>
        </is>
      </c>
      <c r="B823" t="inlineStr">
        <is>
          <t>Communauté de communes</t>
        </is>
      </c>
      <c r="C823" t="inlineStr">
        <is>
          <t>247300262</t>
        </is>
      </c>
      <c r="D823" t="inlineStr">
        <is>
          <t>73</t>
        </is>
      </c>
      <c r="E823" t="inlineStr">
        <is>
          <t>Savoie</t>
        </is>
      </c>
      <c r="F823" t="inlineStr">
        <is>
          <t>Auvergne-Rhône-Alpes</t>
        </is>
      </c>
      <c r="G823" s="3" t="n">
        <v>7416</v>
      </c>
      <c r="H823" t="n">
        <v>13</v>
      </c>
      <c r="I823" t="inlineStr">
        <is>
          <t>133 chemin de la Curiaz</t>
        </is>
      </c>
      <c r="J823" t="inlineStr">
        <is>
          <t>73170</t>
        </is>
      </c>
      <c r="K823" t="inlineStr">
        <is>
          <t>Yenne</t>
        </is>
      </c>
      <c r="L823" t="inlineStr">
        <is>
          <t>04 79 36 90 76</t>
        </is>
      </c>
      <c r="M823" s="4" t="inlineStr">
        <is>
          <t>accueil@ccyenne.fr</t>
        </is>
      </c>
      <c r="N823" s="4" t="inlineStr">
        <is>
          <t>https://ccyenne.fr/</t>
        </is>
      </c>
      <c r="O823" t="inlineStr"/>
      <c r="P823" s="4" t="inlineStr">
        <is>
          <t>https://lannuaire.service-public.gouv.fr/auvergne-rhone-alpes/savoie/387b6efe-2150-46ed-bedd-ca9a63c9fb06</t>
        </is>
      </c>
      <c r="Q823" t="inlineStr">
        <is>
          <t>Annuaire Service-public.fr</t>
        </is>
      </c>
      <c r="R823" t="inlineStr"/>
      <c r="S823" t="inlineStr"/>
      <c r="T823" t="inlineStr"/>
    </row>
    <row r="824">
      <c r="A824" t="inlineStr">
        <is>
          <t>CC des Vallées d'Aigueblanche</t>
        </is>
      </c>
      <c r="B824" t="inlineStr">
        <is>
          <t>Communauté de communes</t>
        </is>
      </c>
      <c r="C824" t="inlineStr">
        <is>
          <t>247300015</t>
        </is>
      </c>
      <c r="D824" t="inlineStr">
        <is>
          <t>73</t>
        </is>
      </c>
      <c r="E824" t="inlineStr">
        <is>
          <t>Savoie</t>
        </is>
      </c>
      <c r="F824" t="inlineStr">
        <is>
          <t>Auvergne-Rhône-Alpes</t>
        </is>
      </c>
      <c r="G824" s="3" t="n">
        <v>7069</v>
      </c>
      <c r="H824" t="n">
        <v>3</v>
      </c>
      <c r="I824" t="inlineStr">
        <is>
          <t>40 chemin des Loisirs</t>
        </is>
      </c>
      <c r="J824" t="inlineStr">
        <is>
          <t>73260</t>
        </is>
      </c>
      <c r="K824" t="inlineStr">
        <is>
          <t>Grand-Aigueblanche</t>
        </is>
      </c>
      <c r="L824" t="inlineStr">
        <is>
          <t>04 79 24 20 04</t>
        </is>
      </c>
      <c r="M824" s="4" t="inlineStr">
        <is>
          <t>secretariat@ccva-savoie.com</t>
        </is>
      </c>
      <c r="N824" s="4" t="inlineStr">
        <is>
          <t>https://www.ccva-savoie.com/</t>
        </is>
      </c>
      <c r="O824" s="4" t="inlineStr">
        <is>
          <t>https://www.ccva-savoie.com/index.php/contact</t>
        </is>
      </c>
      <c r="P824" s="4" t="inlineStr">
        <is>
          <t>https://lannuaire.service-public.gouv.fr/auvergne-rhone-alpes/savoie/caa92373-184d-4cc9-aed1-22e8fce22e6d</t>
        </is>
      </c>
      <c r="Q824" t="inlineStr">
        <is>
          <t>Annuaire Service-public.fr</t>
        </is>
      </c>
      <c r="R824" t="inlineStr"/>
      <c r="S824" t="inlineStr"/>
      <c r="T824" t="inlineStr"/>
    </row>
    <row r="825">
      <c r="A825" t="inlineStr">
        <is>
          <t>CC du Canton de La Chambre</t>
        </is>
      </c>
      <c r="B825" t="inlineStr">
        <is>
          <t>Communauté de communes</t>
        </is>
      </c>
      <c r="C825" t="inlineStr">
        <is>
          <t>247300361</t>
        </is>
      </c>
      <c r="D825" t="inlineStr">
        <is>
          <t>73</t>
        </is>
      </c>
      <c r="E825" t="inlineStr">
        <is>
          <t>Savoie</t>
        </is>
      </c>
      <c r="F825" t="inlineStr">
        <is>
          <t>Auvergne-Rhône-Alpes</t>
        </is>
      </c>
      <c r="G825" s="3" t="n">
        <v>7389</v>
      </c>
      <c r="H825" t="n">
        <v>12</v>
      </c>
      <c r="I825" t="inlineStr">
        <is>
          <t>39 place Jean-Viard</t>
        </is>
      </c>
      <c r="J825" t="inlineStr">
        <is>
          <t>73130</t>
        </is>
      </c>
      <c r="K825" t="inlineStr">
        <is>
          <t>Saint-Étienne-de-Cuines</t>
        </is>
      </c>
      <c r="L825" t="inlineStr">
        <is>
          <t>04 79 56 26 64</t>
        </is>
      </c>
      <c r="M825" s="4" t="inlineStr">
        <is>
          <t>accueil@la4c.fr</t>
        </is>
      </c>
      <c r="N825" s="4" t="inlineStr">
        <is>
          <t>https://www.la4c.fr/</t>
        </is>
      </c>
      <c r="O825" s="4" t="inlineStr">
        <is>
          <t>https://www.la4c.fr/contact/</t>
        </is>
      </c>
      <c r="P825" s="4" t="inlineStr">
        <is>
          <t>https://lannuaire.service-public.gouv.fr/auvergne-rhone-alpes/savoie/1f16540d-6824-4da5-a138-459caf8048eb</t>
        </is>
      </c>
      <c r="Q825" t="inlineStr">
        <is>
          <t>Annuaire Service-public.fr</t>
        </is>
      </c>
      <c r="R825" t="inlineStr"/>
      <c r="S825" t="inlineStr"/>
      <c r="T825" t="inlineStr"/>
    </row>
    <row r="826">
      <c r="A826" t="inlineStr">
        <is>
          <t>CC du Lac d'Aiguebelette (CCLA)</t>
        </is>
      </c>
      <c r="B826" t="inlineStr">
        <is>
          <t>Communauté de communes</t>
        </is>
      </c>
      <c r="C826" t="inlineStr">
        <is>
          <t>247300668</t>
        </is>
      </c>
      <c r="D826" t="inlineStr">
        <is>
          <t>73</t>
        </is>
      </c>
      <c r="E826" t="inlineStr">
        <is>
          <t>Savoie</t>
        </is>
      </c>
      <c r="F826" t="inlineStr">
        <is>
          <t>Auvergne-Rhône-Alpes</t>
        </is>
      </c>
      <c r="G826" s="3" t="n">
        <v>6312</v>
      </c>
      <c r="H826" t="n">
        <v>10</v>
      </c>
      <c r="I826" t="inlineStr">
        <is>
          <t>572 route d'Aiguebelette, Maison du Lac</t>
        </is>
      </c>
      <c r="J826" t="inlineStr">
        <is>
          <t>73470</t>
        </is>
      </c>
      <c r="K826" t="inlineStr">
        <is>
          <t>Nances</t>
        </is>
      </c>
      <c r="L826" t="inlineStr">
        <is>
          <t>04 79 28 78 64</t>
        </is>
      </c>
      <c r="M826" s="4" t="inlineStr">
        <is>
          <t>ccla@ccla.fr</t>
        </is>
      </c>
      <c r="N826" s="4" t="inlineStr">
        <is>
          <t>https://ccla.fr/</t>
        </is>
      </c>
      <c r="O826" s="4" t="inlineStr">
        <is>
          <t>https://ccla.fr/contact/</t>
        </is>
      </c>
      <c r="P826" s="4" t="inlineStr">
        <is>
          <t>https://lannuaire.service-public.gouv.fr/auvergne-rhone-alpes/savoie/ba0e44d4-e98a-4ad5-a44e-6c1789d65c10</t>
        </is>
      </c>
      <c r="Q826" t="inlineStr">
        <is>
          <t>Annuaire Service-public.fr</t>
        </is>
      </c>
      <c r="R826" t="inlineStr"/>
      <c r="S826" t="inlineStr"/>
      <c r="T826" t="inlineStr"/>
    </row>
    <row r="827">
      <c r="A827" t="inlineStr">
        <is>
          <t>CC Arve et Salève</t>
        </is>
      </c>
      <c r="B827" t="inlineStr">
        <is>
          <t>Communauté de communes</t>
        </is>
      </c>
      <c r="C827" t="inlineStr">
        <is>
          <t>247400583</t>
        </is>
      </c>
      <c r="D827" t="inlineStr">
        <is>
          <t>74</t>
        </is>
      </c>
      <c r="E827" t="inlineStr">
        <is>
          <t>Haute-Savoie</t>
        </is>
      </c>
      <c r="F827" t="inlineStr">
        <is>
          <t>Auvergne-Rhône-Alpes</t>
        </is>
      </c>
      <c r="G827" s="3" t="n">
        <v>20437</v>
      </c>
      <c r="H827" t="n">
        <v>8</v>
      </c>
      <c r="I827" t="inlineStr">
        <is>
          <t>160 Grande-Rue, Maison Cécile-Bocquet</t>
        </is>
      </c>
      <c r="J827" t="inlineStr">
        <is>
          <t>74930</t>
        </is>
      </c>
      <c r="K827" t="inlineStr">
        <is>
          <t>Reignier-Ésery</t>
        </is>
      </c>
      <c r="L827" t="inlineStr">
        <is>
          <t>04 50 43 46 14</t>
        </is>
      </c>
      <c r="M827" s="4" t="inlineStr">
        <is>
          <t>contact@arve-saleve.fr</t>
        </is>
      </c>
      <c r="N827" s="4" t="inlineStr">
        <is>
          <t>https://www.arve-saleve.fr/</t>
        </is>
      </c>
      <c r="O827" s="4" t="inlineStr">
        <is>
          <t>https://www.arve-saleve.fr/contact/</t>
        </is>
      </c>
      <c r="P827" s="4" t="inlineStr">
        <is>
          <t>https://lannuaire.service-public.gouv.fr/auvergne-rhone-alpes/haute-savoie/313b0707-1ef5-4b33-b9f1-d01db6427577</t>
        </is>
      </c>
      <c r="Q827" t="inlineStr">
        <is>
          <t>Annuaire Service-public.fr</t>
        </is>
      </c>
      <c r="R827" t="inlineStr"/>
      <c r="S827" t="inlineStr"/>
      <c r="T827" t="inlineStr"/>
    </row>
    <row r="828">
      <c r="A828" t="inlineStr">
        <is>
          <t>CC Cluses-Arve et Montagnes</t>
        </is>
      </c>
      <c r="B828" t="inlineStr">
        <is>
          <t>Communauté de communes</t>
        </is>
      </c>
      <c r="C828" t="inlineStr">
        <is>
          <t>200033116</t>
        </is>
      </c>
      <c r="D828" t="inlineStr">
        <is>
          <t>74</t>
        </is>
      </c>
      <c r="E828" t="inlineStr">
        <is>
          <t>Haute-Savoie</t>
        </is>
      </c>
      <c r="F828" t="inlineStr">
        <is>
          <t>Auvergne-Rhône-Alpes</t>
        </is>
      </c>
      <c r="G828" s="3" t="n">
        <v>47034</v>
      </c>
      <c r="H828" t="n">
        <v>10</v>
      </c>
      <c r="I828" t="inlineStr">
        <is>
          <t>3 rue du Pré-Bénévix, Immeuble Le Cristal</t>
        </is>
      </c>
      <c r="J828" t="inlineStr">
        <is>
          <t>74300</t>
        </is>
      </c>
      <c r="K828" t="inlineStr">
        <is>
          <t>Cluses</t>
        </is>
      </c>
      <c r="L828" t="inlineStr">
        <is>
          <t>04 57 54 22 00</t>
        </is>
      </c>
      <c r="M828" s="4" t="inlineStr">
        <is>
          <t>contact@2ccam.fr</t>
        </is>
      </c>
      <c r="N828" s="4" t="inlineStr">
        <is>
          <t>https://www.2ccam.fr/fr/</t>
        </is>
      </c>
      <c r="O828" s="4" t="inlineStr">
        <is>
          <t>https://www.2ccam.fr/fr/</t>
        </is>
      </c>
      <c r="P828" s="4" t="inlineStr">
        <is>
          <t>https://lannuaire.service-public.gouv.fr/auvergne-rhone-alpes/haute-savoie/9e23b7f7-55d2-4251-9da1-fc5329df94b4</t>
        </is>
      </c>
      <c r="Q828" t="inlineStr">
        <is>
          <t>Annuaire Service-public.fr</t>
        </is>
      </c>
      <c r="R828" t="inlineStr"/>
      <c r="S828" t="inlineStr"/>
      <c r="T828" t="inlineStr"/>
    </row>
    <row r="829">
      <c r="A829" t="inlineStr">
        <is>
          <t>CC Faucigny - Glières</t>
        </is>
      </c>
      <c r="B829" t="inlineStr">
        <is>
          <t>Communauté de communes</t>
        </is>
      </c>
      <c r="C829" t="inlineStr">
        <is>
          <t>200000172</t>
        </is>
      </c>
      <c r="D829" t="inlineStr">
        <is>
          <t>74</t>
        </is>
      </c>
      <c r="E829" t="inlineStr">
        <is>
          <t>Haute-Savoie</t>
        </is>
      </c>
      <c r="F829" t="inlineStr">
        <is>
          <t>Auvergne-Rhône-Alpes</t>
        </is>
      </c>
      <c r="G829" s="3" t="n">
        <v>28363</v>
      </c>
      <c r="H829" t="n">
        <v>7</v>
      </c>
      <c r="I829" t="inlineStr">
        <is>
          <t>6 place de l'Hôtel-de-Ville</t>
        </is>
      </c>
      <c r="J829" t="inlineStr">
        <is>
          <t>74130</t>
        </is>
      </c>
      <c r="K829" t="inlineStr">
        <is>
          <t>Bonneville</t>
        </is>
      </c>
      <c r="L829" t="inlineStr">
        <is>
          <t>04 50 97 51 58</t>
        </is>
      </c>
      <c r="M829" s="4" t="inlineStr">
        <is>
          <t>courrier@ccfg.fr</t>
        </is>
      </c>
      <c r="N829" s="4" t="inlineStr">
        <is>
          <t>https://www.ccfg.fr/</t>
        </is>
      </c>
      <c r="O829" s="4" t="inlineStr">
        <is>
          <t>https://www.ccfg.fr/8905-contact.htm</t>
        </is>
      </c>
      <c r="P829" s="4" t="inlineStr">
        <is>
          <t>https://lannuaire.service-public.gouv.fr/auvergne-rhone-alpes/haute-savoie/99b3f049-6de8-47d6-86f3-d19e9fcea0b0</t>
        </is>
      </c>
      <c r="Q829" t="inlineStr">
        <is>
          <t>Annuaire Service-public.fr</t>
        </is>
      </c>
      <c r="R829" t="inlineStr"/>
      <c r="S829" t="inlineStr"/>
      <c r="T829" t="inlineStr"/>
    </row>
    <row r="830">
      <c r="A830" t="inlineStr">
        <is>
          <t>CC Fier et Usses</t>
        </is>
      </c>
      <c r="B830" t="inlineStr">
        <is>
          <t>Communauté de communes</t>
        </is>
      </c>
      <c r="C830" t="inlineStr">
        <is>
          <t>247400567</t>
        </is>
      </c>
      <c r="D830" t="inlineStr">
        <is>
          <t>74</t>
        </is>
      </c>
      <c r="E830" t="inlineStr">
        <is>
          <t>Haute-Savoie</t>
        </is>
      </c>
      <c r="F830" t="inlineStr">
        <is>
          <t>Auvergne-Rhône-Alpes</t>
        </is>
      </c>
      <c r="G830" s="3" t="n">
        <v>16252</v>
      </c>
      <c r="H830" t="n">
        <v>7</v>
      </c>
      <c r="I830" t="inlineStr">
        <is>
          <t>171 place Claudius-Luiset</t>
        </is>
      </c>
      <c r="J830" t="inlineStr">
        <is>
          <t>74330</t>
        </is>
      </c>
      <c r="K830" t="inlineStr">
        <is>
          <t>Sillingy</t>
        </is>
      </c>
      <c r="L830" t="inlineStr">
        <is>
          <t>04 50 77 70 74</t>
        </is>
      </c>
      <c r="M830" s="4" t="inlineStr">
        <is>
          <t>accueil@ccfu.fr</t>
        </is>
      </c>
      <c r="N830" s="4" t="inlineStr">
        <is>
          <t>https://www.fier-et-usses.com/</t>
        </is>
      </c>
      <c r="O830" s="4" t="inlineStr">
        <is>
          <t>https://www.fier-et-usses.com/2071-contact.htm</t>
        </is>
      </c>
      <c r="P830" s="4" t="inlineStr">
        <is>
          <t>https://lannuaire.service-public.gouv.fr/auvergne-rhone-alpes/haute-savoie/e2769939-8de7-407d-acff-78e93b899249</t>
        </is>
      </c>
      <c r="Q830" t="inlineStr">
        <is>
          <t>Annuaire Service-public.fr</t>
        </is>
      </c>
      <c r="R830" t="inlineStr"/>
      <c r="S830" t="inlineStr"/>
      <c r="T830" t="inlineStr"/>
    </row>
    <row r="831">
      <c r="A831" t="inlineStr">
        <is>
          <t>CC Pays d'Evian Vallée d'Abondance</t>
        </is>
      </c>
      <c r="B831" t="inlineStr">
        <is>
          <t>Communauté de communes</t>
        </is>
      </c>
      <c r="C831" t="inlineStr">
        <is>
          <t>200071967</t>
        </is>
      </c>
      <c r="D831" t="inlineStr">
        <is>
          <t>74</t>
        </is>
      </c>
      <c r="E831" t="inlineStr">
        <is>
          <t>Haute-Savoie</t>
        </is>
      </c>
      <c r="F831" t="inlineStr">
        <is>
          <t>Auvergne-Rhône-Alpes</t>
        </is>
      </c>
      <c r="G831" s="3" t="n">
        <v>42979</v>
      </c>
      <c r="H831" t="n">
        <v>22</v>
      </c>
      <c r="I831" t="inlineStr">
        <is>
          <t>851 avenue des Rives-du-Léman, CS 10084</t>
        </is>
      </c>
      <c r="J831" t="inlineStr">
        <is>
          <t>74500</t>
        </is>
      </c>
      <c r="K831" t="inlineStr">
        <is>
          <t>Publier</t>
        </is>
      </c>
      <c r="L831" t="inlineStr">
        <is>
          <t>04 50 74 57 85</t>
        </is>
      </c>
      <c r="M831" s="4" t="inlineStr">
        <is>
          <t>accueil@cc-peva.fr</t>
        </is>
      </c>
      <c r="N831" s="4" t="inlineStr">
        <is>
          <t>https://www.cc-peva.fr/index.php</t>
        </is>
      </c>
      <c r="O831" s="4" t="inlineStr">
        <is>
          <t>https://www.cc-peva.fr/203-contact.htm</t>
        </is>
      </c>
      <c r="P831" s="4" t="inlineStr">
        <is>
          <t>https://lannuaire.service-public.gouv.fr/auvergne-rhone-alpes/haute-savoie/9812d62a-d061-461a-ab8d-9ef608e6d81f</t>
        </is>
      </c>
      <c r="Q831" t="inlineStr">
        <is>
          <t>Annuaire Service-public.fr</t>
        </is>
      </c>
      <c r="R831" t="inlineStr"/>
      <c r="S831" t="inlineStr"/>
      <c r="T831" t="inlineStr"/>
    </row>
    <row r="832">
      <c r="A832" t="inlineStr">
        <is>
          <t>CC Pays du Mont-Blanc</t>
        </is>
      </c>
      <c r="B832" t="inlineStr">
        <is>
          <t>Communauté de communes</t>
        </is>
      </c>
      <c r="C832" t="inlineStr">
        <is>
          <t>200034882</t>
        </is>
      </c>
      <c r="D832" t="inlineStr">
        <is>
          <t>74</t>
        </is>
      </c>
      <c r="E832" t="inlineStr">
        <is>
          <t>Haute-Savoie</t>
        </is>
      </c>
      <c r="F832" t="inlineStr">
        <is>
          <t>Auvergne-Rhône-Alpes</t>
        </is>
      </c>
      <c r="G832" s="3" t="n">
        <v>44954</v>
      </c>
      <c r="H832" t="n">
        <v>10</v>
      </c>
      <c r="I832" t="inlineStr">
        <is>
          <t>648 chemin des Prés-Caton, PAE d'activité du Mont-Blanc</t>
        </is>
      </c>
      <c r="J832" t="inlineStr">
        <is>
          <t>74190</t>
        </is>
      </c>
      <c r="K832" t="inlineStr">
        <is>
          <t>Passy</t>
        </is>
      </c>
      <c r="L832" t="inlineStr">
        <is>
          <t>04 50 78 12 10</t>
        </is>
      </c>
      <c r="M832" s="4" t="inlineStr">
        <is>
          <t>accueil@ccpmb.fr</t>
        </is>
      </c>
      <c r="N832" s="4" t="inlineStr">
        <is>
          <t>https://www.ccpmb.fr/</t>
        </is>
      </c>
      <c r="O832" t="inlineStr"/>
      <c r="P832" s="4" t="inlineStr">
        <is>
          <t>https://lannuaire.service-public.gouv.fr/auvergne-rhone-alpes/haute-savoie/08269d23-c589-49a2-9b8e-f78964c3a8c2</t>
        </is>
      </c>
      <c r="Q832" t="inlineStr">
        <is>
          <t>Annuaire Service-public.fr</t>
        </is>
      </c>
      <c r="R832" t="inlineStr"/>
      <c r="S832" t="inlineStr"/>
      <c r="T832" t="inlineStr"/>
    </row>
    <row r="833">
      <c r="A833" t="inlineStr">
        <is>
          <t>CC Rumilly Terre de Savoie</t>
        </is>
      </c>
      <c r="B833" t="inlineStr">
        <is>
          <t>Communauté de communes</t>
        </is>
      </c>
      <c r="C833" t="inlineStr">
        <is>
          <t>247400740</t>
        </is>
      </c>
      <c r="D833" t="inlineStr">
        <is>
          <t>74</t>
        </is>
      </c>
      <c r="E833" t="inlineStr">
        <is>
          <t>Haute-Savoie</t>
        </is>
      </c>
      <c r="F833" t="inlineStr">
        <is>
          <t>Auvergne-Rhône-Alpes</t>
        </is>
      </c>
      <c r="G833" s="3" t="n">
        <v>33198</v>
      </c>
      <c r="H833" t="n">
        <v>17</v>
      </c>
      <c r="I833" t="inlineStr">
        <is>
          <t>3 place de la Manufacture</t>
        </is>
      </c>
      <c r="J833" t="inlineStr">
        <is>
          <t>74152</t>
        </is>
      </c>
      <c r="K833" t="inlineStr">
        <is>
          <t>Rumilly</t>
        </is>
      </c>
      <c r="L833" t="inlineStr">
        <is>
          <t>04 50 01 87 00</t>
        </is>
      </c>
      <c r="M833" s="4" t="inlineStr">
        <is>
          <t>contact@rumilly-terredesavoie.fr</t>
        </is>
      </c>
      <c r="N833" s="4" t="inlineStr">
        <is>
          <t>http://www.rumilly-terredesavoie.fr</t>
        </is>
      </c>
      <c r="O833" t="inlineStr"/>
      <c r="P833" s="4" t="inlineStr">
        <is>
          <t>https://lannuaire.service-public.gouv.fr/auvergne-rhone-alpes/haute-savoie/5ba54675-ce30-41a4-b46f-e158ed12a414</t>
        </is>
      </c>
      <c r="Q833" t="inlineStr">
        <is>
          <t>Annuaire Service-public.fr</t>
        </is>
      </c>
      <c r="R833" t="inlineStr"/>
      <c r="S833" t="inlineStr"/>
      <c r="T833" t="inlineStr"/>
    </row>
    <row r="834">
      <c r="A834" t="inlineStr">
        <is>
          <t>CC de la Vallée Verte</t>
        </is>
      </c>
      <c r="B834" t="inlineStr">
        <is>
          <t>Communauté de communes</t>
        </is>
      </c>
      <c r="C834" t="inlineStr">
        <is>
          <t>247400047</t>
        </is>
      </c>
      <c r="D834" t="inlineStr">
        <is>
          <t>74</t>
        </is>
      </c>
      <c r="E834" t="inlineStr">
        <is>
          <t>Haute-Savoie</t>
        </is>
      </c>
      <c r="F834" t="inlineStr">
        <is>
          <t>Auvergne-Rhône-Alpes</t>
        </is>
      </c>
      <c r="G834" s="3" t="n">
        <v>8424</v>
      </c>
      <c r="H834" t="n">
        <v>8</v>
      </c>
      <c r="I834" t="inlineStr">
        <is>
          <t>131 rue de la Vallée-Verte, BP 21</t>
        </is>
      </c>
      <c r="J834" t="inlineStr">
        <is>
          <t>74420</t>
        </is>
      </c>
      <c r="K834" t="inlineStr">
        <is>
          <t>Boëge</t>
        </is>
      </c>
      <c r="L834" t="inlineStr">
        <is>
          <t>04 50 39 09 20</t>
        </is>
      </c>
      <c r="M834" s="4" t="inlineStr">
        <is>
          <t>contact@cc-valleeverte.fr</t>
        </is>
      </c>
      <c r="N834" s="4" t="inlineStr">
        <is>
          <t>https://cc-valleeverte.fr/</t>
        </is>
      </c>
      <c r="O834" t="inlineStr"/>
      <c r="P834" s="4" t="inlineStr">
        <is>
          <t>https://lannuaire.service-public.gouv.fr/auvergne-rhone-alpes/haute-savoie/c8abca94-58ab-4450-980d-5f92d4bd9bb2</t>
        </is>
      </c>
      <c r="Q834" t="inlineStr">
        <is>
          <t>Annuaire Service-public.fr</t>
        </is>
      </c>
      <c r="R834" t="inlineStr"/>
      <c r="S834" t="inlineStr"/>
      <c r="T834" t="inlineStr"/>
    </row>
    <row r="835">
      <c r="A835" t="inlineStr">
        <is>
          <t>CC de la Vallée de Chamonix-Mont-Blanc</t>
        </is>
      </c>
      <c r="B835" t="inlineStr">
        <is>
          <t>Communauté de communes</t>
        </is>
      </c>
      <c r="C835" t="inlineStr">
        <is>
          <t>200023372</t>
        </is>
      </c>
      <c r="D835" t="inlineStr">
        <is>
          <t>74</t>
        </is>
      </c>
      <c r="E835" t="inlineStr">
        <is>
          <t>Haute-Savoie</t>
        </is>
      </c>
      <c r="F835" t="inlineStr">
        <is>
          <t>Auvergne-Rhône-Alpes</t>
        </is>
      </c>
      <c r="G835" s="3" t="n">
        <v>13759</v>
      </c>
      <c r="H835" t="n">
        <v>4</v>
      </c>
      <c r="I835" t="inlineStr">
        <is>
          <t>38 place de l'Hôtel-de-Ville</t>
        </is>
      </c>
      <c r="J835" t="inlineStr">
        <is>
          <t>74400</t>
        </is>
      </c>
      <c r="K835" t="inlineStr">
        <is>
          <t>Chamonix</t>
        </is>
      </c>
      <c r="L835" t="inlineStr">
        <is>
          <t>04 50 54 39 76</t>
        </is>
      </c>
      <c r="M835" s="4" t="inlineStr">
        <is>
          <t>contact@ccvcmb.fr</t>
        </is>
      </c>
      <c r="N835" s="4" t="inlineStr">
        <is>
          <t>https://www.cc-valleedechamonixmontblanc.fr/</t>
        </is>
      </c>
      <c r="O835" t="inlineStr"/>
      <c r="P835" s="4" t="inlineStr">
        <is>
          <t>https://lannuaire.service-public.gouv.fr/auvergne-rhone-alpes/haute-savoie/8aa487dc-f1e2-4b15-aaa9-fb9ef8596367</t>
        </is>
      </c>
      <c r="Q835" t="inlineStr">
        <is>
          <t>Annuaire Service-public.fr</t>
        </is>
      </c>
      <c r="R835" t="inlineStr"/>
      <c r="S835" t="inlineStr"/>
      <c r="T835" t="inlineStr"/>
    </row>
    <row r="836">
      <c r="A836" t="inlineStr">
        <is>
          <t>CC des Montagnes du Giffre</t>
        </is>
      </c>
      <c r="B836" t="inlineStr">
        <is>
          <t>Communauté de communes</t>
        </is>
      </c>
      <c r="C836" t="inlineStr">
        <is>
          <t>200034098</t>
        </is>
      </c>
      <c r="D836" t="inlineStr">
        <is>
          <t>74</t>
        </is>
      </c>
      <c r="E836" t="inlineStr">
        <is>
          <t>Haute-Savoie</t>
        </is>
      </c>
      <c r="F836" t="inlineStr">
        <is>
          <t>Auvergne-Rhône-Alpes</t>
        </is>
      </c>
      <c r="G836" s="3" t="n">
        <v>12136</v>
      </c>
      <c r="H836" t="n">
        <v>8</v>
      </c>
      <c r="I836" t="inlineStr">
        <is>
          <t>508 avenue des Thézières</t>
        </is>
      </c>
      <c r="J836" t="inlineStr">
        <is>
          <t>74440</t>
        </is>
      </c>
      <c r="K836" t="inlineStr">
        <is>
          <t>Taninges</t>
        </is>
      </c>
      <c r="L836" t="inlineStr">
        <is>
          <t>04 50 47 62 00</t>
        </is>
      </c>
      <c r="M836" s="4" t="inlineStr">
        <is>
          <t>accueil@montagnesdugiffre.fr</t>
        </is>
      </c>
      <c r="N836" s="4" t="inlineStr">
        <is>
          <t>https://www.montagnesdugiffre.fr/</t>
        </is>
      </c>
      <c r="O836" s="4" t="inlineStr">
        <is>
          <t>https://www.montagnesdugiffre.fr/contact/</t>
        </is>
      </c>
      <c r="P836" s="4" t="inlineStr">
        <is>
          <t>https://lannuaire.service-public.gouv.fr/auvergne-rhone-alpes/haute-savoie/94a7a8ba-eaac-4c41-b35a-86bc16324bf4</t>
        </is>
      </c>
      <c r="Q836" t="inlineStr">
        <is>
          <t>Annuaire Service-public.fr</t>
        </is>
      </c>
      <c r="R836" t="inlineStr"/>
      <c r="S836" t="inlineStr"/>
      <c r="T836" t="inlineStr"/>
    </row>
    <row r="837">
      <c r="A837" t="inlineStr">
        <is>
          <t>CC des Quatre Rivières</t>
        </is>
      </c>
      <c r="B837" t="inlineStr">
        <is>
          <t>Communauté de communes</t>
        </is>
      </c>
      <c r="C837" t="inlineStr">
        <is>
          <t>247400666</t>
        </is>
      </c>
      <c r="D837" t="inlineStr">
        <is>
          <t>74</t>
        </is>
      </c>
      <c r="E837" t="inlineStr">
        <is>
          <t>Haute-Savoie</t>
        </is>
      </c>
      <c r="F837" t="inlineStr">
        <is>
          <t>Auvergne-Rhône-Alpes</t>
        </is>
      </c>
      <c r="G837" s="3" t="n">
        <v>20046</v>
      </c>
      <c r="H837" t="n">
        <v>11</v>
      </c>
      <c r="I837" t="inlineStr">
        <is>
          <t>28 chemin de la Ferme-Saillet</t>
        </is>
      </c>
      <c r="J837" t="inlineStr">
        <is>
          <t>74250</t>
        </is>
      </c>
      <c r="K837" t="inlineStr">
        <is>
          <t>Filllinges</t>
        </is>
      </c>
      <c r="L837" t="inlineStr">
        <is>
          <t>04 50 31 46 95</t>
        </is>
      </c>
      <c r="M837" s="4" t="inlineStr">
        <is>
          <t>secretariat@cc4r.fr</t>
        </is>
      </c>
      <c r="N837" s="4" t="inlineStr">
        <is>
          <t>http://www.cc4r.fr</t>
        </is>
      </c>
      <c r="O837" s="4" t="inlineStr">
        <is>
          <t>http://www.cc4r.fr/contact-2.html</t>
        </is>
      </c>
      <c r="P837" s="4" t="inlineStr">
        <is>
          <t>https://lannuaire.service-public.gouv.fr/auvergne-rhone-alpes/haute-savoie/71c4baf1-149e-46d9-9c19-7cd0654a446f</t>
        </is>
      </c>
      <c r="Q837" t="inlineStr">
        <is>
          <t>Annuaire Service-public.fr</t>
        </is>
      </c>
      <c r="R837" t="inlineStr"/>
      <c r="S837" t="inlineStr"/>
      <c r="T837" t="inlineStr"/>
    </row>
    <row r="838">
      <c r="A838" t="inlineStr">
        <is>
          <t>CC des Sources du Lac d'Annecy</t>
        </is>
      </c>
      <c r="B838" t="inlineStr">
        <is>
          <t>Communauté de communes</t>
        </is>
      </c>
      <c r="C838" t="inlineStr">
        <is>
          <t>247400773</t>
        </is>
      </c>
      <c r="D838" t="inlineStr">
        <is>
          <t>74</t>
        </is>
      </c>
      <c r="E838" t="inlineStr">
        <is>
          <t>Haute-Savoie</t>
        </is>
      </c>
      <c r="F838" t="inlineStr">
        <is>
          <t>Auvergne-Rhône-Alpes</t>
        </is>
      </c>
      <c r="G838" s="3" t="n">
        <v>15338</v>
      </c>
      <c r="H838" t="n">
        <v>7</v>
      </c>
      <c r="I838" t="inlineStr">
        <is>
          <t>32 route d'Albertville</t>
        </is>
      </c>
      <c r="J838" t="inlineStr">
        <is>
          <t>74210</t>
        </is>
      </c>
      <c r="K838" t="inlineStr">
        <is>
          <t>Faverges-Seythenex</t>
        </is>
      </c>
      <c r="L838" t="inlineStr">
        <is>
          <t>04 50 44 51 05</t>
        </is>
      </c>
      <c r="M838" s="4" t="inlineStr">
        <is>
          <t>comcom@cc-sources-lac-annecy.com</t>
        </is>
      </c>
      <c r="N838" s="4" t="inlineStr">
        <is>
          <t>https://www.cc-sources-lac-annecy.com/</t>
        </is>
      </c>
      <c r="O838" t="inlineStr"/>
      <c r="P838" s="4" t="inlineStr">
        <is>
          <t>https://lannuaire.service-public.gouv.fr/auvergne-rhone-alpes/haute-savoie/e7f9fd77-ba8b-4fbc-8c29-de2ed137d749</t>
        </is>
      </c>
      <c r="Q838" t="inlineStr">
        <is>
          <t>Annuaire Service-public.fr</t>
        </is>
      </c>
      <c r="R838" t="inlineStr"/>
      <c r="S838" t="inlineStr"/>
      <c r="T838" t="inlineStr"/>
    </row>
    <row r="839">
      <c r="A839" t="inlineStr">
        <is>
          <t>CC des Vallées de Thônes</t>
        </is>
      </c>
      <c r="B839" t="inlineStr">
        <is>
          <t>Communauté de communes</t>
        </is>
      </c>
      <c r="C839" t="inlineStr">
        <is>
          <t>247400617</t>
        </is>
      </c>
      <c r="D839" t="inlineStr">
        <is>
          <t>74</t>
        </is>
      </c>
      <c r="E839" t="inlineStr">
        <is>
          <t>Haute-Savoie</t>
        </is>
      </c>
      <c r="F839" t="inlineStr">
        <is>
          <t>Auvergne-Rhône-Alpes</t>
        </is>
      </c>
      <c r="G839" s="3" t="n">
        <v>18737</v>
      </c>
      <c r="H839" t="n">
        <v>12</v>
      </c>
      <c r="I839" t="inlineStr">
        <is>
          <t>14 rue Bienheureux-Pierre-Favre</t>
        </is>
      </c>
      <c r="J839" t="inlineStr">
        <is>
          <t>74230</t>
        </is>
      </c>
      <c r="K839" t="inlineStr">
        <is>
          <t>Thônes</t>
        </is>
      </c>
      <c r="L839" t="inlineStr">
        <is>
          <t>04 50 32 13 59</t>
        </is>
      </c>
      <c r="M839" s="4" t="inlineStr">
        <is>
          <t>accueil@ccvt.fr</t>
        </is>
      </c>
      <c r="N839" s="4" t="inlineStr">
        <is>
          <t>https://ccdesvalleesdethones.fr/page/accueil</t>
        </is>
      </c>
      <c r="O839" s="4" t="inlineStr">
        <is>
          <t>https://www.facebook.com/ccdesvalleesdethones</t>
        </is>
      </c>
      <c r="P839" s="4" t="inlineStr">
        <is>
          <t>https://lannuaire.service-public.gouv.fr/auvergne-rhone-alpes/haute-savoie/a01cc354-e788-4cc8-a43e-e67134e4f45f</t>
        </is>
      </c>
      <c r="Q839" t="inlineStr">
        <is>
          <t>Annuaire Service-public.fr</t>
        </is>
      </c>
      <c r="R839" t="inlineStr"/>
      <c r="S839" t="inlineStr"/>
      <c r="T839" t="inlineStr"/>
    </row>
    <row r="840">
      <c r="A840" t="inlineStr">
        <is>
          <t>CC du Genevois</t>
        </is>
      </c>
      <c r="B840" t="inlineStr">
        <is>
          <t>Communauté de communes</t>
        </is>
      </c>
      <c r="C840" t="inlineStr">
        <is>
          <t>247400690</t>
        </is>
      </c>
      <c r="D840" t="inlineStr">
        <is>
          <t>74</t>
        </is>
      </c>
      <c r="E840" t="inlineStr">
        <is>
          <t>Haute-Savoie</t>
        </is>
      </c>
      <c r="F840" t="inlineStr">
        <is>
          <t>Auvergne-Rhône-Alpes</t>
        </is>
      </c>
      <c r="G840" s="3" t="n">
        <v>49025</v>
      </c>
      <c r="H840" t="n">
        <v>17</v>
      </c>
      <c r="I840" t="inlineStr">
        <is>
          <t>38 rue Georges-de-Mestral, Archamps-Technopole</t>
        </is>
      </c>
      <c r="J840" t="inlineStr">
        <is>
          <t>74166</t>
        </is>
      </c>
      <c r="K840" t="inlineStr">
        <is>
          <t>Saint-Julien-en-Genevois Cedex</t>
        </is>
      </c>
      <c r="L840" t="inlineStr">
        <is>
          <t>04 50 95 92 60</t>
        </is>
      </c>
      <c r="M840" s="4" t="inlineStr">
        <is>
          <t>info@cc-genevois.fr</t>
        </is>
      </c>
      <c r="N840" s="4" t="inlineStr">
        <is>
          <t>https://www.cc-genevois.fr/</t>
        </is>
      </c>
      <c r="O840" s="4" t="inlineStr">
        <is>
          <t>https://www.cc-genevois.fr/fr/nous-contacter</t>
        </is>
      </c>
      <c r="P840" s="4" t="inlineStr">
        <is>
          <t>https://lannuaire.service-public.gouv.fr/auvergne-rhone-alpes/haute-savoie/96715d34-c0ab-4ada-af3f-9079e62e7de5</t>
        </is>
      </c>
      <c r="Q840" t="inlineStr">
        <is>
          <t>Annuaire Service-public.fr</t>
        </is>
      </c>
      <c r="R840" t="inlineStr"/>
      <c r="S840" t="inlineStr"/>
      <c r="T840" t="inlineStr"/>
    </row>
    <row r="841">
      <c r="A841" t="inlineStr">
        <is>
          <t>CC du Haut Chablais</t>
        </is>
      </c>
      <c r="B841" t="inlineStr">
        <is>
          <t>Communauté de communes</t>
        </is>
      </c>
      <c r="C841" t="inlineStr">
        <is>
          <t>247400682</t>
        </is>
      </c>
      <c r="D841" t="inlineStr">
        <is>
          <t>74</t>
        </is>
      </c>
      <c r="E841" t="inlineStr">
        <is>
          <t>Haute-Savoie</t>
        </is>
      </c>
      <c r="F841" t="inlineStr">
        <is>
          <t>Auvergne-Rhône-Alpes</t>
        </is>
      </c>
      <c r="G841" s="3" t="n">
        <v>12864</v>
      </c>
      <c r="H841" t="n">
        <v>15</v>
      </c>
      <c r="I841" t="inlineStr">
        <is>
          <t>18 route de l'Église, Communauté de communes du Haut-Chablais</t>
        </is>
      </c>
      <c r="J841" t="inlineStr">
        <is>
          <t>74430</t>
        </is>
      </c>
      <c r="K841" t="inlineStr">
        <is>
          <t>Le Biot</t>
        </is>
      </c>
      <c r="L841" t="inlineStr">
        <is>
          <t>04 50 72 14 54</t>
        </is>
      </c>
      <c r="M841" s="4" t="inlineStr">
        <is>
          <t>info@hautchablais.fr</t>
        </is>
      </c>
      <c r="N841" s="4" t="inlineStr">
        <is>
          <t>https://www.hautchablais.fr</t>
        </is>
      </c>
      <c r="O841" s="4" t="inlineStr">
        <is>
          <t>https://www.hautchablais.fr/contact</t>
        </is>
      </c>
      <c r="P841" s="4" t="inlineStr">
        <is>
          <t>https://lannuaire.service-public.gouv.fr/auvergne-rhone-alpes/haute-savoie/99cdc1cd-0b37-448c-a2a5-5d945403f219</t>
        </is>
      </c>
      <c r="Q841" t="inlineStr">
        <is>
          <t>Annuaire Service-public.fr</t>
        </is>
      </c>
      <c r="R841" t="inlineStr"/>
      <c r="S841" t="inlineStr"/>
      <c r="T841" t="inlineStr"/>
    </row>
    <row r="842">
      <c r="A842" t="inlineStr">
        <is>
          <t>CC du Pays Rochois</t>
        </is>
      </c>
      <c r="B842" t="inlineStr">
        <is>
          <t>Communauté de communes</t>
        </is>
      </c>
      <c r="C842" t="inlineStr">
        <is>
          <t>247400724</t>
        </is>
      </c>
      <c r="D842" t="inlineStr">
        <is>
          <t>74</t>
        </is>
      </c>
      <c r="E842" t="inlineStr">
        <is>
          <t>Haute-Savoie</t>
        </is>
      </c>
      <c r="F842" t="inlineStr">
        <is>
          <t>Auvergne-Rhône-Alpes</t>
        </is>
      </c>
      <c r="G842" s="3" t="n">
        <v>29529</v>
      </c>
      <c r="H842" t="n">
        <v>9</v>
      </c>
      <c r="I842" t="inlineStr">
        <is>
          <t>1 place d'Andrevetan, Maison de pays</t>
        </is>
      </c>
      <c r="J842" t="inlineStr">
        <is>
          <t>74800</t>
        </is>
      </c>
      <c r="K842" t="inlineStr">
        <is>
          <t>La Roche-sur-Foron</t>
        </is>
      </c>
      <c r="L842" t="inlineStr">
        <is>
          <t>04 50 03 39 92</t>
        </is>
      </c>
      <c r="M842" s="4" t="inlineStr">
        <is>
          <t>contact@ccpaysrochois.fr</t>
        </is>
      </c>
      <c r="N842" s="4" t="inlineStr">
        <is>
          <t>https://www.ccpaysrochois.fr/</t>
        </is>
      </c>
      <c r="O842" t="inlineStr"/>
      <c r="P842" s="4" t="inlineStr">
        <is>
          <t>https://lannuaire.service-public.gouv.fr/auvergne-rhone-alpes/haute-savoie/e862780c-2ab0-414d-95af-dded43866f49</t>
        </is>
      </c>
      <c r="Q842" t="inlineStr">
        <is>
          <t>Annuaire Service-public.fr</t>
        </is>
      </c>
      <c r="R842" t="inlineStr"/>
      <c r="S842" t="inlineStr"/>
      <c r="T842" t="inlineStr"/>
    </row>
    <row r="843">
      <c r="A843" t="inlineStr">
        <is>
          <t>CC du Pays de Cruseilles</t>
        </is>
      </c>
      <c r="B843" t="inlineStr">
        <is>
          <t>Communauté de communes</t>
        </is>
      </c>
      <c r="C843" t="inlineStr">
        <is>
          <t>247400112</t>
        </is>
      </c>
      <c r="D843" t="inlineStr">
        <is>
          <t>74</t>
        </is>
      </c>
      <c r="E843" t="inlineStr">
        <is>
          <t>Haute-Savoie</t>
        </is>
      </c>
      <c r="F843" t="inlineStr">
        <is>
          <t>Auvergne-Rhône-Alpes</t>
        </is>
      </c>
      <c r="G843" s="3" t="n">
        <v>17208</v>
      </c>
      <c r="H843" t="n">
        <v>13</v>
      </c>
      <c r="I843" t="inlineStr">
        <is>
          <t>268 route du Suet</t>
        </is>
      </c>
      <c r="J843" t="inlineStr">
        <is>
          <t>74350</t>
        </is>
      </c>
      <c r="K843" t="inlineStr">
        <is>
          <t>Cruseilles</t>
        </is>
      </c>
      <c r="L843" t="inlineStr">
        <is>
          <t>04 50 08 16 16</t>
        </is>
      </c>
      <c r="M843" s="4" t="inlineStr">
        <is>
          <t>ccpc@ccpaysdecruseilles.org</t>
        </is>
      </c>
      <c r="N843" s="4" t="inlineStr">
        <is>
          <t>https://ccpaysdecruseilles.org/</t>
        </is>
      </c>
      <c r="O843" t="inlineStr"/>
      <c r="P843" s="4" t="inlineStr">
        <is>
          <t>https://lannuaire.service-public.gouv.fr/auvergne-rhone-alpes/haute-savoie/7e1e27a8-7aa3-4854-aafd-83110d060052</t>
        </is>
      </c>
      <c r="Q843" t="inlineStr">
        <is>
          <t>Annuaire Service-public.fr</t>
        </is>
      </c>
      <c r="R843" t="inlineStr"/>
      <c r="S843" t="inlineStr"/>
      <c r="T843" t="inlineStr"/>
    </row>
    <row r="844">
      <c r="A844" t="inlineStr">
        <is>
          <t>CC Bray-Eawy</t>
        </is>
      </c>
      <c r="B844" t="inlineStr">
        <is>
          <t>Communauté de communes</t>
        </is>
      </c>
      <c r="C844" t="inlineStr">
        <is>
          <t>200070068</t>
        </is>
      </c>
      <c r="D844" t="inlineStr">
        <is>
          <t>76</t>
        </is>
      </c>
      <c r="E844" t="inlineStr">
        <is>
          <t>Seine-Maritime</t>
        </is>
      </c>
      <c r="F844" t="inlineStr">
        <is>
          <t>Normandie</t>
        </is>
      </c>
      <c r="G844" s="3" t="n">
        <v>24882</v>
      </c>
      <c r="H844" t="n">
        <v>46</v>
      </c>
      <c r="I844" t="inlineStr">
        <is>
          <t>7 rue du Pot-d'Étain</t>
        </is>
      </c>
      <c r="J844" t="inlineStr">
        <is>
          <t>76270</t>
        </is>
      </c>
      <c r="K844" t="inlineStr">
        <is>
          <t>Neufchâtel-en-Bray</t>
        </is>
      </c>
      <c r="L844" t="inlineStr">
        <is>
          <t>02 32 97 45 65</t>
        </is>
      </c>
      <c r="M844" s="4" t="inlineStr">
        <is>
          <t>contact@brayeawy.fr</t>
        </is>
      </c>
      <c r="N844" s="4" t="inlineStr">
        <is>
          <t>https://brayeawy.fr/</t>
        </is>
      </c>
      <c r="O844" s="4" t="inlineStr">
        <is>
          <t>https://brayeawy.fr/contact-acces-bray-eawy/</t>
        </is>
      </c>
      <c r="P844" s="4" t="inlineStr">
        <is>
          <t>https://lannuaire.service-public.gouv.fr/normandie/seine-maritime/4619bbff-9f96-41cd-a903-14d82e816eb3</t>
        </is>
      </c>
      <c r="Q844" t="inlineStr">
        <is>
          <t>Annuaire Service-public.fr</t>
        </is>
      </c>
      <c r="R844" t="inlineStr"/>
      <c r="S844" t="inlineStr"/>
      <c r="T844" t="inlineStr"/>
    </row>
    <row r="845">
      <c r="A845" t="inlineStr">
        <is>
          <t>CC Campagne-de-Caux</t>
        </is>
      </c>
      <c r="B845" t="inlineStr">
        <is>
          <t>Communauté de communes</t>
        </is>
      </c>
      <c r="C845" t="inlineStr">
        <is>
          <t>247600505</t>
        </is>
      </c>
      <c r="D845" t="inlineStr">
        <is>
          <t>76</t>
        </is>
      </c>
      <c r="E845" t="inlineStr">
        <is>
          <t>Seine-Maritime</t>
        </is>
      </c>
      <c r="F845" t="inlineStr">
        <is>
          <t>Normandie</t>
        </is>
      </c>
      <c r="G845" s="3" t="n">
        <v>15021</v>
      </c>
      <c r="H845" t="n">
        <v>22</v>
      </c>
      <c r="I845" t="inlineStr">
        <is>
          <t>52 impasse du Lin</t>
        </is>
      </c>
      <c r="J845" t="inlineStr">
        <is>
          <t>76110</t>
        </is>
      </c>
      <c r="K845" t="inlineStr">
        <is>
          <t>Goderville</t>
        </is>
      </c>
      <c r="L845" t="inlineStr">
        <is>
          <t>02 35 29 65 85</t>
        </is>
      </c>
      <c r="M845" s="4" t="inlineStr">
        <is>
          <t>accueil@campagne-de-caux.fr</t>
        </is>
      </c>
      <c r="N845" s="4" t="inlineStr">
        <is>
          <t>https://www.campagne-de-caux.fr/</t>
        </is>
      </c>
      <c r="O845" s="4" t="inlineStr">
        <is>
          <t>https://www.campagne-de-caux.fr/la-communaute-de-communes/infos-pratiques/nous-contacter/</t>
        </is>
      </c>
      <c r="P845" s="4" t="inlineStr">
        <is>
          <t>https://lannuaire.service-public.gouv.fr/normandie/seine-maritime/fff00d09-d41e-4ad6-aee2-c9cddfae36a1</t>
        </is>
      </c>
      <c r="Q845" t="inlineStr">
        <is>
          <t>Annuaire Service-public.fr</t>
        </is>
      </c>
      <c r="R845" t="inlineStr"/>
      <c r="S845" t="inlineStr"/>
      <c r="T845" t="inlineStr"/>
    </row>
    <row r="846">
      <c r="A846" t="inlineStr">
        <is>
          <t>CC Caux - Austreberthe</t>
        </is>
      </c>
      <c r="B846" t="inlineStr">
        <is>
          <t>Communauté de communes</t>
        </is>
      </c>
      <c r="C846" t="inlineStr">
        <is>
          <t>247600646</t>
        </is>
      </c>
      <c r="D846" t="inlineStr">
        <is>
          <t>76</t>
        </is>
      </c>
      <c r="E846" t="inlineStr">
        <is>
          <t>Seine-Maritime</t>
        </is>
      </c>
      <c r="F846" t="inlineStr">
        <is>
          <t>Normandie</t>
        </is>
      </c>
      <c r="G846" s="3" t="n">
        <v>25137</v>
      </c>
      <c r="H846" t="n">
        <v>9</v>
      </c>
      <c r="I846" t="inlineStr">
        <is>
          <t>103 Allée des Vergers</t>
        </is>
      </c>
      <c r="J846" t="inlineStr">
        <is>
          <t>76360</t>
        </is>
      </c>
      <c r="K846" t="inlineStr">
        <is>
          <t>Barentin</t>
        </is>
      </c>
      <c r="L846" t="inlineStr">
        <is>
          <t>02 32 94 92 15</t>
        </is>
      </c>
      <c r="M846" s="4" t="inlineStr">
        <is>
          <t>accueil@cc-caux-austreberthe.fr</t>
        </is>
      </c>
      <c r="N846" s="4" t="inlineStr">
        <is>
          <t>https://www.caux-austreberthe.fr/</t>
        </is>
      </c>
      <c r="O846" t="inlineStr"/>
      <c r="P846" s="4" t="inlineStr">
        <is>
          <t>https://lannuaire.service-public.gouv.fr/normandie/seine-maritime/6a3f7687-fb64-4594-8159-6d515d607ac6</t>
        </is>
      </c>
      <c r="Q846" t="inlineStr">
        <is>
          <t>Annuaire Service-public.fr</t>
        </is>
      </c>
      <c r="R846" t="inlineStr"/>
      <c r="S846" t="inlineStr"/>
      <c r="T846" t="inlineStr"/>
    </row>
    <row r="847">
      <c r="A847" t="inlineStr">
        <is>
          <t>CC Falaises du Talou</t>
        </is>
      </c>
      <c r="B847" t="inlineStr">
        <is>
          <t>Communauté de communes</t>
        </is>
      </c>
      <c r="C847" t="inlineStr">
        <is>
          <t>247600729</t>
        </is>
      </c>
      <c r="D847" t="inlineStr">
        <is>
          <t>76</t>
        </is>
      </c>
      <c r="E847" t="inlineStr">
        <is>
          <t>Seine-Maritime</t>
        </is>
      </c>
      <c r="F847" t="inlineStr">
        <is>
          <t>Normandie</t>
        </is>
      </c>
      <c r="G847" s="3" t="n">
        <v>23553</v>
      </c>
      <c r="H847" t="n">
        <v>24</v>
      </c>
      <c r="I847" t="inlineStr">
        <is>
          <t>46 bis rue du Général-de-Gaulle</t>
        </is>
      </c>
      <c r="J847" t="inlineStr">
        <is>
          <t>76630</t>
        </is>
      </c>
      <c r="K847" t="inlineStr">
        <is>
          <t>Envermeu</t>
        </is>
      </c>
      <c r="L847" t="inlineStr">
        <is>
          <t>02 35 04 85 10</t>
        </is>
      </c>
      <c r="M847" s="4" t="inlineStr">
        <is>
          <t>contact@falaisesdutalou.fr</t>
        </is>
      </c>
      <c r="N847" s="4" t="inlineStr">
        <is>
          <t>https://www.falaisesdutalou.fr/</t>
        </is>
      </c>
      <c r="O847" s="4" t="inlineStr">
        <is>
          <t>https://www.falaisesdutalou.fr/nous-contacter</t>
        </is>
      </c>
      <c r="P847" s="4" t="inlineStr">
        <is>
          <t>https://lannuaire.service-public.gouv.fr/normandie/seine-maritime/beed9173-8998-4c08-8fed-5655c1ac1b33</t>
        </is>
      </c>
      <c r="Q847" t="inlineStr">
        <is>
          <t>Annuaire Service-public.fr</t>
        </is>
      </c>
      <c r="R847" t="inlineStr"/>
      <c r="S847" t="inlineStr"/>
      <c r="T847" t="inlineStr"/>
    </row>
    <row r="848">
      <c r="A848" t="inlineStr">
        <is>
          <t>CC Inter-Caux-Vexin</t>
        </is>
      </c>
      <c r="B848" t="inlineStr">
        <is>
          <t>Communauté de communes</t>
        </is>
      </c>
      <c r="C848" t="inlineStr">
        <is>
          <t>200070449</t>
        </is>
      </c>
      <c r="D848" t="inlineStr">
        <is>
          <t>76</t>
        </is>
      </c>
      <c r="E848" t="inlineStr">
        <is>
          <t>Seine-Maritime</t>
        </is>
      </c>
      <c r="F848" t="inlineStr">
        <is>
          <t>Normandie</t>
        </is>
      </c>
      <c r="G848" s="3" t="n">
        <v>55948</v>
      </c>
      <c r="H848" t="n">
        <v>64</v>
      </c>
      <c r="I848" t="inlineStr">
        <is>
          <t>252 route de Rouen</t>
        </is>
      </c>
      <c r="J848" t="inlineStr">
        <is>
          <t>76750</t>
        </is>
      </c>
      <c r="K848" t="inlineStr">
        <is>
          <t>Buchy</t>
        </is>
      </c>
      <c r="L848" t="inlineStr">
        <is>
          <t>02 35 34 73 74</t>
        </is>
      </c>
      <c r="M848" s="4" t="inlineStr">
        <is>
          <t>contact@intercauxvexin.fr</t>
        </is>
      </c>
      <c r="N848" s="4" t="inlineStr">
        <is>
          <t>https://www.intercauxvexin.fr/fr/</t>
        </is>
      </c>
      <c r="O848" s="4" t="inlineStr">
        <is>
          <t>https://www.intercauxvexin.fr/fr/contact</t>
        </is>
      </c>
      <c r="P848" s="4" t="inlineStr">
        <is>
          <t>https://lannuaire.service-public.gouv.fr/normandie/seine-maritime/23754a28-37bd-418f-9933-2a6a3c1e2a1d</t>
        </is>
      </c>
      <c r="Q848" t="inlineStr">
        <is>
          <t>Annuaire Service-public.fr</t>
        </is>
      </c>
      <c r="R848" t="inlineStr"/>
      <c r="S848" t="inlineStr"/>
      <c r="T848" t="inlineStr"/>
    </row>
    <row r="849">
      <c r="A849" t="inlineStr">
        <is>
          <t>CC Interrégionale Aumale - Blangy-sur-Bresle</t>
        </is>
      </c>
      <c r="B849" t="inlineStr">
        <is>
          <t>Communauté de communes</t>
        </is>
      </c>
      <c r="C849" t="inlineStr">
        <is>
          <t>200069722</t>
        </is>
      </c>
      <c r="D849" t="inlineStr">
        <is>
          <t>76, 80</t>
        </is>
      </c>
      <c r="E849" t="inlineStr">
        <is>
          <t>Seine-Maritime, Somme</t>
        </is>
      </c>
      <c r="F849" t="inlineStr">
        <is>
          <t>Normandie, Hauts-de-France</t>
        </is>
      </c>
      <c r="G849" s="3" t="n">
        <v>21244</v>
      </c>
      <c r="H849" t="n">
        <v>44</v>
      </c>
      <c r="I849" t="inlineStr">
        <is>
          <t>20 rue de Barbentane</t>
        </is>
      </c>
      <c r="J849" t="inlineStr">
        <is>
          <t>76340</t>
        </is>
      </c>
      <c r="K849" t="inlineStr">
        <is>
          <t>Blangy-sur-Bresle</t>
        </is>
      </c>
      <c r="L849" t="inlineStr">
        <is>
          <t>02 35 94 02 76</t>
        </is>
      </c>
      <c r="M849" s="4" t="inlineStr">
        <is>
          <t>contact@cciabb.fr</t>
        </is>
      </c>
      <c r="N849" s="4" t="inlineStr">
        <is>
          <t>https://www.cc-aumale-blangy.fr/</t>
        </is>
      </c>
      <c r="O849" s="4" t="inlineStr">
        <is>
          <t>https://www.cc-aumale-blangy.fr/informations-pratiques/nous-contacter/</t>
        </is>
      </c>
      <c r="P849" s="4" t="inlineStr">
        <is>
          <t>https://lannuaire.service-public.gouv.fr/normandie/seine-maritime/2d529986-cd37-487d-bab7-7d923ba64df4</t>
        </is>
      </c>
      <c r="Q849" t="inlineStr">
        <is>
          <t>Annuaire Service-public.fr</t>
        </is>
      </c>
      <c r="R849" t="inlineStr"/>
      <c r="S849" t="inlineStr"/>
      <c r="T849" t="inlineStr"/>
    </row>
    <row r="850">
      <c r="A850" t="inlineStr">
        <is>
          <t>CC Plateau de Caux</t>
        </is>
      </c>
      <c r="B850" t="inlineStr">
        <is>
          <t>Communauté de communes</t>
        </is>
      </c>
      <c r="C850" t="inlineStr">
        <is>
          <t>200069847</t>
        </is>
      </c>
      <c r="D850" t="inlineStr">
        <is>
          <t>76</t>
        </is>
      </c>
      <c r="E850" t="inlineStr">
        <is>
          <t>Seine-Maritime</t>
        </is>
      </c>
      <c r="F850" t="inlineStr">
        <is>
          <t>Normandie</t>
        </is>
      </c>
      <c r="G850" s="3" t="n">
        <v>21314</v>
      </c>
      <c r="H850" t="n">
        <v>40</v>
      </c>
      <c r="I850" t="inlineStr">
        <is>
          <t>2 place du Général-de-Gaulle</t>
        </is>
      </c>
      <c r="J850" t="inlineStr">
        <is>
          <t>76560</t>
        </is>
      </c>
      <c r="K850" t="inlineStr">
        <is>
          <t>Doudeville</t>
        </is>
      </c>
      <c r="L850" t="inlineStr">
        <is>
          <t>02 35 95 07 25</t>
        </is>
      </c>
      <c r="M850" s="4" t="inlineStr">
        <is>
          <t>contact@plateaudecaux.fr</t>
        </is>
      </c>
      <c r="N850" s="4" t="inlineStr">
        <is>
          <t>https://www.plateaudecaux.fr/</t>
        </is>
      </c>
      <c r="O850" s="4" t="inlineStr">
        <is>
          <t>https://www.plateaudecaux.fr/contact/</t>
        </is>
      </c>
      <c r="P850" s="4" t="inlineStr">
        <is>
          <t>https://lannuaire.service-public.gouv.fr/normandie/seine-maritime/f3dfe825-a2c8-4e7a-807f-660f074667d2</t>
        </is>
      </c>
      <c r="Q850" t="inlineStr">
        <is>
          <t>Annuaire Service-public.fr</t>
        </is>
      </c>
      <c r="R850" t="inlineStr"/>
      <c r="S850" t="inlineStr"/>
      <c r="T850" t="inlineStr"/>
    </row>
    <row r="851">
      <c r="A851" t="inlineStr">
        <is>
          <t>CC Terroir de Caux</t>
        </is>
      </c>
      <c r="B851" t="inlineStr">
        <is>
          <t>Communauté de communes</t>
        </is>
      </c>
      <c r="C851" t="inlineStr">
        <is>
          <t>200068534</t>
        </is>
      </c>
      <c r="D851" t="inlineStr">
        <is>
          <t>76</t>
        </is>
      </c>
      <c r="E851" t="inlineStr">
        <is>
          <t>Seine-Maritime</t>
        </is>
      </c>
      <c r="F851" t="inlineStr">
        <is>
          <t>Normandie</t>
        </is>
      </c>
      <c r="G851" s="3" t="n">
        <v>37763</v>
      </c>
      <c r="H851" t="n">
        <v>79</v>
      </c>
      <c r="I851" t="inlineStr">
        <is>
          <t>11 route de Dieppe</t>
        </is>
      </c>
      <c r="J851" t="inlineStr">
        <is>
          <t>76730</t>
        </is>
      </c>
      <c r="K851" t="inlineStr">
        <is>
          <t>Bacqueville-en-Caux</t>
        </is>
      </c>
      <c r="L851" t="inlineStr">
        <is>
          <t>02 35 85 46 69</t>
        </is>
      </c>
      <c r="M851" s="4" t="inlineStr">
        <is>
          <t>contact@terroirdecaux.net</t>
        </is>
      </c>
      <c r="N851" s="4" t="inlineStr">
        <is>
          <t>https://www.terroirdecaux.fr/</t>
        </is>
      </c>
      <c r="O851" t="inlineStr"/>
      <c r="P851" s="4" t="inlineStr">
        <is>
          <t>https://lannuaire.service-public.gouv.fr/normandie/seine-maritime/7aada417-f11e-4ff5-9c05-41ea70a0fc3d</t>
        </is>
      </c>
      <c r="Q851" t="inlineStr">
        <is>
          <t>Annuaire Service-public.fr</t>
        </is>
      </c>
      <c r="R851" t="inlineStr"/>
      <c r="S851" t="inlineStr"/>
      <c r="T851" t="inlineStr"/>
    </row>
    <row r="852">
      <c r="A852" t="inlineStr">
        <is>
          <t>CC Yvetot Normandie</t>
        </is>
      </c>
      <c r="B852" t="inlineStr">
        <is>
          <t>Communauté de communes</t>
        </is>
      </c>
      <c r="C852" t="inlineStr">
        <is>
          <t>247600620</t>
        </is>
      </c>
      <c r="D852" t="inlineStr">
        <is>
          <t>76</t>
        </is>
      </c>
      <c r="E852" t="inlineStr">
        <is>
          <t>Seine-Maritime</t>
        </is>
      </c>
      <c r="F852" t="inlineStr">
        <is>
          <t>Normandie</t>
        </is>
      </c>
      <c r="G852" s="3" t="n">
        <v>26348</v>
      </c>
      <c r="H852" t="n">
        <v>19</v>
      </c>
      <c r="I852" t="inlineStr">
        <is>
          <t>4 rue de la Brême</t>
        </is>
      </c>
      <c r="J852" t="inlineStr">
        <is>
          <t>76193</t>
        </is>
      </c>
      <c r="K852" t="inlineStr">
        <is>
          <t>Yvetot</t>
        </is>
      </c>
      <c r="L852" t="inlineStr">
        <is>
          <t>02 35 56 14 14</t>
        </is>
      </c>
      <c r="M852" s="4" t="inlineStr">
        <is>
          <t>contact@yvetot-normandie.fr</t>
        </is>
      </c>
      <c r="N852" s="4" t="inlineStr">
        <is>
          <t>https://www.yvetot-normandie.fr/</t>
        </is>
      </c>
      <c r="O852" s="4" t="inlineStr">
        <is>
          <t>https://www.yvetot-normandie.fr/contact/</t>
        </is>
      </c>
      <c r="P852" s="4" t="inlineStr">
        <is>
          <t>https://lannuaire.service-public.gouv.fr/normandie/seine-maritime/2c0b4ee4-14ea-4a04-9bda-f4af0ba5b766</t>
        </is>
      </c>
      <c r="Q852" t="inlineStr">
        <is>
          <t>Annuaire Service-public.fr</t>
        </is>
      </c>
      <c r="R852" t="inlineStr"/>
      <c r="S852" t="inlineStr"/>
      <c r="T852" t="inlineStr"/>
    </row>
    <row r="853">
      <c r="A853" t="inlineStr">
        <is>
          <t>CC de Londinières</t>
        </is>
      </c>
      <c r="B853" t="inlineStr">
        <is>
          <t>Communauté de communes</t>
        </is>
      </c>
      <c r="C853" t="inlineStr">
        <is>
          <t>247600604</t>
        </is>
      </c>
      <c r="D853" t="inlineStr">
        <is>
          <t>76</t>
        </is>
      </c>
      <c r="E853" t="inlineStr">
        <is>
          <t>Seine-Maritime</t>
        </is>
      </c>
      <c r="F853" t="inlineStr">
        <is>
          <t>Normandie</t>
        </is>
      </c>
      <c r="G853" s="3" t="n">
        <v>5192</v>
      </c>
      <c r="H853" t="n">
        <v>16</v>
      </c>
      <c r="I853" t="inlineStr">
        <is>
          <t>9 rue des Granges</t>
        </is>
      </c>
      <c r="J853" t="inlineStr">
        <is>
          <t>76660</t>
        </is>
      </c>
      <c r="K853" t="inlineStr">
        <is>
          <t>Londinières</t>
        </is>
      </c>
      <c r="L853" t="inlineStr">
        <is>
          <t>02 35 17 04 71</t>
        </is>
      </c>
      <c r="M853" s="4" t="inlineStr">
        <is>
          <t>secretariat@comcom-londinieres.fr;ccl1@orange.fr</t>
        </is>
      </c>
      <c r="N853" s="4" t="inlineStr">
        <is>
          <t>https://www.comcom-londinieres.fr/</t>
        </is>
      </c>
      <c r="O853" s="4" t="inlineStr">
        <is>
          <t>https://www.comcom-londinieres.fr/contact/</t>
        </is>
      </c>
      <c r="P853" s="4" t="inlineStr">
        <is>
          <t>https://lannuaire.service-public.gouv.fr/normandie/seine-maritime/1b43fa41-5a07-41cd-a4be-eb2a1a8c3c31</t>
        </is>
      </c>
      <c r="Q853" t="inlineStr">
        <is>
          <t>Annuaire Service-public.fr</t>
        </is>
      </c>
      <c r="R853" t="inlineStr"/>
      <c r="S853" t="inlineStr"/>
      <c r="T853" t="inlineStr"/>
    </row>
    <row r="854">
      <c r="A854" t="inlineStr">
        <is>
          <t>CC de la Côte d'Albâtre</t>
        </is>
      </c>
      <c r="B854" t="inlineStr">
        <is>
          <t>Communauté de communes</t>
        </is>
      </c>
      <c r="C854" t="inlineStr">
        <is>
          <t>200069839</t>
        </is>
      </c>
      <c r="D854" t="inlineStr">
        <is>
          <t>76</t>
        </is>
      </c>
      <c r="E854" t="inlineStr">
        <is>
          <t>Seine-Maritime</t>
        </is>
      </c>
      <c r="F854" t="inlineStr">
        <is>
          <t>Normandie</t>
        </is>
      </c>
      <c r="G854" s="3" t="n">
        <v>27520</v>
      </c>
      <c r="H854" t="n">
        <v>63</v>
      </c>
      <c r="I854" t="inlineStr">
        <is>
          <t>48 bis route de Veulettes</t>
        </is>
      </c>
      <c r="J854" t="inlineStr">
        <is>
          <t>76450</t>
        </is>
      </c>
      <c r="K854" t="inlineStr">
        <is>
          <t>Cany-Barville</t>
        </is>
      </c>
      <c r="L854" t="inlineStr">
        <is>
          <t>02 35 57 85 00</t>
        </is>
      </c>
      <c r="M854" s="4" t="inlineStr">
        <is>
          <t>email@cote-albatre.com</t>
        </is>
      </c>
      <c r="N854" s="4" t="inlineStr">
        <is>
          <t>https://cote-albatre.fr/</t>
        </is>
      </c>
      <c r="O854" s="4" t="inlineStr">
        <is>
          <t>https://cote-albatre.fr/</t>
        </is>
      </c>
      <c r="P854" s="4" t="inlineStr">
        <is>
          <t>https://lannuaire.service-public.gouv.fr/normandie/seine-maritime/dc830fb1-f735-460b-8d10-3a2f3c00c543</t>
        </is>
      </c>
      <c r="Q854" t="inlineStr">
        <is>
          <t>Annuaire Service-public.fr</t>
        </is>
      </c>
      <c r="R854" t="inlineStr"/>
      <c r="S854" t="inlineStr"/>
      <c r="T854" t="inlineStr"/>
    </row>
    <row r="855">
      <c r="A855" t="inlineStr">
        <is>
          <t>CC des Villes Soeurs</t>
        </is>
      </c>
      <c r="B855" t="inlineStr">
        <is>
          <t>Communauté de communes</t>
        </is>
      </c>
      <c r="C855" t="inlineStr">
        <is>
          <t>247600588</t>
        </is>
      </c>
      <c r="D855" t="inlineStr">
        <is>
          <t>76, 80</t>
        </is>
      </c>
      <c r="E855" t="inlineStr">
        <is>
          <t>Seine-Maritime, Somme</t>
        </is>
      </c>
      <c r="F855" t="inlineStr">
        <is>
          <t>Normandie, Hauts-de-France</t>
        </is>
      </c>
      <c r="G855" s="3" t="n">
        <v>35612</v>
      </c>
      <c r="H855" t="n">
        <v>28</v>
      </c>
      <c r="I855" t="inlineStr">
        <is>
          <t>12 avenue Jacques-Anquetil</t>
        </is>
      </c>
      <c r="J855" t="inlineStr">
        <is>
          <t>76260</t>
        </is>
      </c>
      <c r="K855" t="inlineStr">
        <is>
          <t>Eu</t>
        </is>
      </c>
      <c r="L855" t="inlineStr">
        <is>
          <t>02 27 28 20 87</t>
        </is>
      </c>
      <c r="M855" s="4" t="inlineStr">
        <is>
          <t>contact@villes-soeurs.fr</t>
        </is>
      </c>
      <c r="N855" s="4" t="inlineStr">
        <is>
          <t>https://www.villes-soeurs.fr/</t>
        </is>
      </c>
      <c r="O855" s="4" t="inlineStr">
        <is>
          <t>https://www.villes-soeurs.fr/contact/</t>
        </is>
      </c>
      <c r="P855" s="4" t="inlineStr">
        <is>
          <t>https://lannuaire.service-public.gouv.fr/normandie/seine-maritime/fd113f0e-6599-4b86-a787-fb80f53e8776</t>
        </is>
      </c>
      <c r="Q855" t="inlineStr">
        <is>
          <t>Annuaire Service-public.fr</t>
        </is>
      </c>
      <c r="R855" t="inlineStr"/>
      <c r="S855" t="inlineStr"/>
      <c r="T855" t="inlineStr"/>
    </row>
    <row r="856">
      <c r="A856" t="inlineStr">
        <is>
          <t>CC Bassée-Montois</t>
        </is>
      </c>
      <c r="B856" t="inlineStr">
        <is>
          <t>Communauté de communes</t>
        </is>
      </c>
      <c r="C856" t="inlineStr">
        <is>
          <t>200040251</t>
        </is>
      </c>
      <c r="D856" t="inlineStr">
        <is>
          <t>77</t>
        </is>
      </c>
      <c r="E856" t="inlineStr">
        <is>
          <t>Seine-et-Marne</t>
        </is>
      </c>
      <c r="F856" t="inlineStr">
        <is>
          <t>Île-de-France</t>
        </is>
      </c>
      <c r="G856" s="3" t="n">
        <v>23165</v>
      </c>
      <c r="H856" t="n">
        <v>42</v>
      </c>
      <c r="I856" t="inlineStr">
        <is>
          <t>80 rue de la Fontaine</t>
        </is>
      </c>
      <c r="J856" t="inlineStr">
        <is>
          <t>77480</t>
        </is>
      </c>
      <c r="K856" t="inlineStr">
        <is>
          <t>Bray-sur-Seine</t>
        </is>
      </c>
      <c r="L856" t="inlineStr">
        <is>
          <t>01 60 67 09 10</t>
        </is>
      </c>
      <c r="M856" s="4" t="inlineStr">
        <is>
          <t>contact@cc-basseemontois.fr</t>
        </is>
      </c>
      <c r="N856" s="4" t="inlineStr">
        <is>
          <t>https://www.cc-basseemontois.fr/fr</t>
        </is>
      </c>
      <c r="O856" s="4" t="inlineStr">
        <is>
          <t>https://www.cc-basseemontois.fr/fr/form/contactez-nous</t>
        </is>
      </c>
      <c r="P856" s="4" t="inlineStr">
        <is>
          <t>https://lannuaire.service-public.gouv.fr/ile-de-france/seine-et-marne/ff281616-4a6e-41f4-a82b-261e5ec5c4f9</t>
        </is>
      </c>
      <c r="Q856" t="inlineStr">
        <is>
          <t>Annuaire Service-public.fr</t>
        </is>
      </c>
      <c r="R856" t="inlineStr"/>
      <c r="S856" t="inlineStr"/>
      <c r="T856" t="inlineStr"/>
    </row>
    <row r="857">
      <c r="A857" t="inlineStr">
        <is>
          <t>CC Brie Nangissienne</t>
        </is>
      </c>
      <c r="B857" t="inlineStr">
        <is>
          <t>Communauté de communes</t>
        </is>
      </c>
      <c r="C857" t="inlineStr">
        <is>
          <t>247700701</t>
        </is>
      </c>
      <c r="D857" t="inlineStr">
        <is>
          <t>77</t>
        </is>
      </c>
      <c r="E857" t="inlineStr">
        <is>
          <t>Seine-et-Marne</t>
        </is>
      </c>
      <c r="F857" t="inlineStr">
        <is>
          <t>Île-de-France</t>
        </is>
      </c>
      <c r="G857" s="3" t="n">
        <v>28330</v>
      </c>
      <c r="H857" t="n">
        <v>20</v>
      </c>
      <c r="I857" t="inlineStr">
        <is>
          <t>4 rue René-Cassin</t>
        </is>
      </c>
      <c r="J857" t="inlineStr">
        <is>
          <t>77370</t>
        </is>
      </c>
      <c r="K857" t="inlineStr">
        <is>
          <t>Nangis</t>
        </is>
      </c>
      <c r="L857" t="inlineStr">
        <is>
          <t>01 64 01 13 82</t>
        </is>
      </c>
      <c r="M857" s="4" t="inlineStr">
        <is>
          <t>secretariat@brienangissienne.fr</t>
        </is>
      </c>
      <c r="N857" s="4" t="inlineStr">
        <is>
          <t>http://www.brienangissienne.fr</t>
        </is>
      </c>
      <c r="O857" t="inlineStr"/>
      <c r="P857" s="4" t="inlineStr">
        <is>
          <t>https://lannuaire.service-public.gouv.fr/ile-de-france/seine-et-marne/0573aadb-a597-4173-8f2d-07558a7e982a</t>
        </is>
      </c>
      <c r="Q857" t="inlineStr">
        <is>
          <t>Annuaire Service-public.fr</t>
        </is>
      </c>
      <c r="R857" t="inlineStr"/>
      <c r="S857" t="inlineStr"/>
      <c r="T857" t="inlineStr"/>
    </row>
    <row r="858">
      <c r="A858" t="inlineStr">
        <is>
          <t>CC Brie des Rivières et Châteaux</t>
        </is>
      </c>
      <c r="B858" t="inlineStr">
        <is>
          <t>Communauté de communes</t>
        </is>
      </c>
      <c r="C858" t="inlineStr">
        <is>
          <t>200070779</t>
        </is>
      </c>
      <c r="D858" t="inlineStr">
        <is>
          <t>77</t>
        </is>
      </c>
      <c r="E858" t="inlineStr">
        <is>
          <t>Seine-et-Marne</t>
        </is>
      </c>
      <c r="F858" t="inlineStr">
        <is>
          <t>Île-de-France</t>
        </is>
      </c>
      <c r="G858" s="3" t="n">
        <v>40561</v>
      </c>
      <c r="H858" t="n">
        <v>31</v>
      </c>
      <c r="I858" t="inlineStr">
        <is>
          <t>1 rue des Petits-Champs</t>
        </is>
      </c>
      <c r="J858" t="inlineStr">
        <is>
          <t>77820</t>
        </is>
      </c>
      <c r="K858" t="inlineStr">
        <is>
          <t>Le Châtelet-en-Brie</t>
        </is>
      </c>
      <c r="L858" t="inlineStr">
        <is>
          <t>01 60 66 67 10</t>
        </is>
      </c>
      <c r="M858" s="4" t="inlineStr">
        <is>
          <t>accueil@ccbrc.fr</t>
        </is>
      </c>
      <c r="N858" s="4" t="inlineStr">
        <is>
          <t>https://www.briedesrivieresetchateaux.fr</t>
        </is>
      </c>
      <c r="O858" t="inlineStr"/>
      <c r="P858" s="4" t="inlineStr">
        <is>
          <t>https://lannuaire.service-public.gouv.fr/ile-de-france/seine-et-marne/f8eed306-cd17-4691-9c5c-b2b170d85fde</t>
        </is>
      </c>
      <c r="Q858" t="inlineStr">
        <is>
          <t>Annuaire Service-public.fr</t>
        </is>
      </c>
      <c r="R858" t="inlineStr"/>
      <c r="S858" t="inlineStr"/>
      <c r="T858" t="inlineStr"/>
    </row>
    <row r="859">
      <c r="A859" t="inlineStr">
        <is>
          <t>CC Gâtinais Val de Loing</t>
        </is>
      </c>
      <c r="B859" t="inlineStr">
        <is>
          <t>Communauté de communes</t>
        </is>
      </c>
      <c r="C859" t="inlineStr">
        <is>
          <t>200023919</t>
        </is>
      </c>
      <c r="D859" t="inlineStr">
        <is>
          <t>77</t>
        </is>
      </c>
      <c r="E859" t="inlineStr">
        <is>
          <t>Seine-et-Marne</t>
        </is>
      </c>
      <c r="F859" t="inlineStr">
        <is>
          <t>Île-de-France</t>
        </is>
      </c>
      <c r="G859" s="3" t="n">
        <v>18432</v>
      </c>
      <c r="H859" t="n">
        <v>20</v>
      </c>
      <c r="I859" t="inlineStr">
        <is>
          <t>16 route de Souppes</t>
        </is>
      </c>
      <c r="J859" t="inlineStr">
        <is>
          <t>77570</t>
        </is>
      </c>
      <c r="K859" t="inlineStr">
        <is>
          <t>Château-Landon</t>
        </is>
      </c>
      <c r="L859" t="inlineStr">
        <is>
          <t>01 64 29 20 48</t>
        </is>
      </c>
      <c r="M859" s="4" t="inlineStr">
        <is>
          <t>ccgvl@ccgvl77.fr</t>
        </is>
      </c>
      <c r="N859" s="4" t="inlineStr">
        <is>
          <t>https://www.ccgvl77.fr/</t>
        </is>
      </c>
      <c r="O859" t="inlineStr"/>
      <c r="P859" s="4" t="inlineStr">
        <is>
          <t>https://lannuaire.service-public.gouv.fr/ile-de-france/seine-et-marne/c35c863e-600d-48fb-bc8e-87508e0b1949</t>
        </is>
      </c>
      <c r="Q859" t="inlineStr">
        <is>
          <t>Annuaire Service-public.fr</t>
        </is>
      </c>
      <c r="R859" t="inlineStr"/>
      <c r="S859" t="inlineStr"/>
      <c r="T859" t="inlineStr"/>
    </row>
    <row r="860">
      <c r="A860" t="inlineStr">
        <is>
          <t>CC Les Portes Briardes Entre Villes et Forêts</t>
        </is>
      </c>
      <c r="B860" t="inlineStr">
        <is>
          <t>Communauté de communes</t>
        </is>
      </c>
      <c r="C860" t="inlineStr">
        <is>
          <t>200023125</t>
        </is>
      </c>
      <c r="D860" t="inlineStr">
        <is>
          <t>77</t>
        </is>
      </c>
      <c r="E860" t="inlineStr">
        <is>
          <t>Seine-et-Marne</t>
        </is>
      </c>
      <c r="F860" t="inlineStr">
        <is>
          <t>Île-de-France</t>
        </is>
      </c>
      <c r="G860" s="3" t="n">
        <v>46241</v>
      </c>
      <c r="H860" t="n">
        <v>5</v>
      </c>
      <c r="I860" t="inlineStr">
        <is>
          <t>43 avenue du Général-de-Gaulle</t>
        </is>
      </c>
      <c r="J860" t="inlineStr">
        <is>
          <t>77330</t>
        </is>
      </c>
      <c r="K860" t="inlineStr">
        <is>
          <t>Ozoir-la-Ferrière Cedex</t>
        </is>
      </c>
      <c r="L860" t="inlineStr">
        <is>
          <t>01 64 43 35 26</t>
        </is>
      </c>
      <c r="M860" s="4" t="inlineStr">
        <is>
          <t>contact@lesportesbriardes.fr</t>
        </is>
      </c>
      <c r="N860" s="4" t="inlineStr">
        <is>
          <t>https://www.lesportesbriardes.fr/</t>
        </is>
      </c>
      <c r="O860" t="inlineStr"/>
      <c r="P860" s="4" t="inlineStr">
        <is>
          <t>https://lannuaire.service-public.gouv.fr/ile-de-france/seine-et-marne/cc42b7f8-3b62-4d79-8550-2eeea730d1dc</t>
        </is>
      </c>
      <c r="Q860" t="inlineStr">
        <is>
          <t>Annuaire Service-public.fr</t>
        </is>
      </c>
      <c r="R860" t="inlineStr"/>
      <c r="S860" t="inlineStr"/>
      <c r="T860" t="inlineStr"/>
    </row>
    <row r="861">
      <c r="A861" t="inlineStr">
        <is>
          <t>CC Moret Seine et Loing</t>
        </is>
      </c>
      <c r="B861" t="inlineStr">
        <is>
          <t>Communauté de communes</t>
        </is>
      </c>
      <c r="C861" t="inlineStr">
        <is>
          <t>247700032</t>
        </is>
      </c>
      <c r="D861" t="inlineStr">
        <is>
          <t>77</t>
        </is>
      </c>
      <c r="E861" t="inlineStr">
        <is>
          <t>Seine-et-Marne</t>
        </is>
      </c>
      <c r="F861" t="inlineStr">
        <is>
          <t>Île-de-France</t>
        </is>
      </c>
      <c r="G861" s="3" t="n">
        <v>39247</v>
      </c>
      <c r="H861" t="n">
        <v>18</v>
      </c>
      <c r="I861" t="inlineStr">
        <is>
          <t>Allée Gustave Prugnat, CS 80214</t>
        </is>
      </c>
      <c r="J861" t="inlineStr">
        <is>
          <t>77250</t>
        </is>
      </c>
      <c r="K861" t="inlineStr">
        <is>
          <t>Moret-Loing-et-Orvanne</t>
        </is>
      </c>
      <c r="L861" t="inlineStr">
        <is>
          <t>01 60 70 66 14</t>
        </is>
      </c>
      <c r="M861" s="4" t="inlineStr">
        <is>
          <t>ccmsl@ccmsl.com</t>
        </is>
      </c>
      <c r="N861" s="4" t="inlineStr">
        <is>
          <t>https://www.ccmsl.fr/</t>
        </is>
      </c>
      <c r="O861" s="4" t="inlineStr">
        <is>
          <t>https://www.ccmsl.fr/</t>
        </is>
      </c>
      <c r="P861" s="4" t="inlineStr">
        <is>
          <t>https://lannuaire.service-public.gouv.fr/ile-de-france/seine-et-marne/82ffaf4c-b38e-404f-8d16-5c464cd4bc1f</t>
        </is>
      </c>
      <c r="Q861" t="inlineStr">
        <is>
          <t>Annuaire Service-public.fr</t>
        </is>
      </c>
      <c r="R861" t="inlineStr"/>
      <c r="S861" t="inlineStr"/>
      <c r="T861" t="inlineStr"/>
    </row>
    <row r="862">
      <c r="A862" t="inlineStr">
        <is>
          <t>CC Pays de Montereau</t>
        </is>
      </c>
      <c r="B862" t="inlineStr">
        <is>
          <t>Communauté de communes</t>
        </is>
      </c>
      <c r="C862" t="inlineStr">
        <is>
          <t>247700107</t>
        </is>
      </c>
      <c r="D862" t="inlineStr">
        <is>
          <t>77</t>
        </is>
      </c>
      <c r="E862" t="inlineStr">
        <is>
          <t>Seine-et-Marne</t>
        </is>
      </c>
      <c r="F862" t="inlineStr">
        <is>
          <t>Île-de-France</t>
        </is>
      </c>
      <c r="G862" s="3" t="n">
        <v>45085</v>
      </c>
      <c r="H862" t="n">
        <v>21</v>
      </c>
      <c r="I862" t="inlineStr">
        <is>
          <t>29 avenue du Général-De-Gaulle</t>
        </is>
      </c>
      <c r="J862" t="inlineStr">
        <is>
          <t>77130</t>
        </is>
      </c>
      <c r="K862" t="inlineStr">
        <is>
          <t>Montereau-Fault-Yonne</t>
        </is>
      </c>
      <c r="L862" t="inlineStr">
        <is>
          <t>01 60 73 44 00</t>
        </is>
      </c>
      <c r="M862" s="4" t="inlineStr">
        <is>
          <t>contact@paysdemontereau.fr</t>
        </is>
      </c>
      <c r="N862" s="4" t="inlineStr">
        <is>
          <t>https://paysdemontereau77.fr</t>
        </is>
      </c>
      <c r="O862" s="4" t="inlineStr">
        <is>
          <t>https://paysdemontereau77.fr/contact/</t>
        </is>
      </c>
      <c r="P862" s="4" t="inlineStr">
        <is>
          <t>https://lannuaire.service-public.gouv.fr/ile-de-france/seine-et-marne/20ba5899-f6b9-44c1-bf32-d0d95b71d470</t>
        </is>
      </c>
      <c r="Q862" t="inlineStr">
        <is>
          <t>Annuaire Service-public.fr</t>
        </is>
      </c>
      <c r="R862" t="inlineStr"/>
      <c r="S862" t="inlineStr"/>
      <c r="T862" t="inlineStr"/>
    </row>
    <row r="863">
      <c r="A863" t="inlineStr">
        <is>
          <t>CC Pays de Nemours</t>
        </is>
      </c>
      <c r="B863" t="inlineStr">
        <is>
          <t>Communauté de communes</t>
        </is>
      </c>
      <c r="C863" t="inlineStr">
        <is>
          <t>200023240</t>
        </is>
      </c>
      <c r="D863" t="inlineStr">
        <is>
          <t>77</t>
        </is>
      </c>
      <c r="E863" t="inlineStr">
        <is>
          <t>Seine-et-Marne</t>
        </is>
      </c>
      <c r="F863" t="inlineStr">
        <is>
          <t>Île-de-France</t>
        </is>
      </c>
      <c r="G863" s="3" t="n">
        <v>29774</v>
      </c>
      <c r="H863" t="n">
        <v>21</v>
      </c>
      <c r="I863" t="inlineStr">
        <is>
          <t>41 quai Victor-Hugo</t>
        </is>
      </c>
      <c r="J863" t="inlineStr">
        <is>
          <t>77140</t>
        </is>
      </c>
      <c r="K863" t="inlineStr">
        <is>
          <t>Nemours</t>
        </is>
      </c>
      <c r="L863" t="inlineStr">
        <is>
          <t>01 64 78 69 05</t>
        </is>
      </c>
      <c r="M863" s="4" t="inlineStr">
        <is>
          <t>secretariat@paysdenemours.fr</t>
        </is>
      </c>
      <c r="N863" s="4" t="inlineStr">
        <is>
          <t>https://www.paysdenemours.fr/</t>
        </is>
      </c>
      <c r="O863" s="4" t="inlineStr">
        <is>
          <t>https://www.paysdenemours.fr/contact/</t>
        </is>
      </c>
      <c r="P863" s="4" t="inlineStr">
        <is>
          <t>https://lannuaire.service-public.gouv.fr/ile-de-france/seine-et-marne/f29a5c35-b951-407b-91d9-52231c26d655</t>
        </is>
      </c>
      <c r="Q863" t="inlineStr">
        <is>
          <t>Annuaire Service-public.fr</t>
        </is>
      </c>
      <c r="R863" t="inlineStr"/>
      <c r="S863" t="inlineStr"/>
      <c r="T863" t="inlineStr"/>
    </row>
    <row r="864">
      <c r="A864" t="inlineStr">
        <is>
          <t>CC Plaines et Monts de France</t>
        </is>
      </c>
      <c r="B864" t="inlineStr">
        <is>
          <t>Communauté de communes</t>
        </is>
      </c>
      <c r="C864" t="inlineStr">
        <is>
          <t>200033090</t>
        </is>
      </c>
      <c r="D864" t="inlineStr">
        <is>
          <t>77</t>
        </is>
      </c>
      <c r="E864" t="inlineStr">
        <is>
          <t>Seine-et-Marne</t>
        </is>
      </c>
      <c r="F864" t="inlineStr">
        <is>
          <t>Île-de-France</t>
        </is>
      </c>
      <c r="G864" s="3" t="n">
        <v>25662</v>
      </c>
      <c r="H864" t="n">
        <v>20</v>
      </c>
      <c r="I864" t="inlineStr">
        <is>
          <t>6 rue du Général-de-Gaulle</t>
        </is>
      </c>
      <c r="J864" t="inlineStr">
        <is>
          <t>77230</t>
        </is>
      </c>
      <c r="K864" t="inlineStr">
        <is>
          <t>Dammartin-en-Goële</t>
        </is>
      </c>
      <c r="L864" t="inlineStr">
        <is>
          <t>01 60 54 68 40</t>
        </is>
      </c>
      <c r="M864" s="4" t="inlineStr">
        <is>
          <t>contact@cc-pmf.fr</t>
        </is>
      </c>
      <c r="N864" s="4" t="inlineStr">
        <is>
          <t>http://www.cc-pmf.fr</t>
        </is>
      </c>
      <c r="O864" t="inlineStr"/>
      <c r="P864" s="4" t="inlineStr">
        <is>
          <t>https://lannuaire.service-public.gouv.fr/ile-de-france/seine-et-marne/4fa013ed-00ec-464a-a25b-ac1e58e0afbc</t>
        </is>
      </c>
      <c r="Q864" t="inlineStr">
        <is>
          <t>Annuaire Service-public.fr</t>
        </is>
      </c>
      <c r="R864" t="inlineStr"/>
      <c r="S864" t="inlineStr"/>
      <c r="T864" t="inlineStr"/>
    </row>
    <row r="865">
      <c r="A865" t="inlineStr">
        <is>
          <t>CC Val Briard</t>
        </is>
      </c>
      <c r="B865" t="inlineStr">
        <is>
          <t>Communauté de communes</t>
        </is>
      </c>
      <c r="C865" t="inlineStr">
        <is>
          <t>200072874</t>
        </is>
      </c>
      <c r="D865" t="inlineStr">
        <is>
          <t>77</t>
        </is>
      </c>
      <c r="E865" t="inlineStr">
        <is>
          <t>Seine-et-Marne</t>
        </is>
      </c>
      <c r="F865" t="inlineStr">
        <is>
          <t>Île-de-France</t>
        </is>
      </c>
      <c r="G865" s="3" t="n">
        <v>29261</v>
      </c>
      <c r="H865" t="n">
        <v>21</v>
      </c>
      <c r="I865" t="inlineStr">
        <is>
          <t>2 rue des Vieilles-Chapelles</t>
        </is>
      </c>
      <c r="J865" t="inlineStr">
        <is>
          <t>77610</t>
        </is>
      </c>
      <c r="K865" t="inlineStr">
        <is>
          <t>Les Chapelles-Bourbon</t>
        </is>
      </c>
      <c r="L865" t="inlineStr">
        <is>
          <t>01 64 51 33 26</t>
        </is>
      </c>
      <c r="M865" s="4" t="inlineStr">
        <is>
          <t>contact@valbriard.fr</t>
        </is>
      </c>
      <c r="N865" s="4" t="inlineStr">
        <is>
          <t>https://valbriard.fr/</t>
        </is>
      </c>
      <c r="O865" s="4" t="inlineStr">
        <is>
          <t>https://valbriard.fr/contact/</t>
        </is>
      </c>
      <c r="P865" s="4" t="inlineStr">
        <is>
          <t>https://lannuaire.service-public.gouv.fr/ile-de-france/seine-et-marne/2fe015f7-a85d-497b-9888-e92d430e8602</t>
        </is>
      </c>
      <c r="Q865" t="inlineStr">
        <is>
          <t>Annuaire Service-public.fr</t>
        </is>
      </c>
      <c r="R865" t="inlineStr"/>
      <c r="S865" t="inlineStr"/>
      <c r="T865" t="inlineStr"/>
    </row>
    <row r="866">
      <c r="A866" t="inlineStr">
        <is>
          <t>CC des Deux Morin</t>
        </is>
      </c>
      <c r="B866" t="inlineStr">
        <is>
          <t>Communauté de communes</t>
        </is>
      </c>
      <c r="C866" t="inlineStr">
        <is>
          <t>200072544</t>
        </is>
      </c>
      <c r="D866" t="inlineStr">
        <is>
          <t>77</t>
        </is>
      </c>
      <c r="E866" t="inlineStr">
        <is>
          <t>Seine-et-Marne</t>
        </is>
      </c>
      <c r="F866" t="inlineStr">
        <is>
          <t>Île-de-France</t>
        </is>
      </c>
      <c r="G866" s="3" t="n">
        <v>26471</v>
      </c>
      <c r="H866" t="n">
        <v>31</v>
      </c>
      <c r="I866" t="inlineStr">
        <is>
          <t>1 rue Robert-Legraverend</t>
        </is>
      </c>
      <c r="J866" t="inlineStr">
        <is>
          <t>77320</t>
        </is>
      </c>
      <c r="K866" t="inlineStr">
        <is>
          <t>La Ferté-Gaucher</t>
        </is>
      </c>
      <c r="L866" t="inlineStr">
        <is>
          <t>01 64 03 25 80</t>
        </is>
      </c>
      <c r="M866" s="4" t="inlineStr">
        <is>
          <t>accueil@cc2m.fr</t>
        </is>
      </c>
      <c r="N866" s="4" t="inlineStr">
        <is>
          <t>https://www.cc2morin.fr/</t>
        </is>
      </c>
      <c r="O866" s="4" t="inlineStr">
        <is>
          <t>https://www.cc2morin.fr/nous-contacter/</t>
        </is>
      </c>
      <c r="P866" s="4" t="inlineStr">
        <is>
          <t>https://lannuaire.service-public.gouv.fr/ile-de-france/seine-et-marne/b2a2ab59-2a1d-4910-8d6b-bfbf24cfb6ad</t>
        </is>
      </c>
      <c r="Q866" t="inlineStr">
        <is>
          <t>Annuaire Service-public.fr</t>
        </is>
      </c>
      <c r="R866" t="inlineStr"/>
      <c r="S866" t="inlineStr"/>
      <c r="T866" t="inlineStr"/>
    </row>
    <row r="867">
      <c r="A867" t="inlineStr">
        <is>
          <t>CC du Pays de l'Ourcq</t>
        </is>
      </c>
      <c r="B867" t="inlineStr">
        <is>
          <t>Communauté de communes</t>
        </is>
      </c>
      <c r="C867" t="inlineStr">
        <is>
          <t>247700065</t>
        </is>
      </c>
      <c r="D867" t="inlineStr">
        <is>
          <t>77</t>
        </is>
      </c>
      <c r="E867" t="inlineStr">
        <is>
          <t>Seine-et-Marne</t>
        </is>
      </c>
      <c r="F867" t="inlineStr">
        <is>
          <t>Île-de-France</t>
        </is>
      </c>
      <c r="G867" s="3" t="n">
        <v>17365</v>
      </c>
      <c r="H867" t="n">
        <v>22</v>
      </c>
      <c r="I867" t="inlineStr">
        <is>
          <t>2 avenue Louis-Delahaye</t>
        </is>
      </c>
      <c r="J867" t="inlineStr">
        <is>
          <t>77440</t>
        </is>
      </c>
      <c r="K867" t="inlineStr">
        <is>
          <t>Ocquerre</t>
        </is>
      </c>
      <c r="L867" t="inlineStr">
        <is>
          <t>01 60 61 55 00</t>
        </is>
      </c>
      <c r="M867" s="4" t="inlineStr">
        <is>
          <t>ccpo@paysdelourcq.fr</t>
        </is>
      </c>
      <c r="N867" s="4" t="inlineStr">
        <is>
          <t>https://www.paysdelourcq.fr/accueil</t>
        </is>
      </c>
      <c r="O867" t="inlineStr"/>
      <c r="P867" s="4" t="inlineStr">
        <is>
          <t>https://lannuaire.service-public.gouv.fr/ile-de-france/seine-et-marne/c2e3c31c-dffc-4775-ba21-76effc360a37</t>
        </is>
      </c>
      <c r="Q867" t="inlineStr">
        <is>
          <t>Annuaire Service-public.fr</t>
        </is>
      </c>
      <c r="R867" t="inlineStr"/>
      <c r="S867" t="inlineStr"/>
      <c r="T867" t="inlineStr"/>
    </row>
    <row r="868">
      <c r="A868" t="inlineStr">
        <is>
          <t>CC du Provinois</t>
        </is>
      </c>
      <c r="B868" t="inlineStr">
        <is>
          <t>Communauté de communes</t>
        </is>
      </c>
      <c r="C868" t="inlineStr">
        <is>
          <t>200037133</t>
        </is>
      </c>
      <c r="D868" t="inlineStr">
        <is>
          <t>77</t>
        </is>
      </c>
      <c r="E868" t="inlineStr">
        <is>
          <t>Seine-et-Marne</t>
        </is>
      </c>
      <c r="F868" t="inlineStr">
        <is>
          <t>Île-de-France</t>
        </is>
      </c>
      <c r="G868" s="3" t="n">
        <v>34302</v>
      </c>
      <c r="H868" t="n">
        <v>39</v>
      </c>
      <c r="I868" t="inlineStr">
        <is>
          <t>7 cour des Bénédictins</t>
        </is>
      </c>
      <c r="J868" t="inlineStr">
        <is>
          <t>77160</t>
        </is>
      </c>
      <c r="K868" t="inlineStr">
        <is>
          <t>Provins</t>
        </is>
      </c>
      <c r="L868" t="inlineStr">
        <is>
          <t>01 60 58 60 58</t>
        </is>
      </c>
      <c r="M868" s="4" t="inlineStr">
        <is>
          <t>accueil@cc-du-provinois.fr</t>
        </is>
      </c>
      <c r="N868" s="4" t="inlineStr">
        <is>
          <t>https://www.cc-provinois.fr/</t>
        </is>
      </c>
      <c r="O868" t="inlineStr"/>
      <c r="P868" s="4" t="inlineStr">
        <is>
          <t>https://lannuaire.service-public.gouv.fr/ile-de-france/seine-et-marne/c6f1f8c3-1fb7-4593-9f11-fa794bce20fc</t>
        </is>
      </c>
      <c r="Q868" t="inlineStr">
        <is>
          <t>Annuaire Service-public.fr</t>
        </is>
      </c>
      <c r="R868" t="inlineStr"/>
      <c r="S868" t="inlineStr"/>
      <c r="T868" t="inlineStr"/>
    </row>
    <row r="869">
      <c r="A869" t="inlineStr">
        <is>
          <t>CC l'Orée de la Brie</t>
        </is>
      </c>
      <c r="B869" t="inlineStr">
        <is>
          <t>Communauté de communes</t>
        </is>
      </c>
      <c r="C869" t="inlineStr">
        <is>
          <t>247700644</t>
        </is>
      </c>
      <c r="D869" t="inlineStr">
        <is>
          <t>77, 91</t>
        </is>
      </c>
      <c r="E869" t="inlineStr">
        <is>
          <t>Seine-et-Marne, Essonne</t>
        </is>
      </c>
      <c r="F869" t="inlineStr">
        <is>
          <t>Île-de-France</t>
        </is>
      </c>
      <c r="G869" s="3" t="n">
        <v>28829</v>
      </c>
      <c r="H869" t="n">
        <v>4</v>
      </c>
      <c r="I869" t="inlineStr">
        <is>
          <t>1 place de la Gare</t>
        </is>
      </c>
      <c r="J869" t="inlineStr">
        <is>
          <t>77170</t>
        </is>
      </c>
      <c r="K869" t="inlineStr">
        <is>
          <t>Brie-Comte-Robert</t>
        </is>
      </c>
      <c r="L869" t="inlineStr">
        <is>
          <t>01 60 62 15 81</t>
        </is>
      </c>
      <c r="M869" s="4" t="inlineStr">
        <is>
          <t>communaute@loreedelabrie.fr</t>
        </is>
      </c>
      <c r="N869" s="4" t="inlineStr">
        <is>
          <t>https://www.loreedelabrie.fr/</t>
        </is>
      </c>
      <c r="O869" s="4" t="inlineStr">
        <is>
          <t>https://www.loreedelabrie.fr/contact/</t>
        </is>
      </c>
      <c r="P869" s="4" t="inlineStr">
        <is>
          <t>https://lannuaire.service-public.gouv.fr/ile-de-france/seine-et-marne/f33215d7-7b1f-4d8b-8819-ed68d6fa12fc</t>
        </is>
      </c>
      <c r="Q869" t="inlineStr">
        <is>
          <t>Annuaire Service-public.fr</t>
        </is>
      </c>
      <c r="R869" t="inlineStr"/>
      <c r="S869" t="inlineStr"/>
      <c r="T869" t="inlineStr"/>
    </row>
    <row r="870">
      <c r="A870" t="inlineStr">
        <is>
          <t>CC Coeur d'Yvelines</t>
        </is>
      </c>
      <c r="B870" t="inlineStr">
        <is>
          <t>Communauté de communes</t>
        </is>
      </c>
      <c r="C870" t="inlineStr">
        <is>
          <t>247800618</t>
        </is>
      </c>
      <c r="D870" t="inlineStr">
        <is>
          <t>78</t>
        </is>
      </c>
      <c r="E870" t="inlineStr">
        <is>
          <t>Yvelines</t>
        </is>
      </c>
      <c r="F870" t="inlineStr">
        <is>
          <t>Île-de-France</t>
        </is>
      </c>
      <c r="G870" s="3" t="n">
        <v>51560</v>
      </c>
      <c r="H870" t="n">
        <v>31</v>
      </c>
      <c r="I870" t="inlineStr">
        <is>
          <t>49 rue de Paris</t>
        </is>
      </c>
      <c r="J870" t="inlineStr">
        <is>
          <t>78490</t>
        </is>
      </c>
      <c r="K870" t="inlineStr">
        <is>
          <t>Montfort l'Amaury</t>
        </is>
      </c>
      <c r="L870" t="inlineStr">
        <is>
          <t>01 34 89 23 17</t>
        </is>
      </c>
      <c r="M870" s="4" t="inlineStr">
        <is>
          <t>accueil@cccy.fr</t>
        </is>
      </c>
      <c r="N870" s="4" t="inlineStr">
        <is>
          <t>https://www.coeur-yvelines.fr/</t>
        </is>
      </c>
      <c r="O870" t="inlineStr"/>
      <c r="P870" s="4" t="inlineStr">
        <is>
          <t>https://lannuaire.service-public.gouv.fr/ile-de-france/yvelines/183e8079-bb74-4f10-8eb7-3f5324000b2b</t>
        </is>
      </c>
      <c r="Q870" t="inlineStr">
        <is>
          <t>Annuaire Service-public.fr</t>
        </is>
      </c>
      <c r="R870" t="inlineStr"/>
      <c r="S870" t="inlineStr"/>
      <c r="T870" t="inlineStr"/>
    </row>
    <row r="871">
      <c r="A871" t="inlineStr">
        <is>
          <t>CC Gally Mauldre</t>
        </is>
      </c>
      <c r="B871" t="inlineStr">
        <is>
          <t>Communauté de communes</t>
        </is>
      </c>
      <c r="C871" t="inlineStr">
        <is>
          <t>200034130</t>
        </is>
      </c>
      <c r="D871" t="inlineStr">
        <is>
          <t>78</t>
        </is>
      </c>
      <c r="E871" t="inlineStr">
        <is>
          <t>Yvelines</t>
        </is>
      </c>
      <c r="F871" t="inlineStr">
        <is>
          <t>Île-de-France</t>
        </is>
      </c>
      <c r="G871" s="3" t="n">
        <v>22529</v>
      </c>
      <c r="H871" t="n">
        <v>11</v>
      </c>
      <c r="I871" t="inlineStr">
        <is>
          <t>39 Grande Rue</t>
        </is>
      </c>
      <c r="J871" t="inlineStr">
        <is>
          <t>78810</t>
        </is>
      </c>
      <c r="K871" t="inlineStr">
        <is>
          <t>Feucherolles</t>
        </is>
      </c>
      <c r="L871" t="inlineStr">
        <is>
          <t>01 86 36 01 51</t>
        </is>
      </c>
      <c r="M871" s="4" t="inlineStr">
        <is>
          <t>ccgm@cc-gallymauldre.fr</t>
        </is>
      </c>
      <c r="N871" s="4" t="inlineStr">
        <is>
          <t>https://cc-gallymauldre.fr/</t>
        </is>
      </c>
      <c r="O871" t="inlineStr"/>
      <c r="P871" s="4" t="inlineStr">
        <is>
          <t>https://lannuaire.service-public.gouv.fr/ile-de-france/yvelines/a96819e9-2a53-4dcf-8f52-24a57c8b2ef3</t>
        </is>
      </c>
      <c r="Q871" t="inlineStr">
        <is>
          <t>Annuaire Service-public.fr</t>
        </is>
      </c>
      <c r="R871" t="inlineStr"/>
      <c r="S871" t="inlineStr"/>
      <c r="T871" t="inlineStr"/>
    </row>
    <row r="872">
      <c r="A872" t="inlineStr">
        <is>
          <t>CC Les Portes de l'Ile de France</t>
        </is>
      </c>
      <c r="B872" t="inlineStr">
        <is>
          <t>Communauté de communes</t>
        </is>
      </c>
      <c r="C872" t="inlineStr">
        <is>
          <t>200071074</t>
        </is>
      </c>
      <c r="D872" t="inlineStr">
        <is>
          <t>78</t>
        </is>
      </c>
      <c r="E872" t="inlineStr">
        <is>
          <t>Yvelines</t>
        </is>
      </c>
      <c r="F872" t="inlineStr">
        <is>
          <t>Île-de-France</t>
        </is>
      </c>
      <c r="G872" s="3" t="n">
        <v>23147</v>
      </c>
      <c r="H872" t="n">
        <v>18</v>
      </c>
      <c r="I872" t="inlineStr">
        <is>
          <t>Rue du Clos Prieur, ZA le Clos Prieur</t>
        </is>
      </c>
      <c r="J872" t="inlineStr">
        <is>
          <t>78840</t>
        </is>
      </c>
      <c r="K872" t="inlineStr">
        <is>
          <t>Freneuse</t>
        </is>
      </c>
      <c r="L872" t="inlineStr">
        <is>
          <t>01 30 93 16 72</t>
        </is>
      </c>
      <c r="M872" s="4" t="inlineStr">
        <is>
          <t>accueil@ccpif.fr</t>
        </is>
      </c>
      <c r="N872" s="4" t="inlineStr">
        <is>
          <t>https://www.ccpif.fr/</t>
        </is>
      </c>
      <c r="O872" t="inlineStr"/>
      <c r="P872" s="4" t="inlineStr">
        <is>
          <t>https://lannuaire.service-public.gouv.fr/ile-de-france/yvelines/80bf6773-3d4f-498b-8275-e24dc653bf1d</t>
        </is>
      </c>
      <c r="Q872" t="inlineStr">
        <is>
          <t>Annuaire Service-public.fr</t>
        </is>
      </c>
      <c r="R872" t="inlineStr"/>
      <c r="S872" t="inlineStr"/>
      <c r="T872" t="inlineStr"/>
    </row>
    <row r="873">
      <c r="A873" t="inlineStr">
        <is>
          <t>CC de la Haute Vallée de Chevreuse</t>
        </is>
      </c>
      <c r="B873" t="inlineStr">
        <is>
          <t>Communauté de communes</t>
        </is>
      </c>
      <c r="C873" t="inlineStr">
        <is>
          <t>200033173</t>
        </is>
      </c>
      <c r="D873" t="inlineStr">
        <is>
          <t>78</t>
        </is>
      </c>
      <c r="E873" t="inlineStr">
        <is>
          <t>Yvelines</t>
        </is>
      </c>
      <c r="F873" t="inlineStr">
        <is>
          <t>Île-de-France</t>
        </is>
      </c>
      <c r="G873" s="3" t="n">
        <v>25225</v>
      </c>
      <c r="H873" t="n">
        <v>10</v>
      </c>
      <c r="I873" t="inlineStr">
        <is>
          <t>9 Grande-Rue</t>
        </is>
      </c>
      <c r="J873" t="inlineStr">
        <is>
          <t>78720</t>
        </is>
      </c>
      <c r="K873" t="inlineStr">
        <is>
          <t>Dampierre-en-Yvelines</t>
        </is>
      </c>
      <c r="L873" t="inlineStr">
        <is>
          <t>01 30 52 83 83</t>
        </is>
      </c>
      <c r="M873" s="4" t="inlineStr">
        <is>
          <t>cchvc78@orange.fr</t>
        </is>
      </c>
      <c r="N873" s="4" t="inlineStr">
        <is>
          <t>https://www.cchvc.fr/</t>
        </is>
      </c>
      <c r="O873" s="4" t="inlineStr">
        <is>
          <t>https://www.cchvc.fr/contact/</t>
        </is>
      </c>
      <c r="P873" s="4" t="inlineStr">
        <is>
          <t>https://lannuaire.service-public.gouv.fr/ile-de-france/yvelines/aa3ea9d6-f1bb-4220-b9fa-e09530587ca7</t>
        </is>
      </c>
      <c r="Q873" t="inlineStr">
        <is>
          <t>Annuaire Service-public.fr</t>
        </is>
      </c>
      <c r="R873" t="inlineStr"/>
      <c r="S873" t="inlineStr"/>
      <c r="T873" t="inlineStr"/>
    </row>
    <row r="874">
      <c r="A874" t="inlineStr">
        <is>
          <t>CC Airvaudais-Val du Thouet</t>
        </is>
      </c>
      <c r="B874" t="inlineStr">
        <is>
          <t>Communauté de communes</t>
        </is>
      </c>
      <c r="C874" t="inlineStr">
        <is>
          <t>200041416</t>
        </is>
      </c>
      <c r="D874" t="inlineStr">
        <is>
          <t>79</t>
        </is>
      </c>
      <c r="E874" t="inlineStr">
        <is>
          <t>Deux-Sèvres</t>
        </is>
      </c>
      <c r="F874" t="inlineStr">
        <is>
          <t>Nouvelle-Aquitaine</t>
        </is>
      </c>
      <c r="G874" s="3" t="n">
        <v>6913</v>
      </c>
      <c r="H874" t="n">
        <v>9</v>
      </c>
      <c r="I874" t="inlineStr">
        <is>
          <t>33 place des Promenades</t>
        </is>
      </c>
      <c r="J874" t="inlineStr">
        <is>
          <t>79600</t>
        </is>
      </c>
      <c r="K874" t="inlineStr">
        <is>
          <t>Airvault</t>
        </is>
      </c>
      <c r="L874" t="inlineStr">
        <is>
          <t>05 49 64 93 48</t>
        </is>
      </c>
      <c r="M874" s="4" t="inlineStr">
        <is>
          <t>communaute@cc-avt.fr</t>
        </is>
      </c>
      <c r="N874" s="4" t="inlineStr">
        <is>
          <t>https://www.cc-avt.fr/</t>
        </is>
      </c>
      <c r="O874" s="4" t="inlineStr">
        <is>
          <t>https://www.cc-avt.fr/contact.html</t>
        </is>
      </c>
      <c r="P874" s="4" t="inlineStr">
        <is>
          <t>https://lannuaire.service-public.gouv.fr/nouvelle-aquitaine/deux-sevres/7b74c321-a9fd-414e-b9fe-82f42f25953c</t>
        </is>
      </c>
      <c r="Q874" t="inlineStr">
        <is>
          <t>Annuaire Service-public.fr</t>
        </is>
      </c>
      <c r="R874" t="inlineStr"/>
      <c r="S874" t="inlineStr"/>
      <c r="T874" t="inlineStr"/>
    </row>
    <row r="875">
      <c r="A875" t="inlineStr">
        <is>
          <t>CC Haut Val de Sèvre</t>
        </is>
      </c>
      <c r="B875" t="inlineStr">
        <is>
          <t>Communauté de communes</t>
        </is>
      </c>
      <c r="C875" t="inlineStr">
        <is>
          <t>200041994</t>
        </is>
      </c>
      <c r="D875" t="inlineStr">
        <is>
          <t>79</t>
        </is>
      </c>
      <c r="E875" t="inlineStr">
        <is>
          <t>Deux-Sèvres</t>
        </is>
      </c>
      <c r="F875" t="inlineStr">
        <is>
          <t>Nouvelle-Aquitaine</t>
        </is>
      </c>
      <c r="G875" s="3" t="n">
        <v>30618</v>
      </c>
      <c r="H875" t="n">
        <v>19</v>
      </c>
      <c r="I875" t="inlineStr">
        <is>
          <t>7 boulevard de la Trouillette</t>
        </is>
      </c>
      <c r="J875" t="inlineStr">
        <is>
          <t>79400</t>
        </is>
      </c>
      <c r="K875" t="inlineStr">
        <is>
          <t>Saint-Maixent-l'École</t>
        </is>
      </c>
      <c r="L875" t="inlineStr">
        <is>
          <t>05 49 76 29 58</t>
        </is>
      </c>
      <c r="M875" s="4" t="inlineStr">
        <is>
          <t>contact@cc-hvs.fr</t>
        </is>
      </c>
      <c r="N875" s="4" t="inlineStr">
        <is>
          <t>https://cc-hautvaldesevre.fr/</t>
        </is>
      </c>
      <c r="O875" s="4" t="inlineStr">
        <is>
          <t>https://cc-hautvaldesevre.fr/contact.html</t>
        </is>
      </c>
      <c r="P875" s="4" t="inlineStr">
        <is>
          <t>https://lannuaire.service-public.gouv.fr/nouvelle-aquitaine/deux-sevres/feed2471-dd68-4d16-9c29-a90e09990a64</t>
        </is>
      </c>
      <c r="Q875" t="inlineStr">
        <is>
          <t>Annuaire Service-public.fr</t>
        </is>
      </c>
      <c r="R875" t="inlineStr"/>
      <c r="S875" t="inlineStr"/>
      <c r="T875" t="inlineStr"/>
    </row>
    <row r="876">
      <c r="A876" t="inlineStr">
        <is>
          <t>CC Mellois en Poitou</t>
        </is>
      </c>
      <c r="B876" t="inlineStr">
        <is>
          <t>Communauté de communes</t>
        </is>
      </c>
      <c r="C876" t="inlineStr">
        <is>
          <t>200069755</t>
        </is>
      </c>
      <c r="D876" t="inlineStr">
        <is>
          <t>79</t>
        </is>
      </c>
      <c r="E876" t="inlineStr">
        <is>
          <t>Deux-Sèvres</t>
        </is>
      </c>
      <c r="F876" t="inlineStr">
        <is>
          <t>Nouvelle-Aquitaine</t>
        </is>
      </c>
      <c r="G876" s="3" t="n">
        <v>46490</v>
      </c>
      <c r="H876" t="n">
        <v>58</v>
      </c>
      <c r="I876" t="inlineStr">
        <is>
          <t>Les Arcades, 2 place de Strasbourg</t>
        </is>
      </c>
      <c r="J876" t="inlineStr">
        <is>
          <t>79500</t>
        </is>
      </c>
      <c r="K876" t="inlineStr">
        <is>
          <t>Melle</t>
        </is>
      </c>
      <c r="L876" t="inlineStr">
        <is>
          <t>05 49 29 02 90</t>
        </is>
      </c>
      <c r="M876" s="4" t="inlineStr">
        <is>
          <t>accueil@melloisenpoitou.fr</t>
        </is>
      </c>
      <c r="N876" s="4" t="inlineStr">
        <is>
          <t>https://www.melloisenpoitou.fr/</t>
        </is>
      </c>
      <c r="O876" s="4" t="inlineStr">
        <is>
          <t>https://www.melloisenpoitou.fr/contactez-nous</t>
        </is>
      </c>
      <c r="P876" s="4" t="inlineStr">
        <is>
          <t>https://lannuaire.service-public.gouv.fr/nouvelle-aquitaine/deux-sevres/4e3e2428-830f-4269-8653-e50b86213e56</t>
        </is>
      </c>
      <c r="Q876" t="inlineStr">
        <is>
          <t>Annuaire Service-public.fr</t>
        </is>
      </c>
      <c r="R876" t="inlineStr"/>
      <c r="S876" t="inlineStr"/>
      <c r="T876" t="inlineStr"/>
    </row>
    <row r="877">
      <c r="A877" t="inlineStr">
        <is>
          <t>CC Val de Gâtine</t>
        </is>
      </c>
      <c r="B877" t="inlineStr">
        <is>
          <t>Communauté de communes</t>
        </is>
      </c>
      <c r="C877" t="inlineStr">
        <is>
          <t>200069748</t>
        </is>
      </c>
      <c r="D877" t="inlineStr">
        <is>
          <t>79</t>
        </is>
      </c>
      <c r="E877" t="inlineStr">
        <is>
          <t>Deux-Sèvres</t>
        </is>
      </c>
      <c r="F877" t="inlineStr">
        <is>
          <t>Nouvelle-Aquitaine</t>
        </is>
      </c>
      <c r="G877" s="3" t="n">
        <v>21570</v>
      </c>
      <c r="H877" t="n">
        <v>31</v>
      </c>
      <c r="I877" t="inlineStr">
        <is>
          <t>Place Porte-Saint-Antoine</t>
        </is>
      </c>
      <c r="J877" t="inlineStr">
        <is>
          <t>79220</t>
        </is>
      </c>
      <c r="K877" t="inlineStr">
        <is>
          <t>Champdeniers</t>
        </is>
      </c>
      <c r="L877" t="inlineStr">
        <is>
          <t>05 49 25 64 11</t>
        </is>
      </c>
      <c r="M877" s="4" t="inlineStr">
        <is>
          <t>accueil.champdeniers@valdegatine.fr</t>
        </is>
      </c>
      <c r="N877" s="4" t="inlineStr">
        <is>
          <t>https://www.valdegatine.fr/accueil.html</t>
        </is>
      </c>
      <c r="O877" s="4" t="inlineStr">
        <is>
          <t>https://www.valdegatine.fr/contact.html</t>
        </is>
      </c>
      <c r="P877" s="4" t="inlineStr">
        <is>
          <t>https://lannuaire.service-public.gouv.fr/nouvelle-aquitaine/deux-sevres/6949f806-41a4-45b4-97f8-8f0d8145310e</t>
        </is>
      </c>
      <c r="Q877" t="inlineStr">
        <is>
          <t>Annuaire Service-public.fr</t>
        </is>
      </c>
      <c r="R877" t="inlineStr"/>
      <c r="S877" t="inlineStr"/>
      <c r="T877" t="inlineStr"/>
    </row>
    <row r="878">
      <c r="A878" t="inlineStr">
        <is>
          <t>CC de Parthenay-Gâtine</t>
        </is>
      </c>
      <c r="B878" t="inlineStr">
        <is>
          <t>Communauté de communes</t>
        </is>
      </c>
      <c r="C878" t="inlineStr">
        <is>
          <t>200041333</t>
        </is>
      </c>
      <c r="D878" t="inlineStr">
        <is>
          <t>79</t>
        </is>
      </c>
      <c r="E878" t="inlineStr">
        <is>
          <t>Deux-Sèvres</t>
        </is>
      </c>
      <c r="F878" t="inlineStr">
        <is>
          <t>Nouvelle-Aquitaine</t>
        </is>
      </c>
      <c r="G878" s="3" t="n">
        <v>36926</v>
      </c>
      <c r="H878" t="n">
        <v>38</v>
      </c>
      <c r="I878" t="inlineStr">
        <is>
          <t>2 rue de la Citadelle</t>
        </is>
      </c>
      <c r="J878" t="inlineStr">
        <is>
          <t>79200</t>
        </is>
      </c>
      <c r="K878" t="inlineStr">
        <is>
          <t>Parthenay</t>
        </is>
      </c>
      <c r="L878" t="inlineStr">
        <is>
          <t>05 49 94 03 77</t>
        </is>
      </c>
      <c r="M878" s="4" t="inlineStr">
        <is>
          <t>cc-parthenay@cc-parthenay-gatine.fr</t>
        </is>
      </c>
      <c r="N878" s="4" t="inlineStr">
        <is>
          <t>https://www.cc-parthenay-gatine.fr/</t>
        </is>
      </c>
      <c r="O878" t="inlineStr"/>
      <c r="P878" s="4" t="inlineStr">
        <is>
          <t>https://lannuaire.service-public.gouv.fr/nouvelle-aquitaine/deux-sevres/981d3c12-af95-4995-8476-ca0a6a4b7fc0</t>
        </is>
      </c>
      <c r="Q878" t="inlineStr">
        <is>
          <t>Annuaire Service-public.fr</t>
        </is>
      </c>
      <c r="R878" t="inlineStr"/>
      <c r="S878" t="inlineStr"/>
      <c r="T878" t="inlineStr"/>
    </row>
    <row r="879">
      <c r="A879" t="inlineStr">
        <is>
          <t>CC du Thouarsais</t>
        </is>
      </c>
      <c r="B879" t="inlineStr">
        <is>
          <t>Communauté de communes</t>
        </is>
      </c>
      <c r="C879" t="inlineStr">
        <is>
          <t>247900798</t>
        </is>
      </c>
      <c r="D879" t="inlineStr">
        <is>
          <t>79</t>
        </is>
      </c>
      <c r="E879" t="inlineStr">
        <is>
          <t>Deux-Sèvres</t>
        </is>
      </c>
      <c r="F879" t="inlineStr">
        <is>
          <t>Nouvelle-Aquitaine</t>
        </is>
      </c>
      <c r="G879" s="3" t="n">
        <v>35369</v>
      </c>
      <c r="H879" t="n">
        <v>24</v>
      </c>
      <c r="I879" t="inlineStr">
        <is>
          <t>4 rue de la Tremoille, Hôtel des Communes</t>
        </is>
      </c>
      <c r="J879" t="inlineStr">
        <is>
          <t>79100</t>
        </is>
      </c>
      <c r="K879" t="inlineStr">
        <is>
          <t>Thouars</t>
        </is>
      </c>
      <c r="L879" t="inlineStr">
        <is>
          <t>05 49 66 77 00</t>
        </is>
      </c>
      <c r="M879" s="4" t="inlineStr">
        <is>
          <t>info@thouars-communaute.fr</t>
        </is>
      </c>
      <c r="N879" s="4" t="inlineStr">
        <is>
          <t>https://www.thouars-communaute.fr/</t>
        </is>
      </c>
      <c r="O879" s="4" t="inlineStr">
        <is>
          <t>https://www.thouars-communaute.fr/</t>
        </is>
      </c>
      <c r="P879" s="4" t="inlineStr">
        <is>
          <t>https://lannuaire.service-public.gouv.fr/nouvelle-aquitaine/deux-sevres/1b39bc84-44d3-4215-bed9-d058bcdf6e95</t>
        </is>
      </c>
      <c r="Q879" t="inlineStr">
        <is>
          <t>Annuaire Service-public.fr</t>
        </is>
      </c>
      <c r="R879" t="inlineStr"/>
      <c r="S879" t="inlineStr"/>
      <c r="T879" t="inlineStr"/>
    </row>
    <row r="880">
      <c r="A880" t="inlineStr">
        <is>
          <t>CC Avre Luce Noye</t>
        </is>
      </c>
      <c r="B880" t="inlineStr">
        <is>
          <t>Communauté de communes</t>
        </is>
      </c>
      <c r="C880" t="inlineStr">
        <is>
          <t>200070969</t>
        </is>
      </c>
      <c r="D880" t="inlineStr">
        <is>
          <t>80</t>
        </is>
      </c>
      <c r="E880" t="inlineStr">
        <is>
          <t>Somme</t>
        </is>
      </c>
      <c r="F880" t="inlineStr">
        <is>
          <t>Hauts-de-France</t>
        </is>
      </c>
      <c r="G880" s="3" t="n">
        <v>21536</v>
      </c>
      <c r="H880" t="n">
        <v>47</v>
      </c>
      <c r="I880" t="inlineStr">
        <is>
          <t>ZAC du Val de Noye, Route de Boves</t>
        </is>
      </c>
      <c r="J880" t="inlineStr">
        <is>
          <t>80250</t>
        </is>
      </c>
      <c r="K880" t="inlineStr">
        <is>
          <t>Ailly-sur-Noye</t>
        </is>
      </c>
      <c r="L880" t="inlineStr">
        <is>
          <t>03 22 09 75 32</t>
        </is>
      </c>
      <c r="M880" s="4" t="inlineStr">
        <is>
          <t>secretariat@avrelucenoye.fr</t>
        </is>
      </c>
      <c r="N880" s="4" t="inlineStr">
        <is>
          <t>https://www.avrelucenoye.fr/</t>
        </is>
      </c>
      <c r="O880" s="4" t="inlineStr">
        <is>
          <t>https://www.avrelucenoye.fr/nous-contacter/</t>
        </is>
      </c>
      <c r="P880" s="4" t="inlineStr">
        <is>
          <t>https://lannuaire.service-public.gouv.fr/hauts-de-france/somme/d879e2e7-b66e-4f89-b344-6a4165242703</t>
        </is>
      </c>
      <c r="Q880" t="inlineStr">
        <is>
          <t>Annuaire Service-public.fr</t>
        </is>
      </c>
      <c r="R880" t="inlineStr"/>
      <c r="S880" t="inlineStr"/>
      <c r="T880" t="inlineStr"/>
    </row>
    <row r="881">
      <c r="A881" t="inlineStr">
        <is>
          <t>CC Nièvre et Somme</t>
        </is>
      </c>
      <c r="B881" t="inlineStr">
        <is>
          <t>Communauté de communes</t>
        </is>
      </c>
      <c r="C881" t="inlineStr">
        <is>
          <t>200071223</t>
        </is>
      </c>
      <c r="D881" t="inlineStr">
        <is>
          <t>80</t>
        </is>
      </c>
      <c r="E881" t="inlineStr">
        <is>
          <t>Somme</t>
        </is>
      </c>
      <c r="F881" t="inlineStr">
        <is>
          <t>Hauts-de-France</t>
        </is>
      </c>
      <c r="G881" s="3" t="n">
        <v>27719</v>
      </c>
      <c r="H881" t="n">
        <v>36</v>
      </c>
      <c r="I881" t="inlineStr">
        <is>
          <t>ZAC des Hauts du Val de Nièvre, 1 allée des Quarantes, BP 30214</t>
        </is>
      </c>
      <c r="J881" t="inlineStr">
        <is>
          <t>80420</t>
        </is>
      </c>
      <c r="K881" t="inlineStr">
        <is>
          <t>Flixecourt</t>
        </is>
      </c>
      <c r="L881" t="inlineStr">
        <is>
          <t>03 22 39 40 40</t>
        </is>
      </c>
      <c r="M881" s="4" t="inlineStr">
        <is>
          <t>contact@nievresomme.fr</t>
        </is>
      </c>
      <c r="N881" s="4" t="inlineStr">
        <is>
          <t>https://www.nievresomme.fr/</t>
        </is>
      </c>
      <c r="O881" s="4" t="inlineStr">
        <is>
          <t>https://www.nievresomme.fr/contact/contact.html</t>
        </is>
      </c>
      <c r="P881" s="4" t="inlineStr">
        <is>
          <t>https://lannuaire.service-public.gouv.fr/hauts-de-france/somme/9ba2180b-165f-4c50-be40-7eb458be4b88</t>
        </is>
      </c>
      <c r="Q881" t="inlineStr">
        <is>
          <t>Annuaire Service-public.fr</t>
        </is>
      </c>
      <c r="R881" t="inlineStr"/>
      <c r="S881" t="inlineStr"/>
      <c r="T881" t="inlineStr"/>
    </row>
    <row r="882">
      <c r="A882" t="inlineStr">
        <is>
          <t>CC Ponthieu-Marquenterre</t>
        </is>
      </c>
      <c r="B882" t="inlineStr">
        <is>
          <t>Communauté de communes</t>
        </is>
      </c>
      <c r="C882" t="inlineStr">
        <is>
          <t>200070936</t>
        </is>
      </c>
      <c r="D882" t="inlineStr">
        <is>
          <t>80</t>
        </is>
      </c>
      <c r="E882" t="inlineStr">
        <is>
          <t>Somme</t>
        </is>
      </c>
      <c r="F882" t="inlineStr">
        <is>
          <t>Hauts-de-France</t>
        </is>
      </c>
      <c r="G882" s="3" t="n">
        <v>32650</v>
      </c>
      <c r="H882" t="n">
        <v>70</v>
      </c>
      <c r="I882" t="inlineStr">
        <is>
          <t>33 bis route du Crotoy</t>
        </is>
      </c>
      <c r="J882" t="inlineStr">
        <is>
          <t>80120</t>
        </is>
      </c>
      <c r="K882" t="inlineStr">
        <is>
          <t>Rue</t>
        </is>
      </c>
      <c r="L882" t="inlineStr">
        <is>
          <t>03 22 27 27 10</t>
        </is>
      </c>
      <c r="M882" s="4" t="inlineStr">
        <is>
          <t>siege.rue@ponthieu-marquenterre.fr</t>
        </is>
      </c>
      <c r="N882" s="4" t="inlineStr">
        <is>
          <t>https://www.ponthieu-marquenterre.fr/</t>
        </is>
      </c>
      <c r="O882" t="inlineStr"/>
      <c r="P882" s="4" t="inlineStr">
        <is>
          <t>https://lannuaire.service-public.gouv.fr/hauts-de-france/somme/74880fe7-ab6a-408d-b76f-8ab2d0069c5e</t>
        </is>
      </c>
      <c r="Q882" t="inlineStr">
        <is>
          <t>Annuaire Service-public.fr</t>
        </is>
      </c>
      <c r="R882" t="inlineStr"/>
      <c r="S882" t="inlineStr"/>
      <c r="T882" t="inlineStr"/>
    </row>
    <row r="883">
      <c r="A883" t="inlineStr">
        <is>
          <t>CC Somme Sud-Ouest</t>
        </is>
      </c>
      <c r="B883" t="inlineStr">
        <is>
          <t>Communauté de communes</t>
        </is>
      </c>
      <c r="C883" t="inlineStr">
        <is>
          <t>200071181</t>
        </is>
      </c>
      <c r="D883" t="inlineStr">
        <is>
          <t>80</t>
        </is>
      </c>
      <c r="E883" t="inlineStr">
        <is>
          <t>Somme</t>
        </is>
      </c>
      <c r="F883" t="inlineStr">
        <is>
          <t>Hauts-de-France</t>
        </is>
      </c>
      <c r="G883" s="3" t="n">
        <v>38045</v>
      </c>
      <c r="H883" t="n">
        <v>119</v>
      </c>
      <c r="I883" t="inlineStr">
        <is>
          <t>16 bis route d'Aumale</t>
        </is>
      </c>
      <c r="J883" t="inlineStr">
        <is>
          <t>80290</t>
        </is>
      </c>
      <c r="K883" t="inlineStr">
        <is>
          <t>Poix-de-Picardie</t>
        </is>
      </c>
      <c r="L883" t="inlineStr">
        <is>
          <t>03 22 90 19 65</t>
        </is>
      </c>
      <c r="M883" s="4" t="inlineStr">
        <is>
          <t>contact@cc2so.fr</t>
        </is>
      </c>
      <c r="N883" s="4" t="inlineStr">
        <is>
          <t>https://www.cc2so.fr/</t>
        </is>
      </c>
      <c r="O883" t="inlineStr"/>
      <c r="P883" s="4" t="inlineStr">
        <is>
          <t>https://lannuaire.service-public.gouv.fr/hauts-de-france/somme/82ce2f8a-ea87-416e-b3b2-ddabbdc36c99</t>
        </is>
      </c>
      <c r="Q883" t="inlineStr">
        <is>
          <t>Annuaire Service-public.fr</t>
        </is>
      </c>
      <c r="R883" t="inlineStr"/>
      <c r="S883" t="inlineStr"/>
      <c r="T883" t="inlineStr"/>
    </row>
    <row r="884">
      <c r="A884" t="inlineStr">
        <is>
          <t>CC Terre de Picardie</t>
        </is>
      </c>
      <c r="B884" t="inlineStr">
        <is>
          <t>Communauté de communes</t>
        </is>
      </c>
      <c r="C884" t="inlineStr">
        <is>
          <t>200070928</t>
        </is>
      </c>
      <c r="D884" t="inlineStr">
        <is>
          <t>80</t>
        </is>
      </c>
      <c r="E884" t="inlineStr">
        <is>
          <t>Somme</t>
        </is>
      </c>
      <c r="F884" t="inlineStr">
        <is>
          <t>Hauts-de-France</t>
        </is>
      </c>
      <c r="G884" s="3" t="n">
        <v>17997</v>
      </c>
      <c r="H884" t="n">
        <v>43</v>
      </c>
      <c r="I884" t="inlineStr">
        <is>
          <t>10 avenue de Haute-Picardie</t>
        </is>
      </c>
      <c r="J884" t="inlineStr">
        <is>
          <t>80200</t>
        </is>
      </c>
      <c r="K884" t="inlineStr">
        <is>
          <t>Estrées-Deniécourt</t>
        </is>
      </c>
      <c r="L884" t="inlineStr">
        <is>
          <t>03 22 85 14 14</t>
        </is>
      </c>
      <c r="M884" s="4" t="inlineStr">
        <is>
          <t>contact@terredepicardie.fr</t>
        </is>
      </c>
      <c r="N884" s="4" t="inlineStr">
        <is>
          <t>https://terredepicardie.fr/</t>
        </is>
      </c>
      <c r="O884" t="inlineStr"/>
      <c r="P884" s="4" t="inlineStr">
        <is>
          <t>https://lannuaire.service-public.gouv.fr/hauts-de-france/somme/9ed19fdb-92b8-439e-a2fd-21b19a9f1573</t>
        </is>
      </c>
      <c r="Q884" t="inlineStr">
        <is>
          <t>Annuaire Service-public.fr</t>
        </is>
      </c>
      <c r="R884" t="inlineStr"/>
      <c r="S884" t="inlineStr"/>
      <c r="T884" t="inlineStr"/>
    </row>
    <row r="885">
      <c r="A885" t="inlineStr">
        <is>
          <t>CC de la Haute Somme (Combles - Péronne - Roisel)</t>
        </is>
      </c>
      <c r="B885" t="inlineStr">
        <is>
          <t>Communauté de communes</t>
        </is>
      </c>
      <c r="C885" t="inlineStr">
        <is>
          <t>200037059</t>
        </is>
      </c>
      <c r="D885" t="inlineStr">
        <is>
          <t>80</t>
        </is>
      </c>
      <c r="E885" t="inlineStr">
        <is>
          <t>Somme</t>
        </is>
      </c>
      <c r="F885" t="inlineStr">
        <is>
          <t>Hauts-de-France</t>
        </is>
      </c>
      <c r="G885" s="3" t="n">
        <v>26454</v>
      </c>
      <c r="H885" t="n">
        <v>60</v>
      </c>
      <c r="I885" t="inlineStr">
        <is>
          <t>23 avenue de l'Europe</t>
        </is>
      </c>
      <c r="J885" t="inlineStr">
        <is>
          <t>8020</t>
        </is>
      </c>
      <c r="K885" t="inlineStr">
        <is>
          <t>Péronne</t>
        </is>
      </c>
      <c r="L885" t="inlineStr">
        <is>
          <t>03 22 84 27 51</t>
        </is>
      </c>
      <c r="M885" s="4" t="inlineStr">
        <is>
          <t>cchs@cchs.fr</t>
        </is>
      </c>
      <c r="N885" s="4" t="inlineStr">
        <is>
          <t>https://www.coeurhautesomme.fr/</t>
        </is>
      </c>
      <c r="O885" s="4" t="inlineStr">
        <is>
          <t>https://www.coeurhautesomme.fr/communaute-de-communes/contact/</t>
        </is>
      </c>
      <c r="P885" s="4" t="inlineStr">
        <is>
          <t>https://lannuaire.service-public.gouv.fr/hauts-de-france/somme/35fa7871-a479-48e6-9ba9-6253ea8e2f08</t>
        </is>
      </c>
      <c r="Q885" t="inlineStr">
        <is>
          <t>Annuaire Service-public.fr</t>
        </is>
      </c>
      <c r="R885" t="inlineStr"/>
      <c r="S885" t="inlineStr"/>
      <c r="T885" t="inlineStr"/>
    </row>
    <row r="886">
      <c r="A886" t="inlineStr">
        <is>
          <t>CC du Grand Roye</t>
        </is>
      </c>
      <c r="B886" t="inlineStr">
        <is>
          <t>Communauté de communes</t>
        </is>
      </c>
      <c r="C886" t="inlineStr">
        <is>
          <t>200070977</t>
        </is>
      </c>
      <c r="D886" t="inlineStr">
        <is>
          <t>80</t>
        </is>
      </c>
      <c r="E886" t="inlineStr">
        <is>
          <t>Somme</t>
        </is>
      </c>
      <c r="F886" t="inlineStr">
        <is>
          <t>Hauts-de-France</t>
        </is>
      </c>
      <c r="G886" s="3" t="n">
        <v>25268</v>
      </c>
      <c r="H886" t="n">
        <v>62</v>
      </c>
      <c r="I886" t="inlineStr">
        <is>
          <t>1136 rue Pasteur-Prolongée</t>
        </is>
      </c>
      <c r="J886" t="inlineStr">
        <is>
          <t>80500</t>
        </is>
      </c>
      <c r="K886" t="inlineStr">
        <is>
          <t>Montdidier</t>
        </is>
      </c>
      <c r="L886" t="inlineStr">
        <is>
          <t>03 22 37 50 50</t>
        </is>
      </c>
      <c r="M886" s="4" t="inlineStr">
        <is>
          <t>contact@grandroye.fr</t>
        </is>
      </c>
      <c r="N886" s="4" t="inlineStr">
        <is>
          <t>https://www.grandroye.fr/</t>
        </is>
      </c>
      <c r="O886" t="inlineStr"/>
      <c r="P886" s="4" t="inlineStr">
        <is>
          <t>https://lannuaire.service-public.gouv.fr/hauts-de-france/somme/bc076ee1-b496-4076-a406-c73e76c9fd77</t>
        </is>
      </c>
      <c r="Q886" t="inlineStr">
        <is>
          <t>Annuaire Service-public.fr</t>
        </is>
      </c>
      <c r="R886" t="inlineStr"/>
      <c r="S886" t="inlineStr"/>
      <c r="T886" t="inlineStr"/>
    </row>
    <row r="887">
      <c r="A887" t="inlineStr">
        <is>
          <t>CC du Pays du Coquelicot</t>
        </is>
      </c>
      <c r="B887" t="inlineStr">
        <is>
          <t>Communauté de communes</t>
        </is>
      </c>
      <c r="C887" t="inlineStr">
        <is>
          <t>248000747</t>
        </is>
      </c>
      <c r="D887" t="inlineStr">
        <is>
          <t>80</t>
        </is>
      </c>
      <c r="E887" t="inlineStr">
        <is>
          <t>Somme</t>
        </is>
      </c>
      <c r="F887" t="inlineStr">
        <is>
          <t>Hauts-de-France</t>
        </is>
      </c>
      <c r="G887" s="3" t="n">
        <v>27909</v>
      </c>
      <c r="H887" t="n">
        <v>65</v>
      </c>
      <c r="I887" t="inlineStr">
        <is>
          <t>6 rue Émile-Zola</t>
        </is>
      </c>
      <c r="J887" t="inlineStr">
        <is>
          <t>80300</t>
        </is>
      </c>
      <c r="K887" t="inlineStr">
        <is>
          <t>Albert</t>
        </is>
      </c>
      <c r="L887" t="inlineStr">
        <is>
          <t>03 22 64 10 30</t>
        </is>
      </c>
      <c r="M887" s="4" t="inlineStr">
        <is>
          <t>comdecom@paysducoquelicot.com</t>
        </is>
      </c>
      <c r="N887" s="4" t="inlineStr">
        <is>
          <t>https://www.paysducoquelicot.com/</t>
        </is>
      </c>
      <c r="O887" s="4" t="inlineStr">
        <is>
          <t>https://www.paysducoquelicot.com/contact</t>
        </is>
      </c>
      <c r="P887" s="4" t="inlineStr">
        <is>
          <t>https://lannuaire.service-public.gouv.fr/hauts-de-france/somme/a6f0c180-e33a-4250-9b88-a8d6b6ac78a8</t>
        </is>
      </c>
      <c r="Q887" t="inlineStr">
        <is>
          <t>Annuaire Service-public.fr</t>
        </is>
      </c>
      <c r="R887" t="inlineStr"/>
      <c r="S887" t="inlineStr"/>
      <c r="T887" t="inlineStr"/>
    </row>
    <row r="888">
      <c r="A888" t="inlineStr">
        <is>
          <t>CC du Territoire Nord Picardie</t>
        </is>
      </c>
      <c r="B888" t="inlineStr">
        <is>
          <t>Communauté de communes</t>
        </is>
      </c>
      <c r="C888" t="inlineStr">
        <is>
          <t>200070951</t>
        </is>
      </c>
      <c r="D888" t="inlineStr">
        <is>
          <t>80</t>
        </is>
      </c>
      <c r="E888" t="inlineStr">
        <is>
          <t>Somme</t>
        </is>
      </c>
      <c r="F888" t="inlineStr">
        <is>
          <t>Hauts-de-France</t>
        </is>
      </c>
      <c r="G888" s="3" t="n">
        <v>30818</v>
      </c>
      <c r="H888" t="n">
        <v>65</v>
      </c>
      <c r="I888" t="inlineStr">
        <is>
          <t>2 rue des Soeurs-Grises</t>
        </is>
      </c>
      <c r="J888" t="inlineStr">
        <is>
          <t>80600</t>
        </is>
      </c>
      <c r="K888" t="inlineStr">
        <is>
          <t>Doullens</t>
        </is>
      </c>
      <c r="L888" t="inlineStr">
        <is>
          <t>03 22 77 80 00</t>
        </is>
      </c>
      <c r="M888" s="4" t="inlineStr">
        <is>
          <t>contact@cctnp.fr</t>
        </is>
      </c>
      <c r="N888" s="4" t="inlineStr">
        <is>
          <t>https://www.cctnp.fr/</t>
        </is>
      </c>
      <c r="O888" s="4" t="inlineStr">
        <is>
          <t>https://www.cctnp.fr/contact/</t>
        </is>
      </c>
      <c r="P888" s="4" t="inlineStr">
        <is>
          <t>https://lannuaire.service-public.gouv.fr/hauts-de-france/somme/6e716b30-1dbc-4a04-9f74-f1d39879f9dc</t>
        </is>
      </c>
      <c r="Q888" t="inlineStr">
        <is>
          <t>Annuaire Service-public.fr</t>
        </is>
      </c>
      <c r="R888" t="inlineStr"/>
      <c r="S888" t="inlineStr"/>
      <c r="T888" t="inlineStr"/>
    </row>
    <row r="889">
      <c r="A889" t="inlineStr">
        <is>
          <t>CC du Val de Somme</t>
        </is>
      </c>
      <c r="B889" t="inlineStr">
        <is>
          <t>Communauté de communes</t>
        </is>
      </c>
      <c r="C889" t="inlineStr">
        <is>
          <t>248000499</t>
        </is>
      </c>
      <c r="D889" t="inlineStr">
        <is>
          <t>80</t>
        </is>
      </c>
      <c r="E889" t="inlineStr">
        <is>
          <t>Somme</t>
        </is>
      </c>
      <c r="F889" t="inlineStr">
        <is>
          <t>Hauts-de-France</t>
        </is>
      </c>
      <c r="G889" s="3" t="n">
        <v>26501</v>
      </c>
      <c r="H889" t="n">
        <v>33</v>
      </c>
      <c r="I889" t="inlineStr">
        <is>
          <t>Enclos de l'Abbaye, 31 ter rue Gambetta</t>
        </is>
      </c>
      <c r="J889" t="inlineStr">
        <is>
          <t>80800</t>
        </is>
      </c>
      <c r="K889" t="inlineStr">
        <is>
          <t>Corbie</t>
        </is>
      </c>
      <c r="L889" t="inlineStr">
        <is>
          <t>03 22 96 05 96</t>
        </is>
      </c>
      <c r="M889" s="4" t="inlineStr">
        <is>
          <t>comdecom@valdesomme.com</t>
        </is>
      </c>
      <c r="N889" s="4" t="inlineStr">
        <is>
          <t>https://www.valdesomme.com/</t>
        </is>
      </c>
      <c r="O889" t="inlineStr"/>
      <c r="P889" s="4" t="inlineStr">
        <is>
          <t>https://lannuaire.service-public.gouv.fr/hauts-de-france/somme/05a77901-f128-4689-bd91-a4a8db957298</t>
        </is>
      </c>
      <c r="Q889" t="inlineStr">
        <is>
          <t>Annuaire Service-public.fr</t>
        </is>
      </c>
      <c r="R889" t="inlineStr"/>
      <c r="S889" t="inlineStr"/>
      <c r="T889" t="inlineStr"/>
    </row>
    <row r="890">
      <c r="A890" t="inlineStr">
        <is>
          <t>CC du Vimeu</t>
        </is>
      </c>
      <c r="B890" t="inlineStr">
        <is>
          <t>Communauté de communes</t>
        </is>
      </c>
      <c r="C890" t="inlineStr">
        <is>
          <t>200070944</t>
        </is>
      </c>
      <c r="D890" t="inlineStr">
        <is>
          <t>80</t>
        </is>
      </c>
      <c r="E890" t="inlineStr">
        <is>
          <t>Somme</t>
        </is>
      </c>
      <c r="F890" t="inlineStr">
        <is>
          <t>Hauts-de-France</t>
        </is>
      </c>
      <c r="G890" s="3" t="n">
        <v>22234</v>
      </c>
      <c r="H890" t="n">
        <v>25</v>
      </c>
      <c r="I890" t="inlineStr">
        <is>
          <t>18 avenue Albert-Thomas</t>
        </is>
      </c>
      <c r="J890" t="inlineStr">
        <is>
          <t>80130</t>
        </is>
      </c>
      <c r="K890" t="inlineStr">
        <is>
          <t>Friville-Escarbotin</t>
        </is>
      </c>
      <c r="L890" t="inlineStr">
        <is>
          <t>03 22 30 40 42</t>
        </is>
      </c>
      <c r="M890" s="4" t="inlineStr">
        <is>
          <t>contact@cc-vimeu.fr</t>
        </is>
      </c>
      <c r="N890" s="4" t="inlineStr">
        <is>
          <t>https://ccvimeu.fr/</t>
        </is>
      </c>
      <c r="O890" s="4" t="inlineStr">
        <is>
          <t>https://ccvimeu.fr/</t>
        </is>
      </c>
      <c r="P890" s="4" t="inlineStr">
        <is>
          <t>https://lannuaire.service-public.gouv.fr/hauts-de-france/somme/237dbc92-e853-4006-8e7e-15d528fcd7bb</t>
        </is>
      </c>
      <c r="Q890" t="inlineStr">
        <is>
          <t>Annuaire Service-public.fr</t>
        </is>
      </c>
      <c r="R890" t="inlineStr"/>
      <c r="S890" t="inlineStr"/>
      <c r="T890" t="inlineStr"/>
    </row>
    <row r="891">
      <c r="A891" t="inlineStr">
        <is>
          <t>CC Carmausin-Ségala</t>
        </is>
      </c>
      <c r="B891" t="inlineStr">
        <is>
          <t>Communauté de communes</t>
        </is>
      </c>
      <c r="C891" t="inlineStr">
        <is>
          <t>200040905</t>
        </is>
      </c>
      <c r="D891" t="inlineStr">
        <is>
          <t>81</t>
        </is>
      </c>
      <c r="E891" t="inlineStr">
        <is>
          <t>Tarn</t>
        </is>
      </c>
      <c r="F891" t="inlineStr">
        <is>
          <t>Occitanie</t>
        </is>
      </c>
      <c r="G891" s="3" t="n">
        <v>30115</v>
      </c>
      <c r="H891" t="n">
        <v>31</v>
      </c>
      <c r="I891" t="inlineStr">
        <is>
          <t>53bis avenue Bouloc-Torcatis</t>
        </is>
      </c>
      <c r="J891" t="inlineStr">
        <is>
          <t>81400</t>
        </is>
      </c>
      <c r="K891" t="inlineStr">
        <is>
          <t>Carmaux</t>
        </is>
      </c>
      <c r="L891" t="inlineStr">
        <is>
          <t>05 63 36 14 03</t>
        </is>
      </c>
      <c r="M891" s="4" t="inlineStr">
        <is>
          <t>contact@3c-s.fr</t>
        </is>
      </c>
      <c r="N891" s="4" t="inlineStr">
        <is>
          <t>https://www.carmausin-segala.fr/</t>
        </is>
      </c>
      <c r="O891" s="4" t="inlineStr">
        <is>
          <t>https://www.carmausin-segala.fr/contact</t>
        </is>
      </c>
      <c r="P891" s="4" t="inlineStr">
        <is>
          <t>https://lannuaire.service-public.gouv.fr/occitanie/tarn/a47c3a55-3f89-4cb9-9c9a-a500000d87c0</t>
        </is>
      </c>
      <c r="Q891" t="inlineStr">
        <is>
          <t>Annuaire Service-public.fr</t>
        </is>
      </c>
      <c r="R891" t="inlineStr"/>
      <c r="S891" t="inlineStr"/>
      <c r="T891" t="inlineStr"/>
    </row>
    <row r="892">
      <c r="A892" t="inlineStr">
        <is>
          <t>CC Centre Tarn</t>
        </is>
      </c>
      <c r="B892" t="inlineStr">
        <is>
          <t>Communauté de communes</t>
        </is>
      </c>
      <c r="C892" t="inlineStr">
        <is>
          <t>200034049</t>
        </is>
      </c>
      <c r="D892" t="inlineStr">
        <is>
          <t>81</t>
        </is>
      </c>
      <c r="E892" t="inlineStr">
        <is>
          <t>Tarn</t>
        </is>
      </c>
      <c r="F892" t="inlineStr">
        <is>
          <t>Occitanie</t>
        </is>
      </c>
      <c r="G892" s="3" t="n">
        <v>11276</v>
      </c>
      <c r="H892" t="n">
        <v>11</v>
      </c>
      <c r="I892" t="inlineStr">
        <is>
          <t>2 bis boulevard Carnot</t>
        </is>
      </c>
      <c r="J892" t="inlineStr">
        <is>
          <t>81120</t>
        </is>
      </c>
      <c r="K892" t="inlineStr">
        <is>
          <t>Réalmont</t>
        </is>
      </c>
      <c r="L892" t="inlineStr">
        <is>
          <t>05 63 79 21 27</t>
        </is>
      </c>
      <c r="M892" s="4" t="inlineStr">
        <is>
          <t>direction@centretarn.fr</t>
        </is>
      </c>
      <c r="N892" s="4" t="inlineStr">
        <is>
          <t>https://www.centretarn.fr/</t>
        </is>
      </c>
      <c r="O892" s="4" t="inlineStr">
        <is>
          <t>https://www.centretarn.fr/contact/</t>
        </is>
      </c>
      <c r="P892" s="4" t="inlineStr">
        <is>
          <t>https://lannuaire.service-public.gouv.fr/occitanie/tarn/c64af365-273f-4ffe-bdfb-93b88e529d77</t>
        </is>
      </c>
      <c r="Q892" t="inlineStr">
        <is>
          <t>Annuaire Service-public.fr</t>
        </is>
      </c>
      <c r="R892" t="inlineStr"/>
      <c r="S892" t="inlineStr"/>
      <c r="T892" t="inlineStr"/>
    </row>
    <row r="893">
      <c r="A893" t="inlineStr">
        <is>
          <t>CC Sidobre Vals et Plateaux</t>
        </is>
      </c>
      <c r="B893" t="inlineStr">
        <is>
          <t>Communauté de communes</t>
        </is>
      </c>
      <c r="C893" t="inlineStr">
        <is>
          <t>200066561</t>
        </is>
      </c>
      <c r="D893" t="inlineStr">
        <is>
          <t>81</t>
        </is>
      </c>
      <c r="E893" t="inlineStr">
        <is>
          <t>Tarn</t>
        </is>
      </c>
      <c r="F893" t="inlineStr">
        <is>
          <t>Occitanie</t>
        </is>
      </c>
      <c r="G893" s="3" t="n">
        <v>12437</v>
      </c>
      <c r="H893" t="n">
        <v>16</v>
      </c>
      <c r="I893" t="inlineStr">
        <is>
          <t>54 route du Lignon, Vialavert</t>
        </is>
      </c>
      <c r="J893" t="inlineStr">
        <is>
          <t>81260</t>
        </is>
      </c>
      <c r="K893" t="inlineStr">
        <is>
          <t>Le Bez</t>
        </is>
      </c>
      <c r="L893" t="inlineStr">
        <is>
          <t>05 63 73 03 86</t>
        </is>
      </c>
      <c r="M893" s="4" t="inlineStr">
        <is>
          <t>contact@ccsvp.fr</t>
        </is>
      </c>
      <c r="N893" s="4" t="inlineStr">
        <is>
          <t>https://ccsvp.fr/</t>
        </is>
      </c>
      <c r="O893" s="4" t="inlineStr">
        <is>
          <t>https://ccsvp.fr/</t>
        </is>
      </c>
      <c r="P893" s="4" t="inlineStr">
        <is>
          <t>https://lannuaire.service-public.gouv.fr/occitanie/tarn/18ebe4f2-291b-4bfd-92c4-d0c8c051ac03</t>
        </is>
      </c>
      <c r="Q893" t="inlineStr">
        <is>
          <t>Annuaire Service-public.fr</t>
        </is>
      </c>
      <c r="R893" t="inlineStr"/>
      <c r="S893" t="inlineStr"/>
      <c r="T893" t="inlineStr"/>
    </row>
    <row r="894">
      <c r="A894" t="inlineStr">
        <is>
          <t>CC Thoré Montagne Noire</t>
        </is>
      </c>
      <c r="B894" t="inlineStr">
        <is>
          <t>Communauté de communes</t>
        </is>
      </c>
      <c r="C894" t="inlineStr">
        <is>
          <t>248100745</t>
        </is>
      </c>
      <c r="D894" t="inlineStr">
        <is>
          <t>81</t>
        </is>
      </c>
      <c r="E894" t="inlineStr">
        <is>
          <t>Tarn</t>
        </is>
      </c>
      <c r="F894" t="inlineStr">
        <is>
          <t>Occitanie</t>
        </is>
      </c>
      <c r="G894" s="3" t="n">
        <v>5057</v>
      </c>
      <c r="H894" t="n">
        <v>9</v>
      </c>
      <c r="I894" t="inlineStr">
        <is>
          <t>13 avenue de la Ribaute</t>
        </is>
      </c>
      <c r="J894" t="inlineStr">
        <is>
          <t>81240</t>
        </is>
      </c>
      <c r="K894" t="inlineStr">
        <is>
          <t>Albine</t>
        </is>
      </c>
      <c r="L894" t="inlineStr">
        <is>
          <t>05 63 97 98 08</t>
        </is>
      </c>
      <c r="M894" s="4" t="inlineStr">
        <is>
          <t>contact@cc-thoremontagnenoire.fr</t>
        </is>
      </c>
      <c r="N894" s="4" t="inlineStr">
        <is>
          <t>https://www.cc-thoremontagnenoire.fr/</t>
        </is>
      </c>
      <c r="O894" s="4" t="inlineStr">
        <is>
          <t>https://www.cc-thoremontagnenoire.fr/contact</t>
        </is>
      </c>
      <c r="P894" s="4" t="inlineStr">
        <is>
          <t>https://lannuaire.service-public.gouv.fr/occitanie/tarn/edf18c54-2c68-4ffe-86f8-899ecae8219e</t>
        </is>
      </c>
      <c r="Q894" t="inlineStr">
        <is>
          <t>Annuaire Service-public.fr</t>
        </is>
      </c>
      <c r="R894" t="inlineStr"/>
      <c r="S894" t="inlineStr"/>
      <c r="T894" t="inlineStr"/>
    </row>
    <row r="895">
      <c r="A895" t="inlineStr">
        <is>
          <t>CC Val 81</t>
        </is>
      </c>
      <c r="B895" t="inlineStr">
        <is>
          <t>Communauté de communes</t>
        </is>
      </c>
      <c r="C895" t="inlineStr">
        <is>
          <t>248100497</t>
        </is>
      </c>
      <c r="D895" t="inlineStr">
        <is>
          <t>81</t>
        </is>
      </c>
      <c r="E895" t="inlineStr">
        <is>
          <t>Tarn</t>
        </is>
      </c>
      <c r="F895" t="inlineStr">
        <is>
          <t>Occitanie</t>
        </is>
      </c>
      <c r="G895" s="3" t="n">
        <v>5559</v>
      </c>
      <c r="H895" t="n">
        <v>19</v>
      </c>
      <c r="I895" t="inlineStr">
        <is>
          <t>45 avenue Pierre-Souyris, Pôle d'activités Val 81</t>
        </is>
      </c>
      <c r="J895" t="inlineStr">
        <is>
          <t>81340</t>
        </is>
      </c>
      <c r="K895" t="inlineStr">
        <is>
          <t>Valence-d'Albigeois</t>
        </is>
      </c>
      <c r="L895" t="inlineStr">
        <is>
          <t>05 63 53 79 00</t>
        </is>
      </c>
      <c r="M895" s="4" t="inlineStr">
        <is>
          <t>val-81@orange.fr</t>
        </is>
      </c>
      <c r="N895" s="4" t="inlineStr">
        <is>
          <t>https://www.val81.fr/</t>
        </is>
      </c>
      <c r="O895" t="inlineStr"/>
      <c r="P895" s="4" t="inlineStr">
        <is>
          <t>https://lannuaire.service-public.gouv.fr/occitanie/tarn/e7306869-f4aa-42cf-b3eb-c4f9e629ef08</t>
        </is>
      </c>
      <c r="Q895" t="inlineStr">
        <is>
          <t>Annuaire Service-public.fr</t>
        </is>
      </c>
      <c r="R895" t="inlineStr"/>
      <c r="S895" t="inlineStr"/>
      <c r="T895" t="inlineStr"/>
    </row>
    <row r="896">
      <c r="A896" t="inlineStr">
        <is>
          <t>CC des Monts d'Alban et du Villefranchois</t>
        </is>
      </c>
      <c r="B896" t="inlineStr">
        <is>
          <t>Communauté de communes</t>
        </is>
      </c>
      <c r="C896" t="inlineStr">
        <is>
          <t>200034031</t>
        </is>
      </c>
      <c r="D896" t="inlineStr">
        <is>
          <t>81</t>
        </is>
      </c>
      <c r="E896" t="inlineStr">
        <is>
          <t>Tarn</t>
        </is>
      </c>
      <c r="F896" t="inlineStr">
        <is>
          <t>Occitanie</t>
        </is>
      </c>
      <c r="G896" s="3" t="n">
        <v>6360</v>
      </c>
      <c r="H896" t="n">
        <v>14</v>
      </c>
      <c r="I896" t="inlineStr">
        <is>
          <t>1 rue du Sénateur-Boularan</t>
        </is>
      </c>
      <c r="J896" t="inlineStr">
        <is>
          <t>81250</t>
        </is>
      </c>
      <c r="K896" t="inlineStr">
        <is>
          <t>Alban</t>
        </is>
      </c>
      <c r="L896" t="inlineStr">
        <is>
          <t>05 63 79 26 70</t>
        </is>
      </c>
      <c r="M896" s="4" t="inlineStr">
        <is>
          <t>accueil@ccmav.fr</t>
        </is>
      </c>
      <c r="N896" s="4" t="inlineStr">
        <is>
          <t>https://www.montsalban-villefranchois.fr/web/home/2-accueil.php</t>
        </is>
      </c>
      <c r="O896" s="4" t="inlineStr">
        <is>
          <t>https://www.montsalban-villefranchois.fr/contact/</t>
        </is>
      </c>
      <c r="P896" s="4" t="inlineStr">
        <is>
          <t>https://lannuaire.service-public.gouv.fr/occitanie/tarn/12338982-3296-4d16-814a-5a41830c8aa1</t>
        </is>
      </c>
      <c r="Q896" t="inlineStr">
        <is>
          <t>Annuaire Service-public.fr</t>
        </is>
      </c>
      <c r="R896" t="inlineStr"/>
      <c r="S896" t="inlineStr"/>
      <c r="T896" t="inlineStr"/>
    </row>
    <row r="897">
      <c r="A897" t="inlineStr">
        <is>
          <t>CC du Cordais et du Causse (4 C)</t>
        </is>
      </c>
      <c r="B897" t="inlineStr">
        <is>
          <t>Communauté de communes</t>
        </is>
      </c>
      <c r="C897" t="inlineStr">
        <is>
          <t>200034064</t>
        </is>
      </c>
      <c r="D897" t="inlineStr">
        <is>
          <t>81</t>
        </is>
      </c>
      <c r="E897" t="inlineStr">
        <is>
          <t>Tarn</t>
        </is>
      </c>
      <c r="F897" t="inlineStr">
        <is>
          <t>Occitanie</t>
        </is>
      </c>
      <c r="G897" s="3" t="n">
        <v>5381</v>
      </c>
      <c r="H897" t="n">
        <v>25</v>
      </c>
      <c r="I897" t="inlineStr">
        <is>
          <t>33 promenade de l'Autan</t>
        </is>
      </c>
      <c r="J897" t="inlineStr">
        <is>
          <t>81170</t>
        </is>
      </c>
      <c r="K897" t="inlineStr">
        <is>
          <t>Les Cabannes</t>
        </is>
      </c>
      <c r="L897" t="inlineStr">
        <is>
          <t>05 63 56 07 02</t>
        </is>
      </c>
      <c r="M897" s="4" t="inlineStr">
        <is>
          <t>direction.4c@orange.fr</t>
        </is>
      </c>
      <c r="N897" s="4" t="inlineStr">
        <is>
          <t>http://4c81.fr</t>
        </is>
      </c>
      <c r="O897" s="4" t="inlineStr">
        <is>
          <t>https://4c81.fr/contacts-2/</t>
        </is>
      </c>
      <c r="P897" s="4" t="inlineStr">
        <is>
          <t>https://lannuaire.service-public.gouv.fr/occitanie/tarn/51b5b010-0ec1-42a7-abf5-14b8e5a886b7</t>
        </is>
      </c>
      <c r="Q897" t="inlineStr">
        <is>
          <t>Annuaire Service-public.fr</t>
        </is>
      </c>
      <c r="R897" t="inlineStr"/>
      <c r="S897" t="inlineStr"/>
      <c r="T897" t="inlineStr"/>
    </row>
    <row r="898">
      <c r="A898" t="inlineStr">
        <is>
          <t>CC du Lautrécois et du Pays d'Agout</t>
        </is>
      </c>
      <c r="B898" t="inlineStr">
        <is>
          <t>Communauté de communes</t>
        </is>
      </c>
      <c r="C898" t="inlineStr">
        <is>
          <t>200034056</t>
        </is>
      </c>
      <c r="D898" t="inlineStr">
        <is>
          <t>81</t>
        </is>
      </c>
      <c r="E898" t="inlineStr">
        <is>
          <t>Tarn</t>
        </is>
      </c>
      <c r="F898" t="inlineStr">
        <is>
          <t>Occitanie</t>
        </is>
      </c>
      <c r="G898" s="3" t="n">
        <v>14303</v>
      </c>
      <c r="H898" t="n">
        <v>28</v>
      </c>
      <c r="I898" t="inlineStr">
        <is>
          <t>La Baudonie, Maison du Pays</t>
        </is>
      </c>
      <c r="J898" t="inlineStr">
        <is>
          <t>81220</t>
        </is>
      </c>
      <c r="K898" t="inlineStr">
        <is>
          <t>Servies</t>
        </is>
      </c>
      <c r="L898" t="inlineStr">
        <is>
          <t>05 63 70 52 67</t>
        </is>
      </c>
      <c r="M898" s="4" t="inlineStr">
        <is>
          <t>contact@cclpa.fr</t>
        </is>
      </c>
      <c r="N898" s="4" t="inlineStr">
        <is>
          <t>https://www.cclpa.fr/</t>
        </is>
      </c>
      <c r="O898" s="4" t="inlineStr">
        <is>
          <t>https://www.cclpa.fr/contact</t>
        </is>
      </c>
      <c r="P898" s="4" t="inlineStr">
        <is>
          <t>https://lannuaire.service-public.gouv.fr/occitanie/tarn/d0c01337-c513-4386-8657-4a9db0eab643</t>
        </is>
      </c>
      <c r="Q898" t="inlineStr">
        <is>
          <t>Annuaire Service-public.fr</t>
        </is>
      </c>
      <c r="R898" t="inlineStr"/>
      <c r="S898" t="inlineStr"/>
      <c r="T898" t="inlineStr"/>
    </row>
    <row r="899">
      <c r="A899" t="inlineStr">
        <is>
          <t>CC du Quercy Rouergue et des Gorges de l'Aveyron</t>
        </is>
      </c>
      <c r="B899" t="inlineStr">
        <is>
          <t>Communauté de communes</t>
        </is>
      </c>
      <c r="C899" t="inlineStr">
        <is>
          <t>248200107</t>
        </is>
      </c>
      <c r="D899" t="inlineStr">
        <is>
          <t>81, 82</t>
        </is>
      </c>
      <c r="E899" t="inlineStr">
        <is>
          <t>Tarn, Tarn-et-Garonne</t>
        </is>
      </c>
      <c r="F899" t="inlineStr">
        <is>
          <t>Occitanie</t>
        </is>
      </c>
      <c r="G899" s="3" t="n">
        <v>7848</v>
      </c>
      <c r="H899" t="n">
        <v>17</v>
      </c>
      <c r="I899" t="inlineStr">
        <is>
          <t>Place de la Mairie</t>
        </is>
      </c>
      <c r="J899" t="inlineStr">
        <is>
          <t>82140</t>
        </is>
      </c>
      <c r="K899" t="inlineStr">
        <is>
          <t>Saint-Antonin-Noble-Val</t>
        </is>
      </c>
      <c r="L899" t="inlineStr">
        <is>
          <t>05 63 30 67 01</t>
        </is>
      </c>
      <c r="M899" s="4" t="inlineStr">
        <is>
          <t>accueil@cc-qrga.fr</t>
        </is>
      </c>
      <c r="N899" s="4" t="inlineStr">
        <is>
          <t>https://cc-qrga.fr/</t>
        </is>
      </c>
      <c r="O899" t="inlineStr"/>
      <c r="P899" s="4" t="inlineStr">
        <is>
          <t>https://lannuaire.service-public.gouv.fr/occitanie/tarn-et-garonne/f2050ddc-1341-49d5-ba1d-eb8d1cff7e65</t>
        </is>
      </c>
      <c r="Q899" t="inlineStr">
        <is>
          <t>Annuaire Service-public.fr</t>
        </is>
      </c>
      <c r="R899" t="inlineStr"/>
      <c r="S899" t="inlineStr"/>
      <c r="T899" t="inlineStr"/>
    </row>
    <row r="900">
      <c r="A900" t="inlineStr">
        <is>
          <t>CC du Sor et de l'Agout</t>
        </is>
      </c>
      <c r="B900" t="inlineStr">
        <is>
          <t>Communauté de communes</t>
        </is>
      </c>
      <c r="C900" t="inlineStr">
        <is>
          <t>248100158</t>
        </is>
      </c>
      <c r="D900" t="inlineStr">
        <is>
          <t>81</t>
        </is>
      </c>
      <c r="E900" t="inlineStr">
        <is>
          <t>Tarn</t>
        </is>
      </c>
      <c r="F900" t="inlineStr">
        <is>
          <t>Occitanie</t>
        </is>
      </c>
      <c r="G900" s="3" t="n">
        <v>23206</v>
      </c>
      <c r="H900" t="n">
        <v>26</v>
      </c>
      <c r="I900" t="inlineStr">
        <is>
          <t>550 chemin des héronnières</t>
        </is>
      </c>
      <c r="J900" t="inlineStr">
        <is>
          <t>81710</t>
        </is>
      </c>
      <c r="K900" t="inlineStr">
        <is>
          <t>Saïx</t>
        </is>
      </c>
      <c r="L900" t="inlineStr">
        <is>
          <t>05 63 72 84 84</t>
        </is>
      </c>
      <c r="M900" s="4" t="inlineStr">
        <is>
          <t>contact@communautesoragout.fr</t>
        </is>
      </c>
      <c r="N900" s="4" t="inlineStr">
        <is>
          <t>https://www.communautesoragout.fr/</t>
        </is>
      </c>
      <c r="O900" s="4" t="inlineStr">
        <is>
          <t>https://www.communautesoragout.fr/contact</t>
        </is>
      </c>
      <c r="P900" s="4" t="inlineStr">
        <is>
          <t>https://lannuaire.service-public.gouv.fr/occitanie/tarn/2279bbd2-37d8-4c4f-98dd-67211eb0de0e</t>
        </is>
      </c>
      <c r="Q900" t="inlineStr">
        <is>
          <t>Annuaire Service-public.fr</t>
        </is>
      </c>
      <c r="R900" t="inlineStr"/>
      <c r="S900" t="inlineStr"/>
      <c r="T900" t="inlineStr"/>
    </row>
    <row r="901">
      <c r="A901" t="inlineStr">
        <is>
          <t>CC Grand Sud Tarn-et-Garonne</t>
        </is>
      </c>
      <c r="B901" t="inlineStr">
        <is>
          <t>Communauté de communes</t>
        </is>
      </c>
      <c r="C901" t="inlineStr">
        <is>
          <t>200066652</t>
        </is>
      </c>
      <c r="D901" t="inlineStr">
        <is>
          <t>82</t>
        </is>
      </c>
      <c r="E901" t="inlineStr">
        <is>
          <t>Tarn-et-Garonne</t>
        </is>
      </c>
      <c r="F901" t="inlineStr">
        <is>
          <t>Occitanie</t>
        </is>
      </c>
      <c r="G901" s="3" t="n">
        <v>43301</v>
      </c>
      <c r="H901" t="n">
        <v>25</v>
      </c>
      <c r="I901" t="inlineStr">
        <is>
          <t>120 avenue Jean-Jaurès</t>
        </is>
      </c>
      <c r="J901" t="inlineStr">
        <is>
          <t>82370</t>
        </is>
      </c>
      <c r="K901" t="inlineStr">
        <is>
          <t>Labastide-Saint-Pierre</t>
        </is>
      </c>
      <c r="L901" t="inlineStr">
        <is>
          <t>05 63 30 03 31</t>
        </is>
      </c>
      <c r="M901" s="4" t="inlineStr">
        <is>
          <t>grandsudtarnetgaronne@grandsud82.fr</t>
        </is>
      </c>
      <c r="N901" s="4" t="inlineStr">
        <is>
          <t>https://www.grandsud82.fr/</t>
        </is>
      </c>
      <c r="O901" s="4" t="inlineStr">
        <is>
          <t>https://www.grandsud82.fr/contactez-nous/</t>
        </is>
      </c>
      <c r="P901" s="4" t="inlineStr">
        <is>
          <t>https://lannuaire.service-public.gouv.fr/occitanie/tarn-et-garonne/825d3041-8bd2-4c69-9974-b8d95795102d</t>
        </is>
      </c>
      <c r="Q901" t="inlineStr">
        <is>
          <t>Annuaire Service-public.fr</t>
        </is>
      </c>
      <c r="R901" t="inlineStr"/>
      <c r="S901" t="inlineStr"/>
      <c r="T901" t="inlineStr"/>
    </row>
    <row r="902">
      <c r="A902" t="inlineStr">
        <is>
          <t>CC Quercy Vert-Aveyron</t>
        </is>
      </c>
      <c r="B902" t="inlineStr">
        <is>
          <t>Communauté de communes</t>
        </is>
      </c>
      <c r="C902" t="inlineStr">
        <is>
          <t>200066884</t>
        </is>
      </c>
      <c r="D902" t="inlineStr">
        <is>
          <t>82</t>
        </is>
      </c>
      <c r="E902" t="inlineStr">
        <is>
          <t>Tarn-et-Garonne</t>
        </is>
      </c>
      <c r="F902" t="inlineStr">
        <is>
          <t>Occitanie</t>
        </is>
      </c>
      <c r="G902" s="3" t="n">
        <v>21707</v>
      </c>
      <c r="H902" t="n">
        <v>12</v>
      </c>
      <c r="I902" t="inlineStr">
        <is>
          <t>370 avenue du 8-Mai-1945</t>
        </is>
      </c>
      <c r="J902" t="inlineStr">
        <is>
          <t>82800</t>
        </is>
      </c>
      <c r="K902" t="inlineStr">
        <is>
          <t>Nègrepelisse</t>
        </is>
      </c>
      <c r="L902" t="inlineStr">
        <is>
          <t>05 63 30 90 90</t>
        </is>
      </c>
      <c r="M902" s="4" t="inlineStr">
        <is>
          <t>contact@quercyvertaveyron.fr</t>
        </is>
      </c>
      <c r="N902" s="4" t="inlineStr">
        <is>
          <t>https://www.quercyvertaveyron.fr/</t>
        </is>
      </c>
      <c r="O902" s="4" t="inlineStr">
        <is>
          <t>https://www.quercyvertaveyron.fr/nous-joindre/</t>
        </is>
      </c>
      <c r="P902" s="4" t="inlineStr">
        <is>
          <t>https://lannuaire.service-public.gouv.fr/occitanie/tarn-et-garonne/58b9fe05-c8f2-4894-a8ab-82a985f751ca</t>
        </is>
      </c>
      <c r="Q902" t="inlineStr">
        <is>
          <t>Annuaire Service-public.fr</t>
        </is>
      </c>
      <c r="R902" t="inlineStr"/>
      <c r="S902" t="inlineStr"/>
      <c r="T902" t="inlineStr"/>
    </row>
    <row r="903">
      <c r="A903" t="inlineStr">
        <is>
          <t>CC Terres des Confluences</t>
        </is>
      </c>
      <c r="B903" t="inlineStr">
        <is>
          <t>Communauté de communes</t>
        </is>
      </c>
      <c r="C903" t="inlineStr">
        <is>
          <t>200066322</t>
        </is>
      </c>
      <c r="D903" t="inlineStr">
        <is>
          <t>82</t>
        </is>
      </c>
      <c r="E903" t="inlineStr">
        <is>
          <t>Tarn-et-Garonne</t>
        </is>
      </c>
      <c r="F903" t="inlineStr">
        <is>
          <t>Occitanie</t>
        </is>
      </c>
      <c r="G903" s="3" t="n">
        <v>42367</v>
      </c>
      <c r="H903" t="n">
        <v>22</v>
      </c>
      <c r="I903" t="inlineStr">
        <is>
          <t>636 rue des Confluences</t>
        </is>
      </c>
      <c r="J903" t="inlineStr">
        <is>
          <t>82100</t>
        </is>
      </c>
      <c r="K903" t="inlineStr">
        <is>
          <t>Castelsarrasin</t>
        </is>
      </c>
      <c r="L903" t="inlineStr">
        <is>
          <t>05 63 95 56 00</t>
        </is>
      </c>
      <c r="M903" s="4" t="inlineStr">
        <is>
          <t>accueil@terresdesconfluences.fr</t>
        </is>
      </c>
      <c r="N903" s="4" t="inlineStr">
        <is>
          <t>https://www.terresdesconfluences.fr/</t>
        </is>
      </c>
      <c r="O903" s="4" t="inlineStr">
        <is>
          <t>https://www.terresdesconfluences.fr/je-souhaite-contacter-la-communaute-de-communes</t>
        </is>
      </c>
      <c r="P903" s="4" t="inlineStr">
        <is>
          <t>https://lannuaire.service-public.gouv.fr/occitanie/tarn-et-garonne/f07f515b-5913-4511-b67d-95cf22ebc3df</t>
        </is>
      </c>
      <c r="Q903" t="inlineStr">
        <is>
          <t>Annuaire Service-public.fr</t>
        </is>
      </c>
      <c r="R903" t="inlineStr"/>
      <c r="S903" t="inlineStr"/>
      <c r="T903" t="inlineStr"/>
    </row>
    <row r="904">
      <c r="A904" t="inlineStr">
        <is>
          <t>CC de la Lomagne Tarn-et-Garonnaise</t>
        </is>
      </c>
      <c r="B904" t="inlineStr">
        <is>
          <t>Communauté de communes</t>
        </is>
      </c>
      <c r="C904" t="inlineStr">
        <is>
          <t>248200065</t>
        </is>
      </c>
      <c r="D904" t="inlineStr">
        <is>
          <t>82</t>
        </is>
      </c>
      <c r="E904" t="inlineStr">
        <is>
          <t>Tarn-et-Garonne</t>
        </is>
      </c>
      <c r="F904" t="inlineStr">
        <is>
          <t>Occitanie</t>
        </is>
      </c>
      <c r="G904" s="3" t="n">
        <v>10003</v>
      </c>
      <c r="H904" t="n">
        <v>31</v>
      </c>
      <c r="I904" t="inlineStr">
        <is>
          <t>413 rue d'Esparsac</t>
        </is>
      </c>
      <c r="J904" t="inlineStr">
        <is>
          <t>82500</t>
        </is>
      </c>
      <c r="K904" t="inlineStr">
        <is>
          <t>Beaumont-de-Lomagne</t>
        </is>
      </c>
      <c r="L904" t="inlineStr">
        <is>
          <t>05 63 65 34 26</t>
        </is>
      </c>
      <c r="M904" s="4" t="inlineStr">
        <is>
          <t>contact@cc-lomagne82.fr</t>
        </is>
      </c>
      <c r="N904" s="4" t="inlineStr">
        <is>
          <t>https://cc82.malomagne.com/</t>
        </is>
      </c>
      <c r="O904" s="4" t="inlineStr">
        <is>
          <t>https://cc82.malomagne.com/nous-contacter/</t>
        </is>
      </c>
      <c r="P904" s="4" t="inlineStr">
        <is>
          <t>https://lannuaire.service-public.gouv.fr/occitanie/tarn-et-garonne/f2de9df2-f6eb-496f-9356-aa1c88a32b99</t>
        </is>
      </c>
      <c r="Q904" t="inlineStr">
        <is>
          <t>Annuaire Service-public.fr</t>
        </is>
      </c>
      <c r="R904" t="inlineStr"/>
      <c r="S904" t="inlineStr"/>
      <c r="T904" t="inlineStr"/>
    </row>
    <row r="905">
      <c r="A905" t="inlineStr">
        <is>
          <t>CC du Pays de Lafrançaise</t>
        </is>
      </c>
      <c r="B905" t="inlineStr">
        <is>
          <t>Communauté de communes</t>
        </is>
      </c>
      <c r="C905" t="inlineStr">
        <is>
          <t>200067122</t>
        </is>
      </c>
      <c r="D905" t="inlineStr">
        <is>
          <t>82</t>
        </is>
      </c>
      <c r="E905" t="inlineStr">
        <is>
          <t>Tarn-et-Garonne</t>
        </is>
      </c>
      <c r="F905" t="inlineStr">
        <is>
          <t>Occitanie</t>
        </is>
      </c>
      <c r="G905" s="3" t="n">
        <v>11246</v>
      </c>
      <c r="H905" t="n">
        <v>11</v>
      </c>
      <c r="I905" t="inlineStr">
        <is>
          <t>33 rue Mary-Lafon</t>
        </is>
      </c>
      <c r="J905" t="inlineStr">
        <is>
          <t>82130</t>
        </is>
      </c>
      <c r="K905" t="inlineStr">
        <is>
          <t>Lafrançaise</t>
        </is>
      </c>
      <c r="L905" t="inlineStr">
        <is>
          <t>05 63 65 91 90</t>
        </is>
      </c>
      <c r="M905" s="4" t="inlineStr">
        <is>
          <t>contact@cc-paysdelafrancaise.fr</t>
        </is>
      </c>
      <c r="N905" s="4" t="inlineStr">
        <is>
          <t>https://www.paysdelafrancaise.fr/</t>
        </is>
      </c>
      <c r="O905" s="4" t="inlineStr">
        <is>
          <t>https://www.paysdelafrancaise.fr/contact/</t>
        </is>
      </c>
      <c r="P905" s="4" t="inlineStr">
        <is>
          <t>https://lannuaire.service-public.gouv.fr/occitanie/tarn-et-garonne/1e91bc15-c2c6-48f5-a605-d6b84fdef7c4</t>
        </is>
      </c>
      <c r="Q905" t="inlineStr">
        <is>
          <t>Annuaire Service-public.fr</t>
        </is>
      </c>
      <c r="R905" t="inlineStr"/>
      <c r="S905" t="inlineStr"/>
      <c r="T905" t="inlineStr"/>
    </row>
    <row r="906">
      <c r="A906" t="inlineStr">
        <is>
          <t>CC du Pays de Serres en Quercy</t>
        </is>
      </c>
      <c r="B906" t="inlineStr">
        <is>
          <t>Communauté de communes</t>
        </is>
      </c>
      <c r="C906" t="inlineStr">
        <is>
          <t>200040418</t>
        </is>
      </c>
      <c r="D906" t="inlineStr">
        <is>
          <t>82</t>
        </is>
      </c>
      <c r="E906" t="inlineStr">
        <is>
          <t>Tarn-et-Garonne</t>
        </is>
      </c>
      <c r="F906" t="inlineStr">
        <is>
          <t>Occitanie</t>
        </is>
      </c>
      <c r="G906" s="3" t="n">
        <v>8386</v>
      </c>
      <c r="H906" t="n">
        <v>22</v>
      </c>
      <c r="I906" t="inlineStr">
        <is>
          <t>293 Chemin Vignoble</t>
        </is>
      </c>
      <c r="J906" t="inlineStr">
        <is>
          <t>82150</t>
        </is>
      </c>
      <c r="K906" t="inlineStr">
        <is>
          <t>Montaigu-de-Quercy</t>
        </is>
      </c>
      <c r="L906" t="inlineStr">
        <is>
          <t>05 63 94 64 78</t>
        </is>
      </c>
      <c r="M906" s="4" t="inlineStr">
        <is>
          <t>accueil@cdc-psq.fr</t>
        </is>
      </c>
      <c r="N906" s="4" t="inlineStr">
        <is>
          <t>https://cdc-psq.fr/</t>
        </is>
      </c>
      <c r="O906" t="inlineStr"/>
      <c r="P906" s="4" t="inlineStr">
        <is>
          <t>https://lannuaire.service-public.gouv.fr/occitanie/tarn-et-garonne/4a9e5198-86f1-4dc2-bc0b-9b17d30fb4d5</t>
        </is>
      </c>
      <c r="Q906" t="inlineStr">
        <is>
          <t>Annuaire Service-public.fr</t>
        </is>
      </c>
      <c r="R906" t="inlineStr"/>
      <c r="S906" t="inlineStr"/>
      <c r="T906" t="inlineStr"/>
    </row>
    <row r="907">
      <c r="A907" t="inlineStr">
        <is>
          <t>CC du Quercy Caussadais</t>
        </is>
      </c>
      <c r="B907" t="inlineStr">
        <is>
          <t>Communauté de communes</t>
        </is>
      </c>
      <c r="C907" t="inlineStr">
        <is>
          <t>248200057</t>
        </is>
      </c>
      <c r="D907" t="inlineStr">
        <is>
          <t>82</t>
        </is>
      </c>
      <c r="E907" t="inlineStr">
        <is>
          <t>Tarn-et-Garonne</t>
        </is>
      </c>
      <c r="F907" t="inlineStr">
        <is>
          <t>Occitanie</t>
        </is>
      </c>
      <c r="G907" s="3" t="n">
        <v>20434</v>
      </c>
      <c r="H907" t="n">
        <v>19</v>
      </c>
      <c r="I907" t="inlineStr">
        <is>
          <t>264 route du Treilhou, BP 94</t>
        </is>
      </c>
      <c r="J907" t="inlineStr">
        <is>
          <t>82300</t>
        </is>
      </c>
      <c r="K907" t="inlineStr">
        <is>
          <t>Caussade</t>
        </is>
      </c>
      <c r="L907" t="inlineStr">
        <is>
          <t>05 63 93 28 66</t>
        </is>
      </c>
      <c r="M907" s="4" t="inlineStr">
        <is>
          <t>communautedecommunes@quercycaussadais.fr</t>
        </is>
      </c>
      <c r="N907" s="4" t="inlineStr">
        <is>
          <t>https://www.quercycaussadais.fr/</t>
        </is>
      </c>
      <c r="O907" s="4" t="inlineStr">
        <is>
          <t>https://www.quercycaussadais.fr/contact</t>
        </is>
      </c>
      <c r="P907" s="4" t="inlineStr">
        <is>
          <t>https://lannuaire.service-public.gouv.fr/occitanie/tarn-et-garonne/becc6e55-31e6-464a-99e2-7c16f9bcdb5c</t>
        </is>
      </c>
      <c r="Q907" t="inlineStr">
        <is>
          <t>Annuaire Service-public.fr</t>
        </is>
      </c>
      <c r="R907" t="inlineStr"/>
      <c r="S907" t="inlineStr"/>
      <c r="T907" t="inlineStr"/>
    </row>
    <row r="908">
      <c r="A908" t="inlineStr">
        <is>
          <t>CC Coeur du Var</t>
        </is>
      </c>
      <c r="B908" t="inlineStr">
        <is>
          <t>Communauté de communes</t>
        </is>
      </c>
      <c r="C908" t="inlineStr">
        <is>
          <t>248300550</t>
        </is>
      </c>
      <c r="D908" t="inlineStr">
        <is>
          <t>83</t>
        </is>
      </c>
      <c r="E908" t="inlineStr">
        <is>
          <t>Var</t>
        </is>
      </c>
      <c r="F908" t="inlineStr">
        <is>
          <t>Provence-Alpes-Côte d'Azur</t>
        </is>
      </c>
      <c r="G908" s="3" t="n">
        <v>45824</v>
      </c>
      <c r="H908" t="n">
        <v>11</v>
      </c>
      <c r="I908" t="inlineStr">
        <is>
          <t>Quartier Précoumin, Route de Toulon</t>
        </is>
      </c>
      <c r="J908" t="inlineStr">
        <is>
          <t>83340</t>
        </is>
      </c>
      <c r="K908" t="inlineStr">
        <is>
          <t>Le Luc</t>
        </is>
      </c>
      <c r="L908" t="inlineStr">
        <is>
          <t>04 98 10 43 50</t>
        </is>
      </c>
      <c r="M908" s="4" t="inlineStr">
        <is>
          <t>contact@coeurduvar.com</t>
        </is>
      </c>
      <c r="N908" s="4" t="inlineStr">
        <is>
          <t>https://www.coeurduvar.com/</t>
        </is>
      </c>
      <c r="O908" s="4" t="inlineStr">
        <is>
          <t>https://www.coeurduvar.com/contact-coeur-du-var</t>
        </is>
      </c>
      <c r="P908" s="4" t="inlineStr">
        <is>
          <t>https://lannuaire.service-public.gouv.fr/provence-alpes-cote-d-azur/var/1a2598e0-a7eb-4dfc-b5e2-9c2a75388c5d</t>
        </is>
      </c>
      <c r="Q908" t="inlineStr">
        <is>
          <t>Annuaire Service-public.fr</t>
        </is>
      </c>
      <c r="R908" t="inlineStr"/>
      <c r="S908" t="inlineStr"/>
      <c r="T908" t="inlineStr"/>
    </row>
    <row r="909">
      <c r="A909" t="inlineStr">
        <is>
          <t>CC Lacs et Gorges du Verdon</t>
        </is>
      </c>
      <c r="B909" t="inlineStr">
        <is>
          <t>Communauté de communes</t>
        </is>
      </c>
      <c r="C909" t="inlineStr">
        <is>
          <t>200040210</t>
        </is>
      </c>
      <c r="D909" t="inlineStr">
        <is>
          <t>83</t>
        </is>
      </c>
      <c r="E909" t="inlineStr">
        <is>
          <t>Var</t>
        </is>
      </c>
      <c r="F909" t="inlineStr">
        <is>
          <t>Provence-Alpes-Côte d'Azur</t>
        </is>
      </c>
      <c r="G909" s="3" t="n">
        <v>8984</v>
      </c>
      <c r="H909" t="n">
        <v>16</v>
      </c>
      <c r="I909" t="inlineStr">
        <is>
          <t>242 avenue Albert-1er</t>
        </is>
      </c>
      <c r="J909" t="inlineStr">
        <is>
          <t>83630</t>
        </is>
      </c>
      <c r="K909" t="inlineStr">
        <is>
          <t>Aups</t>
        </is>
      </c>
      <c r="L909" t="inlineStr">
        <is>
          <t>04 94 70 19 12</t>
        </is>
      </c>
      <c r="M909" s="4" t="inlineStr">
        <is>
          <t>accueil@cclgv.fr</t>
        </is>
      </c>
      <c r="N909" s="4" t="inlineStr">
        <is>
          <t>https://www.cc-lacsgorgesverdon.fr/</t>
        </is>
      </c>
      <c r="O909" s="4" t="inlineStr">
        <is>
          <t>https://www.cc-lacsgorgesverdon.fr/contacts-comcom</t>
        </is>
      </c>
      <c r="P909" s="4" t="inlineStr">
        <is>
          <t>https://lannuaire.service-public.gouv.fr/provence-alpes-cote-d-azur/var/3b9ce22d-f7bd-46d9-82d1-8b44c8d08e39</t>
        </is>
      </c>
      <c r="Q909" t="inlineStr">
        <is>
          <t>Annuaire Service-public.fr</t>
        </is>
      </c>
      <c r="R909" t="inlineStr"/>
      <c r="S909" t="inlineStr"/>
      <c r="T909" t="inlineStr"/>
    </row>
    <row r="910">
      <c r="A910" t="inlineStr">
        <is>
          <t>CC Méditerranée Porte des Maures</t>
        </is>
      </c>
      <c r="B910" t="inlineStr">
        <is>
          <t>Communauté de communes</t>
        </is>
      </c>
      <c r="C910" t="inlineStr">
        <is>
          <t>200027100</t>
        </is>
      </c>
      <c r="D910" t="inlineStr">
        <is>
          <t>83</t>
        </is>
      </c>
      <c r="E910" t="inlineStr">
        <is>
          <t>Var</t>
        </is>
      </c>
      <c r="F910" t="inlineStr">
        <is>
          <t>Provence-Alpes-Côte d'Azur</t>
        </is>
      </c>
      <c r="G910" s="3" t="n">
        <v>46540</v>
      </c>
      <c r="H910" t="n">
        <v>6</v>
      </c>
      <c r="I910" t="inlineStr">
        <is>
          <t>1 rue du lotissement Les Migraniers</t>
        </is>
      </c>
      <c r="J910" t="inlineStr">
        <is>
          <t>83250</t>
        </is>
      </c>
      <c r="K910" t="inlineStr">
        <is>
          <t>La Londe-les-Maures</t>
        </is>
      </c>
      <c r="L910" t="inlineStr">
        <is>
          <t>04 94 00 05 86</t>
        </is>
      </c>
      <c r="M910" s="4" t="inlineStr">
        <is>
          <t>contact@ccmpm.fr</t>
        </is>
      </c>
      <c r="N910" s="4" t="inlineStr">
        <is>
          <t>https://www.ccmpm.fr</t>
        </is>
      </c>
      <c r="O910" s="4" t="inlineStr">
        <is>
          <t>https://www.ccmpm.fr/nous-contacter/</t>
        </is>
      </c>
      <c r="P910" s="4" t="inlineStr">
        <is>
          <t>https://lannuaire.service-public.gouv.fr/provence-alpes-cote-d-azur/var/d973f8cf-4b8f-4080-9825-54728a6e9906</t>
        </is>
      </c>
      <c r="Q910" t="inlineStr">
        <is>
          <t>Annuaire Service-public.fr</t>
        </is>
      </c>
      <c r="R910" t="inlineStr"/>
      <c r="S910" t="inlineStr"/>
      <c r="T910" t="inlineStr"/>
    </row>
    <row r="911">
      <c r="A911" t="inlineStr">
        <is>
          <t>CC Provence Verdon</t>
        </is>
      </c>
      <c r="B911" t="inlineStr">
        <is>
          <t>Communauté de communes</t>
        </is>
      </c>
      <c r="C911" t="inlineStr">
        <is>
          <t>200040202</t>
        </is>
      </c>
      <c r="D911" t="inlineStr">
        <is>
          <t>83</t>
        </is>
      </c>
      <c r="E911" t="inlineStr">
        <is>
          <t>Var</t>
        </is>
      </c>
      <c r="F911" t="inlineStr">
        <is>
          <t>Provence-Alpes-Côte d'Azur</t>
        </is>
      </c>
      <c r="G911" s="3" t="n">
        <v>22923</v>
      </c>
      <c r="H911" t="n">
        <v>15</v>
      </c>
      <c r="I911" t="inlineStr">
        <is>
          <t>38 avenue de la Foux</t>
        </is>
      </c>
      <c r="J911" t="inlineStr">
        <is>
          <t>83670</t>
        </is>
      </c>
      <c r="K911" t="inlineStr">
        <is>
          <t>Varages</t>
        </is>
      </c>
      <c r="L911" t="inlineStr">
        <is>
          <t>04 94 77 18 53</t>
        </is>
      </c>
      <c r="M911" s="4" t="inlineStr">
        <is>
          <t>accueil@provenceverdon.fr</t>
        </is>
      </c>
      <c r="N911" s="4" t="inlineStr">
        <is>
          <t>https://www.provenceverdon.fr/</t>
        </is>
      </c>
      <c r="O911" s="4" t="inlineStr">
        <is>
          <t>https://www.provenceverdon.fr/</t>
        </is>
      </c>
      <c r="P911" s="4" t="inlineStr">
        <is>
          <t>https://lannuaire.service-public.gouv.fr/provence-alpes-cote-d-azur/var/710fc744-033b-48b6-be87-9a4a4b14ff16</t>
        </is>
      </c>
      <c r="Q911" t="inlineStr">
        <is>
          <t>Annuaire Service-public.fr</t>
        </is>
      </c>
      <c r="R911" t="inlineStr"/>
      <c r="S911" t="inlineStr"/>
      <c r="T911" t="inlineStr"/>
    </row>
    <row r="912">
      <c r="A912" t="inlineStr">
        <is>
          <t>CC de la Vallée du Gapeau</t>
        </is>
      </c>
      <c r="B912" t="inlineStr">
        <is>
          <t>Communauté de communes</t>
        </is>
      </c>
      <c r="C912" t="inlineStr">
        <is>
          <t>248300410</t>
        </is>
      </c>
      <c r="D912" t="inlineStr">
        <is>
          <t>83</t>
        </is>
      </c>
      <c r="E912" t="inlineStr">
        <is>
          <t>Var</t>
        </is>
      </c>
      <c r="F912" t="inlineStr">
        <is>
          <t>Provence-Alpes-Côte d'Azur</t>
        </is>
      </c>
      <c r="G912" s="3" t="n">
        <v>32961</v>
      </c>
      <c r="H912" t="n">
        <v>5</v>
      </c>
      <c r="I912" t="inlineStr">
        <is>
          <t>1193 avenue des Sénès</t>
        </is>
      </c>
      <c r="J912" t="inlineStr">
        <is>
          <t>83210</t>
        </is>
      </c>
      <c r="K912" t="inlineStr">
        <is>
          <t>Solliès-Pont</t>
        </is>
      </c>
      <c r="L912" t="inlineStr">
        <is>
          <t>04 94 33 78 84</t>
        </is>
      </c>
      <c r="M912" s="4" t="inlineStr">
        <is>
          <t>info@ccvg.fr</t>
        </is>
      </c>
      <c r="N912" s="4" t="inlineStr">
        <is>
          <t>https://www.ccvg.fr/</t>
        </is>
      </c>
      <c r="O912" s="4" t="inlineStr">
        <is>
          <t>https://www.ccvg.fr/nous-contacter-5/</t>
        </is>
      </c>
      <c r="P912" s="4" t="inlineStr">
        <is>
          <t>https://lannuaire.service-public.gouv.fr/provence-alpes-cote-d-azur/var/52737038-0552-47c0-9049-16f23b02b480</t>
        </is>
      </c>
      <c r="Q912" t="inlineStr">
        <is>
          <t>Annuaire Service-public.fr</t>
        </is>
      </c>
      <c r="R912" t="inlineStr"/>
      <c r="S912" t="inlineStr"/>
      <c r="T912" t="inlineStr"/>
    </row>
    <row r="913">
      <c r="A913" t="inlineStr">
        <is>
          <t>CC du Golfe de Saint-Tropez</t>
        </is>
      </c>
      <c r="B913" t="inlineStr">
        <is>
          <t>Communauté de communes</t>
        </is>
      </c>
      <c r="C913" t="inlineStr">
        <is>
          <t>200036077</t>
        </is>
      </c>
      <c r="D913" t="inlineStr">
        <is>
          <t>83</t>
        </is>
      </c>
      <c r="E913" t="inlineStr">
        <is>
          <t>Var</t>
        </is>
      </c>
      <c r="F913" t="inlineStr">
        <is>
          <t>Provence-Alpes-Côte d'Azur</t>
        </is>
      </c>
      <c r="G913" s="3" t="n">
        <v>57965</v>
      </c>
      <c r="H913" t="n">
        <v>12</v>
      </c>
      <c r="I913" t="inlineStr">
        <is>
          <t>2 rue Blaise-Pascal, Bâtiment le Grand Sud</t>
        </is>
      </c>
      <c r="J913" t="inlineStr">
        <is>
          <t>83310</t>
        </is>
      </c>
      <c r="K913" t="inlineStr">
        <is>
          <t>Cogolin</t>
        </is>
      </c>
      <c r="L913" t="inlineStr">
        <is>
          <t>04 94 55 70 30</t>
        </is>
      </c>
      <c r="M913" s="4" t="inlineStr">
        <is>
          <t>contact@cc-golfedesainttropez.fr</t>
        </is>
      </c>
      <c r="N913" s="4" t="inlineStr">
        <is>
          <t>https://www.golfe-sainttropez.fr/</t>
        </is>
      </c>
      <c r="O913" s="4" t="inlineStr">
        <is>
          <t>https://www.golfe-sainttropez.fr/nous-contacter/</t>
        </is>
      </c>
      <c r="P913" s="4" t="inlineStr">
        <is>
          <t>https://lannuaire.service-public.gouv.fr/provence-alpes-cote-d-azur/var/74476cb5-2f20-4385-801b-631666f6c426</t>
        </is>
      </c>
      <c r="Q913" t="inlineStr">
        <is>
          <t>Annuaire Service-public.fr</t>
        </is>
      </c>
      <c r="R913" t="inlineStr"/>
      <c r="S913" t="inlineStr"/>
      <c r="T913" t="inlineStr"/>
    </row>
    <row r="914">
      <c r="A914" t="inlineStr">
        <is>
          <t>CC du Pays de Fayence</t>
        </is>
      </c>
      <c r="B914" t="inlineStr">
        <is>
          <t>Communauté de communes</t>
        </is>
      </c>
      <c r="C914" t="inlineStr">
        <is>
          <t>200004802</t>
        </is>
      </c>
      <c r="D914" t="inlineStr">
        <is>
          <t>83</t>
        </is>
      </c>
      <c r="E914" t="inlineStr">
        <is>
          <t>Var</t>
        </is>
      </c>
      <c r="F914" t="inlineStr">
        <is>
          <t>Provence-Alpes-Côte d'Azur</t>
        </is>
      </c>
      <c r="G914" s="3" t="n">
        <v>29769</v>
      </c>
      <c r="H914" t="n">
        <v>9</v>
      </c>
      <c r="I914" t="inlineStr">
        <is>
          <t>1849 route départementale 19, Mas-de-Tassy</t>
        </is>
      </c>
      <c r="J914" t="inlineStr">
        <is>
          <t>83440</t>
        </is>
      </c>
      <c r="K914" t="inlineStr">
        <is>
          <t>Tourrettes</t>
        </is>
      </c>
      <c r="L914" t="inlineStr">
        <is>
          <t>04 94 76 02 03</t>
        </is>
      </c>
      <c r="M914" s="4" t="inlineStr">
        <is>
          <t>contact@cc-paysdefayence.fr</t>
        </is>
      </c>
      <c r="N914" s="4" t="inlineStr">
        <is>
          <t>https://www.cc-paysdefayence.fr/</t>
        </is>
      </c>
      <c r="O914" t="inlineStr"/>
      <c r="P914" s="4" t="inlineStr">
        <is>
          <t>https://lannuaire.service-public.gouv.fr/provence-alpes-cote-d-azur/var/2e5a0294-cc2c-469a-91d7-5eabf73966d8</t>
        </is>
      </c>
      <c r="Q914" t="inlineStr">
        <is>
          <t>Annuaire Service-public.fr</t>
        </is>
      </c>
      <c r="R914" t="inlineStr"/>
      <c r="S914" t="inlineStr"/>
      <c r="T914" t="inlineStr"/>
    </row>
    <row r="915">
      <c r="A915" t="inlineStr">
        <is>
          <t>CC Aygues-Ouvèze en Provence (CCAOP)</t>
        </is>
      </c>
      <c r="B915" t="inlineStr">
        <is>
          <t>Communauté de communes</t>
        </is>
      </c>
      <c r="C915" t="inlineStr">
        <is>
          <t>248400160</t>
        </is>
      </c>
      <c r="D915" t="inlineStr">
        <is>
          <t>84</t>
        </is>
      </c>
      <c r="E915" t="inlineStr">
        <is>
          <t>Vaucluse</t>
        </is>
      </c>
      <c r="F915" t="inlineStr">
        <is>
          <t>Provence-Alpes-Côte d'Azur</t>
        </is>
      </c>
      <c r="G915" s="3" t="n">
        <v>20252</v>
      </c>
      <c r="H915" t="n">
        <v>8</v>
      </c>
      <c r="I915" t="inlineStr">
        <is>
          <t>ZAE Joncquier &amp; Morelles</t>
        </is>
      </c>
      <c r="J915" t="inlineStr">
        <is>
          <t>84850</t>
        </is>
      </c>
      <c r="K915" t="inlineStr">
        <is>
          <t>Camaret-sur-Aygues</t>
        </is>
      </c>
      <c r="L915" t="inlineStr">
        <is>
          <t>04 90 29 46 10</t>
        </is>
      </c>
      <c r="M915" s="4" t="inlineStr">
        <is>
          <t>accueil@ccayguesouveze.com</t>
        </is>
      </c>
      <c r="N915" s="4" t="inlineStr">
        <is>
          <t>https://www.ccayguesouveze.com/</t>
        </is>
      </c>
      <c r="O915" s="4" t="inlineStr">
        <is>
          <t>http://www.ccayguesouveze.com/contact/</t>
        </is>
      </c>
      <c r="P915" s="4" t="inlineStr">
        <is>
          <t>https://lannuaire.service-public.gouv.fr/provence-alpes-cote-d-azur/vaucluse/a1980ee2-df14-4c61-adcb-25edfbaf7729</t>
        </is>
      </c>
      <c r="Q915" t="inlineStr">
        <is>
          <t>Annuaire Service-public.fr</t>
        </is>
      </c>
      <c r="R915" t="inlineStr"/>
      <c r="S915" t="inlineStr"/>
      <c r="T915" t="inlineStr"/>
    </row>
    <row r="916">
      <c r="A916" t="inlineStr">
        <is>
          <t>CC Pays d'Orange en Provence</t>
        </is>
      </c>
      <c r="B916" t="inlineStr">
        <is>
          <t>Communauté de communes</t>
        </is>
      </c>
      <c r="C916" t="inlineStr">
        <is>
          <t>248400236</t>
        </is>
      </c>
      <c r="D916" t="inlineStr">
        <is>
          <t>84</t>
        </is>
      </c>
      <c r="E916" t="inlineStr">
        <is>
          <t>Vaucluse</t>
        </is>
      </c>
      <c r="F916" t="inlineStr">
        <is>
          <t>Provence-Alpes-Côte d'Azur</t>
        </is>
      </c>
      <c r="G916" s="3" t="n">
        <v>45401</v>
      </c>
      <c r="H916" t="n">
        <v>5</v>
      </c>
      <c r="I916" t="inlineStr">
        <is>
          <t>307 avenue de l'Arc-de-Triomphe</t>
        </is>
      </c>
      <c r="J916" t="inlineStr">
        <is>
          <t>84100</t>
        </is>
      </c>
      <c r="K916" t="inlineStr">
        <is>
          <t>Orange</t>
        </is>
      </c>
      <c r="L916" t="inlineStr">
        <is>
          <t>04 90 03 01 50</t>
        </is>
      </c>
      <c r="M916" s="4" t="inlineStr">
        <is>
          <t>contact@ccpro.fr</t>
        </is>
      </c>
      <c r="N916" s="4" t="inlineStr">
        <is>
          <t>https://www.ccpro.fr/</t>
        </is>
      </c>
      <c r="O916" s="4" t="inlineStr">
        <is>
          <t>https://www.ccpro.fr/contact/</t>
        </is>
      </c>
      <c r="P916" s="4" t="inlineStr">
        <is>
          <t>https://lannuaire.service-public.gouv.fr/provence-alpes-cote-d-azur/vaucluse/34610ba2-b32b-48ea-8d19-4aeadbfd28f7</t>
        </is>
      </c>
      <c r="Q916" t="inlineStr">
        <is>
          <t>Annuaire Service-public.fr</t>
        </is>
      </c>
      <c r="R916" t="inlineStr"/>
      <c r="S916" t="inlineStr"/>
      <c r="T916" t="inlineStr"/>
    </row>
    <row r="917">
      <c r="A917" t="inlineStr">
        <is>
          <t>CC Rhône Lez Provence</t>
        </is>
      </c>
      <c r="B917" t="inlineStr">
        <is>
          <t>Communauté de communes</t>
        </is>
      </c>
      <c r="C917" t="inlineStr">
        <is>
          <t>200000628</t>
        </is>
      </c>
      <c r="D917" t="inlineStr">
        <is>
          <t>84</t>
        </is>
      </c>
      <c r="E917" t="inlineStr">
        <is>
          <t>Vaucluse</t>
        </is>
      </c>
      <c r="F917" t="inlineStr">
        <is>
          <t>Provence-Alpes-Côte d'Azur</t>
        </is>
      </c>
      <c r="G917" s="3" t="n">
        <v>24385</v>
      </c>
      <c r="H917" t="n">
        <v>5</v>
      </c>
      <c r="I917" t="inlineStr">
        <is>
          <t>1260 avenue Théodore-Aubanel</t>
        </is>
      </c>
      <c r="J917" t="inlineStr">
        <is>
          <t>84500</t>
        </is>
      </c>
      <c r="K917" t="inlineStr">
        <is>
          <t>Bollène</t>
        </is>
      </c>
      <c r="L917" t="inlineStr">
        <is>
          <t>04 90 40 01 28</t>
        </is>
      </c>
      <c r="M917" s="4" t="inlineStr">
        <is>
          <t>accueil@ccrlp.fr</t>
        </is>
      </c>
      <c r="N917" s="4" t="inlineStr">
        <is>
          <t>http://www.ccrlp.fr</t>
        </is>
      </c>
      <c r="O917" t="inlineStr"/>
      <c r="P917" s="4" t="inlineStr">
        <is>
          <t>https://lannuaire.service-public.gouv.fr/provence-alpes-cote-d-azur/vaucluse/053e0e63-ded0-4b06-acef-11502193b3c8</t>
        </is>
      </c>
      <c r="Q917" t="inlineStr">
        <is>
          <t>Annuaire Service-public.fr</t>
        </is>
      </c>
      <c r="R917" t="inlineStr"/>
      <c r="S917" t="inlineStr"/>
      <c r="T917" t="inlineStr"/>
    </row>
    <row r="918">
      <c r="A918" t="inlineStr">
        <is>
          <t>CC Territoriale Sud-Luberon</t>
        </is>
      </c>
      <c r="B918" t="inlineStr">
        <is>
          <t>Communauté de communes</t>
        </is>
      </c>
      <c r="C918" t="inlineStr">
        <is>
          <t>248400285</t>
        </is>
      </c>
      <c r="D918" t="inlineStr">
        <is>
          <t>84</t>
        </is>
      </c>
      <c r="E918" t="inlineStr">
        <is>
          <t>Vaucluse</t>
        </is>
      </c>
      <c r="F918" t="inlineStr">
        <is>
          <t>Provence-Alpes-Côte d'Azur</t>
        </is>
      </c>
      <c r="G918" s="3" t="n">
        <v>25719</v>
      </c>
      <c r="H918" t="n">
        <v>16</v>
      </c>
      <c r="I918" t="inlineStr">
        <is>
          <t>Parc d'activité Le Revol, 128 chemin des Vieilles-Vignes, CS 20128</t>
        </is>
      </c>
      <c r="J918" t="inlineStr">
        <is>
          <t>84240</t>
        </is>
      </c>
      <c r="K918" t="inlineStr">
        <is>
          <t>La Tour-d'Aigues</t>
        </is>
      </c>
      <c r="L918" t="inlineStr">
        <is>
          <t>04 90 07 48 12</t>
        </is>
      </c>
      <c r="M918" s="4" t="inlineStr">
        <is>
          <t>accueil@cotelub.fr</t>
        </is>
      </c>
      <c r="N918" s="4" t="inlineStr">
        <is>
          <t>https://www.cotelub.fr/</t>
        </is>
      </c>
      <c r="O918" t="inlineStr"/>
      <c r="P918" s="4" t="inlineStr">
        <is>
          <t>https://lannuaire.service-public.gouv.fr/provence-alpes-cote-d-azur/vaucluse/13a8c8e5-a3c5-4615-a462-c31309015044</t>
        </is>
      </c>
      <c r="Q918" t="inlineStr">
        <is>
          <t>Annuaire Service-public.fr</t>
        </is>
      </c>
      <c r="R918" t="inlineStr"/>
      <c r="S918" t="inlineStr"/>
      <c r="T918" t="inlineStr"/>
    </row>
    <row r="919">
      <c r="A919" t="inlineStr">
        <is>
          <t>CC du Pays des Sorgues et des Monts de Vaucluse</t>
        </is>
      </c>
      <c r="B919" t="inlineStr">
        <is>
          <t>Communauté de communes</t>
        </is>
      </c>
      <c r="C919" t="inlineStr">
        <is>
          <t>248400319</t>
        </is>
      </c>
      <c r="D919" t="inlineStr">
        <is>
          <t>84</t>
        </is>
      </c>
      <c r="E919" t="inlineStr">
        <is>
          <t>Vaucluse</t>
        </is>
      </c>
      <c r="F919" t="inlineStr">
        <is>
          <t>Provence-Alpes-Côte d'Azur</t>
        </is>
      </c>
      <c r="G919" s="3" t="n">
        <v>34163</v>
      </c>
      <c r="H919" t="n">
        <v>5</v>
      </c>
      <c r="I919" t="inlineStr">
        <is>
          <t>350 avenue de la Petite-Marine</t>
        </is>
      </c>
      <c r="J919" t="inlineStr">
        <is>
          <t>84800</t>
        </is>
      </c>
      <c r="K919" t="inlineStr">
        <is>
          <t>L'Isle-sur-la-Sorgue</t>
        </is>
      </c>
      <c r="L919" t="inlineStr">
        <is>
          <t>04 90 21 43 11</t>
        </is>
      </c>
      <c r="M919" s="4" t="inlineStr">
        <is>
          <t>contact@ccpsmv.fr</t>
        </is>
      </c>
      <c r="N919" s="4" t="inlineStr">
        <is>
          <t>https://www.paysdessorgues.fr/</t>
        </is>
      </c>
      <c r="O919" s="4" t="inlineStr">
        <is>
          <t>https://www.paysdessorgues.fr/contact</t>
        </is>
      </c>
      <c r="P919" s="4" t="inlineStr">
        <is>
          <t>https://lannuaire.service-public.gouv.fr/provence-alpes-cote-d-azur/vaucluse/2a02fb0d-054e-4c80-86b3-4befc91dbbcd</t>
        </is>
      </c>
      <c r="Q919" t="inlineStr">
        <is>
          <t>Annuaire Service-public.fr</t>
        </is>
      </c>
      <c r="R919" t="inlineStr"/>
      <c r="S919" t="inlineStr"/>
      <c r="T919" t="inlineStr"/>
    </row>
    <row r="920">
      <c r="A920" t="inlineStr">
        <is>
          <t>CC Challans-Gois Communauté</t>
        </is>
      </c>
      <c r="B920" t="inlineStr">
        <is>
          <t>Communauté de communes</t>
        </is>
      </c>
      <c r="C920" t="inlineStr">
        <is>
          <t>200071629</t>
        </is>
      </c>
      <c r="D920" t="inlineStr">
        <is>
          <t>85</t>
        </is>
      </c>
      <c r="E920" t="inlineStr">
        <is>
          <t>Vendée</t>
        </is>
      </c>
      <c r="F920" t="inlineStr">
        <is>
          <t>Pays de la Loire</t>
        </is>
      </c>
      <c r="G920" s="3" t="n">
        <v>50705</v>
      </c>
      <c r="H920" t="n">
        <v>11</v>
      </c>
      <c r="I920" t="inlineStr">
        <is>
          <t>16 rue du Parc-de-Pont-Habert</t>
        </is>
      </c>
      <c r="J920" t="inlineStr">
        <is>
          <t>85300</t>
        </is>
      </c>
      <c r="K920" t="inlineStr">
        <is>
          <t>Sallertaine</t>
        </is>
      </c>
      <c r="L920" t="inlineStr">
        <is>
          <t>02 51 93 56 73</t>
        </is>
      </c>
      <c r="M920" s="4" t="inlineStr">
        <is>
          <t>contact@challansgois.fr</t>
        </is>
      </c>
      <c r="N920" s="4" t="inlineStr">
        <is>
          <t>https://www.challansgois.fr/</t>
        </is>
      </c>
      <c r="O920" s="4" t="inlineStr">
        <is>
          <t>https://www.challansgois.fr/nous-contacter</t>
        </is>
      </c>
      <c r="P920" s="4" t="inlineStr">
        <is>
          <t>https://lannuaire.service-public.gouv.fr/pays-de-la-loire/vendee/bdc2de03-7b2f-4cb1-ab00-c2356343de15</t>
        </is>
      </c>
      <c r="Q920" t="inlineStr">
        <is>
          <t>Annuaire Service-public.fr</t>
        </is>
      </c>
      <c r="R920" t="inlineStr"/>
      <c r="S920" t="inlineStr"/>
      <c r="T920" t="inlineStr"/>
    </row>
    <row r="921">
      <c r="A921" t="inlineStr">
        <is>
          <t>CC Océan Marais de Monts</t>
        </is>
      </c>
      <c r="B921" t="inlineStr">
        <is>
          <t>Communauté de communes</t>
        </is>
      </c>
      <c r="C921" t="inlineStr">
        <is>
          <t>248500258</t>
        </is>
      </c>
      <c r="D921" t="inlineStr">
        <is>
          <t>85</t>
        </is>
      </c>
      <c r="E921" t="inlineStr">
        <is>
          <t>Vendée</t>
        </is>
      </c>
      <c r="F921" t="inlineStr">
        <is>
          <t>Pays de la Loire</t>
        </is>
      </c>
      <c r="G921" s="3" t="n">
        <v>20203</v>
      </c>
      <c r="H921" t="n">
        <v>5</v>
      </c>
      <c r="I921" t="inlineStr">
        <is>
          <t>46 place de la Paix, Maison du développement intercommunal</t>
        </is>
      </c>
      <c r="J921" t="inlineStr">
        <is>
          <t>85167</t>
        </is>
      </c>
      <c r="K921" t="inlineStr">
        <is>
          <t>Saint-Jean-de-Monts</t>
        </is>
      </c>
      <c r="L921" t="inlineStr">
        <is>
          <t>02 51 58 07 89</t>
        </is>
      </c>
      <c r="M921" s="4" t="inlineStr">
        <is>
          <t>accueil@omdm.fr</t>
        </is>
      </c>
      <c r="N921" s="4" t="inlineStr">
        <is>
          <t>https://www.oceanmaraisdemonts.fr/</t>
        </is>
      </c>
      <c r="O921" t="inlineStr"/>
      <c r="P921" s="4" t="inlineStr">
        <is>
          <t>https://lannuaire.service-public.gouv.fr/pays-de-la-loire/vendee/42d6ad23-333e-404e-9131-79507109580b</t>
        </is>
      </c>
      <c r="Q921" t="inlineStr">
        <is>
          <t>Annuaire Service-public.fr</t>
        </is>
      </c>
      <c r="R921" t="inlineStr"/>
      <c r="S921" t="inlineStr"/>
      <c r="T921" t="inlineStr"/>
    </row>
    <row r="922">
      <c r="A922" t="inlineStr">
        <is>
          <t>CC Pays de Chantonnay</t>
        </is>
      </c>
      <c r="B922" t="inlineStr">
        <is>
          <t>Communauté de communes</t>
        </is>
      </c>
      <c r="C922" t="inlineStr">
        <is>
          <t>248500340</t>
        </is>
      </c>
      <c r="D922" t="inlineStr">
        <is>
          <t>85</t>
        </is>
      </c>
      <c r="E922" t="inlineStr">
        <is>
          <t>Vendée</t>
        </is>
      </c>
      <c r="F922" t="inlineStr">
        <is>
          <t>Pays de la Loire</t>
        </is>
      </c>
      <c r="G922" s="3" t="n">
        <v>23216</v>
      </c>
      <c r="H922" t="n">
        <v>10</v>
      </c>
      <c r="I922" t="inlineStr">
        <is>
          <t>65 avenue du Général-de-Gaulle</t>
        </is>
      </c>
      <c r="J922" t="inlineStr">
        <is>
          <t>85111</t>
        </is>
      </c>
      <c r="K922" t="inlineStr">
        <is>
          <t>Chantonnay</t>
        </is>
      </c>
      <c r="L922" t="inlineStr">
        <is>
          <t>02 51 94 40 23</t>
        </is>
      </c>
      <c r="M922" s="4" t="inlineStr">
        <is>
          <t>contact@cc-paysdechantonnay.fr</t>
        </is>
      </c>
      <c r="N922" s="4" t="inlineStr">
        <is>
          <t>https://www.paysdechantonnay.fr/</t>
        </is>
      </c>
      <c r="O922" s="4" t="inlineStr">
        <is>
          <t>https://www.paysdechantonnay.fr/nous-contacter/</t>
        </is>
      </c>
      <c r="P922" s="4" t="inlineStr">
        <is>
          <t>https://lannuaire.service-public.gouv.fr/pays-de-la-loire/vendee/361f7789-9b70-4275-b61b-e90224c7d9a9</t>
        </is>
      </c>
      <c r="Q922" t="inlineStr">
        <is>
          <t>Annuaire Service-public.fr</t>
        </is>
      </c>
      <c r="R922" t="inlineStr"/>
      <c r="S922" t="inlineStr"/>
      <c r="T922" t="inlineStr"/>
    </row>
    <row r="923">
      <c r="A923" t="inlineStr">
        <is>
          <t>CC Sud Vendée Littoral</t>
        </is>
      </c>
      <c r="B923" t="inlineStr">
        <is>
          <t>Communauté de communes</t>
        </is>
      </c>
      <c r="C923" t="inlineStr">
        <is>
          <t>200073260</t>
        </is>
      </c>
      <c r="D923" t="inlineStr">
        <is>
          <t>85</t>
        </is>
      </c>
      <c r="E923" t="inlineStr">
        <is>
          <t>Vendée</t>
        </is>
      </c>
      <c r="F923" t="inlineStr">
        <is>
          <t>Pays de la Loire</t>
        </is>
      </c>
      <c r="G923" s="3" t="n">
        <v>55649</v>
      </c>
      <c r="H923" t="n">
        <v>42</v>
      </c>
      <c r="I923" t="inlineStr">
        <is>
          <t>107 avenue Maréchal-de-Lattre-de-Tassigny</t>
        </is>
      </c>
      <c r="J923" t="inlineStr">
        <is>
          <t>85400</t>
        </is>
      </c>
      <c r="K923" t="inlineStr">
        <is>
          <t>Luçon</t>
        </is>
      </c>
      <c r="L923" t="inlineStr">
        <is>
          <t>02 51 97 64 64</t>
        </is>
      </c>
      <c r="M923" s="4" t="inlineStr">
        <is>
          <t>accueil@sudvendeelittoral.fr</t>
        </is>
      </c>
      <c r="N923" s="4" t="inlineStr">
        <is>
          <t>https://www.cc-sudvendeelittoral.fr/</t>
        </is>
      </c>
      <c r="O923" s="4" t="inlineStr">
        <is>
          <t>https://www.cc-sudvendeelittoral.fr/systeme/nous-contacter/</t>
        </is>
      </c>
      <c r="P923" s="4" t="inlineStr">
        <is>
          <t>https://lannuaire.service-public.gouv.fr/pays-de-la-loire/vendee/2eaf4b87-e89b-47ff-bf02-b38799a7fd22</t>
        </is>
      </c>
      <c r="Q923" t="inlineStr">
        <is>
          <t>Annuaire Service-public.fr</t>
        </is>
      </c>
      <c r="R923" t="inlineStr"/>
      <c r="S923" t="inlineStr"/>
      <c r="T923" t="inlineStr"/>
    </row>
    <row r="924">
      <c r="A924" t="inlineStr">
        <is>
          <t>CC Vendée Grand Littoral</t>
        </is>
      </c>
      <c r="B924" t="inlineStr">
        <is>
          <t>Communauté de communes</t>
        </is>
      </c>
      <c r="C924" t="inlineStr">
        <is>
          <t>200071900</t>
        </is>
      </c>
      <c r="D924" t="inlineStr">
        <is>
          <t>85</t>
        </is>
      </c>
      <c r="E924" t="inlineStr">
        <is>
          <t>Vendée</t>
        </is>
      </c>
      <c r="F924" t="inlineStr">
        <is>
          <t>Pays de la Loire</t>
        </is>
      </c>
      <c r="G924" s="3" t="n">
        <v>36360</v>
      </c>
      <c r="H924" t="n">
        <v>20</v>
      </c>
      <c r="I924" t="inlineStr">
        <is>
          <t>35 impasse du Luthier, ZI du Patis, BP 20</t>
        </is>
      </c>
      <c r="J924" t="inlineStr">
        <is>
          <t>85440</t>
        </is>
      </c>
      <c r="K924" t="inlineStr">
        <is>
          <t>Talmont-Saint-Hilaire</t>
        </is>
      </c>
      <c r="L924" t="inlineStr">
        <is>
          <t>02 51 20 72 07</t>
        </is>
      </c>
      <c r="M924" s="4" t="inlineStr">
        <is>
          <t>contact@vendeegrandlittoral.fr</t>
        </is>
      </c>
      <c r="N924" s="4" t="inlineStr">
        <is>
          <t>https://www.vendeegrandlittoral.fr/</t>
        </is>
      </c>
      <c r="O924" s="4" t="inlineStr">
        <is>
          <t>https://www.vendeegrandlittoral.fr/systeme/contact/</t>
        </is>
      </c>
      <c r="P924" s="4" t="inlineStr">
        <is>
          <t>https://lannuaire.service-public.gouv.fr/pays-de-la-loire/vendee/14f6b5e5-af7e-416a-8422-953a99d13d74</t>
        </is>
      </c>
      <c r="Q924" t="inlineStr">
        <is>
          <t>Annuaire Service-public.fr</t>
        </is>
      </c>
      <c r="R924" t="inlineStr"/>
      <c r="S924" t="inlineStr"/>
      <c r="T924" t="inlineStr"/>
    </row>
    <row r="925">
      <c r="A925" t="inlineStr">
        <is>
          <t>CC Vendée, Sèvre, Autise</t>
        </is>
      </c>
      <c r="B925" t="inlineStr">
        <is>
          <t>Communauté de communes</t>
        </is>
      </c>
      <c r="C925" t="inlineStr">
        <is>
          <t>248500563</t>
        </is>
      </c>
      <c r="D925" t="inlineStr">
        <is>
          <t>85</t>
        </is>
      </c>
      <c r="E925" t="inlineStr">
        <is>
          <t>Vendée</t>
        </is>
      </c>
      <c r="F925" t="inlineStr">
        <is>
          <t>Pays de la Loire</t>
        </is>
      </c>
      <c r="G925" s="3" t="n">
        <v>16191</v>
      </c>
      <c r="H925" t="n">
        <v>15</v>
      </c>
      <c r="I925" t="inlineStr">
        <is>
          <t>25 rue de la Gare</t>
        </is>
      </c>
      <c r="J925" t="inlineStr">
        <is>
          <t>85420</t>
        </is>
      </c>
      <c r="K925" t="inlineStr">
        <is>
          <t>Rives-d'Autise</t>
        </is>
      </c>
      <c r="L925" t="inlineStr">
        <is>
          <t>02 51 50 48 80</t>
        </is>
      </c>
      <c r="M925" s="4" t="inlineStr">
        <is>
          <t>secretariat@cc-vsa.com</t>
        </is>
      </c>
      <c r="N925" s="4" t="inlineStr">
        <is>
          <t>https://www.cc-vsa.com/</t>
        </is>
      </c>
      <c r="O925" s="4" t="inlineStr">
        <is>
          <t>https://www.cc-vsa.com/systeme/nous-contacter/</t>
        </is>
      </c>
      <c r="P925" s="4" t="inlineStr">
        <is>
          <t>https://lannuaire.service-public.gouv.fr/pays-de-la-loire/vendee/dc455848-f4fd-4c8e-a112-a787b8e4d933</t>
        </is>
      </c>
      <c r="Q925" t="inlineStr">
        <is>
          <t>Annuaire Service-public.fr</t>
        </is>
      </c>
      <c r="R925" t="inlineStr"/>
      <c r="S925" t="inlineStr"/>
      <c r="T925" t="inlineStr"/>
    </row>
    <row r="926">
      <c r="A926" t="inlineStr">
        <is>
          <t>CC de Vie et Boulogne</t>
        </is>
      </c>
      <c r="B926" t="inlineStr">
        <is>
          <t>Communauté de communes</t>
        </is>
      </c>
      <c r="C926" t="inlineStr">
        <is>
          <t>200072882</t>
        </is>
      </c>
      <c r="D926" t="inlineStr">
        <is>
          <t>85</t>
        </is>
      </c>
      <c r="E926" t="inlineStr">
        <is>
          <t>Vendée</t>
        </is>
      </c>
      <c r="F926" t="inlineStr">
        <is>
          <t>Pays de la Loire</t>
        </is>
      </c>
      <c r="G926" s="3" t="n">
        <v>46344</v>
      </c>
      <c r="H926" t="n">
        <v>15</v>
      </c>
      <c r="I926" t="inlineStr">
        <is>
          <t>24 rue des Landes</t>
        </is>
      </c>
      <c r="J926" t="inlineStr">
        <is>
          <t>85170</t>
        </is>
      </c>
      <c r="K926" t="inlineStr">
        <is>
          <t>Le Poiré-sur-Vie</t>
        </is>
      </c>
      <c r="L926" t="inlineStr">
        <is>
          <t>02 51 31 60 09</t>
        </is>
      </c>
      <c r="M926" s="4" t="inlineStr">
        <is>
          <t>accueil@vieetboulogne.fr</t>
        </is>
      </c>
      <c r="N926" s="4" t="inlineStr">
        <is>
          <t>https://www.vie-et-boulogne.fr/</t>
        </is>
      </c>
      <c r="O926" s="4" t="inlineStr">
        <is>
          <t>https://www.vie-et-boulogne.fr/nous-contacter/</t>
        </is>
      </c>
      <c r="P926" s="4" t="inlineStr">
        <is>
          <t>https://lannuaire.service-public.gouv.fr/pays-de-la-loire/vendee/87d14a9d-ef21-48fe-aea6-0f1d0c3c0a4b</t>
        </is>
      </c>
      <c r="Q926" t="inlineStr">
        <is>
          <t>Annuaire Service-public.fr</t>
        </is>
      </c>
      <c r="R926" t="inlineStr"/>
      <c r="S926" t="inlineStr"/>
      <c r="T926" t="inlineStr"/>
    </row>
    <row r="927">
      <c r="A927" t="inlineStr">
        <is>
          <t>CC de l'Ile de Noirmoutier</t>
        </is>
      </c>
      <c r="B927" t="inlineStr">
        <is>
          <t>Communauté de communes</t>
        </is>
      </c>
      <c r="C927" t="inlineStr">
        <is>
          <t>248500191</t>
        </is>
      </c>
      <c r="D927" t="inlineStr">
        <is>
          <t>85</t>
        </is>
      </c>
      <c r="E927" t="inlineStr">
        <is>
          <t>Vendée</t>
        </is>
      </c>
      <c r="F927" t="inlineStr">
        <is>
          <t>Pays de la Loire</t>
        </is>
      </c>
      <c r="G927" s="3" t="n">
        <v>9270</v>
      </c>
      <c r="H927" t="n">
        <v>4</v>
      </c>
      <c r="I927" t="inlineStr">
        <is>
          <t>51 rue de la Prée-au-Duc</t>
        </is>
      </c>
      <c r="J927" t="inlineStr">
        <is>
          <t>85330</t>
        </is>
      </c>
      <c r="K927" t="inlineStr">
        <is>
          <t>Noirmourtier-en-l'Île</t>
        </is>
      </c>
      <c r="L927" t="inlineStr">
        <is>
          <t>02 51 35 89 89</t>
        </is>
      </c>
      <c r="M927" s="4" t="inlineStr">
        <is>
          <t>contact@iledenoirmoutier.org</t>
        </is>
      </c>
      <c r="N927" s="4" t="inlineStr">
        <is>
          <t>https://www.cdc-iledenoirmoutier.com/</t>
        </is>
      </c>
      <c r="O927" s="4" t="inlineStr">
        <is>
          <t>https://www.cdc-iledenoirmoutier.com/contact</t>
        </is>
      </c>
      <c r="P927" s="4" t="inlineStr">
        <is>
          <t>https://lannuaire.service-public.gouv.fr/pays-de-la-loire/vendee/2fbb7f30-dc40-41b7-86a4-40b86b77c3bc</t>
        </is>
      </c>
      <c r="Q927" t="inlineStr">
        <is>
          <t>Annuaire Service-public.fr</t>
        </is>
      </c>
      <c r="R927" t="inlineStr"/>
      <c r="S927" t="inlineStr"/>
      <c r="T927" t="inlineStr"/>
    </row>
    <row r="928">
      <c r="A928" t="inlineStr">
        <is>
          <t>CC du Pays de Fontenay-Vendée</t>
        </is>
      </c>
      <c r="B928" t="inlineStr">
        <is>
          <t>Communauté de communes</t>
        </is>
      </c>
      <c r="C928" t="inlineStr">
        <is>
          <t>200071934</t>
        </is>
      </c>
      <c r="D928" t="inlineStr">
        <is>
          <t>85</t>
        </is>
      </c>
      <c r="E928" t="inlineStr">
        <is>
          <t>Vendée</t>
        </is>
      </c>
      <c r="F928" t="inlineStr">
        <is>
          <t>Pays de la Loire</t>
        </is>
      </c>
      <c r="G928" s="3" t="n">
        <v>35727</v>
      </c>
      <c r="H928" t="n">
        <v>25</v>
      </c>
      <c r="I928" t="inlineStr">
        <is>
          <t>16 rue de l'Innovation</t>
        </is>
      </c>
      <c r="J928" t="inlineStr">
        <is>
          <t>85200</t>
        </is>
      </c>
      <c r="K928" t="inlineStr">
        <is>
          <t>Fontenay-le-Comte</t>
        </is>
      </c>
      <c r="L928" t="inlineStr">
        <is>
          <t>02 28 13 07 07</t>
        </is>
      </c>
      <c r="M928" s="4" t="inlineStr">
        <is>
          <t>accueil@fontenayvendee.fr</t>
        </is>
      </c>
      <c r="N928" s="4" t="inlineStr">
        <is>
          <t>https://www.fontenayvendee.fr/</t>
        </is>
      </c>
      <c r="O928" s="4" t="inlineStr">
        <is>
          <t>https://www.fontenayvendee.fr/systeme/contact/</t>
        </is>
      </c>
      <c r="P928" s="4" t="inlineStr">
        <is>
          <t>https://lannuaire.service-public.gouv.fr/pays-de-la-loire/vendee/257faded-4aa6-4f0f-bf13-43f968b836ce</t>
        </is>
      </c>
      <c r="Q928" t="inlineStr">
        <is>
          <t>Annuaire Service-public.fr</t>
        </is>
      </c>
      <c r="R928" t="inlineStr"/>
      <c r="S928" t="inlineStr"/>
      <c r="T928" t="inlineStr"/>
    </row>
    <row r="929">
      <c r="A929" t="inlineStr">
        <is>
          <t>CC du Pays de Mortagne</t>
        </is>
      </c>
      <c r="B929" t="inlineStr">
        <is>
          <t>Communauté de communes</t>
        </is>
      </c>
      <c r="C929" t="inlineStr">
        <is>
          <t>248500662</t>
        </is>
      </c>
      <c r="D929" t="inlineStr">
        <is>
          <t>85</t>
        </is>
      </c>
      <c r="E929" t="inlineStr">
        <is>
          <t>Vendée</t>
        </is>
      </c>
      <c r="F929" t="inlineStr">
        <is>
          <t>Pays de la Loire</t>
        </is>
      </c>
      <c r="G929" s="3" t="n">
        <v>28234</v>
      </c>
      <c r="H929" t="n">
        <v>11</v>
      </c>
      <c r="I929" t="inlineStr">
        <is>
          <t>21 rue Johannes-Gutenberg, La Verrie, Pôle du Landreau</t>
        </is>
      </c>
      <c r="J929" t="inlineStr">
        <is>
          <t>85130</t>
        </is>
      </c>
      <c r="K929" t="inlineStr">
        <is>
          <t>Chanverrie</t>
        </is>
      </c>
      <c r="L929" t="inlineStr">
        <is>
          <t>02 51 63 06 06</t>
        </is>
      </c>
      <c r="M929" s="4" t="inlineStr">
        <is>
          <t>contact@paysdemortagne.fr</t>
        </is>
      </c>
      <c r="N929" s="4" t="inlineStr">
        <is>
          <t>https://www.paysdemortagne.fr/</t>
        </is>
      </c>
      <c r="O929" s="4" t="inlineStr">
        <is>
          <t>https://www.paysdemortagne.fr/contact/</t>
        </is>
      </c>
      <c r="P929" s="4" t="inlineStr">
        <is>
          <t>https://lannuaire.service-public.gouv.fr/pays-de-la-loire/vendee/99baa63c-66bd-4d0e-8cee-13baa4190695</t>
        </is>
      </c>
      <c r="Q929" t="inlineStr">
        <is>
          <t>Annuaire Service-public.fr</t>
        </is>
      </c>
      <c r="R929" t="inlineStr"/>
      <c r="S929" t="inlineStr"/>
      <c r="T929" t="inlineStr"/>
    </row>
    <row r="930">
      <c r="A930" t="inlineStr">
        <is>
          <t>CC du Pays de Pouzauges</t>
        </is>
      </c>
      <c r="B930" t="inlineStr">
        <is>
          <t>Communauté de communes</t>
        </is>
      </c>
      <c r="C930" t="inlineStr">
        <is>
          <t>248500464</t>
        </is>
      </c>
      <c r="D930" t="inlineStr">
        <is>
          <t>85</t>
        </is>
      </c>
      <c r="E930" t="inlineStr">
        <is>
          <t>Vendée</t>
        </is>
      </c>
      <c r="F930" t="inlineStr">
        <is>
          <t>Pays de la Loire</t>
        </is>
      </c>
      <c r="G930" s="3" t="n">
        <v>23242</v>
      </c>
      <c r="H930" t="n">
        <v>10</v>
      </c>
      <c r="I930" t="inlineStr">
        <is>
          <t>18 La Fournière, Maison de l'intercommunalité</t>
        </is>
      </c>
      <c r="J930" t="inlineStr">
        <is>
          <t>85700</t>
        </is>
      </c>
      <c r="K930" t="inlineStr">
        <is>
          <t>Pouzauges</t>
        </is>
      </c>
      <c r="L930" t="inlineStr">
        <is>
          <t>02 51 57 14 23</t>
        </is>
      </c>
      <c r="M930" s="4" t="inlineStr">
        <is>
          <t>contact@paysdepouzauges.fr</t>
        </is>
      </c>
      <c r="N930" s="4" t="inlineStr">
        <is>
          <t>https://www.paysdepouzauges.fr/</t>
        </is>
      </c>
      <c r="O930" s="4" t="inlineStr">
        <is>
          <t>https://www.paysdepouzauges.fr/la-communaute-de-communes/contact/</t>
        </is>
      </c>
      <c r="P930" s="4" t="inlineStr">
        <is>
          <t>https://lannuaire.service-public.gouv.fr/pays-de-la-loire/vendee/e9324c54-9917-4b03-896c-4f609e16b807</t>
        </is>
      </c>
      <c r="Q930" t="inlineStr">
        <is>
          <t>Annuaire Service-public.fr</t>
        </is>
      </c>
      <c r="R930" t="inlineStr"/>
      <c r="S930" t="inlineStr"/>
      <c r="T930" t="inlineStr"/>
    </row>
    <row r="931">
      <c r="A931" t="inlineStr">
        <is>
          <t>CC du Pays de Saint-Fulgent - Les Essarts</t>
        </is>
      </c>
      <c r="B931" t="inlineStr">
        <is>
          <t>Communauté de communes</t>
        </is>
      </c>
      <c r="C931" t="inlineStr">
        <is>
          <t>200071918</t>
        </is>
      </c>
      <c r="D931" t="inlineStr">
        <is>
          <t>85</t>
        </is>
      </c>
      <c r="E931" t="inlineStr">
        <is>
          <t>Vendée</t>
        </is>
      </c>
      <c r="F931" t="inlineStr">
        <is>
          <t>Pays de la Loire</t>
        </is>
      </c>
      <c r="G931" s="3" t="n">
        <v>29052</v>
      </c>
      <c r="H931" t="n">
        <v>12</v>
      </c>
      <c r="I931" t="inlineStr">
        <is>
          <t>2 rue Jules-Verne</t>
        </is>
      </c>
      <c r="J931" t="inlineStr">
        <is>
          <t>85250</t>
        </is>
      </c>
      <c r="K931" t="inlineStr">
        <is>
          <t>Saint-Fulgent</t>
        </is>
      </c>
      <c r="L931" t="inlineStr">
        <is>
          <t>02 51 43 81 61</t>
        </is>
      </c>
      <c r="M931" s="4" t="inlineStr">
        <is>
          <t>contact@paysfulgentessarts.fr</t>
        </is>
      </c>
      <c r="N931" s="4" t="inlineStr">
        <is>
          <t>https://www.paysfulgentessarts.fr/</t>
        </is>
      </c>
      <c r="O931" s="4" t="inlineStr">
        <is>
          <t>https://www.paysfulgentessarts.fr/Contact</t>
        </is>
      </c>
      <c r="P931" s="4" t="inlineStr">
        <is>
          <t>https://lannuaire.service-public.gouv.fr/pays-de-la-loire/vendee/99ebc9bd-ff35-4d8f-8f68-3c4c4e7a491b</t>
        </is>
      </c>
      <c r="Q931" t="inlineStr">
        <is>
          <t>Annuaire Service-public.fr</t>
        </is>
      </c>
      <c r="R931" t="inlineStr"/>
      <c r="S931" t="inlineStr"/>
      <c r="T931" t="inlineStr"/>
    </row>
    <row r="932">
      <c r="A932" t="inlineStr">
        <is>
          <t>CC du Pays de la Châtaigneraie</t>
        </is>
      </c>
      <c r="B932" t="inlineStr">
        <is>
          <t>Communauté de communes</t>
        </is>
      </c>
      <c r="C932" t="inlineStr">
        <is>
          <t>248500415</t>
        </is>
      </c>
      <c r="D932" t="inlineStr">
        <is>
          <t>85</t>
        </is>
      </c>
      <c r="E932" t="inlineStr">
        <is>
          <t>Vendée</t>
        </is>
      </c>
      <c r="F932" t="inlineStr">
        <is>
          <t>Pays de la Loire</t>
        </is>
      </c>
      <c r="G932" s="3" t="n">
        <v>15605</v>
      </c>
      <c r="H932" t="n">
        <v>14</v>
      </c>
      <c r="I932" t="inlineStr">
        <is>
          <t>Rond-point des Sources-de-la-Vendée</t>
        </is>
      </c>
      <c r="J932" t="inlineStr">
        <is>
          <t>85120</t>
        </is>
      </c>
      <c r="K932" t="inlineStr">
        <is>
          <t>Terval</t>
        </is>
      </c>
      <c r="L932" t="inlineStr">
        <is>
          <t>02 51 69 61 43</t>
        </is>
      </c>
      <c r="M932" s="4" t="inlineStr">
        <is>
          <t>info@ccplc.fr</t>
        </is>
      </c>
      <c r="N932" s="4" t="inlineStr">
        <is>
          <t>https://www.pays-chataigneraie.fr/</t>
        </is>
      </c>
      <c r="O932" s="4" t="inlineStr">
        <is>
          <t>https://www.pays-chataigneraie.fr/systeme/contact/</t>
        </is>
      </c>
      <c r="P932" s="4" t="inlineStr">
        <is>
          <t>https://lannuaire.service-public.gouv.fr/pays-de-la-loire/vendee/7cc2a93e-e9e1-4900-ab8c-ad55eed890fa</t>
        </is>
      </c>
      <c r="Q932" t="inlineStr">
        <is>
          <t>Annuaire Service-public.fr</t>
        </is>
      </c>
      <c r="R932" t="inlineStr"/>
      <c r="S932" t="inlineStr"/>
      <c r="T932" t="inlineStr"/>
    </row>
    <row r="933">
      <c r="A933" t="inlineStr">
        <is>
          <t>CC du Pays des Achards</t>
        </is>
      </c>
      <c r="B933" t="inlineStr">
        <is>
          <t>Communauté de communes</t>
        </is>
      </c>
      <c r="C933" t="inlineStr">
        <is>
          <t>248500530</t>
        </is>
      </c>
      <c r="D933" t="inlineStr">
        <is>
          <t>85</t>
        </is>
      </c>
      <c r="E933" t="inlineStr">
        <is>
          <t>Vendée</t>
        </is>
      </c>
      <c r="F933" t="inlineStr">
        <is>
          <t>Pays de la Loire</t>
        </is>
      </c>
      <c r="G933" s="3" t="n">
        <v>20174</v>
      </c>
      <c r="H933" t="n">
        <v>9</v>
      </c>
      <c r="I933" t="inlineStr">
        <is>
          <t>2 rue Michel-Breton, ZA Sud-Est</t>
        </is>
      </c>
      <c r="J933" t="inlineStr">
        <is>
          <t>85150</t>
        </is>
      </c>
      <c r="K933" t="inlineStr">
        <is>
          <t>Les Achards</t>
        </is>
      </c>
      <c r="L933" t="inlineStr">
        <is>
          <t>02 51 05 94 49</t>
        </is>
      </c>
      <c r="M933" s="4" t="inlineStr">
        <is>
          <t>contact@cc-paysdesachards.fr</t>
        </is>
      </c>
      <c r="N933" s="4" t="inlineStr">
        <is>
          <t>https://www.cc-paysdesachards.fr/</t>
        </is>
      </c>
      <c r="O933" s="4" t="inlineStr">
        <is>
          <t>https://www.cc-paysdesachards.fr/contact/</t>
        </is>
      </c>
      <c r="P933" s="4" t="inlineStr">
        <is>
          <t>https://lannuaire.service-public.gouv.fr/pays-de-la-loire/vendee/a539e3d3-f6fc-41fa-b974-d7b41ce320d9</t>
        </is>
      </c>
      <c r="Q933" t="inlineStr">
        <is>
          <t>Annuaire Service-public.fr</t>
        </is>
      </c>
      <c r="R933" t="inlineStr"/>
      <c r="S933" t="inlineStr"/>
      <c r="T933" t="inlineStr"/>
    </row>
    <row r="934">
      <c r="A934" t="inlineStr">
        <is>
          <t>CC du Pays des Herbiers</t>
        </is>
      </c>
      <c r="B934" t="inlineStr">
        <is>
          <t>Communauté de communes</t>
        </is>
      </c>
      <c r="C934" t="inlineStr">
        <is>
          <t>248500621</t>
        </is>
      </c>
      <c r="D934" t="inlineStr">
        <is>
          <t>85</t>
        </is>
      </c>
      <c r="E934" t="inlineStr">
        <is>
          <t>Vendée</t>
        </is>
      </c>
      <c r="F934" t="inlineStr">
        <is>
          <t>Pays de la Loire</t>
        </is>
      </c>
      <c r="G934" s="3" t="n">
        <v>30742</v>
      </c>
      <c r="H934" t="n">
        <v>8</v>
      </c>
      <c r="I934" t="inlineStr">
        <is>
          <t>6 rue du Tourniquet</t>
        </is>
      </c>
      <c r="J934" t="inlineStr">
        <is>
          <t>85500</t>
        </is>
      </c>
      <c r="K934" t="inlineStr">
        <is>
          <t>Les Herbiers</t>
        </is>
      </c>
      <c r="L934" t="inlineStr">
        <is>
          <t>02 51 66 82 27</t>
        </is>
      </c>
      <c r="M934" s="4" t="inlineStr">
        <is>
          <t>info@paysdesherbiers.fr</t>
        </is>
      </c>
      <c r="N934" s="4" t="inlineStr">
        <is>
          <t>https://www.paysdesherbiers.fr/</t>
        </is>
      </c>
      <c r="O934" s="4" t="inlineStr">
        <is>
          <t>https://www.paysdesherbiers.fr/systeme/nous-contacter/</t>
        </is>
      </c>
      <c r="P934" s="4" t="inlineStr">
        <is>
          <t>https://lannuaire.service-public.gouv.fr/pays-de-la-loire/vendee/ee8f58f5-5ed3-4bcb-aee0-0531c1c7f7bb</t>
        </is>
      </c>
      <c r="Q934" t="inlineStr">
        <is>
          <t>Annuaire Service-public.fr</t>
        </is>
      </c>
      <c r="R934" t="inlineStr"/>
      <c r="S934" t="inlineStr"/>
      <c r="T934" t="inlineStr"/>
    </row>
    <row r="935">
      <c r="A935" t="inlineStr">
        <is>
          <t>CC Vienne et Gartempe</t>
        </is>
      </c>
      <c r="B935" t="inlineStr">
        <is>
          <t>Communauté de communes</t>
        </is>
      </c>
      <c r="C935" t="inlineStr">
        <is>
          <t>200070043</t>
        </is>
      </c>
      <c r="D935" t="inlineStr">
        <is>
          <t>86</t>
        </is>
      </c>
      <c r="E935" t="inlineStr">
        <is>
          <t>Vienne</t>
        </is>
      </c>
      <c r="F935" t="inlineStr">
        <is>
          <t>Nouvelle-Aquitaine</t>
        </is>
      </c>
      <c r="G935" s="3" t="n">
        <v>38694</v>
      </c>
      <c r="H935" t="n">
        <v>55</v>
      </c>
      <c r="I935" t="inlineStr">
        <is>
          <t>6 rue Daniel-Cormier</t>
        </is>
      </c>
      <c r="J935" t="inlineStr">
        <is>
          <t>86500</t>
        </is>
      </c>
      <c r="K935" t="inlineStr">
        <is>
          <t>Montmorillon</t>
        </is>
      </c>
      <c r="L935" t="inlineStr">
        <is>
          <t>05 49 91 07 53</t>
        </is>
      </c>
      <c r="M935" s="4" t="inlineStr">
        <is>
          <t>contact@ccvg86.fr</t>
        </is>
      </c>
      <c r="N935" s="4" t="inlineStr">
        <is>
          <t>https://www.vienneetgartempe.fr/</t>
        </is>
      </c>
      <c r="O935" s="4" t="inlineStr">
        <is>
          <t>https://www.vienneetgartempe.fr/contact/</t>
        </is>
      </c>
      <c r="P935" s="4" t="inlineStr">
        <is>
          <t>https://lannuaire.service-public.gouv.fr/nouvelle-aquitaine/vienne/bca388d4-3e7f-406f-b88a-86cdf2f78ca1</t>
        </is>
      </c>
      <c r="Q935" t="inlineStr">
        <is>
          <t>Annuaire Service-public.fr</t>
        </is>
      </c>
      <c r="R935" t="inlineStr"/>
      <c r="S935" t="inlineStr"/>
      <c r="T935" t="inlineStr"/>
    </row>
    <row r="936">
      <c r="A936" t="inlineStr">
        <is>
          <t>CC des Vallées du Clain</t>
        </is>
      </c>
      <c r="B936" t="inlineStr">
        <is>
          <t>Communauté de communes</t>
        </is>
      </c>
      <c r="C936" t="inlineStr">
        <is>
          <t>200043628</t>
        </is>
      </c>
      <c r="D936" t="inlineStr">
        <is>
          <t>86</t>
        </is>
      </c>
      <c r="E936" t="inlineStr">
        <is>
          <t>Vienne</t>
        </is>
      </c>
      <c r="F936" t="inlineStr">
        <is>
          <t>Nouvelle-Aquitaine</t>
        </is>
      </c>
      <c r="G936" s="3" t="n">
        <v>27158</v>
      </c>
      <c r="H936" t="n">
        <v>16</v>
      </c>
      <c r="I936" t="inlineStr">
        <is>
          <t>25 route de Nieuil</t>
        </is>
      </c>
      <c r="J936" t="inlineStr">
        <is>
          <t>86340</t>
        </is>
      </c>
      <c r="K936" t="inlineStr">
        <is>
          <t>La Villedieu-du-Clain</t>
        </is>
      </c>
      <c r="L936" t="inlineStr">
        <is>
          <t>05 49 89 02 89</t>
        </is>
      </c>
      <c r="M936" s="4" t="inlineStr">
        <is>
          <t>accueil@valleesduclain.fr</t>
        </is>
      </c>
      <c r="N936" s="4" t="inlineStr">
        <is>
          <t>https://www.valleesduclain.fr/</t>
        </is>
      </c>
      <c r="O936" t="inlineStr"/>
      <c r="P936" s="4" t="inlineStr">
        <is>
          <t>https://lannuaire.service-public.gouv.fr/nouvelle-aquitaine/vienne/14417d18-1921-4644-b0a4-513b6e4140cc</t>
        </is>
      </c>
      <c r="Q936" t="inlineStr">
        <is>
          <t>Annuaire Service-public.fr</t>
        </is>
      </c>
      <c r="R936" t="inlineStr"/>
      <c r="S936" t="inlineStr"/>
      <c r="T936" t="inlineStr"/>
    </row>
    <row r="937">
      <c r="A937" t="inlineStr">
        <is>
          <t>CC du Civraisien en Poitou</t>
        </is>
      </c>
      <c r="B937" t="inlineStr">
        <is>
          <t>Communauté de communes</t>
        </is>
      </c>
      <c r="C937" t="inlineStr">
        <is>
          <t>200070035</t>
        </is>
      </c>
      <c r="D937" t="inlineStr">
        <is>
          <t>86</t>
        </is>
      </c>
      <c r="E937" t="inlineStr">
        <is>
          <t>Vienne</t>
        </is>
      </c>
      <c r="F937" t="inlineStr">
        <is>
          <t>Nouvelle-Aquitaine</t>
        </is>
      </c>
      <c r="G937" s="3" t="n">
        <v>26737</v>
      </c>
      <c r="H937" t="n">
        <v>35</v>
      </c>
      <c r="I937" t="inlineStr">
        <is>
          <t>10 avenue de la Gare</t>
        </is>
      </c>
      <c r="J937" t="inlineStr">
        <is>
          <t>86400</t>
        </is>
      </c>
      <c r="K937" t="inlineStr">
        <is>
          <t>Civray</t>
        </is>
      </c>
      <c r="L937" t="inlineStr">
        <is>
          <t>05 49 87 67 88</t>
        </is>
      </c>
      <c r="M937" s="4" t="inlineStr">
        <is>
          <t>contact@civraisienpoitou.fr</t>
        </is>
      </c>
      <c r="N937" s="4" t="inlineStr">
        <is>
          <t>https://www.civraisienpoitou.fr/</t>
        </is>
      </c>
      <c r="O937" s="4" t="inlineStr">
        <is>
          <t>https://www.civraisienpoitou.fr/contact</t>
        </is>
      </c>
      <c r="P937" s="4" t="inlineStr">
        <is>
          <t>https://lannuaire.service-public.gouv.fr/nouvelle-aquitaine/vienne/509efa56-4fd7-47b2-b750-aff09858c34c</t>
        </is>
      </c>
      <c r="Q937" t="inlineStr">
        <is>
          <t>Annuaire Service-public.fr</t>
        </is>
      </c>
      <c r="R937" t="inlineStr"/>
      <c r="S937" t="inlineStr"/>
      <c r="T937" t="inlineStr"/>
    </row>
    <row r="938">
      <c r="A938" t="inlineStr">
        <is>
          <t>CC du Haut Poitou</t>
        </is>
      </c>
      <c r="B938" t="inlineStr">
        <is>
          <t>Communauté de communes</t>
        </is>
      </c>
      <c r="C938" t="inlineStr">
        <is>
          <t>200069763</t>
        </is>
      </c>
      <c r="D938" t="inlineStr">
        <is>
          <t>86</t>
        </is>
      </c>
      <c r="E938" t="inlineStr">
        <is>
          <t>Vienne</t>
        </is>
      </c>
      <c r="F938" t="inlineStr">
        <is>
          <t>Nouvelle-Aquitaine</t>
        </is>
      </c>
      <c r="G938" s="3" t="n">
        <v>41934</v>
      </c>
      <c r="H938" t="n">
        <v>27</v>
      </c>
      <c r="I938" t="inlineStr">
        <is>
          <t>10 avenue de l'Europe</t>
        </is>
      </c>
      <c r="J938" t="inlineStr">
        <is>
          <t>86170</t>
        </is>
      </c>
      <c r="K938" t="inlineStr">
        <is>
          <t>Neuville-du-Poitou</t>
        </is>
      </c>
      <c r="L938" t="inlineStr">
        <is>
          <t>05 49 51 93 07</t>
        </is>
      </c>
      <c r="M938" s="4" t="inlineStr">
        <is>
          <t>contact@cc-hautpoitou.fr</t>
        </is>
      </c>
      <c r="N938" s="4" t="inlineStr">
        <is>
          <t>https://cc-hautpoitou.fr/</t>
        </is>
      </c>
      <c r="O938" t="inlineStr"/>
      <c r="P938" s="4" t="inlineStr">
        <is>
          <t>https://lannuaire.service-public.gouv.fr/nouvelle-aquitaine/vienne/4978a8ed-23cb-4375-81c6-99ceb4d3340e</t>
        </is>
      </c>
      <c r="Q938" t="inlineStr">
        <is>
          <t>Annuaire Service-public.fr</t>
        </is>
      </c>
      <c r="R938" t="inlineStr"/>
      <c r="S938" t="inlineStr"/>
      <c r="T938" t="inlineStr"/>
    </row>
    <row r="939">
      <c r="A939" t="inlineStr">
        <is>
          <t>CC du Pays Loudunais</t>
        </is>
      </c>
      <c r="B939" t="inlineStr">
        <is>
          <t>Communauté de communes</t>
        </is>
      </c>
      <c r="C939" t="inlineStr">
        <is>
          <t>248600447</t>
        </is>
      </c>
      <c r="D939" t="inlineStr">
        <is>
          <t>86</t>
        </is>
      </c>
      <c r="E939" t="inlineStr">
        <is>
          <t>Vienne</t>
        </is>
      </c>
      <c r="F939" t="inlineStr">
        <is>
          <t>Nouvelle-Aquitaine</t>
        </is>
      </c>
      <c r="G939" s="3" t="n">
        <v>24352</v>
      </c>
      <c r="H939" t="n">
        <v>45</v>
      </c>
      <c r="I939" t="inlineStr">
        <is>
          <t>2 rue de la Fontaine-d'Adam</t>
        </is>
      </c>
      <c r="J939" t="inlineStr">
        <is>
          <t>86200</t>
        </is>
      </c>
      <c r="K939" t="inlineStr">
        <is>
          <t>Loudun</t>
        </is>
      </c>
      <c r="L939" t="inlineStr">
        <is>
          <t>05 49 22 54 02</t>
        </is>
      </c>
      <c r="M939" s="4" t="inlineStr">
        <is>
          <t>contact@pays-loudunais.fr</t>
        </is>
      </c>
      <c r="N939" s="4" t="inlineStr">
        <is>
          <t>https://www.pays-loudunais.fr/</t>
        </is>
      </c>
      <c r="O939" s="4" t="inlineStr">
        <is>
          <t>https://www.pays-loudunais.fr/contact/</t>
        </is>
      </c>
      <c r="P939" s="4" t="inlineStr">
        <is>
          <t>https://lannuaire.service-public.gouv.fr/nouvelle-aquitaine/vienne/244e8e3a-921e-43a5-be30-c56e07e78c77</t>
        </is>
      </c>
      <c r="Q939" t="inlineStr">
        <is>
          <t>Annuaire Service-public.fr</t>
        </is>
      </c>
      <c r="R939" t="inlineStr"/>
      <c r="S939" t="inlineStr"/>
      <c r="T939" t="inlineStr"/>
    </row>
    <row r="940">
      <c r="A940" t="inlineStr">
        <is>
          <t>CC Briance Sud Haute Vienne</t>
        </is>
      </c>
      <c r="B940" t="inlineStr">
        <is>
          <t>Communauté de communes</t>
        </is>
      </c>
      <c r="C940" t="inlineStr">
        <is>
          <t>200040814</t>
        </is>
      </c>
      <c r="D940" t="inlineStr">
        <is>
          <t>87</t>
        </is>
      </c>
      <c r="E940" t="inlineStr">
        <is>
          <t>Haute-Vienne</t>
        </is>
      </c>
      <c r="F940" t="inlineStr">
        <is>
          <t>Nouvelle-Aquitaine</t>
        </is>
      </c>
      <c r="G940" s="3" t="n">
        <v>9158</v>
      </c>
      <c r="H940" t="n">
        <v>11</v>
      </c>
      <c r="I940" t="inlineStr">
        <is>
          <t>381 Chabanas</t>
        </is>
      </c>
      <c r="J940" t="inlineStr">
        <is>
          <t>87260</t>
        </is>
      </c>
      <c r="K940" t="inlineStr">
        <is>
          <t>Pierre-Buffière</t>
        </is>
      </c>
      <c r="L940" t="inlineStr">
        <is>
          <t>05 55 58 78 93</t>
        </is>
      </c>
      <c r="M940" s="4" t="inlineStr">
        <is>
          <t>contact@briancesudhautevienne.fr</t>
        </is>
      </c>
      <c r="N940" s="4" t="inlineStr">
        <is>
          <t>https://www.briancesudhautevienne.fr/</t>
        </is>
      </c>
      <c r="O940" s="4" t="inlineStr">
        <is>
          <t>https://www.briancesudhautevienne.fr/Contact</t>
        </is>
      </c>
      <c r="P940" s="4" t="inlineStr">
        <is>
          <t>https://lannuaire.service-public.gouv.fr/nouvelle-aquitaine/haute-vienne/537e8fe4-9c1d-42b2-bdb2-ce8d707cce0e</t>
        </is>
      </c>
      <c r="Q940" t="inlineStr">
        <is>
          <t>Annuaire Service-public.fr</t>
        </is>
      </c>
      <c r="R940" t="inlineStr"/>
      <c r="S940" t="inlineStr"/>
      <c r="T940" t="inlineStr"/>
    </row>
    <row r="941">
      <c r="A941" t="inlineStr">
        <is>
          <t>CC Briance-Combade</t>
        </is>
      </c>
      <c r="B941" t="inlineStr">
        <is>
          <t>Communauté de communes</t>
        </is>
      </c>
      <c r="C941" t="inlineStr">
        <is>
          <t>248719338</t>
        </is>
      </c>
      <c r="D941" t="inlineStr">
        <is>
          <t>87</t>
        </is>
      </c>
      <c r="E941" t="inlineStr">
        <is>
          <t>Haute-Vienne</t>
        </is>
      </c>
      <c r="F941" t="inlineStr">
        <is>
          <t>Nouvelle-Aquitaine</t>
        </is>
      </c>
      <c r="G941" s="3" t="n">
        <v>5380</v>
      </c>
      <c r="H941" t="n">
        <v>10</v>
      </c>
      <c r="I941" t="inlineStr">
        <is>
          <t>12 avenue Amédée-Tarrade, Maison Jane Limousin</t>
        </is>
      </c>
      <c r="J941" t="inlineStr">
        <is>
          <t>87130</t>
        </is>
      </c>
      <c r="K941" t="inlineStr">
        <is>
          <t>Châteauneuf-la-Forêt</t>
        </is>
      </c>
      <c r="L941" t="inlineStr">
        <is>
          <t>05 55 69 39 32</t>
        </is>
      </c>
      <c r="M941" s="4" t="inlineStr">
        <is>
          <t>cdc@briancecombade.fr</t>
        </is>
      </c>
      <c r="N941" s="4" t="inlineStr">
        <is>
          <t>https://briancecombade.fr/</t>
        </is>
      </c>
      <c r="O941" s="4" t="inlineStr">
        <is>
          <t>https://briancecombade.fr/communication/contact</t>
        </is>
      </c>
      <c r="P941" s="4" t="inlineStr">
        <is>
          <t>https://lannuaire.service-public.gouv.fr/nouvelle-aquitaine/haute-vienne/6ee93216-6b89-4801-afc9-f87939b46ad7</t>
        </is>
      </c>
      <c r="Q941" t="inlineStr">
        <is>
          <t>Annuaire Service-public.fr</t>
        </is>
      </c>
      <c r="R941" t="inlineStr"/>
      <c r="S941" t="inlineStr"/>
      <c r="T941" t="inlineStr"/>
    </row>
    <row r="942">
      <c r="A942" t="inlineStr">
        <is>
          <t>CC Gartempe - Saint Pardoux</t>
        </is>
      </c>
      <c r="B942" t="inlineStr">
        <is>
          <t>Communauté de communes</t>
        </is>
      </c>
      <c r="C942" t="inlineStr">
        <is>
          <t>248719262</t>
        </is>
      </c>
      <c r="D942" t="inlineStr">
        <is>
          <t>87</t>
        </is>
      </c>
      <c r="E942" t="inlineStr">
        <is>
          <t>Haute-Vienne</t>
        </is>
      </c>
      <c r="F942" t="inlineStr">
        <is>
          <t>Nouvelle-Aquitaine</t>
        </is>
      </c>
      <c r="G942" s="3" t="n">
        <v>5115</v>
      </c>
      <c r="H942" t="n">
        <v>6</v>
      </c>
      <c r="I942" t="inlineStr">
        <is>
          <t>13 Place Xavier-Mazurier</t>
        </is>
      </c>
      <c r="J942" t="inlineStr">
        <is>
          <t>87290</t>
        </is>
      </c>
      <c r="K942" t="inlineStr">
        <is>
          <t>Châteauponsac</t>
        </is>
      </c>
      <c r="L942" t="inlineStr">
        <is>
          <t>05 55 60 93 10</t>
        </is>
      </c>
      <c r="M942" s="4" t="inlineStr">
        <is>
          <t>secretariat@gartempe-saint-pardoux.fr</t>
        </is>
      </c>
      <c r="N942" s="4" t="inlineStr">
        <is>
          <t>https://gartempe-saint-pardoux.fr/fr/</t>
        </is>
      </c>
      <c r="O942" s="4" t="inlineStr">
        <is>
          <t>https://gartempe-saint-pardoux.fr/fr/</t>
        </is>
      </c>
      <c r="P942" s="4" t="inlineStr">
        <is>
          <t>https://lannuaire.service-public.gouv.fr/nouvelle-aquitaine/haute-vienne/b202371f-a2d9-4397-aae3-8dc43f4f3263</t>
        </is>
      </c>
      <c r="Q942" t="inlineStr">
        <is>
          <t>Annuaire Service-public.fr</t>
        </is>
      </c>
      <c r="R942" t="inlineStr"/>
      <c r="S942" t="inlineStr"/>
      <c r="T942" t="inlineStr"/>
    </row>
    <row r="943">
      <c r="A943" t="inlineStr">
        <is>
          <t>CC Haut Limousin en Marche</t>
        </is>
      </c>
      <c r="B943" t="inlineStr">
        <is>
          <t>Communauté de communes</t>
        </is>
      </c>
      <c r="C943" t="inlineStr">
        <is>
          <t>200071942</t>
        </is>
      </c>
      <c r="D943" t="inlineStr">
        <is>
          <t>87</t>
        </is>
      </c>
      <c r="E943" t="inlineStr">
        <is>
          <t>Haute-Vienne</t>
        </is>
      </c>
      <c r="F943" t="inlineStr">
        <is>
          <t>Nouvelle-Aquitaine</t>
        </is>
      </c>
      <c r="G943" s="3" t="n">
        <v>22394</v>
      </c>
      <c r="H943" t="n">
        <v>40</v>
      </c>
      <c r="I943" t="inlineStr">
        <is>
          <t>12 avenue Jean-Jaurès</t>
        </is>
      </c>
      <c r="J943" t="inlineStr">
        <is>
          <t>87300</t>
        </is>
      </c>
      <c r="K943" t="inlineStr">
        <is>
          <t>Bellac</t>
        </is>
      </c>
      <c r="L943" t="inlineStr">
        <is>
          <t>05 55 60 09 99</t>
        </is>
      </c>
      <c r="M943" s="4" t="inlineStr">
        <is>
          <t>hautlimousinenmarche@cchlem.fr</t>
        </is>
      </c>
      <c r="N943" s="4" t="inlineStr">
        <is>
          <t>https://hautlimousinenmarche.fr/</t>
        </is>
      </c>
      <c r="O943" s="4" t="inlineStr">
        <is>
          <t>https://hautlimousinenmarche.fr/contact/</t>
        </is>
      </c>
      <c r="P943" s="4" t="inlineStr">
        <is>
          <t>https://lannuaire.service-public.gouv.fr/nouvelle-aquitaine/haute-vienne/c4680509-caec-4784-ab65-6e5bc2d4118f</t>
        </is>
      </c>
      <c r="Q943" t="inlineStr">
        <is>
          <t>Annuaire Service-public.fr</t>
        </is>
      </c>
      <c r="R943" t="inlineStr"/>
      <c r="S943" t="inlineStr"/>
      <c r="T943" t="inlineStr"/>
    </row>
    <row r="944">
      <c r="A944" t="inlineStr">
        <is>
          <t>CC Ouest Limousin</t>
        </is>
      </c>
      <c r="B944" t="inlineStr">
        <is>
          <t>Communauté de communes</t>
        </is>
      </c>
      <c r="C944" t="inlineStr">
        <is>
          <t>200066520</t>
        </is>
      </c>
      <c r="D944" t="inlineStr">
        <is>
          <t>87</t>
        </is>
      </c>
      <c r="E944" t="inlineStr">
        <is>
          <t>Haute-Vienne</t>
        </is>
      </c>
      <c r="F944" t="inlineStr">
        <is>
          <t>Nouvelle-Aquitaine</t>
        </is>
      </c>
      <c r="G944" s="3" t="n">
        <v>11370</v>
      </c>
      <c r="H944" t="n">
        <v>16</v>
      </c>
      <c r="I944" t="inlineStr">
        <is>
          <t>La Monnerie</t>
        </is>
      </c>
      <c r="J944" t="inlineStr">
        <is>
          <t>87150</t>
        </is>
      </c>
      <c r="K944" t="inlineStr">
        <is>
          <t>Cussac</t>
        </is>
      </c>
      <c r="L944" t="inlineStr">
        <is>
          <t>05 55 78 84 07</t>
        </is>
      </c>
      <c r="M944" s="4" t="inlineStr">
        <is>
          <t>contact@ouestlimousin.com</t>
        </is>
      </c>
      <c r="N944" s="4" t="inlineStr">
        <is>
          <t>https://www.ouestlimousin.com/</t>
        </is>
      </c>
      <c r="O944" t="inlineStr"/>
      <c r="P944" s="4" t="inlineStr">
        <is>
          <t>https://lannuaire.service-public.gouv.fr/nouvelle-aquitaine/haute-vienne/38aacb95-2c79-4290-a556-c3040ca3001d</t>
        </is>
      </c>
      <c r="Q944" t="inlineStr">
        <is>
          <t>Annuaire Service-public.fr</t>
        </is>
      </c>
      <c r="R944" t="inlineStr"/>
      <c r="S944" t="inlineStr"/>
      <c r="T944" t="inlineStr"/>
    </row>
    <row r="945">
      <c r="A945" t="inlineStr">
        <is>
          <t>CC Pays de Nexon Monts de Chalus</t>
        </is>
      </c>
      <c r="B945" t="inlineStr">
        <is>
          <t>Communauté de communes</t>
        </is>
      </c>
      <c r="C945" t="inlineStr">
        <is>
          <t>200070506</t>
        </is>
      </c>
      <c r="D945" t="inlineStr">
        <is>
          <t>87</t>
        </is>
      </c>
      <c r="E945" t="inlineStr">
        <is>
          <t>Haute-Vienne</t>
        </is>
      </c>
      <c r="F945" t="inlineStr">
        <is>
          <t>Nouvelle-Aquitaine</t>
        </is>
      </c>
      <c r="G945" s="3" t="n">
        <v>13133</v>
      </c>
      <c r="H945" t="n">
        <v>15</v>
      </c>
      <c r="I945" t="inlineStr">
        <is>
          <t>28 avenue François-Mitterrand</t>
        </is>
      </c>
      <c r="J945" t="inlineStr">
        <is>
          <t>87230</t>
        </is>
      </c>
      <c r="K945" t="inlineStr">
        <is>
          <t>Chalus</t>
        </is>
      </c>
      <c r="L945" t="inlineStr">
        <is>
          <t>05 55 78 29 29</t>
        </is>
      </c>
      <c r="M945" s="4" t="inlineStr">
        <is>
          <t>accueil@paysdenexon-montsdechalus.fr</t>
        </is>
      </c>
      <c r="N945" s="4" t="inlineStr">
        <is>
          <t>https://www.paysdenexon-montsdechalus.fr</t>
        </is>
      </c>
      <c r="O945" s="4" t="inlineStr">
        <is>
          <t>https://www.paysdenexon-montsdechalus.fr/contacts.html</t>
        </is>
      </c>
      <c r="P945" s="4" t="inlineStr">
        <is>
          <t>https://lannuaire.service-public.gouv.fr/nouvelle-aquitaine/haute-vienne/4b178f0e-57c1-4a2f-9945-213ef921d9f6</t>
        </is>
      </c>
      <c r="Q945" t="inlineStr">
        <is>
          <t>Annuaire Service-public.fr</t>
        </is>
      </c>
      <c r="R945" t="inlineStr"/>
      <c r="S945" t="inlineStr"/>
      <c r="T945" t="inlineStr"/>
    </row>
    <row r="946">
      <c r="A946" t="inlineStr">
        <is>
          <t>CC Porte Océane du Limousin</t>
        </is>
      </c>
      <c r="B946" t="inlineStr">
        <is>
          <t>Communauté de communes</t>
        </is>
      </c>
      <c r="C946" t="inlineStr">
        <is>
          <t>200059400</t>
        </is>
      </c>
      <c r="D946" t="inlineStr">
        <is>
          <t>87</t>
        </is>
      </c>
      <c r="E946" t="inlineStr">
        <is>
          <t>Haute-Vienne</t>
        </is>
      </c>
      <c r="F946" t="inlineStr">
        <is>
          <t>Nouvelle-Aquitaine</t>
        </is>
      </c>
      <c r="G946" s="3" t="n">
        <v>25686</v>
      </c>
      <c r="H946" t="n">
        <v>13</v>
      </c>
      <c r="I946" t="inlineStr">
        <is>
          <t>1 avenue Voltaire</t>
        </is>
      </c>
      <c r="J946" t="inlineStr">
        <is>
          <t>87200</t>
        </is>
      </c>
      <c r="K946" t="inlineStr">
        <is>
          <t>Saint-Junien</t>
        </is>
      </c>
      <c r="L946" t="inlineStr">
        <is>
          <t>05 55 02 14 60</t>
        </is>
      </c>
      <c r="M946" s="4" t="inlineStr">
        <is>
          <t>contact@pol-cdc.fr</t>
        </is>
      </c>
      <c r="N946" s="4" t="inlineStr">
        <is>
          <t>https://www.porteoceane-dulimousin.fr/</t>
        </is>
      </c>
      <c r="O946" t="inlineStr"/>
      <c r="P946" s="4" t="inlineStr">
        <is>
          <t>https://lannuaire.service-public.gouv.fr/nouvelle-aquitaine/haute-vienne/e11c45fa-4fb2-42cf-a910-6df71d15a7b1</t>
        </is>
      </c>
      <c r="Q946" t="inlineStr">
        <is>
          <t>Annuaire Service-public.fr</t>
        </is>
      </c>
      <c r="R946" t="inlineStr"/>
      <c r="S946" t="inlineStr"/>
      <c r="T946" t="inlineStr"/>
    </row>
    <row r="947">
      <c r="A947" t="inlineStr">
        <is>
          <t>CC de Noblat</t>
        </is>
      </c>
      <c r="B947" t="inlineStr">
        <is>
          <t>Communauté de communes</t>
        </is>
      </c>
      <c r="C947" t="inlineStr">
        <is>
          <t>248719361</t>
        </is>
      </c>
      <c r="D947" t="inlineStr">
        <is>
          <t>87</t>
        </is>
      </c>
      <c r="E947" t="inlineStr">
        <is>
          <t>Haute-Vienne</t>
        </is>
      </c>
      <c r="F947" t="inlineStr">
        <is>
          <t>Nouvelle-Aquitaine</t>
        </is>
      </c>
      <c r="G947" s="3" t="n">
        <v>11745</v>
      </c>
      <c r="H947" t="n">
        <v>12</v>
      </c>
      <c r="I947" t="inlineStr">
        <is>
          <t>6 ZA de Soumagne</t>
        </is>
      </c>
      <c r="J947" t="inlineStr">
        <is>
          <t>87400</t>
        </is>
      </c>
      <c r="K947" t="inlineStr">
        <is>
          <t>Saint-Léonard-de-Noblat</t>
        </is>
      </c>
      <c r="L947" t="inlineStr">
        <is>
          <t>05 87 22 99 00</t>
        </is>
      </c>
      <c r="M947" s="4" t="inlineStr">
        <is>
          <t>accueil@ccnoblat.fr</t>
        </is>
      </c>
      <c r="N947" s="4" t="inlineStr">
        <is>
          <t>https://ccnoblat.fr/</t>
        </is>
      </c>
      <c r="O947" t="inlineStr"/>
      <c r="P947" s="4" t="inlineStr">
        <is>
          <t>https://lannuaire.service-public.gouv.fr/nouvelle-aquitaine/haute-vienne/407fa58a-4bfc-4d77-b349-1e6508b88c95</t>
        </is>
      </c>
      <c r="Q947" t="inlineStr">
        <is>
          <t>Annuaire Service-public.fr</t>
        </is>
      </c>
      <c r="R947" t="inlineStr"/>
      <c r="S947" t="inlineStr"/>
      <c r="T947" t="inlineStr"/>
    </row>
    <row r="948">
      <c r="A948" t="inlineStr">
        <is>
          <t>CC des Portes de Vassivière</t>
        </is>
      </c>
      <c r="B948" t="inlineStr">
        <is>
          <t>Communauté de communes</t>
        </is>
      </c>
      <c r="C948" t="inlineStr">
        <is>
          <t>248719353</t>
        </is>
      </c>
      <c r="D948" t="inlineStr">
        <is>
          <t>87</t>
        </is>
      </c>
      <c r="E948" t="inlineStr">
        <is>
          <t>Haute-Vienne</t>
        </is>
      </c>
      <c r="F948" t="inlineStr">
        <is>
          <t>Nouvelle-Aquitaine</t>
        </is>
      </c>
      <c r="G948" s="3" t="n">
        <v>5698</v>
      </c>
      <c r="H948" t="n">
        <v>12</v>
      </c>
      <c r="I948" t="inlineStr">
        <is>
          <t>5 rue de la Liberté</t>
        </is>
      </c>
      <c r="J948" t="inlineStr">
        <is>
          <t>87120</t>
        </is>
      </c>
      <c r="K948" t="inlineStr">
        <is>
          <t>Eymoutiers</t>
        </is>
      </c>
      <c r="L948" t="inlineStr">
        <is>
          <t>05 55 04 06 06</t>
        </is>
      </c>
      <c r="M948" s="4" t="inlineStr">
        <is>
          <t>contact@cc-portesdevassiviere.fr</t>
        </is>
      </c>
      <c r="N948" s="4" t="inlineStr">
        <is>
          <t>https://www.cc-portesdevassiviere.fr/</t>
        </is>
      </c>
      <c r="O948" s="4" t="inlineStr">
        <is>
          <t>https://www.cc-portesdevassiviere.fr/contact-et-liens/</t>
        </is>
      </c>
      <c r="P948" s="4" t="inlineStr">
        <is>
          <t>https://lannuaire.service-public.gouv.fr/nouvelle-aquitaine/haute-vienne/865c9208-8d02-41eb-8f16-6c1bc20dccd1</t>
        </is>
      </c>
      <c r="Q948" t="inlineStr">
        <is>
          <t>Annuaire Service-public.fr</t>
        </is>
      </c>
      <c r="R948" t="inlineStr"/>
      <c r="S948" t="inlineStr"/>
      <c r="T948" t="inlineStr"/>
    </row>
    <row r="949">
      <c r="A949" t="inlineStr">
        <is>
          <t>CC du Val de Vienne</t>
        </is>
      </c>
      <c r="B949" t="inlineStr">
        <is>
          <t>Communauté de communes</t>
        </is>
      </c>
      <c r="C949" t="inlineStr">
        <is>
          <t>248719288</t>
        </is>
      </c>
      <c r="D949" t="inlineStr">
        <is>
          <t>87</t>
        </is>
      </c>
      <c r="E949" t="inlineStr">
        <is>
          <t>Haute-Vienne</t>
        </is>
      </c>
      <c r="F949" t="inlineStr">
        <is>
          <t>Nouvelle-Aquitaine</t>
        </is>
      </c>
      <c r="G949" s="3" t="n">
        <v>16305</v>
      </c>
      <c r="H949" t="n">
        <v>9</v>
      </c>
      <c r="I949" t="inlineStr">
        <is>
          <t>24 avenue du Président-Wilson</t>
        </is>
      </c>
      <c r="J949" t="inlineStr">
        <is>
          <t>87700</t>
        </is>
      </c>
      <c r="K949" t="inlineStr">
        <is>
          <t>Aixe-sur-Vienne</t>
        </is>
      </c>
      <c r="L949" t="inlineStr">
        <is>
          <t>05 55 70 02 69</t>
        </is>
      </c>
      <c r="M949" s="4" t="inlineStr">
        <is>
          <t>info@cc-valdevienne.fr</t>
        </is>
      </c>
      <c r="N949" s="4" t="inlineStr">
        <is>
          <t>https://valdevienne.fr/</t>
        </is>
      </c>
      <c r="O949" s="4" t="inlineStr">
        <is>
          <t>https://valdevienne.fr/val-de-vienne-ccvv/contact/</t>
        </is>
      </c>
      <c r="P949" s="4" t="inlineStr">
        <is>
          <t>https://lannuaire.service-public.gouv.fr/nouvelle-aquitaine/haute-vienne/963708ba-98ab-41da-91a8-4ad49fd4602d</t>
        </is>
      </c>
      <c r="Q949" t="inlineStr">
        <is>
          <t>Annuaire Service-public.fr</t>
        </is>
      </c>
      <c r="R949" t="inlineStr"/>
      <c r="S949" t="inlineStr"/>
      <c r="T949" t="inlineStr"/>
    </row>
    <row r="950">
      <c r="A950" t="inlineStr">
        <is>
          <t>CC Élan Limousin Avenir Nature</t>
        </is>
      </c>
      <c r="B950" t="inlineStr">
        <is>
          <t>Communauté de communes</t>
        </is>
      </c>
      <c r="C950" t="inlineStr">
        <is>
          <t>200066512</t>
        </is>
      </c>
      <c r="D950" t="inlineStr">
        <is>
          <t>87</t>
        </is>
      </c>
      <c r="E950" t="inlineStr">
        <is>
          <t>Haute-Vienne</t>
        </is>
      </c>
      <c r="F950" t="inlineStr">
        <is>
          <t>Nouvelle-Aquitaine</t>
        </is>
      </c>
      <c r="G950" s="3" t="n">
        <v>27459</v>
      </c>
      <c r="H950" t="n">
        <v>24</v>
      </c>
      <c r="I950" t="inlineStr">
        <is>
          <t>13 rue Gay-Lussac</t>
        </is>
      </c>
      <c r="J950" t="inlineStr">
        <is>
          <t>87240</t>
        </is>
      </c>
      <c r="K950" t="inlineStr">
        <is>
          <t>Ambazac</t>
        </is>
      </c>
      <c r="L950" t="inlineStr">
        <is>
          <t>05 55 56 04 84</t>
        </is>
      </c>
      <c r="M950" s="4" t="inlineStr">
        <is>
          <t>accueil@elan87.fr</t>
        </is>
      </c>
      <c r="N950" s="4" t="inlineStr">
        <is>
          <t>https://www.elan87.fr/</t>
        </is>
      </c>
      <c r="O950" s="4" t="inlineStr">
        <is>
          <t>https://www.elan87.fr/contact/</t>
        </is>
      </c>
      <c r="P950" s="4" t="inlineStr">
        <is>
          <t>https://lannuaire.service-public.gouv.fr/nouvelle-aquitaine/haute-vienne/9c0bc49a-b66e-4be7-8562-b17cc778a80b</t>
        </is>
      </c>
      <c r="Q950" t="inlineStr">
        <is>
          <t>Annuaire Service-public.fr</t>
        </is>
      </c>
      <c r="R950" t="inlineStr"/>
      <c r="S950" t="inlineStr"/>
      <c r="T950" t="inlineStr"/>
    </row>
    <row r="951">
      <c r="A951" t="inlineStr">
        <is>
          <t>CC Bruyères-Vallons des Vosges</t>
        </is>
      </c>
      <c r="B951" t="inlineStr">
        <is>
          <t>Communauté de communes</t>
        </is>
      </c>
      <c r="C951" t="inlineStr">
        <is>
          <t>200042000</t>
        </is>
      </c>
      <c r="D951" t="inlineStr">
        <is>
          <t>88</t>
        </is>
      </c>
      <c r="E951" t="inlineStr">
        <is>
          <t>Vosges</t>
        </is>
      </c>
      <c r="F951" t="inlineStr">
        <is>
          <t>Grand Est</t>
        </is>
      </c>
      <c r="G951" s="3" t="n">
        <v>14808</v>
      </c>
      <c r="H951" t="n">
        <v>34</v>
      </c>
      <c r="I951" t="inlineStr">
        <is>
          <t>4 rue de la 36e-Division-Us</t>
        </is>
      </c>
      <c r="J951" t="inlineStr">
        <is>
          <t>88600</t>
        </is>
      </c>
      <c r="K951" t="inlineStr">
        <is>
          <t>Bruyères</t>
        </is>
      </c>
      <c r="L951" t="inlineStr">
        <is>
          <t>03 29 57 80 69</t>
        </is>
      </c>
      <c r="M951" s="4" t="inlineStr">
        <is>
          <t>accueil@cc-bruyeres.fr</t>
        </is>
      </c>
      <c r="N951" s="4" t="inlineStr">
        <is>
          <t>https://www.ccb2v.fr/</t>
        </is>
      </c>
      <c r="O951" s="4" t="inlineStr">
        <is>
          <t>https://www.ccb2v.fr/formulaire-de-contact/</t>
        </is>
      </c>
      <c r="P951" s="4" t="inlineStr">
        <is>
          <t>https://lannuaire.service-public.gouv.fr/grand-est/vosges/37f79312-678a-496c-81cb-1f9bd868f04b</t>
        </is>
      </c>
      <c r="Q951" t="inlineStr">
        <is>
          <t>Annuaire Service-public.fr</t>
        </is>
      </c>
      <c r="R951" t="inlineStr"/>
      <c r="S951" t="inlineStr"/>
      <c r="T951" t="inlineStr"/>
    </row>
    <row r="952">
      <c r="A952" t="inlineStr">
        <is>
          <t>CC Gérardmer Hautes Vosges</t>
        </is>
      </c>
      <c r="B952" t="inlineStr">
        <is>
          <t>Communauté de communes</t>
        </is>
      </c>
      <c r="C952" t="inlineStr">
        <is>
          <t>200096642</t>
        </is>
      </c>
      <c r="D952" t="inlineStr">
        <is>
          <t>88</t>
        </is>
      </c>
      <c r="E952" t="inlineStr">
        <is>
          <t>Vosges</t>
        </is>
      </c>
      <c r="F952" t="inlineStr">
        <is>
          <t>Grand Est</t>
        </is>
      </c>
      <c r="G952" s="3" t="n">
        <v>13990</v>
      </c>
      <c r="H952" t="n">
        <v>8</v>
      </c>
      <c r="I952" t="inlineStr">
        <is>
          <t>16 rue Charles-de-Gaulle</t>
        </is>
      </c>
      <c r="J952" t="inlineStr">
        <is>
          <t>88400</t>
        </is>
      </c>
      <c r="K952" t="inlineStr">
        <is>
          <t>Gérardmer</t>
        </is>
      </c>
      <c r="L952" t="inlineStr">
        <is>
          <t>03 29 27 29 04</t>
        </is>
      </c>
      <c r="M952" s="4" t="inlineStr">
        <is>
          <t>contact@ccghv.fr</t>
        </is>
      </c>
      <c r="N952" s="4" t="inlineStr">
        <is>
          <t>https://ccghv.fr/</t>
        </is>
      </c>
      <c r="O952" s="4" t="inlineStr">
        <is>
          <t>https://ccghv.fr/contact/</t>
        </is>
      </c>
      <c r="P952" s="4" t="inlineStr">
        <is>
          <t>https://lannuaire.service-public.gouv.fr/grand-est/vosges/aa56f59f-0db8-4c12-877d-effd34e6f7d9</t>
        </is>
      </c>
      <c r="Q952" t="inlineStr">
        <is>
          <t>Annuaire Service-public.fr</t>
        </is>
      </c>
      <c r="R952" t="inlineStr"/>
      <c r="S952" t="inlineStr"/>
      <c r="T952" t="inlineStr"/>
    </row>
    <row r="953">
      <c r="A953" t="inlineStr">
        <is>
          <t>CC Terre d'Eau</t>
        </is>
      </c>
      <c r="B953" t="inlineStr">
        <is>
          <t>Communauté de communes</t>
        </is>
      </c>
      <c r="C953" t="inlineStr">
        <is>
          <t>200068682</t>
        </is>
      </c>
      <c r="D953" t="inlineStr">
        <is>
          <t>88</t>
        </is>
      </c>
      <c r="E953" t="inlineStr">
        <is>
          <t>Vosges</t>
        </is>
      </c>
      <c r="F953" t="inlineStr">
        <is>
          <t>Grand Est</t>
        </is>
      </c>
      <c r="G953" s="3" t="n">
        <v>17043</v>
      </c>
      <c r="H953" t="n">
        <v>45</v>
      </c>
      <c r="I953" t="inlineStr">
        <is>
          <t>58 rue des Anciennes-Halles</t>
        </is>
      </c>
      <c r="J953" t="inlineStr">
        <is>
          <t>88140</t>
        </is>
      </c>
      <c r="K953" t="inlineStr">
        <is>
          <t>Bulgnéville</t>
        </is>
      </c>
      <c r="L953" t="inlineStr">
        <is>
          <t>03 29 05 29 24</t>
        </is>
      </c>
      <c r="M953" s="4" t="inlineStr">
        <is>
          <t>contact@cc-terredeau.fr</t>
        </is>
      </c>
      <c r="N953" s="4" t="inlineStr">
        <is>
          <t>https://www.cc-terredeau.fr/</t>
        </is>
      </c>
      <c r="O953" s="4" t="inlineStr">
        <is>
          <t>https://www.cc-terredeau.fr/fr/contact.html</t>
        </is>
      </c>
      <c r="P953" s="4" t="inlineStr">
        <is>
          <t>https://lannuaire.service-public.gouv.fr/grand-est/vosges/e8a7f59c-9b57-4c8a-826c-c0d8953c20a4</t>
        </is>
      </c>
      <c r="Q953" t="inlineStr">
        <is>
          <t>Annuaire Service-public.fr</t>
        </is>
      </c>
      <c r="R953" t="inlineStr"/>
      <c r="S953" t="inlineStr"/>
      <c r="T953" t="inlineStr"/>
    </row>
    <row r="954">
      <c r="A954" t="inlineStr">
        <is>
          <t>CC de Mirecourt Dompaire</t>
        </is>
      </c>
      <c r="B954" t="inlineStr">
        <is>
          <t>Communauté de communes</t>
        </is>
      </c>
      <c r="C954" t="inlineStr">
        <is>
          <t>200068369</t>
        </is>
      </c>
      <c r="D954" t="inlineStr">
        <is>
          <t>88</t>
        </is>
      </c>
      <c r="E954" t="inlineStr">
        <is>
          <t>Vosges</t>
        </is>
      </c>
      <c r="F954" t="inlineStr">
        <is>
          <t>Grand Est</t>
        </is>
      </c>
      <c r="G954" s="3" t="n">
        <v>18441</v>
      </c>
      <c r="H954" t="n">
        <v>76</v>
      </c>
      <c r="I954" t="inlineStr">
        <is>
          <t>32 rue du Général-Leclerc, BP 161</t>
        </is>
      </c>
      <c r="J954" t="inlineStr">
        <is>
          <t>88503</t>
        </is>
      </c>
      <c r="K954" t="inlineStr">
        <is>
          <t>Mirecourt Cedex</t>
        </is>
      </c>
      <c r="L954" t="inlineStr">
        <is>
          <t>03 29 37 88 01</t>
        </is>
      </c>
      <c r="M954" s="4" t="inlineStr">
        <is>
          <t>secretariat@ccmirecourtdompaire.fr</t>
        </is>
      </c>
      <c r="N954" s="4" t="inlineStr">
        <is>
          <t>https://www.ccmirecourtdompaire.fr/</t>
        </is>
      </c>
      <c r="O954" s="4" t="inlineStr">
        <is>
          <t>https://www.ccmirecourtdompaire.fr/communaute-de-communes/contact/</t>
        </is>
      </c>
      <c r="P954" s="4" t="inlineStr">
        <is>
          <t>https://lannuaire.service-public.gouv.fr/grand-est/vosges/a853e7aa-47e6-4b88-b946-55d799720265</t>
        </is>
      </c>
      <c r="Q954" t="inlineStr">
        <is>
          <t>Annuaire Service-public.fr</t>
        </is>
      </c>
      <c r="R954" t="inlineStr"/>
      <c r="S954" t="inlineStr"/>
      <c r="T954" t="inlineStr"/>
    </row>
    <row r="955">
      <c r="A955" t="inlineStr">
        <is>
          <t>CC de la Porte des Vosges Méridionales</t>
        </is>
      </c>
      <c r="B955" t="inlineStr">
        <is>
          <t>Communauté de communes</t>
        </is>
      </c>
      <c r="C955" t="inlineStr">
        <is>
          <t>200068377</t>
        </is>
      </c>
      <c r="D955" t="inlineStr">
        <is>
          <t>88</t>
        </is>
      </c>
      <c r="E955" t="inlineStr">
        <is>
          <t>Vosges</t>
        </is>
      </c>
      <c r="F955" t="inlineStr">
        <is>
          <t>Grand Est</t>
        </is>
      </c>
      <c r="G955" s="3" t="n">
        <v>29017</v>
      </c>
      <c r="H955" t="n">
        <v>10</v>
      </c>
      <c r="I955" t="inlineStr">
        <is>
          <t>4 rue des Grands-Moulins</t>
        </is>
      </c>
      <c r="J955" t="inlineStr">
        <is>
          <t>88200</t>
        </is>
      </c>
      <c r="K955" t="inlineStr">
        <is>
          <t>Saint-Étienne-lès-Remiremont</t>
        </is>
      </c>
      <c r="L955" t="inlineStr">
        <is>
          <t>03 29 22 11 63</t>
        </is>
      </c>
      <c r="M955" s="4" t="inlineStr">
        <is>
          <t>bureaux@ccpvm.fr</t>
        </is>
      </c>
      <c r="N955" s="4" t="inlineStr">
        <is>
          <t>https://www.ccpvm.fr/</t>
        </is>
      </c>
      <c r="O955" s="4" t="inlineStr">
        <is>
          <t>https://www.ccpvm.fr/contactez-nous/</t>
        </is>
      </c>
      <c r="P955" s="4" t="inlineStr">
        <is>
          <t>https://lannuaire.service-public.gouv.fr/grand-est/vosges/f4110c81-dbb2-4b90-8c9a-3385fc6da9b7</t>
        </is>
      </c>
      <c r="Q955" t="inlineStr">
        <is>
          <t>Annuaire Service-public.fr</t>
        </is>
      </c>
      <c r="R955" t="inlineStr"/>
      <c r="S955" t="inlineStr"/>
      <c r="T955" t="inlineStr"/>
    </row>
    <row r="956">
      <c r="A956" t="inlineStr">
        <is>
          <t>CC de la Région de Rambervillers</t>
        </is>
      </c>
      <c r="B956" t="inlineStr">
        <is>
          <t>Communauté de communes</t>
        </is>
      </c>
      <c r="C956" t="inlineStr">
        <is>
          <t>200005957</t>
        </is>
      </c>
      <c r="D956" t="inlineStr">
        <is>
          <t>88</t>
        </is>
      </c>
      <c r="E956" t="inlineStr">
        <is>
          <t>Vosges</t>
        </is>
      </c>
      <c r="F956" t="inlineStr">
        <is>
          <t>Grand Est</t>
        </is>
      </c>
      <c r="G956" s="3" t="n">
        <v>12833</v>
      </c>
      <c r="H956" t="n">
        <v>30</v>
      </c>
      <c r="I956" t="inlineStr">
        <is>
          <t>Quartier Richard, Maison du Territoire, 59B Avenue du 11 novembre</t>
        </is>
      </c>
      <c r="J956" t="inlineStr">
        <is>
          <t>88700</t>
        </is>
      </c>
      <c r="K956" t="inlineStr">
        <is>
          <t>Rambervillers</t>
        </is>
      </c>
      <c r="L956" t="inlineStr">
        <is>
          <t>03 29 29 42 06</t>
        </is>
      </c>
      <c r="M956" s="4" t="inlineStr">
        <is>
          <t>accueil@2c2r.fr</t>
        </is>
      </c>
      <c r="N956" s="4" t="inlineStr">
        <is>
          <t>https://www.2c2r.fr/</t>
        </is>
      </c>
      <c r="O956" s="4" t="inlineStr">
        <is>
          <t>https://www.2c2r.fr/contact/</t>
        </is>
      </c>
      <c r="P956" s="4" t="inlineStr">
        <is>
          <t>https://lannuaire.service-public.gouv.fr/grand-est/vosges/e2b6d8fe-2c76-4e58-8901-0b6599ff975d</t>
        </is>
      </c>
      <c r="Q956" t="inlineStr">
        <is>
          <t>Annuaire Service-public.fr</t>
        </is>
      </c>
      <c r="R956" t="inlineStr"/>
      <c r="S956" t="inlineStr"/>
      <c r="T956" t="inlineStr"/>
    </row>
    <row r="957">
      <c r="A957" t="inlineStr">
        <is>
          <t>CC des Ballons des Hautes-Vosges</t>
        </is>
      </c>
      <c r="B957" t="inlineStr">
        <is>
          <t>Communauté de communes</t>
        </is>
      </c>
      <c r="C957" t="inlineStr">
        <is>
          <t>200033868</t>
        </is>
      </c>
      <c r="D957" t="inlineStr">
        <is>
          <t>88</t>
        </is>
      </c>
      <c r="E957" t="inlineStr">
        <is>
          <t>Vosges</t>
        </is>
      </c>
      <c r="F957" t="inlineStr">
        <is>
          <t>Grand Est</t>
        </is>
      </c>
      <c r="G957" s="3" t="n">
        <v>14503</v>
      </c>
      <c r="H957" t="n">
        <v>8</v>
      </c>
      <c r="I957" t="inlineStr">
        <is>
          <t>1 Pl Du Mal De Lattre De Tassigny</t>
        </is>
      </c>
      <c r="J957" t="inlineStr">
        <is>
          <t>88160</t>
        </is>
      </c>
      <c r="K957" t="inlineStr">
        <is>
          <t>Le Thillot</t>
        </is>
      </c>
      <c r="L957" t="inlineStr"/>
      <c r="M957" t="inlineStr"/>
      <c r="N957" t="inlineStr"/>
      <c r="O957" t="inlineStr"/>
      <c r="P957" t="inlineStr"/>
      <c r="Q957" t="inlineStr">
        <is>
          <t>SIRENE (siège) : pas de fiche dans l’annuaire</t>
        </is>
      </c>
      <c r="R957" t="inlineStr"/>
      <c r="S957" t="inlineStr"/>
      <c r="T957" t="inlineStr"/>
    </row>
    <row r="958">
      <c r="A958" t="inlineStr">
        <is>
          <t>CC des Hautes Vosges</t>
        </is>
      </c>
      <c r="B958" t="inlineStr">
        <is>
          <t>Communauté de communes</t>
        </is>
      </c>
      <c r="C958" t="inlineStr">
        <is>
          <t>200096634</t>
        </is>
      </c>
      <c r="D958" t="inlineStr">
        <is>
          <t>88</t>
        </is>
      </c>
      <c r="E958" t="inlineStr">
        <is>
          <t>Vosges</t>
        </is>
      </c>
      <c r="F958" t="inlineStr">
        <is>
          <t>Grand Est</t>
        </is>
      </c>
      <c r="G958" s="3" t="n">
        <v>20854</v>
      </c>
      <c r="H958" t="n">
        <v>14</v>
      </c>
      <c r="I958" t="inlineStr">
        <is>
          <t>24 rue de la 3ème DIA</t>
        </is>
      </c>
      <c r="J958" t="inlineStr">
        <is>
          <t>88310</t>
        </is>
      </c>
      <c r="K958" t="inlineStr">
        <is>
          <t>Cornimont</t>
        </is>
      </c>
      <c r="L958" t="inlineStr">
        <is>
          <t>03 29 24 02 88</t>
        </is>
      </c>
      <c r="M958" s="4" t="inlineStr">
        <is>
          <t>contact@cchautesvosges.fr</t>
        </is>
      </c>
      <c r="N958" s="4" t="inlineStr">
        <is>
          <t>https://www.cchautesvosges.fr/</t>
        </is>
      </c>
      <c r="O958" s="4" t="inlineStr">
        <is>
          <t>https://www.cchautesvosges.fr/contact</t>
        </is>
      </c>
      <c r="P958" s="4" t="inlineStr">
        <is>
          <t>https://lannuaire.service-public.gouv.fr/grand-est/vosges/15ce96ad-bc51-4984-99fb-a1150dc0aad3</t>
        </is>
      </c>
      <c r="Q958" t="inlineStr">
        <is>
          <t>Annuaire Service-public.fr</t>
        </is>
      </c>
      <c r="R958" t="inlineStr"/>
      <c r="S958" t="inlineStr"/>
      <c r="T958" t="inlineStr"/>
    </row>
    <row r="959">
      <c r="A959" t="inlineStr">
        <is>
          <t>CC des Vosges côté Sud Ouest</t>
        </is>
      </c>
      <c r="B959" t="inlineStr">
        <is>
          <t>Communauté de communes</t>
        </is>
      </c>
      <c r="C959" t="inlineStr">
        <is>
          <t>200068773</t>
        </is>
      </c>
      <c r="D959" t="inlineStr">
        <is>
          <t>88</t>
        </is>
      </c>
      <c r="E959" t="inlineStr">
        <is>
          <t>Vosges</t>
        </is>
      </c>
      <c r="F959" t="inlineStr">
        <is>
          <t>Grand Est</t>
        </is>
      </c>
      <c r="G959" s="3" t="n">
        <v>11564</v>
      </c>
      <c r="H959" t="n">
        <v>60</v>
      </c>
      <c r="I959" t="inlineStr">
        <is>
          <t>Impasse du groupe scolaire</t>
        </is>
      </c>
      <c r="J959" t="inlineStr">
        <is>
          <t>88260</t>
        </is>
      </c>
      <c r="K959" t="inlineStr">
        <is>
          <t>Darney</t>
        </is>
      </c>
      <c r="L959" t="inlineStr">
        <is>
          <t>03 29 09 43 16</t>
        </is>
      </c>
      <c r="M959" s="4" t="inlineStr">
        <is>
          <t>contact@vosgescotesudouest.fr</t>
        </is>
      </c>
      <c r="N959" s="4" t="inlineStr">
        <is>
          <t>http://www.vosgescotesudouest.fr</t>
        </is>
      </c>
      <c r="O959" s="4" t="inlineStr">
        <is>
          <t>http://www.vosgescotesudouest.fr/?c=contact&amp;id=8</t>
        </is>
      </c>
      <c r="P959" s="4" t="inlineStr">
        <is>
          <t>https://lannuaire.service-public.gouv.fr/grand-est/vosges/f504cb0c-7dd2-4eed-b342-14d4aa7b3d04</t>
        </is>
      </c>
      <c r="Q959" t="inlineStr">
        <is>
          <t>Annuaire Service-public.fr</t>
        </is>
      </c>
      <c r="R959" t="inlineStr"/>
      <c r="S959" t="inlineStr"/>
      <c r="T959" t="inlineStr"/>
    </row>
    <row r="960">
      <c r="A960" t="inlineStr">
        <is>
          <t>CC Avallon, Vézelay, Morvan</t>
        </is>
      </c>
      <c r="B960" t="inlineStr">
        <is>
          <t>Communauté de communes</t>
        </is>
      </c>
      <c r="C960" t="inlineStr">
        <is>
          <t>200039758</t>
        </is>
      </c>
      <c r="D960" t="inlineStr">
        <is>
          <t>89</t>
        </is>
      </c>
      <c r="E960" t="inlineStr">
        <is>
          <t>Yonne</t>
        </is>
      </c>
      <c r="F960" t="inlineStr">
        <is>
          <t>Bourgogne-Franche-Comté</t>
        </is>
      </c>
      <c r="G960" s="3" t="n">
        <v>18488</v>
      </c>
      <c r="H960" t="n">
        <v>48</v>
      </c>
      <c r="I960" t="inlineStr">
        <is>
          <t>9 rue Carnot</t>
        </is>
      </c>
      <c r="J960" t="inlineStr">
        <is>
          <t>89200</t>
        </is>
      </c>
      <c r="K960" t="inlineStr">
        <is>
          <t>Avallon</t>
        </is>
      </c>
      <c r="L960" t="inlineStr">
        <is>
          <t>03 86 34 38 06</t>
        </is>
      </c>
      <c r="M960" s="4" t="inlineStr">
        <is>
          <t>contact@cc-avm.fr</t>
        </is>
      </c>
      <c r="N960" s="4" t="inlineStr">
        <is>
          <t>https://cc-avm.com/</t>
        </is>
      </c>
      <c r="O960" s="4" t="inlineStr">
        <is>
          <t>https://www.cc-avm.fr/contact</t>
        </is>
      </c>
      <c r="P960" s="4" t="inlineStr">
        <is>
          <t>https://lannuaire.service-public.gouv.fr/bourgogne-franche-comte/yonne/b67e8260-3570-48f2-a22d-6b30d98384bf</t>
        </is>
      </c>
      <c r="Q960" t="inlineStr">
        <is>
          <t>Annuaire Service-public.fr</t>
        </is>
      </c>
      <c r="R960" t="inlineStr"/>
      <c r="S960" t="inlineStr"/>
      <c r="T960" t="inlineStr"/>
    </row>
    <row r="961">
      <c r="A961" t="inlineStr">
        <is>
          <t>CC Chablis Villages et Terroirs</t>
        </is>
      </c>
      <c r="B961" t="inlineStr">
        <is>
          <t>Communauté de communes</t>
        </is>
      </c>
      <c r="C961" t="inlineStr">
        <is>
          <t>200067080</t>
        </is>
      </c>
      <c r="D961" t="inlineStr">
        <is>
          <t>89</t>
        </is>
      </c>
      <c r="E961" t="inlineStr">
        <is>
          <t>Yonne</t>
        </is>
      </c>
      <c r="F961" t="inlineStr">
        <is>
          <t>Bourgogne-Franche-Comté</t>
        </is>
      </c>
      <c r="G961" s="3" t="n">
        <v>14638</v>
      </c>
      <c r="H961" t="n">
        <v>36</v>
      </c>
      <c r="I961" t="inlineStr">
        <is>
          <t>2 rue du Serein, BP 65</t>
        </is>
      </c>
      <c r="J961" t="inlineStr">
        <is>
          <t>89800</t>
        </is>
      </c>
      <c r="K961" t="inlineStr">
        <is>
          <t>Chablis</t>
        </is>
      </c>
      <c r="L961" t="inlineStr">
        <is>
          <t>03 86 18 91 16</t>
        </is>
      </c>
      <c r="M961" s="4" t="inlineStr">
        <is>
          <t>secretariat.direction@3cvt.fr</t>
        </is>
      </c>
      <c r="N961" s="4" t="inlineStr">
        <is>
          <t>https://www.3cvt.fr/</t>
        </is>
      </c>
      <c r="O961" s="4" t="inlineStr">
        <is>
          <t>https://www.3cvt.fr/formulaire-de-saisine/</t>
        </is>
      </c>
      <c r="P961" s="4" t="inlineStr">
        <is>
          <t>https://lannuaire.service-public.gouv.fr/bourgogne-franche-comte/yonne/7ffd30df-c070-4492-ab4f-bff9f42d1d0b</t>
        </is>
      </c>
      <c r="Q961" t="inlineStr">
        <is>
          <t>Annuaire Service-public.fr</t>
        </is>
      </c>
      <c r="R961" t="inlineStr"/>
      <c r="S961" t="inlineStr"/>
      <c r="T961" t="inlineStr"/>
    </row>
    <row r="962">
      <c r="A962" t="inlineStr">
        <is>
          <t>CC Le Tonnerrois en Bourgogne</t>
        </is>
      </c>
      <c r="B962" t="inlineStr">
        <is>
          <t>Communauté de communes</t>
        </is>
      </c>
      <c r="C962" t="inlineStr">
        <is>
          <t>200039642</t>
        </is>
      </c>
      <c r="D962" t="inlineStr">
        <is>
          <t>89</t>
        </is>
      </c>
      <c r="E962" t="inlineStr">
        <is>
          <t>Yonne</t>
        </is>
      </c>
      <c r="F962" t="inlineStr">
        <is>
          <t>Bourgogne-Franche-Comté</t>
        </is>
      </c>
      <c r="G962" s="3" t="n">
        <v>15138</v>
      </c>
      <c r="H962" t="n">
        <v>52</v>
      </c>
      <c r="I962" t="inlineStr">
        <is>
          <t>2 avenue de la Gare</t>
        </is>
      </c>
      <c r="J962" t="inlineStr">
        <is>
          <t>89700</t>
        </is>
      </c>
      <c r="K962" t="inlineStr">
        <is>
          <t>Tonnerre</t>
        </is>
      </c>
      <c r="L962" t="inlineStr">
        <is>
          <t>03 86 54 86 11</t>
        </is>
      </c>
      <c r="M962" s="4" t="inlineStr">
        <is>
          <t>contact@ccltb.fr</t>
        </is>
      </c>
      <c r="N962" s="4" t="inlineStr">
        <is>
          <t>https://www.letonnerroisenbourgogne.fr/</t>
        </is>
      </c>
      <c r="O962" s="4" t="inlineStr">
        <is>
          <t>https://www.letonnerroisenbourgogne.fr/nous-contacter</t>
        </is>
      </c>
      <c r="P962" s="4" t="inlineStr">
        <is>
          <t>https://lannuaire.service-public.gouv.fr/bourgogne-franche-comte/yonne/2ed681da-f374-4a7f-a3dd-9e0e8489ac85</t>
        </is>
      </c>
      <c r="Q962" t="inlineStr">
        <is>
          <t>Annuaire Service-public.fr</t>
        </is>
      </c>
      <c r="R962" t="inlineStr"/>
      <c r="S962" t="inlineStr"/>
      <c r="T962" t="inlineStr"/>
    </row>
    <row r="963">
      <c r="A963" t="inlineStr">
        <is>
          <t>CC Serein et Armance</t>
        </is>
      </c>
      <c r="B963" t="inlineStr">
        <is>
          <t>Communauté de communes</t>
        </is>
      </c>
      <c r="C963" t="inlineStr">
        <is>
          <t>200067304</t>
        </is>
      </c>
      <c r="D963" t="inlineStr">
        <is>
          <t>89</t>
        </is>
      </c>
      <c r="E963" t="inlineStr">
        <is>
          <t>Yonne</t>
        </is>
      </c>
      <c r="F963" t="inlineStr">
        <is>
          <t>Bourgogne-Franche-Comté</t>
        </is>
      </c>
      <c r="G963" s="3" t="n">
        <v>23421</v>
      </c>
      <c r="H963" t="n">
        <v>29</v>
      </c>
      <c r="I963" t="inlineStr">
        <is>
          <t>37 avenue du Général-Leclerc</t>
        </is>
      </c>
      <c r="J963" t="inlineStr">
        <is>
          <t>89600</t>
        </is>
      </c>
      <c r="K963" t="inlineStr">
        <is>
          <t>Saint-Florentin</t>
        </is>
      </c>
      <c r="L963" t="inlineStr">
        <is>
          <t>03 86 80 50 50</t>
        </is>
      </c>
      <c r="M963" s="4" t="inlineStr">
        <is>
          <t>contact@cc-sereinarmance.fr</t>
        </is>
      </c>
      <c r="N963" s="4" t="inlineStr">
        <is>
          <t>https://cc-sereinarmance.fr/</t>
        </is>
      </c>
      <c r="O963" s="4" t="inlineStr">
        <is>
          <t>https://cc-sereinarmance.fr/contacter-nos-services/</t>
        </is>
      </c>
      <c r="P963" s="4" t="inlineStr">
        <is>
          <t>https://lannuaire.service-public.gouv.fr/bourgogne-franche-comte/yonne/54c1f0bb-c349-4a85-b390-23f93d3d6c06</t>
        </is>
      </c>
      <c r="Q963" t="inlineStr">
        <is>
          <t>Annuaire Service-public.fr</t>
        </is>
      </c>
      <c r="R963" t="inlineStr"/>
      <c r="S963" t="inlineStr"/>
      <c r="T963" t="inlineStr"/>
    </row>
    <row r="964">
      <c r="A964" t="inlineStr">
        <is>
          <t>CC Yonne Nord</t>
        </is>
      </c>
      <c r="B964" t="inlineStr">
        <is>
          <t>Communauté de communes</t>
        </is>
      </c>
      <c r="C964" t="inlineStr">
        <is>
          <t>248900896</t>
        </is>
      </c>
      <c r="D964" t="inlineStr">
        <is>
          <t>89</t>
        </is>
      </c>
      <c r="E964" t="inlineStr">
        <is>
          <t>Yonne</t>
        </is>
      </c>
      <c r="F964" t="inlineStr">
        <is>
          <t>Bourgogne-Franche-Comté</t>
        </is>
      </c>
      <c r="G964" s="3" t="n">
        <v>24434</v>
      </c>
      <c r="H964" t="n">
        <v>23</v>
      </c>
      <c r="I964" t="inlineStr">
        <is>
          <t>52 faubourg de Villeperrot</t>
        </is>
      </c>
      <c r="J964" t="inlineStr">
        <is>
          <t>89140</t>
        </is>
      </c>
      <c r="K964" t="inlineStr">
        <is>
          <t>Pont-sur-Yonne</t>
        </is>
      </c>
      <c r="L964" t="inlineStr">
        <is>
          <t>03 86 67 99 00</t>
        </is>
      </c>
      <c r="M964" s="4" t="inlineStr">
        <is>
          <t>ccyn@ccyn.fr</t>
        </is>
      </c>
      <c r="N964" s="4" t="inlineStr">
        <is>
          <t>https://yonne-nord.fr/</t>
        </is>
      </c>
      <c r="O964" s="4" t="inlineStr">
        <is>
          <t>https://yonne-nord.fr/contact/</t>
        </is>
      </c>
      <c r="P964" s="4" t="inlineStr">
        <is>
          <t>https://lannuaire.service-public.gouv.fr/bourgogne-franche-comte/yonne/436403ba-e7c9-45b9-9448-8efcde0818d5</t>
        </is>
      </c>
      <c r="Q964" t="inlineStr">
        <is>
          <t>Annuaire Service-public.fr</t>
        </is>
      </c>
      <c r="R964" t="inlineStr"/>
      <c r="S964" t="inlineStr"/>
      <c r="T964" t="inlineStr"/>
    </row>
    <row r="965">
      <c r="A965" t="inlineStr">
        <is>
          <t>CC de l'Agglomération Migennoise</t>
        </is>
      </c>
      <c r="B965" t="inlineStr">
        <is>
          <t>Communauté de communes</t>
        </is>
      </c>
      <c r="C965" t="inlineStr">
        <is>
          <t>248900383</t>
        </is>
      </c>
      <c r="D965" t="inlineStr">
        <is>
          <t>89</t>
        </is>
      </c>
      <c r="E965" t="inlineStr">
        <is>
          <t>Yonne</t>
        </is>
      </c>
      <c r="F965" t="inlineStr">
        <is>
          <t>Bourgogne-Franche-Comté</t>
        </is>
      </c>
      <c r="G965" s="3" t="n">
        <v>14353</v>
      </c>
      <c r="H965" t="n">
        <v>8</v>
      </c>
      <c r="I965" t="inlineStr">
        <is>
          <t>1 bis rue des Écoles</t>
        </is>
      </c>
      <c r="J965" t="inlineStr">
        <is>
          <t>89400</t>
        </is>
      </c>
      <c r="K965" t="inlineStr">
        <is>
          <t>Migennes</t>
        </is>
      </c>
      <c r="L965" t="inlineStr">
        <is>
          <t>03 86 92 66 85</t>
        </is>
      </c>
      <c r="M965" s="4" t="inlineStr">
        <is>
          <t>ccam@migennois.fr</t>
        </is>
      </c>
      <c r="N965" s="4" t="inlineStr">
        <is>
          <t>https://www.migennois.fr/</t>
        </is>
      </c>
      <c r="O965" s="4" t="inlineStr">
        <is>
          <t>https://www.migennois.fr/contact</t>
        </is>
      </c>
      <c r="P965" s="4" t="inlineStr">
        <is>
          <t>https://lannuaire.service-public.gouv.fr/bourgogne-franche-comte/yonne/9bc86382-27cb-424b-8f60-e226d938ee48</t>
        </is>
      </c>
      <c r="Q965" t="inlineStr">
        <is>
          <t>Annuaire Service-public.fr</t>
        </is>
      </c>
      <c r="R965" t="inlineStr"/>
      <c r="S965" t="inlineStr"/>
      <c r="T965" t="inlineStr"/>
    </row>
    <row r="966">
      <c r="A966" t="inlineStr">
        <is>
          <t>CC de l'Aillantais en Bourgogne</t>
        </is>
      </c>
      <c r="B966" t="inlineStr">
        <is>
          <t>Communauté de communes</t>
        </is>
      </c>
      <c r="C966" t="inlineStr">
        <is>
          <t>248900524</t>
        </is>
      </c>
      <c r="D966" t="inlineStr">
        <is>
          <t>89</t>
        </is>
      </c>
      <c r="E966" t="inlineStr">
        <is>
          <t>Yonne</t>
        </is>
      </c>
      <c r="F966" t="inlineStr">
        <is>
          <t>Bourgogne-Franche-Comté</t>
        </is>
      </c>
      <c r="G966" s="3" t="n">
        <v>10116</v>
      </c>
      <c r="H966" t="n">
        <v>13</v>
      </c>
      <c r="I966" t="inlineStr">
        <is>
          <t>9 rue des Perrières, Aillant-sur-Tholon</t>
        </is>
      </c>
      <c r="J966" t="inlineStr">
        <is>
          <t>89110</t>
        </is>
      </c>
      <c r="K966" t="inlineStr">
        <is>
          <t>Montholon</t>
        </is>
      </c>
      <c r="L966" t="inlineStr">
        <is>
          <t>03 86 63 56 63</t>
        </is>
      </c>
      <c r="M966" s="4" t="inlineStr">
        <is>
          <t>contact@ccaillantais.fr</t>
        </is>
      </c>
      <c r="N966" s="4" t="inlineStr">
        <is>
          <t>https://www.ccaillantais.fr/</t>
        </is>
      </c>
      <c r="O966" s="4" t="inlineStr">
        <is>
          <t>https://www.ccaillantais.fr/contact/</t>
        </is>
      </c>
      <c r="P966" s="4" t="inlineStr">
        <is>
          <t>https://lannuaire.service-public.gouv.fr/bourgogne-franche-comte/yonne/75ed7bbb-56fe-4e71-8504-aea4223fd04e</t>
        </is>
      </c>
      <c r="Q966" t="inlineStr">
        <is>
          <t>Annuaire Service-public.fr</t>
        </is>
      </c>
      <c r="R966" t="inlineStr"/>
      <c r="S966" t="inlineStr"/>
      <c r="T966" t="inlineStr"/>
    </row>
    <row r="967">
      <c r="A967" t="inlineStr">
        <is>
          <t>CC de la Vanne et du Pays d'Othe</t>
        </is>
      </c>
      <c r="B967" t="inlineStr">
        <is>
          <t>Communauté de communes</t>
        </is>
      </c>
      <c r="C967" t="inlineStr">
        <is>
          <t>248900664</t>
        </is>
      </c>
      <c r="D967" t="inlineStr">
        <is>
          <t>89</t>
        </is>
      </c>
      <c r="E967" t="inlineStr">
        <is>
          <t>Yonne</t>
        </is>
      </c>
      <c r="F967" t="inlineStr">
        <is>
          <t>Bourgogne-Franche-Comté</t>
        </is>
      </c>
      <c r="G967" s="3" t="n">
        <v>8609</v>
      </c>
      <c r="H967" t="n">
        <v>22</v>
      </c>
      <c r="I967" t="inlineStr">
        <is>
          <t>36-38 rue de la République</t>
        </is>
      </c>
      <c r="J967" t="inlineStr">
        <is>
          <t>89190</t>
        </is>
      </c>
      <c r="K967" t="inlineStr">
        <is>
          <t>Villeneuve-l'Archevêque</t>
        </is>
      </c>
      <c r="L967" t="inlineStr">
        <is>
          <t>03 86 86 70 99</t>
        </is>
      </c>
      <c r="M967" s="4" t="inlineStr">
        <is>
          <t>accueil@ccvpo.fr</t>
        </is>
      </c>
      <c r="N967" s="4" t="inlineStr">
        <is>
          <t>https://ccvannepaysothe.fr/</t>
        </is>
      </c>
      <c r="O967" t="inlineStr"/>
      <c r="P967" s="4" t="inlineStr">
        <is>
          <t>https://lannuaire.service-public.gouv.fr/bourgogne-franche-comte/yonne/4cdec979-1d16-4e95-9f7d-0c5515fc86e9</t>
        </is>
      </c>
      <c r="Q967" t="inlineStr">
        <is>
          <t>Annuaire Service-public.fr</t>
        </is>
      </c>
      <c r="R967" t="inlineStr"/>
      <c r="S967" t="inlineStr"/>
      <c r="T967" t="inlineStr"/>
    </row>
    <row r="968">
      <c r="A968" t="inlineStr">
        <is>
          <t>CC du Gâtinais en Bourgogne</t>
        </is>
      </c>
      <c r="B968" t="inlineStr">
        <is>
          <t>Communauté de communes</t>
        </is>
      </c>
      <c r="C968" t="inlineStr">
        <is>
          <t>248900748</t>
        </is>
      </c>
      <c r="D968" t="inlineStr">
        <is>
          <t>89</t>
        </is>
      </c>
      <c r="E968" t="inlineStr">
        <is>
          <t>Yonne</t>
        </is>
      </c>
      <c r="F968" t="inlineStr">
        <is>
          <t>Bourgogne-Franche-Comté</t>
        </is>
      </c>
      <c r="G968" s="3" t="n">
        <v>17619</v>
      </c>
      <c r="H968" t="n">
        <v>26</v>
      </c>
      <c r="I968" t="inlineStr">
        <is>
          <t>6 rue Danton</t>
        </is>
      </c>
      <c r="J968" t="inlineStr">
        <is>
          <t>89690</t>
        </is>
      </c>
      <c r="K968" t="inlineStr">
        <is>
          <t>Chéroy</t>
        </is>
      </c>
      <c r="L968" t="inlineStr">
        <is>
          <t>03 86 97 71 94</t>
        </is>
      </c>
      <c r="M968" s="4" t="inlineStr">
        <is>
          <t>contact@gatinais-bourgogne.fr</t>
        </is>
      </c>
      <c r="N968" s="4" t="inlineStr">
        <is>
          <t>http://www.gatinais-bourgogne.fr</t>
        </is>
      </c>
      <c r="O968" t="inlineStr"/>
      <c r="P968" s="4" t="inlineStr">
        <is>
          <t>https://lannuaire.service-public.gouv.fr/bourgogne-franche-comte/yonne/f3215eaa-a826-4457-b36c-fd9bf6983d6f</t>
        </is>
      </c>
      <c r="Q968" t="inlineStr">
        <is>
          <t>Annuaire Service-public.fr</t>
        </is>
      </c>
      <c r="R968" t="inlineStr"/>
      <c r="S968" t="inlineStr"/>
      <c r="T968" t="inlineStr"/>
    </row>
    <row r="969">
      <c r="A969" t="inlineStr">
        <is>
          <t>CC du Jovinien</t>
        </is>
      </c>
      <c r="B969" t="inlineStr">
        <is>
          <t>Communauté de communes</t>
        </is>
      </c>
      <c r="C969" t="inlineStr">
        <is>
          <t>248900938</t>
        </is>
      </c>
      <c r="D969" t="inlineStr">
        <is>
          <t>89</t>
        </is>
      </c>
      <c r="E969" t="inlineStr">
        <is>
          <t>Yonne</t>
        </is>
      </c>
      <c r="F969" t="inlineStr">
        <is>
          <t>Bourgogne-Franche-Comté</t>
        </is>
      </c>
      <c r="G969" s="3" t="n">
        <v>20500</v>
      </c>
      <c r="H969" t="n">
        <v>19</v>
      </c>
      <c r="I969" t="inlineStr">
        <is>
          <t>11 quai du 1er-Dragons</t>
        </is>
      </c>
      <c r="J969" t="inlineStr">
        <is>
          <t>89300</t>
        </is>
      </c>
      <c r="K969" t="inlineStr">
        <is>
          <t>Joigny</t>
        </is>
      </c>
      <c r="L969" t="inlineStr">
        <is>
          <t>03 86 62 47 95</t>
        </is>
      </c>
      <c r="M969" s="4" t="inlineStr">
        <is>
          <t>accueil@ccjovinien.fr</t>
        </is>
      </c>
      <c r="N969" s="4" t="inlineStr">
        <is>
          <t>https://www.ccjovinien.fr/</t>
        </is>
      </c>
      <c r="O969" t="inlineStr"/>
      <c r="P969" s="4" t="inlineStr">
        <is>
          <t>https://lannuaire.service-public.gouv.fr/bourgogne-franche-comte/yonne/fe12ee36-5e0b-4272-b755-24353d5dc66d</t>
        </is>
      </c>
      <c r="Q969" t="inlineStr">
        <is>
          <t>Annuaire Service-public.fr</t>
        </is>
      </c>
      <c r="R969" t="inlineStr"/>
      <c r="S969" t="inlineStr"/>
      <c r="T969" t="inlineStr"/>
    </row>
    <row r="970">
      <c r="A970" t="inlineStr">
        <is>
          <t>CC du Serein</t>
        </is>
      </c>
      <c r="B970" t="inlineStr">
        <is>
          <t>Communauté de communes</t>
        </is>
      </c>
      <c r="C970" t="inlineStr">
        <is>
          <t>200039709</t>
        </is>
      </c>
      <c r="D970" t="inlineStr">
        <is>
          <t>89</t>
        </is>
      </c>
      <c r="E970" t="inlineStr">
        <is>
          <t>Yonne</t>
        </is>
      </c>
      <c r="F970" t="inlineStr">
        <is>
          <t>Bourgogne-Franche-Comté</t>
        </is>
      </c>
      <c r="G970" s="3" t="n">
        <v>7043</v>
      </c>
      <c r="H970" t="n">
        <v>35</v>
      </c>
      <c r="I970" t="inlineStr">
        <is>
          <t>1 place Saint-Georges</t>
        </is>
      </c>
      <c r="J970" t="inlineStr">
        <is>
          <t>89440</t>
        </is>
      </c>
      <c r="K970" t="inlineStr">
        <is>
          <t>L'Isle-sur-Serein</t>
        </is>
      </c>
      <c r="L970" t="inlineStr">
        <is>
          <t>03 86 33 33 99</t>
        </is>
      </c>
      <c r="M970" s="4" t="inlineStr">
        <is>
          <t>accueil@ccduserein.fr</t>
        </is>
      </c>
      <c r="N970" s="4" t="inlineStr">
        <is>
          <t>https://www.ccduserein.fr/</t>
        </is>
      </c>
      <c r="O970" s="4" t="inlineStr">
        <is>
          <t>https://www.ccduserein.fr/contact-cc-serein-89_fr.html</t>
        </is>
      </c>
      <c r="P970" s="4" t="inlineStr">
        <is>
          <t>https://lannuaire.service-public.gouv.fr/bourgogne-franche-comte/yonne/ecb5ddb1-6fc5-49af-81d6-afa9a681bddb</t>
        </is>
      </c>
      <c r="Q970" t="inlineStr">
        <is>
          <t>Annuaire Service-public.fr</t>
        </is>
      </c>
      <c r="R970" t="inlineStr"/>
      <c r="S970" t="inlineStr"/>
      <c r="T970" t="inlineStr"/>
    </row>
    <row r="971">
      <c r="A971" t="inlineStr">
        <is>
          <t>CC des Vosges du Sud</t>
        </is>
      </c>
      <c r="B971" t="inlineStr">
        <is>
          <t>Communauté de communes</t>
        </is>
      </c>
      <c r="C971" t="inlineStr">
        <is>
          <t>200069060</t>
        </is>
      </c>
      <c r="D971" t="inlineStr">
        <is>
          <t>90</t>
        </is>
      </c>
      <c r="E971" t="inlineStr">
        <is>
          <t>Territoire de Belfort</t>
        </is>
      </c>
      <c r="F971" t="inlineStr">
        <is>
          <t>Bourgogne-Franche-Comté</t>
        </is>
      </c>
      <c r="G971" s="3" t="n">
        <v>15046</v>
      </c>
      <c r="H971" t="n">
        <v>22</v>
      </c>
      <c r="I971" t="inlineStr">
        <is>
          <t>26 bis Grande rue</t>
        </is>
      </c>
      <c r="J971" t="inlineStr">
        <is>
          <t>90170</t>
        </is>
      </c>
      <c r="K971" t="inlineStr">
        <is>
          <t>Etueffont</t>
        </is>
      </c>
      <c r="L971" t="inlineStr">
        <is>
          <t>03 84 54 70 80</t>
        </is>
      </c>
      <c r="M971" s="4" t="inlineStr">
        <is>
          <t>contact@ccvosgesdusud.fr</t>
        </is>
      </c>
      <c r="N971" s="4" t="inlineStr">
        <is>
          <t>https://www.ccvosgesdusud.fr/</t>
        </is>
      </c>
      <c r="O971" t="inlineStr"/>
      <c r="P971" s="4" t="inlineStr">
        <is>
          <t>https://lannuaire.service-public.gouv.fr/bourgogne-franche-comte/territoire-de-belfort/dce39bac-5cd1-4595-9cf9-bb7e1d707c34</t>
        </is>
      </c>
      <c r="Q971" t="inlineStr">
        <is>
          <t>Annuaire Service-public.fr</t>
        </is>
      </c>
      <c r="R971" t="inlineStr"/>
      <c r="S971" t="inlineStr"/>
      <c r="T971" t="inlineStr"/>
    </row>
    <row r="972">
      <c r="A972" t="inlineStr">
        <is>
          <t>CC du Sud Territoire</t>
        </is>
      </c>
      <c r="B972" t="inlineStr">
        <is>
          <t>Communauté de communes</t>
        </is>
      </c>
      <c r="C972" t="inlineStr">
        <is>
          <t>249000241</t>
        </is>
      </c>
      <c r="D972" t="inlineStr">
        <is>
          <t>90</t>
        </is>
      </c>
      <c r="E972" t="inlineStr">
        <is>
          <t>Territoire de Belfort</t>
        </is>
      </c>
      <c r="F972" t="inlineStr">
        <is>
          <t>Bourgogne-Franche-Comté</t>
        </is>
      </c>
      <c r="G972" s="3" t="n">
        <v>23585</v>
      </c>
      <c r="H972" t="n">
        <v>27</v>
      </c>
      <c r="I972" t="inlineStr">
        <is>
          <t>8 place Raymond-Forni</t>
        </is>
      </c>
      <c r="J972" t="inlineStr">
        <is>
          <t>90100</t>
        </is>
      </c>
      <c r="K972" t="inlineStr">
        <is>
          <t>Delle</t>
        </is>
      </c>
      <c r="L972" t="inlineStr">
        <is>
          <t>03 84 56 26 07</t>
        </is>
      </c>
      <c r="M972" s="4" t="inlineStr">
        <is>
          <t>ccst90@cc-sud-territoire.fr</t>
        </is>
      </c>
      <c r="N972" s="4" t="inlineStr">
        <is>
          <t>https://www.cc-sud-territoire.fr/</t>
        </is>
      </c>
      <c r="O972" s="4" t="inlineStr">
        <is>
          <t>https://www.cc-sud-territoire.fr/contact.htm</t>
        </is>
      </c>
      <c r="P972" s="4" t="inlineStr">
        <is>
          <t>https://lannuaire.service-public.gouv.fr/bourgogne-franche-comte/territoire-de-belfort/c7530b17-24e5-4333-ab12-0a0bd2d7946f</t>
        </is>
      </c>
      <c r="Q972" t="inlineStr">
        <is>
          <t>Annuaire Service-public.fr</t>
        </is>
      </c>
      <c r="R972" t="inlineStr"/>
      <c r="S972" t="inlineStr"/>
      <c r="T972" t="inlineStr"/>
    </row>
    <row r="973">
      <c r="A973" t="inlineStr">
        <is>
          <t>CC Entre Juine et Renarde (CCEJR)</t>
        </is>
      </c>
      <c r="B973" t="inlineStr">
        <is>
          <t>Communauté de communes</t>
        </is>
      </c>
      <c r="C973" t="inlineStr">
        <is>
          <t>249100553</t>
        </is>
      </c>
      <c r="D973" t="inlineStr">
        <is>
          <t>91</t>
        </is>
      </c>
      <c r="E973" t="inlineStr">
        <is>
          <t>Essonne</t>
        </is>
      </c>
      <c r="F973" t="inlineStr">
        <is>
          <t>Île-de-France</t>
        </is>
      </c>
      <c r="G973" s="3" t="n">
        <v>27947</v>
      </c>
      <c r="H973" t="n">
        <v>16</v>
      </c>
      <c r="I973" t="inlineStr">
        <is>
          <t>2 rue des Hêtres-Pourpres</t>
        </is>
      </c>
      <c r="J973" t="inlineStr">
        <is>
          <t>91580</t>
        </is>
      </c>
      <c r="K973" t="inlineStr">
        <is>
          <t>Étréchy</t>
        </is>
      </c>
      <c r="L973" t="inlineStr">
        <is>
          <t>01 83 63 70 90</t>
        </is>
      </c>
      <c r="M973" s="4" t="inlineStr">
        <is>
          <t>accueil@ccejr.org</t>
        </is>
      </c>
      <c r="N973" s="4" t="inlineStr">
        <is>
          <t>https://www.entrejuineetrenarde.org/</t>
        </is>
      </c>
      <c r="O973" s="4" t="inlineStr">
        <is>
          <t>https://www.entrejuineetrenarde.org/contacter-la-ccejr</t>
        </is>
      </c>
      <c r="P973" s="4" t="inlineStr">
        <is>
          <t>https://lannuaire.service-public.gouv.fr/ile-de-france/essonne/b26b7247-ef84-4783-b487-30ad4e1a78cf</t>
        </is>
      </c>
      <c r="Q973" t="inlineStr">
        <is>
          <t>Annuaire Service-public.fr</t>
        </is>
      </c>
      <c r="R973" t="inlineStr"/>
      <c r="S973" t="inlineStr"/>
      <c r="T973" t="inlineStr"/>
    </row>
    <row r="974">
      <c r="A974" t="inlineStr">
        <is>
          <t>CC des 2 Vallées</t>
        </is>
      </c>
      <c r="B974" t="inlineStr">
        <is>
          <t>Communauté de communes</t>
        </is>
      </c>
      <c r="C974" t="inlineStr">
        <is>
          <t>249100157</t>
        </is>
      </c>
      <c r="D974" t="inlineStr">
        <is>
          <t>91</t>
        </is>
      </c>
      <c r="E974" t="inlineStr">
        <is>
          <t>Essonne</t>
        </is>
      </c>
      <c r="F974" t="inlineStr">
        <is>
          <t>Île-de-France</t>
        </is>
      </c>
      <c r="G974" s="3" t="n">
        <v>18701</v>
      </c>
      <c r="H974" t="n">
        <v>15</v>
      </c>
      <c r="I974" t="inlineStr">
        <is>
          <t>23 rue de la Chapelle-Saint-Blaise</t>
        </is>
      </c>
      <c r="J974" t="inlineStr">
        <is>
          <t>91490</t>
        </is>
      </c>
      <c r="K974" t="inlineStr">
        <is>
          <t>Milly-la-Forêt</t>
        </is>
      </c>
      <c r="L974" t="inlineStr">
        <is>
          <t>01 64 98 85 19</t>
        </is>
      </c>
      <c r="M974" s="4" t="inlineStr">
        <is>
          <t>cc2v@cc2v91.fr</t>
        </is>
      </c>
      <c r="N974" s="4" t="inlineStr">
        <is>
          <t>https://cc2v91.fr/fr/</t>
        </is>
      </c>
      <c r="O974" s="4" t="inlineStr">
        <is>
          <t>https://cc2v91.fr/fr/</t>
        </is>
      </c>
      <c r="P974" s="4" t="inlineStr">
        <is>
          <t>https://lannuaire.service-public.gouv.fr/ile-de-france/essonne/6bb5e8ee-12d5-44c1-b0e6-ce3179bc682a</t>
        </is>
      </c>
      <c r="Q974" t="inlineStr">
        <is>
          <t>Annuaire Service-public.fr</t>
        </is>
      </c>
      <c r="R974" t="inlineStr"/>
      <c r="S974" t="inlineStr"/>
      <c r="T974" t="inlineStr"/>
    </row>
    <row r="975">
      <c r="A975" t="inlineStr">
        <is>
          <t>CC du Pays de Limours (CCPL)</t>
        </is>
      </c>
      <c r="B975" t="inlineStr">
        <is>
          <t>Communauté de communes</t>
        </is>
      </c>
      <c r="C975" t="inlineStr">
        <is>
          <t>249100074</t>
        </is>
      </c>
      <c r="D975" t="inlineStr">
        <is>
          <t>91</t>
        </is>
      </c>
      <c r="E975" t="inlineStr">
        <is>
          <t>Essonne</t>
        </is>
      </c>
      <c r="F975" t="inlineStr">
        <is>
          <t>Île-de-France</t>
        </is>
      </c>
      <c r="G975" s="3" t="n">
        <v>27290</v>
      </c>
      <c r="H975" t="n">
        <v>14</v>
      </c>
      <c r="I975" t="inlineStr">
        <is>
          <t>615 rue Fontaine-de-Ville</t>
        </is>
      </c>
      <c r="J975" t="inlineStr">
        <is>
          <t>91640</t>
        </is>
      </c>
      <c r="K975" t="inlineStr">
        <is>
          <t>Briis-sous-Forges</t>
        </is>
      </c>
      <c r="L975" t="inlineStr">
        <is>
          <t>01 64 90 79 00</t>
        </is>
      </c>
      <c r="M975" s="4" t="inlineStr">
        <is>
          <t>accueil@cc-paysdelimours.fr</t>
        </is>
      </c>
      <c r="N975" s="4" t="inlineStr">
        <is>
          <t>https://www.cc-paysdelimours.fr/</t>
        </is>
      </c>
      <c r="O975" s="4" t="inlineStr">
        <is>
          <t>https://www.cc-paysdelimours.fr/contact</t>
        </is>
      </c>
      <c r="P975" s="4" t="inlineStr">
        <is>
          <t>https://lannuaire.service-public.gouv.fr/ile-de-france/essonne/9b8c9bc2-a523-4d97-8ab2-b550196270f5</t>
        </is>
      </c>
      <c r="Q975" t="inlineStr">
        <is>
          <t>Annuaire Service-public.fr</t>
        </is>
      </c>
      <c r="R975" t="inlineStr"/>
      <c r="S975" t="inlineStr"/>
      <c r="T975" t="inlineStr"/>
    </row>
    <row r="976">
      <c r="A976" t="inlineStr">
        <is>
          <t>CC du Val d'Essonne (CCVE)</t>
        </is>
      </c>
      <c r="B976" t="inlineStr">
        <is>
          <t>Communauté de communes</t>
        </is>
      </c>
      <c r="C976" t="inlineStr">
        <is>
          <t>249100546</t>
        </is>
      </c>
      <c r="D976" t="inlineStr">
        <is>
          <t>91</t>
        </is>
      </c>
      <c r="E976" t="inlineStr">
        <is>
          <t>Essonne</t>
        </is>
      </c>
      <c r="F976" t="inlineStr">
        <is>
          <t>Île-de-France</t>
        </is>
      </c>
      <c r="G976" s="3" t="n">
        <v>62746</v>
      </c>
      <c r="H976" t="n">
        <v>21</v>
      </c>
      <c r="I976" t="inlineStr">
        <is>
          <t>Parvis des communautés</t>
        </is>
      </c>
      <c r="J976" t="inlineStr">
        <is>
          <t>91610</t>
        </is>
      </c>
      <c r="K976" t="inlineStr">
        <is>
          <t>Ballancourt-sur-Essonne</t>
        </is>
      </c>
      <c r="L976" t="inlineStr">
        <is>
          <t>01 64 93 21 20</t>
        </is>
      </c>
      <c r="M976" s="4" t="inlineStr">
        <is>
          <t>ccve@ccvalessonne.com</t>
        </is>
      </c>
      <c r="N976" s="4" t="inlineStr">
        <is>
          <t>https://valessonne.fr/</t>
        </is>
      </c>
      <c r="O976" t="inlineStr"/>
      <c r="P976" s="4" t="inlineStr">
        <is>
          <t>https://lannuaire.service-public.gouv.fr/ile-de-france/essonne/2717b775-fd05-4756-b130-c43f246ba8a7</t>
        </is>
      </c>
      <c r="Q976" t="inlineStr">
        <is>
          <t>Annuaire Service-public.fr</t>
        </is>
      </c>
      <c r="R976" t="inlineStr"/>
      <c r="S976" t="inlineStr"/>
      <c r="T976" t="inlineStr"/>
    </row>
    <row r="977">
      <c r="A977" t="inlineStr">
        <is>
          <t>CC le Dourdannais en Hurepoix (CCDH)</t>
        </is>
      </c>
      <c r="B977" t="inlineStr">
        <is>
          <t>Communauté de communes</t>
        </is>
      </c>
      <c r="C977" t="inlineStr">
        <is>
          <t>249100595</t>
        </is>
      </c>
      <c r="D977" t="inlineStr">
        <is>
          <t>91</t>
        </is>
      </c>
      <c r="E977" t="inlineStr">
        <is>
          <t>Essonne</t>
        </is>
      </c>
      <c r="F977" t="inlineStr">
        <is>
          <t>Île-de-France</t>
        </is>
      </c>
      <c r="G977" s="3" t="n">
        <v>26697</v>
      </c>
      <c r="H977" t="n">
        <v>11</v>
      </c>
      <c r="I977" t="inlineStr">
        <is>
          <t>17 rue Pierre-Ceccaldi</t>
        </is>
      </c>
      <c r="J977" t="inlineStr">
        <is>
          <t>91410</t>
        </is>
      </c>
      <c r="K977" t="inlineStr">
        <is>
          <t>Dourdan</t>
        </is>
      </c>
      <c r="L977" t="inlineStr">
        <is>
          <t>01 60 81 12 20</t>
        </is>
      </c>
      <c r="M977" s="4" t="inlineStr">
        <is>
          <t>contact@ccdourdannais.com</t>
        </is>
      </c>
      <c r="N977" s="4" t="inlineStr">
        <is>
          <t>https://www.ccdourdannais.com/</t>
        </is>
      </c>
      <c r="O977" s="4" t="inlineStr">
        <is>
          <t>https://www.ccdourdannais.com/contactez-nous/</t>
        </is>
      </c>
      <c r="P977" s="4" t="inlineStr">
        <is>
          <t>https://lannuaire.service-public.gouv.fr/ile-de-france/essonne/60658850-d285-4f05-8510-f17a3711c5d3</t>
        </is>
      </c>
      <c r="Q977" t="inlineStr">
        <is>
          <t>Annuaire Service-public.fr</t>
        </is>
      </c>
      <c r="R977" t="inlineStr"/>
      <c r="S977" t="inlineStr"/>
      <c r="T977" t="inlineStr"/>
    </row>
    <row r="978">
      <c r="A978" t="inlineStr">
        <is>
          <t>CC Carnelle Pays-de-France</t>
        </is>
      </c>
      <c r="B978" t="inlineStr">
        <is>
          <t>Communauté de communes</t>
        </is>
      </c>
      <c r="C978" t="inlineStr">
        <is>
          <t>200073013</t>
        </is>
      </c>
      <c r="D978" t="inlineStr">
        <is>
          <t>95</t>
        </is>
      </c>
      <c r="E978" t="inlineStr">
        <is>
          <t>Val-d'Oise</t>
        </is>
      </c>
      <c r="F978" t="inlineStr">
        <is>
          <t>Île-de-France</t>
        </is>
      </c>
      <c r="G978" s="3" t="n">
        <v>33539</v>
      </c>
      <c r="H978" t="n">
        <v>19</v>
      </c>
      <c r="I978" t="inlineStr">
        <is>
          <t>Domaine de la Motte, 3 rue François-de-Ganay</t>
        </is>
      </c>
      <c r="J978" t="inlineStr">
        <is>
          <t>95270</t>
        </is>
      </c>
      <c r="K978" t="inlineStr">
        <is>
          <t>Luzarches</t>
        </is>
      </c>
      <c r="L978" t="inlineStr">
        <is>
          <t>01 34 71 94 06</t>
        </is>
      </c>
      <c r="M978" s="4" t="inlineStr">
        <is>
          <t>contact@c3pf.fr</t>
        </is>
      </c>
      <c r="N978" s="4" t="inlineStr">
        <is>
          <t>https://carnelle-pays-de-france.fr/</t>
        </is>
      </c>
      <c r="O978" s="4" t="inlineStr">
        <is>
          <t>https://carnelle-pays-de-france.fr/contactez-nous/</t>
        </is>
      </c>
      <c r="P978" s="4" t="inlineStr">
        <is>
          <t>https://lannuaire.service-public.gouv.fr/ile-de-france/val-d-oise/2f584dfe-1d35-4a11-a390-a9ce74e0d6ee</t>
        </is>
      </c>
      <c r="Q978" t="inlineStr">
        <is>
          <t>Annuaire Service-public.fr</t>
        </is>
      </c>
      <c r="R978" t="inlineStr"/>
      <c r="S978" t="inlineStr"/>
      <c r="T978" t="inlineStr"/>
    </row>
    <row r="979">
      <c r="A979" t="inlineStr">
        <is>
          <t>CC Sausseron Impressionnistes</t>
        </is>
      </c>
      <c r="B979" t="inlineStr">
        <is>
          <t>Communauté de communes</t>
        </is>
      </c>
      <c r="C979" t="inlineStr">
        <is>
          <t>249500430</t>
        </is>
      </c>
      <c r="D979" t="inlineStr">
        <is>
          <t>95</t>
        </is>
      </c>
      <c r="E979" t="inlineStr">
        <is>
          <t>Val-d'Oise</t>
        </is>
      </c>
      <c r="F979" t="inlineStr">
        <is>
          <t>Île-de-France</t>
        </is>
      </c>
      <c r="G979" s="3" t="n">
        <v>19049</v>
      </c>
      <c r="H979" t="n">
        <v>15</v>
      </c>
      <c r="I979" t="inlineStr">
        <is>
          <t>38 rue du Général-de-Gaulle, Mairie, Parc Van-Gogh</t>
        </is>
      </c>
      <c r="J979" t="inlineStr">
        <is>
          <t>95430</t>
        </is>
      </c>
      <c r="K979" t="inlineStr">
        <is>
          <t>Auvers-sur-Oise</t>
        </is>
      </c>
      <c r="L979" t="inlineStr">
        <is>
          <t>01 85 38 03 70</t>
        </is>
      </c>
      <c r="M979" s="4" t="inlineStr">
        <is>
          <t>secretariat@sausseron-impressionnistes.fr</t>
        </is>
      </c>
      <c r="N979" s="4" t="inlineStr">
        <is>
          <t>http://www.sausseron-impressionnistes.fr</t>
        </is>
      </c>
      <c r="O979" t="inlineStr"/>
      <c r="P979" s="4" t="inlineStr">
        <is>
          <t>https://lannuaire.service-public.gouv.fr/ile-de-france/val-d-oise/0c63942b-b5a0-40dc-9111-78e93e55543c</t>
        </is>
      </c>
      <c r="Q979" t="inlineStr">
        <is>
          <t>Annuaire Service-public.fr</t>
        </is>
      </c>
      <c r="R979" t="inlineStr"/>
      <c r="S979" t="inlineStr"/>
      <c r="T979" t="inlineStr"/>
    </row>
    <row r="980">
      <c r="A980" t="inlineStr">
        <is>
          <t>CC Vexin Centre</t>
        </is>
      </c>
      <c r="B980" t="inlineStr">
        <is>
          <t>Communauté de communes</t>
        </is>
      </c>
      <c r="C980" t="inlineStr">
        <is>
          <t>200035970</t>
        </is>
      </c>
      <c r="D980" t="inlineStr">
        <is>
          <t>95</t>
        </is>
      </c>
      <c r="E980" t="inlineStr">
        <is>
          <t>Val-d'Oise</t>
        </is>
      </c>
      <c r="F980" t="inlineStr">
        <is>
          <t>Île-de-France</t>
        </is>
      </c>
      <c r="G980" s="3" t="n">
        <v>25137</v>
      </c>
      <c r="H980" t="n">
        <v>33</v>
      </c>
      <c r="I980" t="inlineStr">
        <is>
          <t>1 rue de Rouen</t>
        </is>
      </c>
      <c r="J980" t="inlineStr">
        <is>
          <t>95450</t>
        </is>
      </c>
      <c r="K980" t="inlineStr">
        <is>
          <t>Vigny</t>
        </is>
      </c>
      <c r="L980" t="inlineStr">
        <is>
          <t>01 30 39 23 34</t>
        </is>
      </c>
      <c r="M980" s="4" t="inlineStr">
        <is>
          <t>administration@ccvexincentre.fr</t>
        </is>
      </c>
      <c r="N980" s="4" t="inlineStr">
        <is>
          <t>https://ccvexincentre.fr/</t>
        </is>
      </c>
      <c r="O980" s="4" t="inlineStr">
        <is>
          <t>https://ccvexincentre.fr/</t>
        </is>
      </c>
      <c r="P980" s="4" t="inlineStr">
        <is>
          <t>https://lannuaire.service-public.gouv.fr/ile-de-france/val-d-oise/7fbccef9-cd26-465f-82d0-771156eee9e6</t>
        </is>
      </c>
      <c r="Q980" t="inlineStr">
        <is>
          <t>Annuaire Service-public.fr</t>
        </is>
      </c>
      <c r="R980" t="inlineStr"/>
      <c r="S980" t="inlineStr"/>
      <c r="T980" t="inlineStr"/>
    </row>
    <row r="981">
      <c r="A981" t="inlineStr">
        <is>
          <t>CC de la Vallée de l'Oise et des Trois Forêts</t>
        </is>
      </c>
      <c r="B981" t="inlineStr">
        <is>
          <t>Communauté de communes</t>
        </is>
      </c>
      <c r="C981" t="inlineStr">
        <is>
          <t>249500455</t>
        </is>
      </c>
      <c r="D981" t="inlineStr">
        <is>
          <t>95</t>
        </is>
      </c>
      <c r="E981" t="inlineStr">
        <is>
          <t>Val-d'Oise</t>
        </is>
      </c>
      <c r="F981" t="inlineStr">
        <is>
          <t>Île-de-France</t>
        </is>
      </c>
      <c r="G981" s="3" t="n">
        <v>39681</v>
      </c>
      <c r="H981" t="n">
        <v>9</v>
      </c>
      <c r="I981" t="inlineStr">
        <is>
          <t>1 avenue Jules-Dupré</t>
        </is>
      </c>
      <c r="J981" t="inlineStr">
        <is>
          <t>95290</t>
        </is>
      </c>
      <c r="K981" t="inlineStr">
        <is>
          <t>L'Isle-Adam</t>
        </is>
      </c>
      <c r="L981" t="inlineStr">
        <is>
          <t>01 34 69 12 06</t>
        </is>
      </c>
      <c r="M981" s="4" t="inlineStr">
        <is>
          <t>contact@ccvo3f.fr</t>
        </is>
      </c>
      <c r="N981" s="4" t="inlineStr">
        <is>
          <t>https://www.ccvo3f.fr/fr/</t>
        </is>
      </c>
      <c r="O981" s="4" t="inlineStr">
        <is>
          <t>https://www.ccvo3f.fr/fr/contact</t>
        </is>
      </c>
      <c r="P981" s="4" t="inlineStr">
        <is>
          <t>https://lannuaire.service-public.gouv.fr/ile-de-france/val-d-oise/dfba97ae-a5f8-4f2e-b855-8fbfb8f19cbe</t>
        </is>
      </c>
      <c r="Q981" t="inlineStr">
        <is>
          <t>Annuaire Service-public.fr</t>
        </is>
      </c>
      <c r="R981" t="inlineStr"/>
      <c r="S981" t="inlineStr"/>
      <c r="T981" t="inlineStr"/>
    </row>
    <row r="982">
      <c r="A982" t="inlineStr">
        <is>
          <t>CC du Haut Val d'Oise</t>
        </is>
      </c>
      <c r="B982" t="inlineStr">
        <is>
          <t>Communauté de communes</t>
        </is>
      </c>
      <c r="C982" t="inlineStr">
        <is>
          <t>249500489</t>
        </is>
      </c>
      <c r="D982" t="inlineStr">
        <is>
          <t>95</t>
        </is>
      </c>
      <c r="E982" t="inlineStr">
        <is>
          <t>Val-d'Oise</t>
        </is>
      </c>
      <c r="F982" t="inlineStr">
        <is>
          <t>Île-de-France</t>
        </is>
      </c>
      <c r="G982" s="3" t="n">
        <v>40950</v>
      </c>
      <c r="H982" t="n">
        <v>9</v>
      </c>
      <c r="I982" t="inlineStr">
        <is>
          <t>16 rue Nationale, CS 10600</t>
        </is>
      </c>
      <c r="J982" t="inlineStr">
        <is>
          <t>95260</t>
        </is>
      </c>
      <c r="K982" t="inlineStr">
        <is>
          <t>Beaumont-sur-Oise</t>
        </is>
      </c>
      <c r="L982" t="inlineStr">
        <is>
          <t>01 39 37 59 70</t>
        </is>
      </c>
      <c r="M982" s="4" t="inlineStr">
        <is>
          <t>accueil@cchvo.com</t>
        </is>
      </c>
      <c r="N982" s="4" t="inlineStr">
        <is>
          <t>https://cc-hautvaldoise.fr/fr/</t>
        </is>
      </c>
      <c r="O982" t="inlineStr"/>
      <c r="P982" s="4" t="inlineStr">
        <is>
          <t>https://lannuaire.service-public.gouv.fr/ile-de-france/val-d-oise/7682524d-c84d-4e47-8009-5ece035ba07c</t>
        </is>
      </c>
      <c r="Q982" t="inlineStr">
        <is>
          <t>Annuaire Service-public.fr</t>
        </is>
      </c>
      <c r="R982" t="inlineStr"/>
      <c r="S982" t="inlineStr"/>
      <c r="T982" t="inlineStr"/>
    </row>
    <row r="983">
      <c r="A983" t="inlineStr">
        <is>
          <t>CC du Vexin-Val de Seine</t>
        </is>
      </c>
      <c r="B983" t="inlineStr">
        <is>
          <t>Communauté de communes</t>
        </is>
      </c>
      <c r="C983" t="inlineStr">
        <is>
          <t>249500513</t>
        </is>
      </c>
      <c r="D983" t="inlineStr">
        <is>
          <t>95</t>
        </is>
      </c>
      <c r="E983" t="inlineStr">
        <is>
          <t>Val-d'Oise</t>
        </is>
      </c>
      <c r="F983" t="inlineStr">
        <is>
          <t>Île-de-France</t>
        </is>
      </c>
      <c r="G983" s="3" t="n">
        <v>16545</v>
      </c>
      <c r="H983" t="n">
        <v>26</v>
      </c>
      <c r="I983" t="inlineStr">
        <is>
          <t>12 rue des Frères-Montgolfier</t>
        </is>
      </c>
      <c r="J983" t="inlineStr">
        <is>
          <t>95420</t>
        </is>
      </c>
      <c r="K983" t="inlineStr">
        <is>
          <t>Magny-en-Vexin</t>
        </is>
      </c>
      <c r="L983" t="inlineStr">
        <is>
          <t>01 86 35 00 36</t>
        </is>
      </c>
      <c r="M983" s="4" t="inlineStr">
        <is>
          <t>secretariat@vexinvaldeseine.fr</t>
        </is>
      </c>
      <c r="N983" s="4" t="inlineStr">
        <is>
          <t>https://vexinvaldeseine.fr/</t>
        </is>
      </c>
      <c r="O983" s="4" t="inlineStr">
        <is>
          <t>https://vexinvaldeseine.fr/contactez-la-ccvvs/</t>
        </is>
      </c>
      <c r="P983" s="4" t="inlineStr">
        <is>
          <t>https://lannuaire.service-public.gouv.fr/ile-de-france/val-d-oise/31862daa-7cdf-44ad-a4cf-911c1c97782e</t>
        </is>
      </c>
      <c r="Q983" t="inlineStr">
        <is>
          <t>Annuaire Service-public.fr</t>
        </is>
      </c>
      <c r="R983" t="inlineStr"/>
      <c r="S983" t="inlineStr"/>
      <c r="T983" t="inlineStr"/>
    </row>
    <row r="984">
      <c r="A984" t="inlineStr">
        <is>
          <t>CC de Marie-Galante</t>
        </is>
      </c>
      <c r="B984" t="inlineStr">
        <is>
          <t>Communauté de communes</t>
        </is>
      </c>
      <c r="C984" t="inlineStr">
        <is>
          <t>249710047</t>
        </is>
      </c>
      <c r="D984" t="inlineStr">
        <is>
          <t>971</t>
        </is>
      </c>
      <c r="E984" t="inlineStr">
        <is>
          <t>Guadeloupe</t>
        </is>
      </c>
      <c r="F984" t="inlineStr">
        <is>
          <t>Guadeloupe</t>
        </is>
      </c>
      <c r="G984" s="3" t="n">
        <v>10422</v>
      </c>
      <c r="H984" t="n">
        <v>3</v>
      </c>
      <c r="I984" t="inlineStr">
        <is>
          <t>Rue du Fort, BP 48</t>
        </is>
      </c>
      <c r="J984" t="inlineStr">
        <is>
          <t>97112</t>
        </is>
      </c>
      <c r="K984" t="inlineStr">
        <is>
          <t>Grand-Bourg</t>
        </is>
      </c>
      <c r="L984" t="inlineStr">
        <is>
          <t>05 90 97 83 58</t>
        </is>
      </c>
      <c r="M984" s="4" t="inlineStr">
        <is>
          <t>secretariat@paysmariegalante.fr</t>
        </is>
      </c>
      <c r="N984" s="4" t="inlineStr">
        <is>
          <t>https://www.paysmariegalante.fr</t>
        </is>
      </c>
      <c r="O984" s="4" t="inlineStr">
        <is>
          <t>https://paysmariegalante.fr/contact/</t>
        </is>
      </c>
      <c r="P984" s="4" t="inlineStr">
        <is>
          <t>https://lannuaire.service-public.gouv.fr/guadeloupe/guadeloupe/fe656d4c-4103-491f-822d-788a5975e332</t>
        </is>
      </c>
      <c r="Q984" t="inlineStr">
        <is>
          <t>Annuaire Service-public.fr</t>
        </is>
      </c>
      <c r="R984" t="inlineStr"/>
      <c r="S984" t="inlineStr"/>
      <c r="T984" t="inlineStr"/>
    </row>
    <row r="985">
      <c r="A985" t="inlineStr">
        <is>
          <t>CC de l'Est Guyanais</t>
        </is>
      </c>
      <c r="B985" t="inlineStr">
        <is>
          <t>Communauté de communes</t>
        </is>
      </c>
      <c r="C985" t="inlineStr">
        <is>
          <t>249730052</t>
        </is>
      </c>
      <c r="D985" t="inlineStr">
        <is>
          <t>973</t>
        </is>
      </c>
      <c r="E985" t="inlineStr">
        <is>
          <t>Guyane</t>
        </is>
      </c>
      <c r="F985" t="inlineStr">
        <is>
          <t>Guyane</t>
        </is>
      </c>
      <c r="G985" s="3" t="n">
        <v>8735</v>
      </c>
      <c r="H985" t="n">
        <v>4</v>
      </c>
      <c r="I985" t="inlineStr">
        <is>
          <t>8 rue Urbain Goudet, BP 20</t>
        </is>
      </c>
      <c r="J985" t="inlineStr">
        <is>
          <t>97313</t>
        </is>
      </c>
      <c r="K985" t="inlineStr">
        <is>
          <t>Saint-Georges</t>
        </is>
      </c>
      <c r="L985" t="inlineStr">
        <is>
          <t>05 94 28 09 44</t>
        </is>
      </c>
      <c r="M985" s="4" t="inlineStr">
        <is>
          <t>contact@cceg-973.fr</t>
        </is>
      </c>
      <c r="N985" s="4" t="inlineStr">
        <is>
          <t>https://www.guyane-amazonie.fr/je-decouvre/territoires/est-guyanais/</t>
        </is>
      </c>
      <c r="O985" s="4" t="inlineStr">
        <is>
          <t>https://ouestguyane.fr/</t>
        </is>
      </c>
      <c r="P985" s="4" t="inlineStr">
        <is>
          <t>https://lannuaire.service-public.gouv.fr/guyane/guyane/acba5ff3-501c-4f27-b1bf-6b17eddb757f</t>
        </is>
      </c>
      <c r="Q985" t="inlineStr">
        <is>
          <t>Annuaire Service-public.fr</t>
        </is>
      </c>
      <c r="R985" t="inlineStr"/>
      <c r="S985" t="inlineStr"/>
      <c r="T985" t="inlineStr"/>
    </row>
    <row r="986">
      <c r="A986" t="inlineStr">
        <is>
          <t>CC de l'Ouest Guyanais</t>
        </is>
      </c>
      <c r="B986" t="inlineStr">
        <is>
          <t>Communauté de communes</t>
        </is>
      </c>
      <c r="C986" t="inlineStr">
        <is>
          <t>249730037</t>
        </is>
      </c>
      <c r="D986" t="inlineStr">
        <is>
          <t>973</t>
        </is>
      </c>
      <c r="E986" t="inlineStr">
        <is>
          <t>Guyane</t>
        </is>
      </c>
      <c r="F986" t="inlineStr">
        <is>
          <t>Guyane</t>
        </is>
      </c>
      <c r="G986" s="3" t="n">
        <v>98344</v>
      </c>
      <c r="H986" t="n">
        <v>8</v>
      </c>
      <c r="I986" t="inlineStr">
        <is>
          <t>2 rue Bruno-Aubert, ZA Gaston-Césaire, BP 26</t>
        </is>
      </c>
      <c r="J986" t="inlineStr">
        <is>
          <t>97360</t>
        </is>
      </c>
      <c r="K986" t="inlineStr">
        <is>
          <t>Mana</t>
        </is>
      </c>
      <c r="L986" t="inlineStr">
        <is>
          <t>05 94 34 34 94</t>
        </is>
      </c>
      <c r="M986" s="4" t="inlineStr">
        <is>
          <t>info@ouestguyane.fr</t>
        </is>
      </c>
      <c r="N986" s="4" t="inlineStr">
        <is>
          <t>https://ouestguyane.fr/</t>
        </is>
      </c>
      <c r="O986" s="4" t="inlineStr">
        <is>
          <t>https://ouestguyane.fr/</t>
        </is>
      </c>
      <c r="P986" s="4" t="inlineStr">
        <is>
          <t>https://lannuaire.service-public.gouv.fr/guyane/guyane/65254aa3-d0b2-40a7-a730-62896efa351e</t>
        </is>
      </c>
      <c r="Q986" t="inlineStr">
        <is>
          <t>Annuaire Service-public.fr</t>
        </is>
      </c>
      <c r="R986" t="inlineStr"/>
      <c r="S986" t="inlineStr"/>
      <c r="T986" t="inlineStr"/>
    </row>
    <row r="987">
      <c r="A987" t="inlineStr">
        <is>
          <t>CC des Savanes</t>
        </is>
      </c>
      <c r="B987" t="inlineStr">
        <is>
          <t>Communauté de communes</t>
        </is>
      </c>
      <c r="C987" t="inlineStr">
        <is>
          <t>200027548</t>
        </is>
      </c>
      <c r="D987" t="inlineStr">
        <is>
          <t>973</t>
        </is>
      </c>
      <c r="E987" t="inlineStr">
        <is>
          <t>Guyane</t>
        </is>
      </c>
      <c r="F987" t="inlineStr">
        <is>
          <t>Guyane</t>
        </is>
      </c>
      <c r="G987" s="3" t="n">
        <v>29113</v>
      </c>
      <c r="H987" t="n">
        <v>4</v>
      </c>
      <c r="I987" t="inlineStr">
        <is>
          <t>1 rue Raymond-Cresson, Quartier Cabalou</t>
        </is>
      </c>
      <c r="J987" t="inlineStr">
        <is>
          <t>97310</t>
        </is>
      </c>
      <c r="K987" t="inlineStr">
        <is>
          <t>Kourou</t>
        </is>
      </c>
      <c r="L987" t="inlineStr">
        <is>
          <t>05 94 22 00 17</t>
        </is>
      </c>
      <c r="M987" s="4" t="inlineStr">
        <is>
          <t>info@ccdsguyane.fr</t>
        </is>
      </c>
      <c r="N987" s="4" t="inlineStr">
        <is>
          <t>https://www.ccdsguyane.fr/</t>
        </is>
      </c>
      <c r="O987" s="4" t="inlineStr">
        <is>
          <t>https://www.ccdsguyane.fr/contact/</t>
        </is>
      </c>
      <c r="P987" s="4" t="inlineStr">
        <is>
          <t>https://lannuaire.service-public.gouv.fr/guyane/guyane/5bc85fe4-648e-4baf-8480-8ad0f3e9cca6</t>
        </is>
      </c>
      <c r="Q987" t="inlineStr">
        <is>
          <t>Annuaire Service-public.fr</t>
        </is>
      </c>
      <c r="R987" t="inlineStr"/>
      <c r="S987" t="inlineStr"/>
      <c r="T987" t="inlineStr"/>
    </row>
    <row r="988">
      <c r="A988" t="inlineStr">
        <is>
          <t>CC de Petite-Terre</t>
        </is>
      </c>
      <c r="B988" t="inlineStr">
        <is>
          <t>Communauté de communes</t>
        </is>
      </c>
      <c r="C988" t="inlineStr">
        <is>
          <t>200050532</t>
        </is>
      </c>
      <c r="D988" t="inlineStr">
        <is>
          <t>976</t>
        </is>
      </c>
      <c r="E988" t="inlineStr">
        <is>
          <t>Mayotte</t>
        </is>
      </c>
      <c r="F988" t="inlineStr">
        <is>
          <t>Mayotte</t>
        </is>
      </c>
      <c r="G988" s="3" t="n">
        <v>29273</v>
      </c>
      <c r="H988" t="n">
        <v>2</v>
      </c>
      <c r="I988" t="inlineStr">
        <is>
          <t>rue PPF, BP 55</t>
        </is>
      </c>
      <c r="J988" t="inlineStr">
        <is>
          <t>97615</t>
        </is>
      </c>
      <c r="K988" t="inlineStr">
        <is>
          <t>Pamandzi</t>
        </is>
      </c>
      <c r="L988" t="inlineStr">
        <is>
          <t>02 62 60 12 82</t>
        </is>
      </c>
      <c r="M988" t="inlineStr"/>
      <c r="N988" t="inlineStr"/>
      <c r="O988" t="inlineStr"/>
      <c r="P988" s="4" t="inlineStr">
        <is>
          <t>https://lannuaire.service-public.gouv.fr/mayotte/mayotte/60c3433e-1338-4695-8d95-1e417818039e</t>
        </is>
      </c>
      <c r="Q988" t="inlineStr">
        <is>
          <t>Annuaire Service-public.fr</t>
        </is>
      </c>
      <c r="R988" t="inlineStr"/>
      <c r="S988" t="inlineStr"/>
      <c r="T988" t="inlineStr"/>
    </row>
    <row r="989">
      <c r="A989" t="inlineStr">
        <is>
          <t>CC du Centre-Ouest</t>
        </is>
      </c>
      <c r="B989" t="inlineStr">
        <is>
          <t>Communauté de communes</t>
        </is>
      </c>
      <c r="C989" t="inlineStr">
        <is>
          <t>200059871</t>
        </is>
      </c>
      <c r="D989" t="inlineStr">
        <is>
          <t>976</t>
        </is>
      </c>
      <c r="E989" t="inlineStr">
        <is>
          <t>Mayotte</t>
        </is>
      </c>
      <c r="F989" t="inlineStr">
        <is>
          <t>Mayotte</t>
        </is>
      </c>
      <c r="G989" s="3" t="n">
        <v>50020</v>
      </c>
      <c r="H989" t="n">
        <v>5</v>
      </c>
      <c r="I989" t="inlineStr">
        <is>
          <t>1444 avenue Zoubert-Adinani, Mroalé</t>
        </is>
      </c>
      <c r="J989" t="inlineStr">
        <is>
          <t>97680</t>
        </is>
      </c>
      <c r="K989" t="inlineStr">
        <is>
          <t>Tsingoni</t>
        </is>
      </c>
      <c r="L989" t="inlineStr">
        <is>
          <t>02 69 63 76 76</t>
        </is>
      </c>
      <c r="M989" s="4" t="inlineStr">
        <is>
          <t>accueil@3co-mayotte.fr</t>
        </is>
      </c>
      <c r="N989" s="4" t="inlineStr">
        <is>
          <t>https://www.3co-mayotte.fr</t>
        </is>
      </c>
      <c r="O989" s="4" t="inlineStr">
        <is>
          <t>https://www.3co-mayotte.fr/contacts/</t>
        </is>
      </c>
      <c r="P989" s="4" t="inlineStr">
        <is>
          <t>https://lannuaire.service-public.gouv.fr/mayotte/mayotte/4d2e62b6-b02f-4ab1-963f-6d10f896f187</t>
        </is>
      </c>
      <c r="Q989" t="inlineStr">
        <is>
          <t>Annuaire Service-public.fr</t>
        </is>
      </c>
      <c r="R989" t="inlineStr"/>
      <c r="S989" t="inlineStr"/>
      <c r="T989" t="inlineStr"/>
    </row>
    <row r="990">
      <c r="A990" t="inlineStr">
        <is>
          <t>CC du Sud</t>
        </is>
      </c>
      <c r="B990" t="inlineStr">
        <is>
          <t>Communauté de communes</t>
        </is>
      </c>
      <c r="C990" t="inlineStr">
        <is>
          <t>200060473</t>
        </is>
      </c>
      <c r="D990" t="inlineStr">
        <is>
          <t>976</t>
        </is>
      </c>
      <c r="E990" t="inlineStr">
        <is>
          <t>Mayotte</t>
        </is>
      </c>
      <c r="F990" t="inlineStr">
        <is>
          <t>Mayotte</t>
        </is>
      </c>
      <c r="G990" s="3" t="n">
        <v>30898</v>
      </c>
      <c r="H990" t="n">
        <v>4</v>
      </c>
      <c r="I990" t="inlineStr">
        <is>
          <t>Ancienne mairie de Bandrélé</t>
        </is>
      </c>
      <c r="J990" t="inlineStr">
        <is>
          <t>97660</t>
        </is>
      </c>
      <c r="K990" t="inlineStr">
        <is>
          <t>Bandrélé</t>
        </is>
      </c>
      <c r="L990" t="inlineStr">
        <is>
          <t>02 69 62 27 44</t>
        </is>
      </c>
      <c r="M990" s="4" t="inlineStr">
        <is>
          <t>contact@ccsud.yt</t>
        </is>
      </c>
      <c r="N990" t="inlineStr"/>
      <c r="O990" t="inlineStr"/>
      <c r="P990" s="4" t="inlineStr">
        <is>
          <t>https://lannuaire.service-public.gouv.fr/mayotte/mayotte/ed3cd2df-ee8e-4651-b809-6795ac6b3fe9</t>
        </is>
      </c>
      <c r="Q990" t="inlineStr">
        <is>
          <t>Annuaire Service-public.fr</t>
        </is>
      </c>
      <c r="R990" t="inlineStr"/>
      <c r="S990" t="inlineStr"/>
      <c r="T990" t="inlineStr"/>
    </row>
  </sheetData>
  <autoFilter ref="A1:T990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M3" r:id="rId5"/>
    <hyperlink xmlns:r="http://schemas.openxmlformats.org/officeDocument/2006/relationships" ref="N3" r:id="rId6"/>
    <hyperlink xmlns:r="http://schemas.openxmlformats.org/officeDocument/2006/relationships" ref="O3" r:id="rId7"/>
    <hyperlink xmlns:r="http://schemas.openxmlformats.org/officeDocument/2006/relationships" ref="P3" r:id="rId8"/>
    <hyperlink xmlns:r="http://schemas.openxmlformats.org/officeDocument/2006/relationships" ref="M4" r:id="rId9"/>
    <hyperlink xmlns:r="http://schemas.openxmlformats.org/officeDocument/2006/relationships" ref="N4" r:id="rId10"/>
    <hyperlink xmlns:r="http://schemas.openxmlformats.org/officeDocument/2006/relationships" ref="P4" r:id="rId11"/>
    <hyperlink xmlns:r="http://schemas.openxmlformats.org/officeDocument/2006/relationships" ref="M5" r:id="rId12"/>
    <hyperlink xmlns:r="http://schemas.openxmlformats.org/officeDocument/2006/relationships" ref="N5" r:id="rId13"/>
    <hyperlink xmlns:r="http://schemas.openxmlformats.org/officeDocument/2006/relationships" ref="O5" r:id="rId14"/>
    <hyperlink xmlns:r="http://schemas.openxmlformats.org/officeDocument/2006/relationships" ref="P5" r:id="rId15"/>
    <hyperlink xmlns:r="http://schemas.openxmlformats.org/officeDocument/2006/relationships" ref="M6" r:id="rId16"/>
    <hyperlink xmlns:r="http://schemas.openxmlformats.org/officeDocument/2006/relationships" ref="N6" r:id="rId17"/>
    <hyperlink xmlns:r="http://schemas.openxmlformats.org/officeDocument/2006/relationships" ref="P6" r:id="rId18"/>
    <hyperlink xmlns:r="http://schemas.openxmlformats.org/officeDocument/2006/relationships" ref="M7" r:id="rId19"/>
    <hyperlink xmlns:r="http://schemas.openxmlformats.org/officeDocument/2006/relationships" ref="N7" r:id="rId20"/>
    <hyperlink xmlns:r="http://schemas.openxmlformats.org/officeDocument/2006/relationships" ref="P7" r:id="rId21"/>
    <hyperlink xmlns:r="http://schemas.openxmlformats.org/officeDocument/2006/relationships" ref="M8" r:id="rId22"/>
    <hyperlink xmlns:r="http://schemas.openxmlformats.org/officeDocument/2006/relationships" ref="N8" r:id="rId23"/>
    <hyperlink xmlns:r="http://schemas.openxmlformats.org/officeDocument/2006/relationships" ref="P8" r:id="rId24"/>
    <hyperlink xmlns:r="http://schemas.openxmlformats.org/officeDocument/2006/relationships" ref="M9" r:id="rId25"/>
    <hyperlink xmlns:r="http://schemas.openxmlformats.org/officeDocument/2006/relationships" ref="N9" r:id="rId26"/>
    <hyperlink xmlns:r="http://schemas.openxmlformats.org/officeDocument/2006/relationships" ref="P9" r:id="rId27"/>
    <hyperlink xmlns:r="http://schemas.openxmlformats.org/officeDocument/2006/relationships" ref="M10" r:id="rId28"/>
    <hyperlink xmlns:r="http://schemas.openxmlformats.org/officeDocument/2006/relationships" ref="N10" r:id="rId29"/>
    <hyperlink xmlns:r="http://schemas.openxmlformats.org/officeDocument/2006/relationships" ref="P10" r:id="rId30"/>
    <hyperlink xmlns:r="http://schemas.openxmlformats.org/officeDocument/2006/relationships" ref="M11" r:id="rId31"/>
    <hyperlink xmlns:r="http://schemas.openxmlformats.org/officeDocument/2006/relationships" ref="N11" r:id="rId32"/>
    <hyperlink xmlns:r="http://schemas.openxmlformats.org/officeDocument/2006/relationships" ref="O11" r:id="rId33"/>
    <hyperlink xmlns:r="http://schemas.openxmlformats.org/officeDocument/2006/relationships" ref="P11" r:id="rId34"/>
    <hyperlink xmlns:r="http://schemas.openxmlformats.org/officeDocument/2006/relationships" ref="M12" r:id="rId35"/>
    <hyperlink xmlns:r="http://schemas.openxmlformats.org/officeDocument/2006/relationships" ref="N12" r:id="rId36"/>
    <hyperlink xmlns:r="http://schemas.openxmlformats.org/officeDocument/2006/relationships" ref="O12" r:id="rId37"/>
    <hyperlink xmlns:r="http://schemas.openxmlformats.org/officeDocument/2006/relationships" ref="P12" r:id="rId38"/>
    <hyperlink xmlns:r="http://schemas.openxmlformats.org/officeDocument/2006/relationships" ref="M13" r:id="rId39"/>
    <hyperlink xmlns:r="http://schemas.openxmlformats.org/officeDocument/2006/relationships" ref="N13" r:id="rId40"/>
    <hyperlink xmlns:r="http://schemas.openxmlformats.org/officeDocument/2006/relationships" ref="P13" r:id="rId41"/>
    <hyperlink xmlns:r="http://schemas.openxmlformats.org/officeDocument/2006/relationships" ref="M14" r:id="rId42"/>
    <hyperlink xmlns:r="http://schemas.openxmlformats.org/officeDocument/2006/relationships" ref="N14" r:id="rId43"/>
    <hyperlink xmlns:r="http://schemas.openxmlformats.org/officeDocument/2006/relationships" ref="P14" r:id="rId44"/>
    <hyperlink xmlns:r="http://schemas.openxmlformats.org/officeDocument/2006/relationships" ref="M15" r:id="rId45"/>
    <hyperlink xmlns:r="http://schemas.openxmlformats.org/officeDocument/2006/relationships" ref="N15" r:id="rId46"/>
    <hyperlink xmlns:r="http://schemas.openxmlformats.org/officeDocument/2006/relationships" ref="O15" r:id="rId47"/>
    <hyperlink xmlns:r="http://schemas.openxmlformats.org/officeDocument/2006/relationships" ref="P15" r:id="rId48"/>
    <hyperlink xmlns:r="http://schemas.openxmlformats.org/officeDocument/2006/relationships" ref="M16" r:id="rId49"/>
    <hyperlink xmlns:r="http://schemas.openxmlformats.org/officeDocument/2006/relationships" ref="N16" r:id="rId50"/>
    <hyperlink xmlns:r="http://schemas.openxmlformats.org/officeDocument/2006/relationships" ref="O16" r:id="rId51"/>
    <hyperlink xmlns:r="http://schemas.openxmlformats.org/officeDocument/2006/relationships" ref="P16" r:id="rId52"/>
    <hyperlink xmlns:r="http://schemas.openxmlformats.org/officeDocument/2006/relationships" ref="M17" r:id="rId53"/>
    <hyperlink xmlns:r="http://schemas.openxmlformats.org/officeDocument/2006/relationships" ref="N17" r:id="rId54"/>
    <hyperlink xmlns:r="http://schemas.openxmlformats.org/officeDocument/2006/relationships" ref="P17" r:id="rId55"/>
    <hyperlink xmlns:r="http://schemas.openxmlformats.org/officeDocument/2006/relationships" ref="M18" r:id="rId56"/>
    <hyperlink xmlns:r="http://schemas.openxmlformats.org/officeDocument/2006/relationships" ref="N18" r:id="rId57"/>
    <hyperlink xmlns:r="http://schemas.openxmlformats.org/officeDocument/2006/relationships" ref="O18" r:id="rId58"/>
    <hyperlink xmlns:r="http://schemas.openxmlformats.org/officeDocument/2006/relationships" ref="P18" r:id="rId59"/>
    <hyperlink xmlns:r="http://schemas.openxmlformats.org/officeDocument/2006/relationships" ref="M19" r:id="rId60"/>
    <hyperlink xmlns:r="http://schemas.openxmlformats.org/officeDocument/2006/relationships" ref="P19" r:id="rId61"/>
    <hyperlink xmlns:r="http://schemas.openxmlformats.org/officeDocument/2006/relationships" ref="M20" r:id="rId62"/>
    <hyperlink xmlns:r="http://schemas.openxmlformats.org/officeDocument/2006/relationships" ref="N20" r:id="rId63"/>
    <hyperlink xmlns:r="http://schemas.openxmlformats.org/officeDocument/2006/relationships" ref="O20" r:id="rId64"/>
    <hyperlink xmlns:r="http://schemas.openxmlformats.org/officeDocument/2006/relationships" ref="P20" r:id="rId65"/>
    <hyperlink xmlns:r="http://schemas.openxmlformats.org/officeDocument/2006/relationships" ref="M21" r:id="rId66"/>
    <hyperlink xmlns:r="http://schemas.openxmlformats.org/officeDocument/2006/relationships" ref="N21" r:id="rId67"/>
    <hyperlink xmlns:r="http://schemas.openxmlformats.org/officeDocument/2006/relationships" ref="O21" r:id="rId68"/>
    <hyperlink xmlns:r="http://schemas.openxmlformats.org/officeDocument/2006/relationships" ref="P21" r:id="rId69"/>
    <hyperlink xmlns:r="http://schemas.openxmlformats.org/officeDocument/2006/relationships" ref="M22" r:id="rId70"/>
    <hyperlink xmlns:r="http://schemas.openxmlformats.org/officeDocument/2006/relationships" ref="N22" r:id="rId71"/>
    <hyperlink xmlns:r="http://schemas.openxmlformats.org/officeDocument/2006/relationships" ref="O22" r:id="rId72"/>
    <hyperlink xmlns:r="http://schemas.openxmlformats.org/officeDocument/2006/relationships" ref="P22" r:id="rId73"/>
    <hyperlink xmlns:r="http://schemas.openxmlformats.org/officeDocument/2006/relationships" ref="M23" r:id="rId74"/>
    <hyperlink xmlns:r="http://schemas.openxmlformats.org/officeDocument/2006/relationships" ref="N23" r:id="rId75"/>
    <hyperlink xmlns:r="http://schemas.openxmlformats.org/officeDocument/2006/relationships" ref="P23" r:id="rId76"/>
    <hyperlink xmlns:r="http://schemas.openxmlformats.org/officeDocument/2006/relationships" ref="M24" r:id="rId77"/>
    <hyperlink xmlns:r="http://schemas.openxmlformats.org/officeDocument/2006/relationships" ref="N24" r:id="rId78"/>
    <hyperlink xmlns:r="http://schemas.openxmlformats.org/officeDocument/2006/relationships" ref="O24" r:id="rId79"/>
    <hyperlink xmlns:r="http://schemas.openxmlformats.org/officeDocument/2006/relationships" ref="P24" r:id="rId80"/>
    <hyperlink xmlns:r="http://schemas.openxmlformats.org/officeDocument/2006/relationships" ref="M25" r:id="rId81"/>
    <hyperlink xmlns:r="http://schemas.openxmlformats.org/officeDocument/2006/relationships" ref="N25" r:id="rId82"/>
    <hyperlink xmlns:r="http://schemas.openxmlformats.org/officeDocument/2006/relationships" ref="O25" r:id="rId83"/>
    <hyperlink xmlns:r="http://schemas.openxmlformats.org/officeDocument/2006/relationships" ref="P25" r:id="rId84"/>
    <hyperlink xmlns:r="http://schemas.openxmlformats.org/officeDocument/2006/relationships" ref="M26" r:id="rId85"/>
    <hyperlink xmlns:r="http://schemas.openxmlformats.org/officeDocument/2006/relationships" ref="N26" r:id="rId86"/>
    <hyperlink xmlns:r="http://schemas.openxmlformats.org/officeDocument/2006/relationships" ref="O26" r:id="rId87"/>
    <hyperlink xmlns:r="http://schemas.openxmlformats.org/officeDocument/2006/relationships" ref="P26" r:id="rId88"/>
    <hyperlink xmlns:r="http://schemas.openxmlformats.org/officeDocument/2006/relationships" ref="M27" r:id="rId89"/>
    <hyperlink xmlns:r="http://schemas.openxmlformats.org/officeDocument/2006/relationships" ref="N27" r:id="rId90"/>
    <hyperlink xmlns:r="http://schemas.openxmlformats.org/officeDocument/2006/relationships" ref="P27" r:id="rId91"/>
    <hyperlink xmlns:r="http://schemas.openxmlformats.org/officeDocument/2006/relationships" ref="M28" r:id="rId92"/>
    <hyperlink xmlns:r="http://schemas.openxmlformats.org/officeDocument/2006/relationships" ref="N28" r:id="rId93"/>
    <hyperlink xmlns:r="http://schemas.openxmlformats.org/officeDocument/2006/relationships" ref="P28" r:id="rId94"/>
    <hyperlink xmlns:r="http://schemas.openxmlformats.org/officeDocument/2006/relationships" ref="M29" r:id="rId95"/>
    <hyperlink xmlns:r="http://schemas.openxmlformats.org/officeDocument/2006/relationships" ref="N29" r:id="rId96"/>
    <hyperlink xmlns:r="http://schemas.openxmlformats.org/officeDocument/2006/relationships" ref="P29" r:id="rId97"/>
    <hyperlink xmlns:r="http://schemas.openxmlformats.org/officeDocument/2006/relationships" ref="M30" r:id="rId98"/>
    <hyperlink xmlns:r="http://schemas.openxmlformats.org/officeDocument/2006/relationships" ref="N30" r:id="rId99"/>
    <hyperlink xmlns:r="http://schemas.openxmlformats.org/officeDocument/2006/relationships" ref="O30" r:id="rId100"/>
    <hyperlink xmlns:r="http://schemas.openxmlformats.org/officeDocument/2006/relationships" ref="P30" r:id="rId101"/>
    <hyperlink xmlns:r="http://schemas.openxmlformats.org/officeDocument/2006/relationships" ref="M31" r:id="rId102"/>
    <hyperlink xmlns:r="http://schemas.openxmlformats.org/officeDocument/2006/relationships" ref="N31" r:id="rId103"/>
    <hyperlink xmlns:r="http://schemas.openxmlformats.org/officeDocument/2006/relationships" ref="O31" r:id="rId104"/>
    <hyperlink xmlns:r="http://schemas.openxmlformats.org/officeDocument/2006/relationships" ref="P31" r:id="rId105"/>
    <hyperlink xmlns:r="http://schemas.openxmlformats.org/officeDocument/2006/relationships" ref="M32" r:id="rId106"/>
    <hyperlink xmlns:r="http://schemas.openxmlformats.org/officeDocument/2006/relationships" ref="N32" r:id="rId107"/>
    <hyperlink xmlns:r="http://schemas.openxmlformats.org/officeDocument/2006/relationships" ref="O32" r:id="rId108"/>
    <hyperlink xmlns:r="http://schemas.openxmlformats.org/officeDocument/2006/relationships" ref="P32" r:id="rId109"/>
    <hyperlink xmlns:r="http://schemas.openxmlformats.org/officeDocument/2006/relationships" ref="M33" r:id="rId110"/>
    <hyperlink xmlns:r="http://schemas.openxmlformats.org/officeDocument/2006/relationships" ref="N33" r:id="rId111"/>
    <hyperlink xmlns:r="http://schemas.openxmlformats.org/officeDocument/2006/relationships" ref="O33" r:id="rId112"/>
    <hyperlink xmlns:r="http://schemas.openxmlformats.org/officeDocument/2006/relationships" ref="P33" r:id="rId113"/>
    <hyperlink xmlns:r="http://schemas.openxmlformats.org/officeDocument/2006/relationships" ref="M34" r:id="rId114"/>
    <hyperlink xmlns:r="http://schemas.openxmlformats.org/officeDocument/2006/relationships" ref="N34" r:id="rId115"/>
    <hyperlink xmlns:r="http://schemas.openxmlformats.org/officeDocument/2006/relationships" ref="O34" r:id="rId116"/>
    <hyperlink xmlns:r="http://schemas.openxmlformats.org/officeDocument/2006/relationships" ref="P34" r:id="rId117"/>
    <hyperlink xmlns:r="http://schemas.openxmlformats.org/officeDocument/2006/relationships" ref="M35" r:id="rId118"/>
    <hyperlink xmlns:r="http://schemas.openxmlformats.org/officeDocument/2006/relationships" ref="N35" r:id="rId119"/>
    <hyperlink xmlns:r="http://schemas.openxmlformats.org/officeDocument/2006/relationships" ref="O35" r:id="rId120"/>
    <hyperlink xmlns:r="http://schemas.openxmlformats.org/officeDocument/2006/relationships" ref="P35" r:id="rId121"/>
    <hyperlink xmlns:r="http://schemas.openxmlformats.org/officeDocument/2006/relationships" ref="M36" r:id="rId122"/>
    <hyperlink xmlns:r="http://schemas.openxmlformats.org/officeDocument/2006/relationships" ref="N36" r:id="rId123"/>
    <hyperlink xmlns:r="http://schemas.openxmlformats.org/officeDocument/2006/relationships" ref="O36" r:id="rId124"/>
    <hyperlink xmlns:r="http://schemas.openxmlformats.org/officeDocument/2006/relationships" ref="P36" r:id="rId125"/>
    <hyperlink xmlns:r="http://schemas.openxmlformats.org/officeDocument/2006/relationships" ref="M37" r:id="rId126"/>
    <hyperlink xmlns:r="http://schemas.openxmlformats.org/officeDocument/2006/relationships" ref="N37" r:id="rId127"/>
    <hyperlink xmlns:r="http://schemas.openxmlformats.org/officeDocument/2006/relationships" ref="O37" r:id="rId128"/>
    <hyperlink xmlns:r="http://schemas.openxmlformats.org/officeDocument/2006/relationships" ref="P37" r:id="rId129"/>
    <hyperlink xmlns:r="http://schemas.openxmlformats.org/officeDocument/2006/relationships" ref="M38" r:id="rId130"/>
    <hyperlink xmlns:r="http://schemas.openxmlformats.org/officeDocument/2006/relationships" ref="N38" r:id="rId131"/>
    <hyperlink xmlns:r="http://schemas.openxmlformats.org/officeDocument/2006/relationships" ref="O38" r:id="rId132"/>
    <hyperlink xmlns:r="http://schemas.openxmlformats.org/officeDocument/2006/relationships" ref="P38" r:id="rId133"/>
    <hyperlink xmlns:r="http://schemas.openxmlformats.org/officeDocument/2006/relationships" ref="M39" r:id="rId134"/>
    <hyperlink xmlns:r="http://schemas.openxmlformats.org/officeDocument/2006/relationships" ref="N39" r:id="rId135"/>
    <hyperlink xmlns:r="http://schemas.openxmlformats.org/officeDocument/2006/relationships" ref="O39" r:id="rId136"/>
    <hyperlink xmlns:r="http://schemas.openxmlformats.org/officeDocument/2006/relationships" ref="P39" r:id="rId137"/>
    <hyperlink xmlns:r="http://schemas.openxmlformats.org/officeDocument/2006/relationships" ref="M40" r:id="rId138"/>
    <hyperlink xmlns:r="http://schemas.openxmlformats.org/officeDocument/2006/relationships" ref="N40" r:id="rId139"/>
    <hyperlink xmlns:r="http://schemas.openxmlformats.org/officeDocument/2006/relationships" ref="P40" r:id="rId140"/>
    <hyperlink xmlns:r="http://schemas.openxmlformats.org/officeDocument/2006/relationships" ref="M41" r:id="rId141"/>
    <hyperlink xmlns:r="http://schemas.openxmlformats.org/officeDocument/2006/relationships" ref="N41" r:id="rId142"/>
    <hyperlink xmlns:r="http://schemas.openxmlformats.org/officeDocument/2006/relationships" ref="O41" r:id="rId143"/>
    <hyperlink xmlns:r="http://schemas.openxmlformats.org/officeDocument/2006/relationships" ref="P41" r:id="rId144"/>
    <hyperlink xmlns:r="http://schemas.openxmlformats.org/officeDocument/2006/relationships" ref="M42" r:id="rId145"/>
    <hyperlink xmlns:r="http://schemas.openxmlformats.org/officeDocument/2006/relationships" ref="N42" r:id="rId146"/>
    <hyperlink xmlns:r="http://schemas.openxmlformats.org/officeDocument/2006/relationships" ref="O42" r:id="rId147"/>
    <hyperlink xmlns:r="http://schemas.openxmlformats.org/officeDocument/2006/relationships" ref="P42" r:id="rId148"/>
    <hyperlink xmlns:r="http://schemas.openxmlformats.org/officeDocument/2006/relationships" ref="M43" r:id="rId149"/>
    <hyperlink xmlns:r="http://schemas.openxmlformats.org/officeDocument/2006/relationships" ref="N43" r:id="rId150"/>
    <hyperlink xmlns:r="http://schemas.openxmlformats.org/officeDocument/2006/relationships" ref="O43" r:id="rId151"/>
    <hyperlink xmlns:r="http://schemas.openxmlformats.org/officeDocument/2006/relationships" ref="P43" r:id="rId152"/>
    <hyperlink xmlns:r="http://schemas.openxmlformats.org/officeDocument/2006/relationships" ref="M44" r:id="rId153"/>
    <hyperlink xmlns:r="http://schemas.openxmlformats.org/officeDocument/2006/relationships" ref="N44" r:id="rId154"/>
    <hyperlink xmlns:r="http://schemas.openxmlformats.org/officeDocument/2006/relationships" ref="O44" r:id="rId155"/>
    <hyperlink xmlns:r="http://schemas.openxmlformats.org/officeDocument/2006/relationships" ref="P44" r:id="rId156"/>
    <hyperlink xmlns:r="http://schemas.openxmlformats.org/officeDocument/2006/relationships" ref="M45" r:id="rId157"/>
    <hyperlink xmlns:r="http://schemas.openxmlformats.org/officeDocument/2006/relationships" ref="N45" r:id="rId158"/>
    <hyperlink xmlns:r="http://schemas.openxmlformats.org/officeDocument/2006/relationships" ref="O45" r:id="rId159"/>
    <hyperlink xmlns:r="http://schemas.openxmlformats.org/officeDocument/2006/relationships" ref="P45" r:id="rId160"/>
    <hyperlink xmlns:r="http://schemas.openxmlformats.org/officeDocument/2006/relationships" ref="M46" r:id="rId161"/>
    <hyperlink xmlns:r="http://schemas.openxmlformats.org/officeDocument/2006/relationships" ref="N46" r:id="rId162"/>
    <hyperlink xmlns:r="http://schemas.openxmlformats.org/officeDocument/2006/relationships" ref="O46" r:id="rId163"/>
    <hyperlink xmlns:r="http://schemas.openxmlformats.org/officeDocument/2006/relationships" ref="P46" r:id="rId164"/>
    <hyperlink xmlns:r="http://schemas.openxmlformats.org/officeDocument/2006/relationships" ref="M47" r:id="rId165"/>
    <hyperlink xmlns:r="http://schemas.openxmlformats.org/officeDocument/2006/relationships" ref="N47" r:id="rId166"/>
    <hyperlink xmlns:r="http://schemas.openxmlformats.org/officeDocument/2006/relationships" ref="O47" r:id="rId167"/>
    <hyperlink xmlns:r="http://schemas.openxmlformats.org/officeDocument/2006/relationships" ref="P47" r:id="rId168"/>
    <hyperlink xmlns:r="http://schemas.openxmlformats.org/officeDocument/2006/relationships" ref="M48" r:id="rId169"/>
    <hyperlink xmlns:r="http://schemas.openxmlformats.org/officeDocument/2006/relationships" ref="N48" r:id="rId170"/>
    <hyperlink xmlns:r="http://schemas.openxmlformats.org/officeDocument/2006/relationships" ref="O48" r:id="rId171"/>
    <hyperlink xmlns:r="http://schemas.openxmlformats.org/officeDocument/2006/relationships" ref="P48" r:id="rId172"/>
    <hyperlink xmlns:r="http://schemas.openxmlformats.org/officeDocument/2006/relationships" ref="M49" r:id="rId173"/>
    <hyperlink xmlns:r="http://schemas.openxmlformats.org/officeDocument/2006/relationships" ref="N49" r:id="rId174"/>
    <hyperlink xmlns:r="http://schemas.openxmlformats.org/officeDocument/2006/relationships" ref="O49" r:id="rId175"/>
    <hyperlink xmlns:r="http://schemas.openxmlformats.org/officeDocument/2006/relationships" ref="P49" r:id="rId176"/>
    <hyperlink xmlns:r="http://schemas.openxmlformats.org/officeDocument/2006/relationships" ref="M50" r:id="rId177"/>
    <hyperlink xmlns:r="http://schemas.openxmlformats.org/officeDocument/2006/relationships" ref="N50" r:id="rId178"/>
    <hyperlink xmlns:r="http://schemas.openxmlformats.org/officeDocument/2006/relationships" ref="O50" r:id="rId179"/>
    <hyperlink xmlns:r="http://schemas.openxmlformats.org/officeDocument/2006/relationships" ref="P50" r:id="rId180"/>
    <hyperlink xmlns:r="http://schemas.openxmlformats.org/officeDocument/2006/relationships" ref="M51" r:id="rId181"/>
    <hyperlink xmlns:r="http://schemas.openxmlformats.org/officeDocument/2006/relationships" ref="N51" r:id="rId182"/>
    <hyperlink xmlns:r="http://schemas.openxmlformats.org/officeDocument/2006/relationships" ref="O51" r:id="rId183"/>
    <hyperlink xmlns:r="http://schemas.openxmlformats.org/officeDocument/2006/relationships" ref="P51" r:id="rId184"/>
    <hyperlink xmlns:r="http://schemas.openxmlformats.org/officeDocument/2006/relationships" ref="M52" r:id="rId185"/>
    <hyperlink xmlns:r="http://schemas.openxmlformats.org/officeDocument/2006/relationships" ref="P52" r:id="rId186"/>
    <hyperlink xmlns:r="http://schemas.openxmlformats.org/officeDocument/2006/relationships" ref="M53" r:id="rId187"/>
    <hyperlink xmlns:r="http://schemas.openxmlformats.org/officeDocument/2006/relationships" ref="N53" r:id="rId188"/>
    <hyperlink xmlns:r="http://schemas.openxmlformats.org/officeDocument/2006/relationships" ref="P53" r:id="rId189"/>
    <hyperlink xmlns:r="http://schemas.openxmlformats.org/officeDocument/2006/relationships" ref="M54" r:id="rId190"/>
    <hyperlink xmlns:r="http://schemas.openxmlformats.org/officeDocument/2006/relationships" ref="N54" r:id="rId191"/>
    <hyperlink xmlns:r="http://schemas.openxmlformats.org/officeDocument/2006/relationships" ref="O54" r:id="rId192"/>
    <hyperlink xmlns:r="http://schemas.openxmlformats.org/officeDocument/2006/relationships" ref="P54" r:id="rId193"/>
    <hyperlink xmlns:r="http://schemas.openxmlformats.org/officeDocument/2006/relationships" ref="M55" r:id="rId194"/>
    <hyperlink xmlns:r="http://schemas.openxmlformats.org/officeDocument/2006/relationships" ref="N55" r:id="rId195"/>
    <hyperlink xmlns:r="http://schemas.openxmlformats.org/officeDocument/2006/relationships" ref="P55" r:id="rId196"/>
    <hyperlink xmlns:r="http://schemas.openxmlformats.org/officeDocument/2006/relationships" ref="M56" r:id="rId197"/>
    <hyperlink xmlns:r="http://schemas.openxmlformats.org/officeDocument/2006/relationships" ref="N56" r:id="rId198"/>
    <hyperlink xmlns:r="http://schemas.openxmlformats.org/officeDocument/2006/relationships" ref="O56" r:id="rId199"/>
    <hyperlink xmlns:r="http://schemas.openxmlformats.org/officeDocument/2006/relationships" ref="P56" r:id="rId200"/>
    <hyperlink xmlns:r="http://schemas.openxmlformats.org/officeDocument/2006/relationships" ref="M57" r:id="rId201"/>
    <hyperlink xmlns:r="http://schemas.openxmlformats.org/officeDocument/2006/relationships" ref="N57" r:id="rId202"/>
    <hyperlink xmlns:r="http://schemas.openxmlformats.org/officeDocument/2006/relationships" ref="O57" r:id="rId203"/>
    <hyperlink xmlns:r="http://schemas.openxmlformats.org/officeDocument/2006/relationships" ref="P57" r:id="rId204"/>
    <hyperlink xmlns:r="http://schemas.openxmlformats.org/officeDocument/2006/relationships" ref="M58" r:id="rId205"/>
    <hyperlink xmlns:r="http://schemas.openxmlformats.org/officeDocument/2006/relationships" ref="N58" r:id="rId206"/>
    <hyperlink xmlns:r="http://schemas.openxmlformats.org/officeDocument/2006/relationships" ref="O58" r:id="rId207"/>
    <hyperlink xmlns:r="http://schemas.openxmlformats.org/officeDocument/2006/relationships" ref="P58" r:id="rId208"/>
    <hyperlink xmlns:r="http://schemas.openxmlformats.org/officeDocument/2006/relationships" ref="M59" r:id="rId209"/>
    <hyperlink xmlns:r="http://schemas.openxmlformats.org/officeDocument/2006/relationships" ref="N59" r:id="rId210"/>
    <hyperlink xmlns:r="http://schemas.openxmlformats.org/officeDocument/2006/relationships" ref="O59" r:id="rId211"/>
    <hyperlink xmlns:r="http://schemas.openxmlformats.org/officeDocument/2006/relationships" ref="P59" r:id="rId212"/>
    <hyperlink xmlns:r="http://schemas.openxmlformats.org/officeDocument/2006/relationships" ref="M60" r:id="rId213"/>
    <hyperlink xmlns:r="http://schemas.openxmlformats.org/officeDocument/2006/relationships" ref="N60" r:id="rId214"/>
    <hyperlink xmlns:r="http://schemas.openxmlformats.org/officeDocument/2006/relationships" ref="P60" r:id="rId215"/>
    <hyperlink xmlns:r="http://schemas.openxmlformats.org/officeDocument/2006/relationships" ref="M61" r:id="rId216"/>
    <hyperlink xmlns:r="http://schemas.openxmlformats.org/officeDocument/2006/relationships" ref="N61" r:id="rId217"/>
    <hyperlink xmlns:r="http://schemas.openxmlformats.org/officeDocument/2006/relationships" ref="O61" r:id="rId218"/>
    <hyperlink xmlns:r="http://schemas.openxmlformats.org/officeDocument/2006/relationships" ref="P61" r:id="rId219"/>
    <hyperlink xmlns:r="http://schemas.openxmlformats.org/officeDocument/2006/relationships" ref="M62" r:id="rId220"/>
    <hyperlink xmlns:r="http://schemas.openxmlformats.org/officeDocument/2006/relationships" ref="N62" r:id="rId221"/>
    <hyperlink xmlns:r="http://schemas.openxmlformats.org/officeDocument/2006/relationships" ref="P62" r:id="rId222"/>
    <hyperlink xmlns:r="http://schemas.openxmlformats.org/officeDocument/2006/relationships" ref="M63" r:id="rId223"/>
    <hyperlink xmlns:r="http://schemas.openxmlformats.org/officeDocument/2006/relationships" ref="N63" r:id="rId224"/>
    <hyperlink xmlns:r="http://schemas.openxmlformats.org/officeDocument/2006/relationships" ref="O63" r:id="rId225"/>
    <hyperlink xmlns:r="http://schemas.openxmlformats.org/officeDocument/2006/relationships" ref="P63" r:id="rId226"/>
    <hyperlink xmlns:r="http://schemas.openxmlformats.org/officeDocument/2006/relationships" ref="M64" r:id="rId227"/>
    <hyperlink xmlns:r="http://schemas.openxmlformats.org/officeDocument/2006/relationships" ref="N64" r:id="rId228"/>
    <hyperlink xmlns:r="http://schemas.openxmlformats.org/officeDocument/2006/relationships" ref="O64" r:id="rId229"/>
    <hyperlink xmlns:r="http://schemas.openxmlformats.org/officeDocument/2006/relationships" ref="P64" r:id="rId230"/>
    <hyperlink xmlns:r="http://schemas.openxmlformats.org/officeDocument/2006/relationships" ref="M65" r:id="rId231"/>
    <hyperlink xmlns:r="http://schemas.openxmlformats.org/officeDocument/2006/relationships" ref="N65" r:id="rId232"/>
    <hyperlink xmlns:r="http://schemas.openxmlformats.org/officeDocument/2006/relationships" ref="O65" r:id="rId233"/>
    <hyperlink xmlns:r="http://schemas.openxmlformats.org/officeDocument/2006/relationships" ref="P65" r:id="rId234"/>
    <hyperlink xmlns:r="http://schemas.openxmlformats.org/officeDocument/2006/relationships" ref="M66" r:id="rId235"/>
    <hyperlink xmlns:r="http://schemas.openxmlformats.org/officeDocument/2006/relationships" ref="N66" r:id="rId236"/>
    <hyperlink xmlns:r="http://schemas.openxmlformats.org/officeDocument/2006/relationships" ref="O66" r:id="rId237"/>
    <hyperlink xmlns:r="http://schemas.openxmlformats.org/officeDocument/2006/relationships" ref="P66" r:id="rId238"/>
    <hyperlink xmlns:r="http://schemas.openxmlformats.org/officeDocument/2006/relationships" ref="M67" r:id="rId239"/>
    <hyperlink xmlns:r="http://schemas.openxmlformats.org/officeDocument/2006/relationships" ref="N67" r:id="rId240"/>
    <hyperlink xmlns:r="http://schemas.openxmlformats.org/officeDocument/2006/relationships" ref="O67" r:id="rId241"/>
    <hyperlink xmlns:r="http://schemas.openxmlformats.org/officeDocument/2006/relationships" ref="P67" r:id="rId242"/>
    <hyperlink xmlns:r="http://schemas.openxmlformats.org/officeDocument/2006/relationships" ref="M68" r:id="rId243"/>
    <hyperlink xmlns:r="http://schemas.openxmlformats.org/officeDocument/2006/relationships" ref="N68" r:id="rId244"/>
    <hyperlink xmlns:r="http://schemas.openxmlformats.org/officeDocument/2006/relationships" ref="O68" r:id="rId245"/>
    <hyperlink xmlns:r="http://schemas.openxmlformats.org/officeDocument/2006/relationships" ref="P68" r:id="rId246"/>
    <hyperlink xmlns:r="http://schemas.openxmlformats.org/officeDocument/2006/relationships" ref="M69" r:id="rId247"/>
    <hyperlink xmlns:r="http://schemas.openxmlformats.org/officeDocument/2006/relationships" ref="N69" r:id="rId248"/>
    <hyperlink xmlns:r="http://schemas.openxmlformats.org/officeDocument/2006/relationships" ref="P69" r:id="rId249"/>
    <hyperlink xmlns:r="http://schemas.openxmlformats.org/officeDocument/2006/relationships" ref="M70" r:id="rId250"/>
    <hyperlink xmlns:r="http://schemas.openxmlformats.org/officeDocument/2006/relationships" ref="N70" r:id="rId251"/>
    <hyperlink xmlns:r="http://schemas.openxmlformats.org/officeDocument/2006/relationships" ref="P70" r:id="rId252"/>
    <hyperlink xmlns:r="http://schemas.openxmlformats.org/officeDocument/2006/relationships" ref="M71" r:id="rId253"/>
    <hyperlink xmlns:r="http://schemas.openxmlformats.org/officeDocument/2006/relationships" ref="N71" r:id="rId254"/>
    <hyperlink xmlns:r="http://schemas.openxmlformats.org/officeDocument/2006/relationships" ref="P71" r:id="rId255"/>
    <hyperlink xmlns:r="http://schemas.openxmlformats.org/officeDocument/2006/relationships" ref="M72" r:id="rId256"/>
    <hyperlink xmlns:r="http://schemas.openxmlformats.org/officeDocument/2006/relationships" ref="N72" r:id="rId257"/>
    <hyperlink xmlns:r="http://schemas.openxmlformats.org/officeDocument/2006/relationships" ref="O72" r:id="rId258"/>
    <hyperlink xmlns:r="http://schemas.openxmlformats.org/officeDocument/2006/relationships" ref="P72" r:id="rId259"/>
    <hyperlink xmlns:r="http://schemas.openxmlformats.org/officeDocument/2006/relationships" ref="M73" r:id="rId260"/>
    <hyperlink xmlns:r="http://schemas.openxmlformats.org/officeDocument/2006/relationships" ref="N73" r:id="rId261"/>
    <hyperlink xmlns:r="http://schemas.openxmlformats.org/officeDocument/2006/relationships" ref="O73" r:id="rId262"/>
    <hyperlink xmlns:r="http://schemas.openxmlformats.org/officeDocument/2006/relationships" ref="P73" r:id="rId263"/>
    <hyperlink xmlns:r="http://schemas.openxmlformats.org/officeDocument/2006/relationships" ref="M74" r:id="rId264"/>
    <hyperlink xmlns:r="http://schemas.openxmlformats.org/officeDocument/2006/relationships" ref="N74" r:id="rId265"/>
    <hyperlink xmlns:r="http://schemas.openxmlformats.org/officeDocument/2006/relationships" ref="O74" r:id="rId266"/>
    <hyperlink xmlns:r="http://schemas.openxmlformats.org/officeDocument/2006/relationships" ref="P74" r:id="rId267"/>
    <hyperlink xmlns:r="http://schemas.openxmlformats.org/officeDocument/2006/relationships" ref="M75" r:id="rId268"/>
    <hyperlink xmlns:r="http://schemas.openxmlformats.org/officeDocument/2006/relationships" ref="N75" r:id="rId269"/>
    <hyperlink xmlns:r="http://schemas.openxmlformats.org/officeDocument/2006/relationships" ref="O75" r:id="rId270"/>
    <hyperlink xmlns:r="http://schemas.openxmlformats.org/officeDocument/2006/relationships" ref="P75" r:id="rId271"/>
    <hyperlink xmlns:r="http://schemas.openxmlformats.org/officeDocument/2006/relationships" ref="M76" r:id="rId272"/>
    <hyperlink xmlns:r="http://schemas.openxmlformats.org/officeDocument/2006/relationships" ref="N76" r:id="rId273"/>
    <hyperlink xmlns:r="http://schemas.openxmlformats.org/officeDocument/2006/relationships" ref="O76" r:id="rId274"/>
    <hyperlink xmlns:r="http://schemas.openxmlformats.org/officeDocument/2006/relationships" ref="P76" r:id="rId275"/>
    <hyperlink xmlns:r="http://schemas.openxmlformats.org/officeDocument/2006/relationships" ref="M77" r:id="rId276"/>
    <hyperlink xmlns:r="http://schemas.openxmlformats.org/officeDocument/2006/relationships" ref="N77" r:id="rId277"/>
    <hyperlink xmlns:r="http://schemas.openxmlformats.org/officeDocument/2006/relationships" ref="P77" r:id="rId278"/>
    <hyperlink xmlns:r="http://schemas.openxmlformats.org/officeDocument/2006/relationships" ref="M78" r:id="rId279"/>
    <hyperlink xmlns:r="http://schemas.openxmlformats.org/officeDocument/2006/relationships" ref="N78" r:id="rId280"/>
    <hyperlink xmlns:r="http://schemas.openxmlformats.org/officeDocument/2006/relationships" ref="O78" r:id="rId281"/>
    <hyperlink xmlns:r="http://schemas.openxmlformats.org/officeDocument/2006/relationships" ref="P78" r:id="rId282"/>
    <hyperlink xmlns:r="http://schemas.openxmlformats.org/officeDocument/2006/relationships" ref="M79" r:id="rId283"/>
    <hyperlink xmlns:r="http://schemas.openxmlformats.org/officeDocument/2006/relationships" ref="N79" r:id="rId284"/>
    <hyperlink xmlns:r="http://schemas.openxmlformats.org/officeDocument/2006/relationships" ref="O79" r:id="rId285"/>
    <hyperlink xmlns:r="http://schemas.openxmlformats.org/officeDocument/2006/relationships" ref="P79" r:id="rId286"/>
    <hyperlink xmlns:r="http://schemas.openxmlformats.org/officeDocument/2006/relationships" ref="M80" r:id="rId287"/>
    <hyperlink xmlns:r="http://schemas.openxmlformats.org/officeDocument/2006/relationships" ref="N80" r:id="rId288"/>
    <hyperlink xmlns:r="http://schemas.openxmlformats.org/officeDocument/2006/relationships" ref="O80" r:id="rId289"/>
    <hyperlink xmlns:r="http://schemas.openxmlformats.org/officeDocument/2006/relationships" ref="P80" r:id="rId290"/>
    <hyperlink xmlns:r="http://schemas.openxmlformats.org/officeDocument/2006/relationships" ref="M81" r:id="rId291"/>
    <hyperlink xmlns:r="http://schemas.openxmlformats.org/officeDocument/2006/relationships" ref="N81" r:id="rId292"/>
    <hyperlink xmlns:r="http://schemas.openxmlformats.org/officeDocument/2006/relationships" ref="P81" r:id="rId293"/>
    <hyperlink xmlns:r="http://schemas.openxmlformats.org/officeDocument/2006/relationships" ref="M82" r:id="rId294"/>
    <hyperlink xmlns:r="http://schemas.openxmlformats.org/officeDocument/2006/relationships" ref="N82" r:id="rId295"/>
    <hyperlink xmlns:r="http://schemas.openxmlformats.org/officeDocument/2006/relationships" ref="O82" r:id="rId296"/>
    <hyperlink xmlns:r="http://schemas.openxmlformats.org/officeDocument/2006/relationships" ref="P82" r:id="rId297"/>
    <hyperlink xmlns:r="http://schemas.openxmlformats.org/officeDocument/2006/relationships" ref="M83" r:id="rId298"/>
    <hyperlink xmlns:r="http://schemas.openxmlformats.org/officeDocument/2006/relationships" ref="N83" r:id="rId299"/>
    <hyperlink xmlns:r="http://schemas.openxmlformats.org/officeDocument/2006/relationships" ref="O83" r:id="rId300"/>
    <hyperlink xmlns:r="http://schemas.openxmlformats.org/officeDocument/2006/relationships" ref="P83" r:id="rId301"/>
    <hyperlink xmlns:r="http://schemas.openxmlformats.org/officeDocument/2006/relationships" ref="M84" r:id="rId302"/>
    <hyperlink xmlns:r="http://schemas.openxmlformats.org/officeDocument/2006/relationships" ref="N84" r:id="rId303"/>
    <hyperlink xmlns:r="http://schemas.openxmlformats.org/officeDocument/2006/relationships" ref="O84" r:id="rId304"/>
    <hyperlink xmlns:r="http://schemas.openxmlformats.org/officeDocument/2006/relationships" ref="P84" r:id="rId305"/>
    <hyperlink xmlns:r="http://schemas.openxmlformats.org/officeDocument/2006/relationships" ref="M85" r:id="rId306"/>
    <hyperlink xmlns:r="http://schemas.openxmlformats.org/officeDocument/2006/relationships" ref="N85" r:id="rId307"/>
    <hyperlink xmlns:r="http://schemas.openxmlformats.org/officeDocument/2006/relationships" ref="O85" r:id="rId308"/>
    <hyperlink xmlns:r="http://schemas.openxmlformats.org/officeDocument/2006/relationships" ref="P85" r:id="rId309"/>
    <hyperlink xmlns:r="http://schemas.openxmlformats.org/officeDocument/2006/relationships" ref="M86" r:id="rId310"/>
    <hyperlink xmlns:r="http://schemas.openxmlformats.org/officeDocument/2006/relationships" ref="N86" r:id="rId311"/>
    <hyperlink xmlns:r="http://schemas.openxmlformats.org/officeDocument/2006/relationships" ref="O86" r:id="rId312"/>
    <hyperlink xmlns:r="http://schemas.openxmlformats.org/officeDocument/2006/relationships" ref="P86" r:id="rId313"/>
    <hyperlink xmlns:r="http://schemas.openxmlformats.org/officeDocument/2006/relationships" ref="M87" r:id="rId314"/>
    <hyperlink xmlns:r="http://schemas.openxmlformats.org/officeDocument/2006/relationships" ref="N87" r:id="rId315"/>
    <hyperlink xmlns:r="http://schemas.openxmlformats.org/officeDocument/2006/relationships" ref="P87" r:id="rId316"/>
    <hyperlink xmlns:r="http://schemas.openxmlformats.org/officeDocument/2006/relationships" ref="M88" r:id="rId317"/>
    <hyperlink xmlns:r="http://schemas.openxmlformats.org/officeDocument/2006/relationships" ref="P88" r:id="rId318"/>
    <hyperlink xmlns:r="http://schemas.openxmlformats.org/officeDocument/2006/relationships" ref="M89" r:id="rId319"/>
    <hyperlink xmlns:r="http://schemas.openxmlformats.org/officeDocument/2006/relationships" ref="N89" r:id="rId320"/>
    <hyperlink xmlns:r="http://schemas.openxmlformats.org/officeDocument/2006/relationships" ref="O89" r:id="rId321"/>
    <hyperlink xmlns:r="http://schemas.openxmlformats.org/officeDocument/2006/relationships" ref="P89" r:id="rId322"/>
    <hyperlink xmlns:r="http://schemas.openxmlformats.org/officeDocument/2006/relationships" ref="M90" r:id="rId323"/>
    <hyperlink xmlns:r="http://schemas.openxmlformats.org/officeDocument/2006/relationships" ref="N90" r:id="rId324"/>
    <hyperlink xmlns:r="http://schemas.openxmlformats.org/officeDocument/2006/relationships" ref="P90" r:id="rId325"/>
    <hyperlink xmlns:r="http://schemas.openxmlformats.org/officeDocument/2006/relationships" ref="M91" r:id="rId326"/>
    <hyperlink xmlns:r="http://schemas.openxmlformats.org/officeDocument/2006/relationships" ref="N91" r:id="rId327"/>
    <hyperlink xmlns:r="http://schemas.openxmlformats.org/officeDocument/2006/relationships" ref="O91" r:id="rId328"/>
    <hyperlink xmlns:r="http://schemas.openxmlformats.org/officeDocument/2006/relationships" ref="P91" r:id="rId329"/>
    <hyperlink xmlns:r="http://schemas.openxmlformats.org/officeDocument/2006/relationships" ref="M92" r:id="rId330"/>
    <hyperlink xmlns:r="http://schemas.openxmlformats.org/officeDocument/2006/relationships" ref="N92" r:id="rId331"/>
    <hyperlink xmlns:r="http://schemas.openxmlformats.org/officeDocument/2006/relationships" ref="O92" r:id="rId332"/>
    <hyperlink xmlns:r="http://schemas.openxmlformats.org/officeDocument/2006/relationships" ref="P92" r:id="rId333"/>
    <hyperlink xmlns:r="http://schemas.openxmlformats.org/officeDocument/2006/relationships" ref="M93" r:id="rId334"/>
    <hyperlink xmlns:r="http://schemas.openxmlformats.org/officeDocument/2006/relationships" ref="N93" r:id="rId335"/>
    <hyperlink xmlns:r="http://schemas.openxmlformats.org/officeDocument/2006/relationships" ref="O93" r:id="rId336"/>
    <hyperlink xmlns:r="http://schemas.openxmlformats.org/officeDocument/2006/relationships" ref="P93" r:id="rId337"/>
    <hyperlink xmlns:r="http://schemas.openxmlformats.org/officeDocument/2006/relationships" ref="M94" r:id="rId338"/>
    <hyperlink xmlns:r="http://schemas.openxmlformats.org/officeDocument/2006/relationships" ref="N94" r:id="rId339"/>
    <hyperlink xmlns:r="http://schemas.openxmlformats.org/officeDocument/2006/relationships" ref="O94" r:id="rId340"/>
    <hyperlink xmlns:r="http://schemas.openxmlformats.org/officeDocument/2006/relationships" ref="P94" r:id="rId341"/>
    <hyperlink xmlns:r="http://schemas.openxmlformats.org/officeDocument/2006/relationships" ref="M95" r:id="rId342"/>
    <hyperlink xmlns:r="http://schemas.openxmlformats.org/officeDocument/2006/relationships" ref="N95" r:id="rId343"/>
    <hyperlink xmlns:r="http://schemas.openxmlformats.org/officeDocument/2006/relationships" ref="P95" r:id="rId344"/>
    <hyperlink xmlns:r="http://schemas.openxmlformats.org/officeDocument/2006/relationships" ref="M96" r:id="rId345"/>
    <hyperlink xmlns:r="http://schemas.openxmlformats.org/officeDocument/2006/relationships" ref="N96" r:id="rId346"/>
    <hyperlink xmlns:r="http://schemas.openxmlformats.org/officeDocument/2006/relationships" ref="O96" r:id="rId347"/>
    <hyperlink xmlns:r="http://schemas.openxmlformats.org/officeDocument/2006/relationships" ref="P96" r:id="rId348"/>
    <hyperlink xmlns:r="http://schemas.openxmlformats.org/officeDocument/2006/relationships" ref="M97" r:id="rId349"/>
    <hyperlink xmlns:r="http://schemas.openxmlformats.org/officeDocument/2006/relationships" ref="N97" r:id="rId350"/>
    <hyperlink xmlns:r="http://schemas.openxmlformats.org/officeDocument/2006/relationships" ref="O97" r:id="rId351"/>
    <hyperlink xmlns:r="http://schemas.openxmlformats.org/officeDocument/2006/relationships" ref="P97" r:id="rId352"/>
    <hyperlink xmlns:r="http://schemas.openxmlformats.org/officeDocument/2006/relationships" ref="M98" r:id="rId353"/>
    <hyperlink xmlns:r="http://schemas.openxmlformats.org/officeDocument/2006/relationships" ref="N98" r:id="rId354"/>
    <hyperlink xmlns:r="http://schemas.openxmlformats.org/officeDocument/2006/relationships" ref="P98" r:id="rId355"/>
    <hyperlink xmlns:r="http://schemas.openxmlformats.org/officeDocument/2006/relationships" ref="M99" r:id="rId356"/>
    <hyperlink xmlns:r="http://schemas.openxmlformats.org/officeDocument/2006/relationships" ref="N99" r:id="rId357"/>
    <hyperlink xmlns:r="http://schemas.openxmlformats.org/officeDocument/2006/relationships" ref="P99" r:id="rId358"/>
    <hyperlink xmlns:r="http://schemas.openxmlformats.org/officeDocument/2006/relationships" ref="M100" r:id="rId359"/>
    <hyperlink xmlns:r="http://schemas.openxmlformats.org/officeDocument/2006/relationships" ref="N100" r:id="rId360"/>
    <hyperlink xmlns:r="http://schemas.openxmlformats.org/officeDocument/2006/relationships" ref="O100" r:id="rId361"/>
    <hyperlink xmlns:r="http://schemas.openxmlformats.org/officeDocument/2006/relationships" ref="P100" r:id="rId362"/>
    <hyperlink xmlns:r="http://schemas.openxmlformats.org/officeDocument/2006/relationships" ref="M101" r:id="rId363"/>
    <hyperlink xmlns:r="http://schemas.openxmlformats.org/officeDocument/2006/relationships" ref="N101" r:id="rId364"/>
    <hyperlink xmlns:r="http://schemas.openxmlformats.org/officeDocument/2006/relationships" ref="O101" r:id="rId365"/>
    <hyperlink xmlns:r="http://schemas.openxmlformats.org/officeDocument/2006/relationships" ref="P101" r:id="rId366"/>
    <hyperlink xmlns:r="http://schemas.openxmlformats.org/officeDocument/2006/relationships" ref="M102" r:id="rId367"/>
    <hyperlink xmlns:r="http://schemas.openxmlformats.org/officeDocument/2006/relationships" ref="N102" r:id="rId368"/>
    <hyperlink xmlns:r="http://schemas.openxmlformats.org/officeDocument/2006/relationships" ref="O102" r:id="rId369"/>
    <hyperlink xmlns:r="http://schemas.openxmlformats.org/officeDocument/2006/relationships" ref="P102" r:id="rId370"/>
    <hyperlink xmlns:r="http://schemas.openxmlformats.org/officeDocument/2006/relationships" ref="M103" r:id="rId371"/>
    <hyperlink xmlns:r="http://schemas.openxmlformats.org/officeDocument/2006/relationships" ref="N103" r:id="rId372"/>
    <hyperlink xmlns:r="http://schemas.openxmlformats.org/officeDocument/2006/relationships" ref="P103" r:id="rId373"/>
    <hyperlink xmlns:r="http://schemas.openxmlformats.org/officeDocument/2006/relationships" ref="M104" r:id="rId374"/>
    <hyperlink xmlns:r="http://schemas.openxmlformats.org/officeDocument/2006/relationships" ref="N104" r:id="rId375"/>
    <hyperlink xmlns:r="http://schemas.openxmlformats.org/officeDocument/2006/relationships" ref="O104" r:id="rId376"/>
    <hyperlink xmlns:r="http://schemas.openxmlformats.org/officeDocument/2006/relationships" ref="P104" r:id="rId377"/>
    <hyperlink xmlns:r="http://schemas.openxmlformats.org/officeDocument/2006/relationships" ref="M105" r:id="rId378"/>
    <hyperlink xmlns:r="http://schemas.openxmlformats.org/officeDocument/2006/relationships" ref="N105" r:id="rId379"/>
    <hyperlink xmlns:r="http://schemas.openxmlformats.org/officeDocument/2006/relationships" ref="O105" r:id="rId380"/>
    <hyperlink xmlns:r="http://schemas.openxmlformats.org/officeDocument/2006/relationships" ref="P105" r:id="rId381"/>
    <hyperlink xmlns:r="http://schemas.openxmlformats.org/officeDocument/2006/relationships" ref="M106" r:id="rId382"/>
    <hyperlink xmlns:r="http://schemas.openxmlformats.org/officeDocument/2006/relationships" ref="N106" r:id="rId383"/>
    <hyperlink xmlns:r="http://schemas.openxmlformats.org/officeDocument/2006/relationships" ref="O106" r:id="rId384"/>
    <hyperlink xmlns:r="http://schemas.openxmlformats.org/officeDocument/2006/relationships" ref="P106" r:id="rId385"/>
    <hyperlink xmlns:r="http://schemas.openxmlformats.org/officeDocument/2006/relationships" ref="M107" r:id="rId386"/>
    <hyperlink xmlns:r="http://schemas.openxmlformats.org/officeDocument/2006/relationships" ref="N107" r:id="rId387"/>
    <hyperlink xmlns:r="http://schemas.openxmlformats.org/officeDocument/2006/relationships" ref="P107" r:id="rId388"/>
    <hyperlink xmlns:r="http://schemas.openxmlformats.org/officeDocument/2006/relationships" ref="M108" r:id="rId389"/>
    <hyperlink xmlns:r="http://schemas.openxmlformats.org/officeDocument/2006/relationships" ref="N108" r:id="rId390"/>
    <hyperlink xmlns:r="http://schemas.openxmlformats.org/officeDocument/2006/relationships" ref="O108" r:id="rId391"/>
    <hyperlink xmlns:r="http://schemas.openxmlformats.org/officeDocument/2006/relationships" ref="P108" r:id="rId392"/>
    <hyperlink xmlns:r="http://schemas.openxmlformats.org/officeDocument/2006/relationships" ref="M109" r:id="rId393"/>
    <hyperlink xmlns:r="http://schemas.openxmlformats.org/officeDocument/2006/relationships" ref="N109" r:id="rId394"/>
    <hyperlink xmlns:r="http://schemas.openxmlformats.org/officeDocument/2006/relationships" ref="O109" r:id="rId395"/>
    <hyperlink xmlns:r="http://schemas.openxmlformats.org/officeDocument/2006/relationships" ref="P109" r:id="rId396"/>
    <hyperlink xmlns:r="http://schemas.openxmlformats.org/officeDocument/2006/relationships" ref="M110" r:id="rId397"/>
    <hyperlink xmlns:r="http://schemas.openxmlformats.org/officeDocument/2006/relationships" ref="N110" r:id="rId398"/>
    <hyperlink xmlns:r="http://schemas.openxmlformats.org/officeDocument/2006/relationships" ref="O110" r:id="rId399"/>
    <hyperlink xmlns:r="http://schemas.openxmlformats.org/officeDocument/2006/relationships" ref="P110" r:id="rId400"/>
    <hyperlink xmlns:r="http://schemas.openxmlformats.org/officeDocument/2006/relationships" ref="M111" r:id="rId401"/>
    <hyperlink xmlns:r="http://schemas.openxmlformats.org/officeDocument/2006/relationships" ref="N111" r:id="rId402"/>
    <hyperlink xmlns:r="http://schemas.openxmlformats.org/officeDocument/2006/relationships" ref="P111" r:id="rId403"/>
    <hyperlink xmlns:r="http://schemas.openxmlformats.org/officeDocument/2006/relationships" ref="M112" r:id="rId404"/>
    <hyperlink xmlns:r="http://schemas.openxmlformats.org/officeDocument/2006/relationships" ref="N112" r:id="rId405"/>
    <hyperlink xmlns:r="http://schemas.openxmlformats.org/officeDocument/2006/relationships" ref="O112" r:id="rId406"/>
    <hyperlink xmlns:r="http://schemas.openxmlformats.org/officeDocument/2006/relationships" ref="P112" r:id="rId407"/>
    <hyperlink xmlns:r="http://schemas.openxmlformats.org/officeDocument/2006/relationships" ref="M113" r:id="rId408"/>
    <hyperlink xmlns:r="http://schemas.openxmlformats.org/officeDocument/2006/relationships" ref="N113" r:id="rId409"/>
    <hyperlink xmlns:r="http://schemas.openxmlformats.org/officeDocument/2006/relationships" ref="O113" r:id="rId410"/>
    <hyperlink xmlns:r="http://schemas.openxmlformats.org/officeDocument/2006/relationships" ref="P113" r:id="rId411"/>
    <hyperlink xmlns:r="http://schemas.openxmlformats.org/officeDocument/2006/relationships" ref="M114" r:id="rId412"/>
    <hyperlink xmlns:r="http://schemas.openxmlformats.org/officeDocument/2006/relationships" ref="N114" r:id="rId413"/>
    <hyperlink xmlns:r="http://schemas.openxmlformats.org/officeDocument/2006/relationships" ref="O114" r:id="rId414"/>
    <hyperlink xmlns:r="http://schemas.openxmlformats.org/officeDocument/2006/relationships" ref="P114" r:id="rId415"/>
    <hyperlink xmlns:r="http://schemas.openxmlformats.org/officeDocument/2006/relationships" ref="M116" r:id="rId416"/>
    <hyperlink xmlns:r="http://schemas.openxmlformats.org/officeDocument/2006/relationships" ref="N116" r:id="rId417"/>
    <hyperlink xmlns:r="http://schemas.openxmlformats.org/officeDocument/2006/relationships" ref="O116" r:id="rId418"/>
    <hyperlink xmlns:r="http://schemas.openxmlformats.org/officeDocument/2006/relationships" ref="P116" r:id="rId419"/>
    <hyperlink xmlns:r="http://schemas.openxmlformats.org/officeDocument/2006/relationships" ref="M117" r:id="rId420"/>
    <hyperlink xmlns:r="http://schemas.openxmlformats.org/officeDocument/2006/relationships" ref="N117" r:id="rId421"/>
    <hyperlink xmlns:r="http://schemas.openxmlformats.org/officeDocument/2006/relationships" ref="P117" r:id="rId422"/>
    <hyperlink xmlns:r="http://schemas.openxmlformats.org/officeDocument/2006/relationships" ref="M118" r:id="rId423"/>
    <hyperlink xmlns:r="http://schemas.openxmlformats.org/officeDocument/2006/relationships" ref="N118" r:id="rId424"/>
    <hyperlink xmlns:r="http://schemas.openxmlformats.org/officeDocument/2006/relationships" ref="P118" r:id="rId425"/>
    <hyperlink xmlns:r="http://schemas.openxmlformats.org/officeDocument/2006/relationships" ref="M119" r:id="rId426"/>
    <hyperlink xmlns:r="http://schemas.openxmlformats.org/officeDocument/2006/relationships" ref="N119" r:id="rId427"/>
    <hyperlink xmlns:r="http://schemas.openxmlformats.org/officeDocument/2006/relationships" ref="O119" r:id="rId428"/>
    <hyperlink xmlns:r="http://schemas.openxmlformats.org/officeDocument/2006/relationships" ref="P119" r:id="rId429"/>
    <hyperlink xmlns:r="http://schemas.openxmlformats.org/officeDocument/2006/relationships" ref="M121" r:id="rId430"/>
    <hyperlink xmlns:r="http://schemas.openxmlformats.org/officeDocument/2006/relationships" ref="N121" r:id="rId431"/>
    <hyperlink xmlns:r="http://schemas.openxmlformats.org/officeDocument/2006/relationships" ref="O121" r:id="rId432"/>
    <hyperlink xmlns:r="http://schemas.openxmlformats.org/officeDocument/2006/relationships" ref="P121" r:id="rId433"/>
    <hyperlink xmlns:r="http://schemas.openxmlformats.org/officeDocument/2006/relationships" ref="M122" r:id="rId434"/>
    <hyperlink xmlns:r="http://schemas.openxmlformats.org/officeDocument/2006/relationships" ref="N122" r:id="rId435"/>
    <hyperlink xmlns:r="http://schemas.openxmlformats.org/officeDocument/2006/relationships" ref="O122" r:id="rId436"/>
    <hyperlink xmlns:r="http://schemas.openxmlformats.org/officeDocument/2006/relationships" ref="P122" r:id="rId437"/>
    <hyperlink xmlns:r="http://schemas.openxmlformats.org/officeDocument/2006/relationships" ref="M123" r:id="rId438"/>
    <hyperlink xmlns:r="http://schemas.openxmlformats.org/officeDocument/2006/relationships" ref="N123" r:id="rId439"/>
    <hyperlink xmlns:r="http://schemas.openxmlformats.org/officeDocument/2006/relationships" ref="O123" r:id="rId440"/>
    <hyperlink xmlns:r="http://schemas.openxmlformats.org/officeDocument/2006/relationships" ref="P123" r:id="rId441"/>
    <hyperlink xmlns:r="http://schemas.openxmlformats.org/officeDocument/2006/relationships" ref="M124" r:id="rId442"/>
    <hyperlink xmlns:r="http://schemas.openxmlformats.org/officeDocument/2006/relationships" ref="N124" r:id="rId443"/>
    <hyperlink xmlns:r="http://schemas.openxmlformats.org/officeDocument/2006/relationships" ref="O124" r:id="rId444"/>
    <hyperlink xmlns:r="http://schemas.openxmlformats.org/officeDocument/2006/relationships" ref="P124" r:id="rId445"/>
    <hyperlink xmlns:r="http://schemas.openxmlformats.org/officeDocument/2006/relationships" ref="M125" r:id="rId446"/>
    <hyperlink xmlns:r="http://schemas.openxmlformats.org/officeDocument/2006/relationships" ref="N125" r:id="rId447"/>
    <hyperlink xmlns:r="http://schemas.openxmlformats.org/officeDocument/2006/relationships" ref="O125" r:id="rId448"/>
    <hyperlink xmlns:r="http://schemas.openxmlformats.org/officeDocument/2006/relationships" ref="P125" r:id="rId449"/>
    <hyperlink xmlns:r="http://schemas.openxmlformats.org/officeDocument/2006/relationships" ref="M126" r:id="rId450"/>
    <hyperlink xmlns:r="http://schemas.openxmlformats.org/officeDocument/2006/relationships" ref="N126" r:id="rId451"/>
    <hyperlink xmlns:r="http://schemas.openxmlformats.org/officeDocument/2006/relationships" ref="O126" r:id="rId452"/>
    <hyperlink xmlns:r="http://schemas.openxmlformats.org/officeDocument/2006/relationships" ref="P126" r:id="rId453"/>
    <hyperlink xmlns:r="http://schemas.openxmlformats.org/officeDocument/2006/relationships" ref="M127" r:id="rId454"/>
    <hyperlink xmlns:r="http://schemas.openxmlformats.org/officeDocument/2006/relationships" ref="N127" r:id="rId455"/>
    <hyperlink xmlns:r="http://schemas.openxmlformats.org/officeDocument/2006/relationships" ref="P127" r:id="rId456"/>
    <hyperlink xmlns:r="http://schemas.openxmlformats.org/officeDocument/2006/relationships" ref="M128" r:id="rId457"/>
    <hyperlink xmlns:r="http://schemas.openxmlformats.org/officeDocument/2006/relationships" ref="N128" r:id="rId458"/>
    <hyperlink xmlns:r="http://schemas.openxmlformats.org/officeDocument/2006/relationships" ref="O128" r:id="rId459"/>
    <hyperlink xmlns:r="http://schemas.openxmlformats.org/officeDocument/2006/relationships" ref="P128" r:id="rId460"/>
    <hyperlink xmlns:r="http://schemas.openxmlformats.org/officeDocument/2006/relationships" ref="M129" r:id="rId461"/>
    <hyperlink xmlns:r="http://schemas.openxmlformats.org/officeDocument/2006/relationships" ref="N129" r:id="rId462"/>
    <hyperlink xmlns:r="http://schemas.openxmlformats.org/officeDocument/2006/relationships" ref="O129" r:id="rId463"/>
    <hyperlink xmlns:r="http://schemas.openxmlformats.org/officeDocument/2006/relationships" ref="P129" r:id="rId464"/>
    <hyperlink xmlns:r="http://schemas.openxmlformats.org/officeDocument/2006/relationships" ref="M130" r:id="rId465"/>
    <hyperlink xmlns:r="http://schemas.openxmlformats.org/officeDocument/2006/relationships" ref="N130" r:id="rId466"/>
    <hyperlink xmlns:r="http://schemas.openxmlformats.org/officeDocument/2006/relationships" ref="P130" r:id="rId467"/>
    <hyperlink xmlns:r="http://schemas.openxmlformats.org/officeDocument/2006/relationships" ref="M131" r:id="rId468"/>
    <hyperlink xmlns:r="http://schemas.openxmlformats.org/officeDocument/2006/relationships" ref="N131" r:id="rId469"/>
    <hyperlink xmlns:r="http://schemas.openxmlformats.org/officeDocument/2006/relationships" ref="O131" r:id="rId470"/>
    <hyperlink xmlns:r="http://schemas.openxmlformats.org/officeDocument/2006/relationships" ref="P131" r:id="rId471"/>
    <hyperlink xmlns:r="http://schemas.openxmlformats.org/officeDocument/2006/relationships" ref="M132" r:id="rId472"/>
    <hyperlink xmlns:r="http://schemas.openxmlformats.org/officeDocument/2006/relationships" ref="N132" r:id="rId473"/>
    <hyperlink xmlns:r="http://schemas.openxmlformats.org/officeDocument/2006/relationships" ref="O132" r:id="rId474"/>
    <hyperlink xmlns:r="http://schemas.openxmlformats.org/officeDocument/2006/relationships" ref="P132" r:id="rId475"/>
    <hyperlink xmlns:r="http://schemas.openxmlformats.org/officeDocument/2006/relationships" ref="M133" r:id="rId476"/>
    <hyperlink xmlns:r="http://schemas.openxmlformats.org/officeDocument/2006/relationships" ref="N133" r:id="rId477"/>
    <hyperlink xmlns:r="http://schemas.openxmlformats.org/officeDocument/2006/relationships" ref="O133" r:id="rId478"/>
    <hyperlink xmlns:r="http://schemas.openxmlformats.org/officeDocument/2006/relationships" ref="P133" r:id="rId479"/>
    <hyperlink xmlns:r="http://schemas.openxmlformats.org/officeDocument/2006/relationships" ref="M134" r:id="rId480"/>
    <hyperlink xmlns:r="http://schemas.openxmlformats.org/officeDocument/2006/relationships" ref="N134" r:id="rId481"/>
    <hyperlink xmlns:r="http://schemas.openxmlformats.org/officeDocument/2006/relationships" ref="O134" r:id="rId482"/>
    <hyperlink xmlns:r="http://schemas.openxmlformats.org/officeDocument/2006/relationships" ref="P134" r:id="rId483"/>
    <hyperlink xmlns:r="http://schemas.openxmlformats.org/officeDocument/2006/relationships" ref="M135" r:id="rId484"/>
    <hyperlink xmlns:r="http://schemas.openxmlformats.org/officeDocument/2006/relationships" ref="N135" r:id="rId485"/>
    <hyperlink xmlns:r="http://schemas.openxmlformats.org/officeDocument/2006/relationships" ref="O135" r:id="rId486"/>
    <hyperlink xmlns:r="http://schemas.openxmlformats.org/officeDocument/2006/relationships" ref="P135" r:id="rId487"/>
    <hyperlink xmlns:r="http://schemas.openxmlformats.org/officeDocument/2006/relationships" ref="M136" r:id="rId488"/>
    <hyperlink xmlns:r="http://schemas.openxmlformats.org/officeDocument/2006/relationships" ref="N136" r:id="rId489"/>
    <hyperlink xmlns:r="http://schemas.openxmlformats.org/officeDocument/2006/relationships" ref="O136" r:id="rId490"/>
    <hyperlink xmlns:r="http://schemas.openxmlformats.org/officeDocument/2006/relationships" ref="P136" r:id="rId491"/>
    <hyperlink xmlns:r="http://schemas.openxmlformats.org/officeDocument/2006/relationships" ref="M137" r:id="rId492"/>
    <hyperlink xmlns:r="http://schemas.openxmlformats.org/officeDocument/2006/relationships" ref="N137" r:id="rId493"/>
    <hyperlink xmlns:r="http://schemas.openxmlformats.org/officeDocument/2006/relationships" ref="O137" r:id="rId494"/>
    <hyperlink xmlns:r="http://schemas.openxmlformats.org/officeDocument/2006/relationships" ref="P137" r:id="rId495"/>
    <hyperlink xmlns:r="http://schemas.openxmlformats.org/officeDocument/2006/relationships" ref="M138" r:id="rId496"/>
    <hyperlink xmlns:r="http://schemas.openxmlformats.org/officeDocument/2006/relationships" ref="N138" r:id="rId497"/>
    <hyperlink xmlns:r="http://schemas.openxmlformats.org/officeDocument/2006/relationships" ref="O138" r:id="rId498"/>
    <hyperlink xmlns:r="http://schemas.openxmlformats.org/officeDocument/2006/relationships" ref="P138" r:id="rId499"/>
    <hyperlink xmlns:r="http://schemas.openxmlformats.org/officeDocument/2006/relationships" ref="M139" r:id="rId500"/>
    <hyperlink xmlns:r="http://schemas.openxmlformats.org/officeDocument/2006/relationships" ref="N139" r:id="rId501"/>
    <hyperlink xmlns:r="http://schemas.openxmlformats.org/officeDocument/2006/relationships" ref="P139" r:id="rId502"/>
    <hyperlink xmlns:r="http://schemas.openxmlformats.org/officeDocument/2006/relationships" ref="M140" r:id="rId503"/>
    <hyperlink xmlns:r="http://schemas.openxmlformats.org/officeDocument/2006/relationships" ref="N140" r:id="rId504"/>
    <hyperlink xmlns:r="http://schemas.openxmlformats.org/officeDocument/2006/relationships" ref="O140" r:id="rId505"/>
    <hyperlink xmlns:r="http://schemas.openxmlformats.org/officeDocument/2006/relationships" ref="P140" r:id="rId506"/>
    <hyperlink xmlns:r="http://schemas.openxmlformats.org/officeDocument/2006/relationships" ref="M141" r:id="rId507"/>
    <hyperlink xmlns:r="http://schemas.openxmlformats.org/officeDocument/2006/relationships" ref="N141" r:id="rId508"/>
    <hyperlink xmlns:r="http://schemas.openxmlformats.org/officeDocument/2006/relationships" ref="P141" r:id="rId509"/>
    <hyperlink xmlns:r="http://schemas.openxmlformats.org/officeDocument/2006/relationships" ref="M142" r:id="rId510"/>
    <hyperlink xmlns:r="http://schemas.openxmlformats.org/officeDocument/2006/relationships" ref="N142" r:id="rId511"/>
    <hyperlink xmlns:r="http://schemas.openxmlformats.org/officeDocument/2006/relationships" ref="O142" r:id="rId512"/>
    <hyperlink xmlns:r="http://schemas.openxmlformats.org/officeDocument/2006/relationships" ref="P142" r:id="rId513"/>
    <hyperlink xmlns:r="http://schemas.openxmlformats.org/officeDocument/2006/relationships" ref="M143" r:id="rId514"/>
    <hyperlink xmlns:r="http://schemas.openxmlformats.org/officeDocument/2006/relationships" ref="N143" r:id="rId515"/>
    <hyperlink xmlns:r="http://schemas.openxmlformats.org/officeDocument/2006/relationships" ref="O143" r:id="rId516"/>
    <hyperlink xmlns:r="http://schemas.openxmlformats.org/officeDocument/2006/relationships" ref="P143" r:id="rId517"/>
    <hyperlink xmlns:r="http://schemas.openxmlformats.org/officeDocument/2006/relationships" ref="M144" r:id="rId518"/>
    <hyperlink xmlns:r="http://schemas.openxmlformats.org/officeDocument/2006/relationships" ref="N144" r:id="rId519"/>
    <hyperlink xmlns:r="http://schemas.openxmlformats.org/officeDocument/2006/relationships" ref="P144" r:id="rId520"/>
    <hyperlink xmlns:r="http://schemas.openxmlformats.org/officeDocument/2006/relationships" ref="M145" r:id="rId521"/>
    <hyperlink xmlns:r="http://schemas.openxmlformats.org/officeDocument/2006/relationships" ref="N145" r:id="rId522"/>
    <hyperlink xmlns:r="http://schemas.openxmlformats.org/officeDocument/2006/relationships" ref="P145" r:id="rId523"/>
    <hyperlink xmlns:r="http://schemas.openxmlformats.org/officeDocument/2006/relationships" ref="M146" r:id="rId524"/>
    <hyperlink xmlns:r="http://schemas.openxmlformats.org/officeDocument/2006/relationships" ref="N146" r:id="rId525"/>
    <hyperlink xmlns:r="http://schemas.openxmlformats.org/officeDocument/2006/relationships" ref="O146" r:id="rId526"/>
    <hyperlink xmlns:r="http://schemas.openxmlformats.org/officeDocument/2006/relationships" ref="P146" r:id="rId527"/>
    <hyperlink xmlns:r="http://schemas.openxmlformats.org/officeDocument/2006/relationships" ref="M147" r:id="rId528"/>
    <hyperlink xmlns:r="http://schemas.openxmlformats.org/officeDocument/2006/relationships" ref="N147" r:id="rId529"/>
    <hyperlink xmlns:r="http://schemas.openxmlformats.org/officeDocument/2006/relationships" ref="O147" r:id="rId530"/>
    <hyperlink xmlns:r="http://schemas.openxmlformats.org/officeDocument/2006/relationships" ref="P147" r:id="rId531"/>
    <hyperlink xmlns:r="http://schemas.openxmlformats.org/officeDocument/2006/relationships" ref="M148" r:id="rId532"/>
    <hyperlink xmlns:r="http://schemas.openxmlformats.org/officeDocument/2006/relationships" ref="N148" r:id="rId533"/>
    <hyperlink xmlns:r="http://schemas.openxmlformats.org/officeDocument/2006/relationships" ref="P148" r:id="rId534"/>
    <hyperlink xmlns:r="http://schemas.openxmlformats.org/officeDocument/2006/relationships" ref="M149" r:id="rId535"/>
    <hyperlink xmlns:r="http://schemas.openxmlformats.org/officeDocument/2006/relationships" ref="N149" r:id="rId536"/>
    <hyperlink xmlns:r="http://schemas.openxmlformats.org/officeDocument/2006/relationships" ref="O149" r:id="rId537"/>
    <hyperlink xmlns:r="http://schemas.openxmlformats.org/officeDocument/2006/relationships" ref="P149" r:id="rId538"/>
    <hyperlink xmlns:r="http://schemas.openxmlformats.org/officeDocument/2006/relationships" ref="M150" r:id="rId539"/>
    <hyperlink xmlns:r="http://schemas.openxmlformats.org/officeDocument/2006/relationships" ref="N150" r:id="rId540"/>
    <hyperlink xmlns:r="http://schemas.openxmlformats.org/officeDocument/2006/relationships" ref="O150" r:id="rId541"/>
    <hyperlink xmlns:r="http://schemas.openxmlformats.org/officeDocument/2006/relationships" ref="P150" r:id="rId542"/>
    <hyperlink xmlns:r="http://schemas.openxmlformats.org/officeDocument/2006/relationships" ref="M151" r:id="rId543"/>
    <hyperlink xmlns:r="http://schemas.openxmlformats.org/officeDocument/2006/relationships" ref="N151" r:id="rId544"/>
    <hyperlink xmlns:r="http://schemas.openxmlformats.org/officeDocument/2006/relationships" ref="O151" r:id="rId545"/>
    <hyperlink xmlns:r="http://schemas.openxmlformats.org/officeDocument/2006/relationships" ref="P151" r:id="rId546"/>
    <hyperlink xmlns:r="http://schemas.openxmlformats.org/officeDocument/2006/relationships" ref="M152" r:id="rId547"/>
    <hyperlink xmlns:r="http://schemas.openxmlformats.org/officeDocument/2006/relationships" ref="N152" r:id="rId548"/>
    <hyperlink xmlns:r="http://schemas.openxmlformats.org/officeDocument/2006/relationships" ref="O152" r:id="rId549"/>
    <hyperlink xmlns:r="http://schemas.openxmlformats.org/officeDocument/2006/relationships" ref="P152" r:id="rId550"/>
    <hyperlink xmlns:r="http://schemas.openxmlformats.org/officeDocument/2006/relationships" ref="M153" r:id="rId551"/>
    <hyperlink xmlns:r="http://schemas.openxmlformats.org/officeDocument/2006/relationships" ref="N153" r:id="rId552"/>
    <hyperlink xmlns:r="http://schemas.openxmlformats.org/officeDocument/2006/relationships" ref="O153" r:id="rId553"/>
    <hyperlink xmlns:r="http://schemas.openxmlformats.org/officeDocument/2006/relationships" ref="P153" r:id="rId554"/>
    <hyperlink xmlns:r="http://schemas.openxmlformats.org/officeDocument/2006/relationships" ref="M154" r:id="rId555"/>
    <hyperlink xmlns:r="http://schemas.openxmlformats.org/officeDocument/2006/relationships" ref="N154" r:id="rId556"/>
    <hyperlink xmlns:r="http://schemas.openxmlformats.org/officeDocument/2006/relationships" ref="P154" r:id="rId557"/>
    <hyperlink xmlns:r="http://schemas.openxmlformats.org/officeDocument/2006/relationships" ref="M155" r:id="rId558"/>
    <hyperlink xmlns:r="http://schemas.openxmlformats.org/officeDocument/2006/relationships" ref="N155" r:id="rId559"/>
    <hyperlink xmlns:r="http://schemas.openxmlformats.org/officeDocument/2006/relationships" ref="O155" r:id="rId560"/>
    <hyperlink xmlns:r="http://schemas.openxmlformats.org/officeDocument/2006/relationships" ref="P155" r:id="rId561"/>
    <hyperlink xmlns:r="http://schemas.openxmlformats.org/officeDocument/2006/relationships" ref="M156" r:id="rId562"/>
    <hyperlink xmlns:r="http://schemas.openxmlformats.org/officeDocument/2006/relationships" ref="N156" r:id="rId563"/>
    <hyperlink xmlns:r="http://schemas.openxmlformats.org/officeDocument/2006/relationships" ref="O156" r:id="rId564"/>
    <hyperlink xmlns:r="http://schemas.openxmlformats.org/officeDocument/2006/relationships" ref="P156" r:id="rId565"/>
    <hyperlink xmlns:r="http://schemas.openxmlformats.org/officeDocument/2006/relationships" ref="M157" r:id="rId566"/>
    <hyperlink xmlns:r="http://schemas.openxmlformats.org/officeDocument/2006/relationships" ref="N157" r:id="rId567"/>
    <hyperlink xmlns:r="http://schemas.openxmlformats.org/officeDocument/2006/relationships" ref="O157" r:id="rId568"/>
    <hyperlink xmlns:r="http://schemas.openxmlformats.org/officeDocument/2006/relationships" ref="P157" r:id="rId569"/>
    <hyperlink xmlns:r="http://schemas.openxmlformats.org/officeDocument/2006/relationships" ref="M158" r:id="rId570"/>
    <hyperlink xmlns:r="http://schemas.openxmlformats.org/officeDocument/2006/relationships" ref="N158" r:id="rId571"/>
    <hyperlink xmlns:r="http://schemas.openxmlformats.org/officeDocument/2006/relationships" ref="P158" r:id="rId572"/>
    <hyperlink xmlns:r="http://schemas.openxmlformats.org/officeDocument/2006/relationships" ref="M159" r:id="rId573"/>
    <hyperlink xmlns:r="http://schemas.openxmlformats.org/officeDocument/2006/relationships" ref="N159" r:id="rId574"/>
    <hyperlink xmlns:r="http://schemas.openxmlformats.org/officeDocument/2006/relationships" ref="O159" r:id="rId575"/>
    <hyperlink xmlns:r="http://schemas.openxmlformats.org/officeDocument/2006/relationships" ref="P159" r:id="rId576"/>
    <hyperlink xmlns:r="http://schemas.openxmlformats.org/officeDocument/2006/relationships" ref="M160" r:id="rId577"/>
    <hyperlink xmlns:r="http://schemas.openxmlformats.org/officeDocument/2006/relationships" ref="N160" r:id="rId578"/>
    <hyperlink xmlns:r="http://schemas.openxmlformats.org/officeDocument/2006/relationships" ref="O160" r:id="rId579"/>
    <hyperlink xmlns:r="http://schemas.openxmlformats.org/officeDocument/2006/relationships" ref="P160" r:id="rId580"/>
    <hyperlink xmlns:r="http://schemas.openxmlformats.org/officeDocument/2006/relationships" ref="M161" r:id="rId581"/>
    <hyperlink xmlns:r="http://schemas.openxmlformats.org/officeDocument/2006/relationships" ref="N161" r:id="rId582"/>
    <hyperlink xmlns:r="http://schemas.openxmlformats.org/officeDocument/2006/relationships" ref="P161" r:id="rId583"/>
    <hyperlink xmlns:r="http://schemas.openxmlformats.org/officeDocument/2006/relationships" ref="M162" r:id="rId584"/>
    <hyperlink xmlns:r="http://schemas.openxmlformats.org/officeDocument/2006/relationships" ref="N162" r:id="rId585"/>
    <hyperlink xmlns:r="http://schemas.openxmlformats.org/officeDocument/2006/relationships" ref="O162" r:id="rId586"/>
    <hyperlink xmlns:r="http://schemas.openxmlformats.org/officeDocument/2006/relationships" ref="P162" r:id="rId587"/>
    <hyperlink xmlns:r="http://schemas.openxmlformats.org/officeDocument/2006/relationships" ref="M163" r:id="rId588"/>
    <hyperlink xmlns:r="http://schemas.openxmlformats.org/officeDocument/2006/relationships" ref="N163" r:id="rId589"/>
    <hyperlink xmlns:r="http://schemas.openxmlformats.org/officeDocument/2006/relationships" ref="O163" r:id="rId590"/>
    <hyperlink xmlns:r="http://schemas.openxmlformats.org/officeDocument/2006/relationships" ref="P163" r:id="rId591"/>
    <hyperlink xmlns:r="http://schemas.openxmlformats.org/officeDocument/2006/relationships" ref="M164" r:id="rId592"/>
    <hyperlink xmlns:r="http://schemas.openxmlformats.org/officeDocument/2006/relationships" ref="N164" r:id="rId593"/>
    <hyperlink xmlns:r="http://schemas.openxmlformats.org/officeDocument/2006/relationships" ref="O164" r:id="rId594"/>
    <hyperlink xmlns:r="http://schemas.openxmlformats.org/officeDocument/2006/relationships" ref="P164" r:id="rId595"/>
    <hyperlink xmlns:r="http://schemas.openxmlformats.org/officeDocument/2006/relationships" ref="M165" r:id="rId596"/>
    <hyperlink xmlns:r="http://schemas.openxmlformats.org/officeDocument/2006/relationships" ref="N165" r:id="rId597"/>
    <hyperlink xmlns:r="http://schemas.openxmlformats.org/officeDocument/2006/relationships" ref="P165" r:id="rId598"/>
    <hyperlink xmlns:r="http://schemas.openxmlformats.org/officeDocument/2006/relationships" ref="M166" r:id="rId599"/>
    <hyperlink xmlns:r="http://schemas.openxmlformats.org/officeDocument/2006/relationships" ref="N166" r:id="rId600"/>
    <hyperlink xmlns:r="http://schemas.openxmlformats.org/officeDocument/2006/relationships" ref="O166" r:id="rId601"/>
    <hyperlink xmlns:r="http://schemas.openxmlformats.org/officeDocument/2006/relationships" ref="P166" r:id="rId602"/>
    <hyperlink xmlns:r="http://schemas.openxmlformats.org/officeDocument/2006/relationships" ref="M167" r:id="rId603"/>
    <hyperlink xmlns:r="http://schemas.openxmlformats.org/officeDocument/2006/relationships" ref="N167" r:id="rId604"/>
    <hyperlink xmlns:r="http://schemas.openxmlformats.org/officeDocument/2006/relationships" ref="O167" r:id="rId605"/>
    <hyperlink xmlns:r="http://schemas.openxmlformats.org/officeDocument/2006/relationships" ref="P167" r:id="rId606"/>
    <hyperlink xmlns:r="http://schemas.openxmlformats.org/officeDocument/2006/relationships" ref="M168" r:id="rId607"/>
    <hyperlink xmlns:r="http://schemas.openxmlformats.org/officeDocument/2006/relationships" ref="N168" r:id="rId608"/>
    <hyperlink xmlns:r="http://schemas.openxmlformats.org/officeDocument/2006/relationships" ref="O168" r:id="rId609"/>
    <hyperlink xmlns:r="http://schemas.openxmlformats.org/officeDocument/2006/relationships" ref="P168" r:id="rId610"/>
    <hyperlink xmlns:r="http://schemas.openxmlformats.org/officeDocument/2006/relationships" ref="M169" r:id="rId611"/>
    <hyperlink xmlns:r="http://schemas.openxmlformats.org/officeDocument/2006/relationships" ref="N169" r:id="rId612"/>
    <hyperlink xmlns:r="http://schemas.openxmlformats.org/officeDocument/2006/relationships" ref="O169" r:id="rId613"/>
    <hyperlink xmlns:r="http://schemas.openxmlformats.org/officeDocument/2006/relationships" ref="P169" r:id="rId614"/>
    <hyperlink xmlns:r="http://schemas.openxmlformats.org/officeDocument/2006/relationships" ref="M170" r:id="rId615"/>
    <hyperlink xmlns:r="http://schemas.openxmlformats.org/officeDocument/2006/relationships" ref="N170" r:id="rId616"/>
    <hyperlink xmlns:r="http://schemas.openxmlformats.org/officeDocument/2006/relationships" ref="O170" r:id="rId617"/>
    <hyperlink xmlns:r="http://schemas.openxmlformats.org/officeDocument/2006/relationships" ref="P170" r:id="rId618"/>
    <hyperlink xmlns:r="http://schemas.openxmlformats.org/officeDocument/2006/relationships" ref="M171" r:id="rId619"/>
    <hyperlink xmlns:r="http://schemas.openxmlformats.org/officeDocument/2006/relationships" ref="N171" r:id="rId620"/>
    <hyperlink xmlns:r="http://schemas.openxmlformats.org/officeDocument/2006/relationships" ref="O171" r:id="rId621"/>
    <hyperlink xmlns:r="http://schemas.openxmlformats.org/officeDocument/2006/relationships" ref="P171" r:id="rId622"/>
    <hyperlink xmlns:r="http://schemas.openxmlformats.org/officeDocument/2006/relationships" ref="M172" r:id="rId623"/>
    <hyperlink xmlns:r="http://schemas.openxmlformats.org/officeDocument/2006/relationships" ref="N172" r:id="rId624"/>
    <hyperlink xmlns:r="http://schemas.openxmlformats.org/officeDocument/2006/relationships" ref="P172" r:id="rId625"/>
    <hyperlink xmlns:r="http://schemas.openxmlformats.org/officeDocument/2006/relationships" ref="M173" r:id="rId626"/>
    <hyperlink xmlns:r="http://schemas.openxmlformats.org/officeDocument/2006/relationships" ref="N173" r:id="rId627"/>
    <hyperlink xmlns:r="http://schemas.openxmlformats.org/officeDocument/2006/relationships" ref="O173" r:id="rId628"/>
    <hyperlink xmlns:r="http://schemas.openxmlformats.org/officeDocument/2006/relationships" ref="P173" r:id="rId629"/>
    <hyperlink xmlns:r="http://schemas.openxmlformats.org/officeDocument/2006/relationships" ref="M174" r:id="rId630"/>
    <hyperlink xmlns:r="http://schemas.openxmlformats.org/officeDocument/2006/relationships" ref="N174" r:id="rId631"/>
    <hyperlink xmlns:r="http://schemas.openxmlformats.org/officeDocument/2006/relationships" ref="P174" r:id="rId632"/>
    <hyperlink xmlns:r="http://schemas.openxmlformats.org/officeDocument/2006/relationships" ref="M175" r:id="rId633"/>
    <hyperlink xmlns:r="http://schemas.openxmlformats.org/officeDocument/2006/relationships" ref="N175" r:id="rId634"/>
    <hyperlink xmlns:r="http://schemas.openxmlformats.org/officeDocument/2006/relationships" ref="O175" r:id="rId635"/>
    <hyperlink xmlns:r="http://schemas.openxmlformats.org/officeDocument/2006/relationships" ref="P175" r:id="rId636"/>
    <hyperlink xmlns:r="http://schemas.openxmlformats.org/officeDocument/2006/relationships" ref="M176" r:id="rId637"/>
    <hyperlink xmlns:r="http://schemas.openxmlformats.org/officeDocument/2006/relationships" ref="N176" r:id="rId638"/>
    <hyperlink xmlns:r="http://schemas.openxmlformats.org/officeDocument/2006/relationships" ref="P176" r:id="rId639"/>
    <hyperlink xmlns:r="http://schemas.openxmlformats.org/officeDocument/2006/relationships" ref="M177" r:id="rId640"/>
    <hyperlink xmlns:r="http://schemas.openxmlformats.org/officeDocument/2006/relationships" ref="N177" r:id="rId641"/>
    <hyperlink xmlns:r="http://schemas.openxmlformats.org/officeDocument/2006/relationships" ref="P177" r:id="rId642"/>
    <hyperlink xmlns:r="http://schemas.openxmlformats.org/officeDocument/2006/relationships" ref="M178" r:id="rId643"/>
    <hyperlink xmlns:r="http://schemas.openxmlformats.org/officeDocument/2006/relationships" ref="P178" r:id="rId644"/>
    <hyperlink xmlns:r="http://schemas.openxmlformats.org/officeDocument/2006/relationships" ref="M179" r:id="rId645"/>
    <hyperlink xmlns:r="http://schemas.openxmlformats.org/officeDocument/2006/relationships" ref="N179" r:id="rId646"/>
    <hyperlink xmlns:r="http://schemas.openxmlformats.org/officeDocument/2006/relationships" ref="O179" r:id="rId647"/>
    <hyperlink xmlns:r="http://schemas.openxmlformats.org/officeDocument/2006/relationships" ref="P179" r:id="rId648"/>
    <hyperlink xmlns:r="http://schemas.openxmlformats.org/officeDocument/2006/relationships" ref="M180" r:id="rId649"/>
    <hyperlink xmlns:r="http://schemas.openxmlformats.org/officeDocument/2006/relationships" ref="N180" r:id="rId650"/>
    <hyperlink xmlns:r="http://schemas.openxmlformats.org/officeDocument/2006/relationships" ref="O180" r:id="rId651"/>
    <hyperlink xmlns:r="http://schemas.openxmlformats.org/officeDocument/2006/relationships" ref="P180" r:id="rId652"/>
    <hyperlink xmlns:r="http://schemas.openxmlformats.org/officeDocument/2006/relationships" ref="M181" r:id="rId653"/>
    <hyperlink xmlns:r="http://schemas.openxmlformats.org/officeDocument/2006/relationships" ref="N181" r:id="rId654"/>
    <hyperlink xmlns:r="http://schemas.openxmlformats.org/officeDocument/2006/relationships" ref="O181" r:id="rId655"/>
    <hyperlink xmlns:r="http://schemas.openxmlformats.org/officeDocument/2006/relationships" ref="P181" r:id="rId656"/>
    <hyperlink xmlns:r="http://schemas.openxmlformats.org/officeDocument/2006/relationships" ref="M182" r:id="rId657"/>
    <hyperlink xmlns:r="http://schemas.openxmlformats.org/officeDocument/2006/relationships" ref="N182" r:id="rId658"/>
    <hyperlink xmlns:r="http://schemas.openxmlformats.org/officeDocument/2006/relationships" ref="O182" r:id="rId659"/>
    <hyperlink xmlns:r="http://schemas.openxmlformats.org/officeDocument/2006/relationships" ref="P182" r:id="rId660"/>
    <hyperlink xmlns:r="http://schemas.openxmlformats.org/officeDocument/2006/relationships" ref="M183" r:id="rId661"/>
    <hyperlink xmlns:r="http://schemas.openxmlformats.org/officeDocument/2006/relationships" ref="N183" r:id="rId662"/>
    <hyperlink xmlns:r="http://schemas.openxmlformats.org/officeDocument/2006/relationships" ref="P183" r:id="rId663"/>
    <hyperlink xmlns:r="http://schemas.openxmlformats.org/officeDocument/2006/relationships" ref="M184" r:id="rId664"/>
    <hyperlink xmlns:r="http://schemas.openxmlformats.org/officeDocument/2006/relationships" ref="N184" r:id="rId665"/>
    <hyperlink xmlns:r="http://schemas.openxmlformats.org/officeDocument/2006/relationships" ref="P184" r:id="rId666"/>
    <hyperlink xmlns:r="http://schemas.openxmlformats.org/officeDocument/2006/relationships" ref="M185" r:id="rId667"/>
    <hyperlink xmlns:r="http://schemas.openxmlformats.org/officeDocument/2006/relationships" ref="N185" r:id="rId668"/>
    <hyperlink xmlns:r="http://schemas.openxmlformats.org/officeDocument/2006/relationships" ref="O185" r:id="rId669"/>
    <hyperlink xmlns:r="http://schemas.openxmlformats.org/officeDocument/2006/relationships" ref="P185" r:id="rId670"/>
    <hyperlink xmlns:r="http://schemas.openxmlformats.org/officeDocument/2006/relationships" ref="M186" r:id="rId671"/>
    <hyperlink xmlns:r="http://schemas.openxmlformats.org/officeDocument/2006/relationships" ref="N186" r:id="rId672"/>
    <hyperlink xmlns:r="http://schemas.openxmlformats.org/officeDocument/2006/relationships" ref="O186" r:id="rId673"/>
    <hyperlink xmlns:r="http://schemas.openxmlformats.org/officeDocument/2006/relationships" ref="P186" r:id="rId674"/>
    <hyperlink xmlns:r="http://schemas.openxmlformats.org/officeDocument/2006/relationships" ref="M187" r:id="rId675"/>
    <hyperlink xmlns:r="http://schemas.openxmlformats.org/officeDocument/2006/relationships" ref="N187" r:id="rId676"/>
    <hyperlink xmlns:r="http://schemas.openxmlformats.org/officeDocument/2006/relationships" ref="O187" r:id="rId677"/>
    <hyperlink xmlns:r="http://schemas.openxmlformats.org/officeDocument/2006/relationships" ref="P187" r:id="rId678"/>
    <hyperlink xmlns:r="http://schemas.openxmlformats.org/officeDocument/2006/relationships" ref="M188" r:id="rId679"/>
    <hyperlink xmlns:r="http://schemas.openxmlformats.org/officeDocument/2006/relationships" ref="N188" r:id="rId680"/>
    <hyperlink xmlns:r="http://schemas.openxmlformats.org/officeDocument/2006/relationships" ref="O188" r:id="rId681"/>
    <hyperlink xmlns:r="http://schemas.openxmlformats.org/officeDocument/2006/relationships" ref="P188" r:id="rId682"/>
    <hyperlink xmlns:r="http://schemas.openxmlformats.org/officeDocument/2006/relationships" ref="M189" r:id="rId683"/>
    <hyperlink xmlns:r="http://schemas.openxmlformats.org/officeDocument/2006/relationships" ref="N189" r:id="rId684"/>
    <hyperlink xmlns:r="http://schemas.openxmlformats.org/officeDocument/2006/relationships" ref="O189" r:id="rId685"/>
    <hyperlink xmlns:r="http://schemas.openxmlformats.org/officeDocument/2006/relationships" ref="P189" r:id="rId686"/>
    <hyperlink xmlns:r="http://schemas.openxmlformats.org/officeDocument/2006/relationships" ref="M190" r:id="rId687"/>
    <hyperlink xmlns:r="http://schemas.openxmlformats.org/officeDocument/2006/relationships" ref="N190" r:id="rId688"/>
    <hyperlink xmlns:r="http://schemas.openxmlformats.org/officeDocument/2006/relationships" ref="O190" r:id="rId689"/>
    <hyperlink xmlns:r="http://schemas.openxmlformats.org/officeDocument/2006/relationships" ref="P190" r:id="rId690"/>
    <hyperlink xmlns:r="http://schemas.openxmlformats.org/officeDocument/2006/relationships" ref="M191" r:id="rId691"/>
    <hyperlink xmlns:r="http://schemas.openxmlformats.org/officeDocument/2006/relationships" ref="N191" r:id="rId692"/>
    <hyperlink xmlns:r="http://schemas.openxmlformats.org/officeDocument/2006/relationships" ref="O191" r:id="rId693"/>
    <hyperlink xmlns:r="http://schemas.openxmlformats.org/officeDocument/2006/relationships" ref="P191" r:id="rId694"/>
    <hyperlink xmlns:r="http://schemas.openxmlformats.org/officeDocument/2006/relationships" ref="M192" r:id="rId695"/>
    <hyperlink xmlns:r="http://schemas.openxmlformats.org/officeDocument/2006/relationships" ref="N192" r:id="rId696"/>
    <hyperlink xmlns:r="http://schemas.openxmlformats.org/officeDocument/2006/relationships" ref="O192" r:id="rId697"/>
    <hyperlink xmlns:r="http://schemas.openxmlformats.org/officeDocument/2006/relationships" ref="P192" r:id="rId698"/>
    <hyperlink xmlns:r="http://schemas.openxmlformats.org/officeDocument/2006/relationships" ref="M193" r:id="rId699"/>
    <hyperlink xmlns:r="http://schemas.openxmlformats.org/officeDocument/2006/relationships" ref="N193" r:id="rId700"/>
    <hyperlink xmlns:r="http://schemas.openxmlformats.org/officeDocument/2006/relationships" ref="P193" r:id="rId701"/>
    <hyperlink xmlns:r="http://schemas.openxmlformats.org/officeDocument/2006/relationships" ref="M194" r:id="rId702"/>
    <hyperlink xmlns:r="http://schemas.openxmlformats.org/officeDocument/2006/relationships" ref="N194" r:id="rId703"/>
    <hyperlink xmlns:r="http://schemas.openxmlformats.org/officeDocument/2006/relationships" ref="P194" r:id="rId704"/>
    <hyperlink xmlns:r="http://schemas.openxmlformats.org/officeDocument/2006/relationships" ref="M195" r:id="rId705"/>
    <hyperlink xmlns:r="http://schemas.openxmlformats.org/officeDocument/2006/relationships" ref="N195" r:id="rId706"/>
    <hyperlink xmlns:r="http://schemas.openxmlformats.org/officeDocument/2006/relationships" ref="O195" r:id="rId707"/>
    <hyperlink xmlns:r="http://schemas.openxmlformats.org/officeDocument/2006/relationships" ref="P195" r:id="rId708"/>
    <hyperlink xmlns:r="http://schemas.openxmlformats.org/officeDocument/2006/relationships" ref="M196" r:id="rId709"/>
    <hyperlink xmlns:r="http://schemas.openxmlformats.org/officeDocument/2006/relationships" ref="N196" r:id="rId710"/>
    <hyperlink xmlns:r="http://schemas.openxmlformats.org/officeDocument/2006/relationships" ref="O196" r:id="rId711"/>
    <hyperlink xmlns:r="http://schemas.openxmlformats.org/officeDocument/2006/relationships" ref="P196" r:id="rId712"/>
    <hyperlink xmlns:r="http://schemas.openxmlformats.org/officeDocument/2006/relationships" ref="M197" r:id="rId713"/>
    <hyperlink xmlns:r="http://schemas.openxmlformats.org/officeDocument/2006/relationships" ref="N197" r:id="rId714"/>
    <hyperlink xmlns:r="http://schemas.openxmlformats.org/officeDocument/2006/relationships" ref="P197" r:id="rId715"/>
    <hyperlink xmlns:r="http://schemas.openxmlformats.org/officeDocument/2006/relationships" ref="M198" r:id="rId716"/>
    <hyperlink xmlns:r="http://schemas.openxmlformats.org/officeDocument/2006/relationships" ref="N198" r:id="rId717"/>
    <hyperlink xmlns:r="http://schemas.openxmlformats.org/officeDocument/2006/relationships" ref="P198" r:id="rId718"/>
    <hyperlink xmlns:r="http://schemas.openxmlformats.org/officeDocument/2006/relationships" ref="M199" r:id="rId719"/>
    <hyperlink xmlns:r="http://schemas.openxmlformats.org/officeDocument/2006/relationships" ref="N199" r:id="rId720"/>
    <hyperlink xmlns:r="http://schemas.openxmlformats.org/officeDocument/2006/relationships" ref="P199" r:id="rId721"/>
    <hyperlink xmlns:r="http://schemas.openxmlformats.org/officeDocument/2006/relationships" ref="M200" r:id="rId722"/>
    <hyperlink xmlns:r="http://schemas.openxmlformats.org/officeDocument/2006/relationships" ref="N200" r:id="rId723"/>
    <hyperlink xmlns:r="http://schemas.openxmlformats.org/officeDocument/2006/relationships" ref="P200" r:id="rId724"/>
    <hyperlink xmlns:r="http://schemas.openxmlformats.org/officeDocument/2006/relationships" ref="M201" r:id="rId725"/>
    <hyperlink xmlns:r="http://schemas.openxmlformats.org/officeDocument/2006/relationships" ref="N201" r:id="rId726"/>
    <hyperlink xmlns:r="http://schemas.openxmlformats.org/officeDocument/2006/relationships" ref="O201" r:id="rId727"/>
    <hyperlink xmlns:r="http://schemas.openxmlformats.org/officeDocument/2006/relationships" ref="P201" r:id="rId728"/>
    <hyperlink xmlns:r="http://schemas.openxmlformats.org/officeDocument/2006/relationships" ref="M202" r:id="rId729"/>
    <hyperlink xmlns:r="http://schemas.openxmlformats.org/officeDocument/2006/relationships" ref="N202" r:id="rId730"/>
    <hyperlink xmlns:r="http://schemas.openxmlformats.org/officeDocument/2006/relationships" ref="O202" r:id="rId731"/>
    <hyperlink xmlns:r="http://schemas.openxmlformats.org/officeDocument/2006/relationships" ref="P202" r:id="rId732"/>
    <hyperlink xmlns:r="http://schemas.openxmlformats.org/officeDocument/2006/relationships" ref="M203" r:id="rId733"/>
    <hyperlink xmlns:r="http://schemas.openxmlformats.org/officeDocument/2006/relationships" ref="N203" r:id="rId734"/>
    <hyperlink xmlns:r="http://schemas.openxmlformats.org/officeDocument/2006/relationships" ref="O203" r:id="rId735"/>
    <hyperlink xmlns:r="http://schemas.openxmlformats.org/officeDocument/2006/relationships" ref="P203" r:id="rId736"/>
    <hyperlink xmlns:r="http://schemas.openxmlformats.org/officeDocument/2006/relationships" ref="M204" r:id="rId737"/>
    <hyperlink xmlns:r="http://schemas.openxmlformats.org/officeDocument/2006/relationships" ref="N204" r:id="rId738"/>
    <hyperlink xmlns:r="http://schemas.openxmlformats.org/officeDocument/2006/relationships" ref="P204" r:id="rId739"/>
    <hyperlink xmlns:r="http://schemas.openxmlformats.org/officeDocument/2006/relationships" ref="M205" r:id="rId740"/>
    <hyperlink xmlns:r="http://schemas.openxmlformats.org/officeDocument/2006/relationships" ref="N205" r:id="rId741"/>
    <hyperlink xmlns:r="http://schemas.openxmlformats.org/officeDocument/2006/relationships" ref="P205" r:id="rId742"/>
    <hyperlink xmlns:r="http://schemas.openxmlformats.org/officeDocument/2006/relationships" ref="M206" r:id="rId743"/>
    <hyperlink xmlns:r="http://schemas.openxmlformats.org/officeDocument/2006/relationships" ref="N206" r:id="rId744"/>
    <hyperlink xmlns:r="http://schemas.openxmlformats.org/officeDocument/2006/relationships" ref="O206" r:id="rId745"/>
    <hyperlink xmlns:r="http://schemas.openxmlformats.org/officeDocument/2006/relationships" ref="P206" r:id="rId746"/>
    <hyperlink xmlns:r="http://schemas.openxmlformats.org/officeDocument/2006/relationships" ref="M207" r:id="rId747"/>
    <hyperlink xmlns:r="http://schemas.openxmlformats.org/officeDocument/2006/relationships" ref="N207" r:id="rId748"/>
    <hyperlink xmlns:r="http://schemas.openxmlformats.org/officeDocument/2006/relationships" ref="O207" r:id="rId749"/>
    <hyperlink xmlns:r="http://schemas.openxmlformats.org/officeDocument/2006/relationships" ref="P207" r:id="rId750"/>
    <hyperlink xmlns:r="http://schemas.openxmlformats.org/officeDocument/2006/relationships" ref="M208" r:id="rId751"/>
    <hyperlink xmlns:r="http://schemas.openxmlformats.org/officeDocument/2006/relationships" ref="N208" r:id="rId752"/>
    <hyperlink xmlns:r="http://schemas.openxmlformats.org/officeDocument/2006/relationships" ref="P208" r:id="rId753"/>
    <hyperlink xmlns:r="http://schemas.openxmlformats.org/officeDocument/2006/relationships" ref="M209" r:id="rId754"/>
    <hyperlink xmlns:r="http://schemas.openxmlformats.org/officeDocument/2006/relationships" ref="N209" r:id="rId755"/>
    <hyperlink xmlns:r="http://schemas.openxmlformats.org/officeDocument/2006/relationships" ref="P209" r:id="rId756"/>
    <hyperlink xmlns:r="http://schemas.openxmlformats.org/officeDocument/2006/relationships" ref="N210" r:id="rId757"/>
    <hyperlink xmlns:r="http://schemas.openxmlformats.org/officeDocument/2006/relationships" ref="O210" r:id="rId758"/>
    <hyperlink xmlns:r="http://schemas.openxmlformats.org/officeDocument/2006/relationships" ref="P210" r:id="rId759"/>
    <hyperlink xmlns:r="http://schemas.openxmlformats.org/officeDocument/2006/relationships" ref="M211" r:id="rId760"/>
    <hyperlink xmlns:r="http://schemas.openxmlformats.org/officeDocument/2006/relationships" ref="N211" r:id="rId761"/>
    <hyperlink xmlns:r="http://schemas.openxmlformats.org/officeDocument/2006/relationships" ref="O211" r:id="rId762"/>
    <hyperlink xmlns:r="http://schemas.openxmlformats.org/officeDocument/2006/relationships" ref="P211" r:id="rId763"/>
    <hyperlink xmlns:r="http://schemas.openxmlformats.org/officeDocument/2006/relationships" ref="M212" r:id="rId764"/>
    <hyperlink xmlns:r="http://schemas.openxmlformats.org/officeDocument/2006/relationships" ref="N212" r:id="rId765"/>
    <hyperlink xmlns:r="http://schemas.openxmlformats.org/officeDocument/2006/relationships" ref="P212" r:id="rId766"/>
    <hyperlink xmlns:r="http://schemas.openxmlformats.org/officeDocument/2006/relationships" ref="M213" r:id="rId767"/>
    <hyperlink xmlns:r="http://schemas.openxmlformats.org/officeDocument/2006/relationships" ref="N213" r:id="rId768"/>
    <hyperlink xmlns:r="http://schemas.openxmlformats.org/officeDocument/2006/relationships" ref="O213" r:id="rId769"/>
    <hyperlink xmlns:r="http://schemas.openxmlformats.org/officeDocument/2006/relationships" ref="P213" r:id="rId770"/>
    <hyperlink xmlns:r="http://schemas.openxmlformats.org/officeDocument/2006/relationships" ref="M214" r:id="rId771"/>
    <hyperlink xmlns:r="http://schemas.openxmlformats.org/officeDocument/2006/relationships" ref="N214" r:id="rId772"/>
    <hyperlink xmlns:r="http://schemas.openxmlformats.org/officeDocument/2006/relationships" ref="O214" r:id="rId773"/>
    <hyperlink xmlns:r="http://schemas.openxmlformats.org/officeDocument/2006/relationships" ref="P214" r:id="rId774"/>
    <hyperlink xmlns:r="http://schemas.openxmlformats.org/officeDocument/2006/relationships" ref="M215" r:id="rId775"/>
    <hyperlink xmlns:r="http://schemas.openxmlformats.org/officeDocument/2006/relationships" ref="N215" r:id="rId776"/>
    <hyperlink xmlns:r="http://schemas.openxmlformats.org/officeDocument/2006/relationships" ref="P215" r:id="rId777"/>
    <hyperlink xmlns:r="http://schemas.openxmlformats.org/officeDocument/2006/relationships" ref="M216" r:id="rId778"/>
    <hyperlink xmlns:r="http://schemas.openxmlformats.org/officeDocument/2006/relationships" ref="N216" r:id="rId779"/>
    <hyperlink xmlns:r="http://schemas.openxmlformats.org/officeDocument/2006/relationships" ref="O216" r:id="rId780"/>
    <hyperlink xmlns:r="http://schemas.openxmlformats.org/officeDocument/2006/relationships" ref="P216" r:id="rId781"/>
    <hyperlink xmlns:r="http://schemas.openxmlformats.org/officeDocument/2006/relationships" ref="M217" r:id="rId782"/>
    <hyperlink xmlns:r="http://schemas.openxmlformats.org/officeDocument/2006/relationships" ref="N217" r:id="rId783"/>
    <hyperlink xmlns:r="http://schemas.openxmlformats.org/officeDocument/2006/relationships" ref="O217" r:id="rId784"/>
    <hyperlink xmlns:r="http://schemas.openxmlformats.org/officeDocument/2006/relationships" ref="P217" r:id="rId785"/>
    <hyperlink xmlns:r="http://schemas.openxmlformats.org/officeDocument/2006/relationships" ref="M218" r:id="rId786"/>
    <hyperlink xmlns:r="http://schemas.openxmlformats.org/officeDocument/2006/relationships" ref="N218" r:id="rId787"/>
    <hyperlink xmlns:r="http://schemas.openxmlformats.org/officeDocument/2006/relationships" ref="P218" r:id="rId788"/>
    <hyperlink xmlns:r="http://schemas.openxmlformats.org/officeDocument/2006/relationships" ref="M219" r:id="rId789"/>
    <hyperlink xmlns:r="http://schemas.openxmlformats.org/officeDocument/2006/relationships" ref="N219" r:id="rId790"/>
    <hyperlink xmlns:r="http://schemas.openxmlformats.org/officeDocument/2006/relationships" ref="O219" r:id="rId791"/>
    <hyperlink xmlns:r="http://schemas.openxmlformats.org/officeDocument/2006/relationships" ref="P219" r:id="rId792"/>
    <hyperlink xmlns:r="http://schemas.openxmlformats.org/officeDocument/2006/relationships" ref="M220" r:id="rId793"/>
    <hyperlink xmlns:r="http://schemas.openxmlformats.org/officeDocument/2006/relationships" ref="N220" r:id="rId794"/>
    <hyperlink xmlns:r="http://schemas.openxmlformats.org/officeDocument/2006/relationships" ref="O220" r:id="rId795"/>
    <hyperlink xmlns:r="http://schemas.openxmlformats.org/officeDocument/2006/relationships" ref="P220" r:id="rId796"/>
    <hyperlink xmlns:r="http://schemas.openxmlformats.org/officeDocument/2006/relationships" ref="M221" r:id="rId797"/>
    <hyperlink xmlns:r="http://schemas.openxmlformats.org/officeDocument/2006/relationships" ref="N221" r:id="rId798"/>
    <hyperlink xmlns:r="http://schemas.openxmlformats.org/officeDocument/2006/relationships" ref="O221" r:id="rId799"/>
    <hyperlink xmlns:r="http://schemas.openxmlformats.org/officeDocument/2006/relationships" ref="P221" r:id="rId800"/>
    <hyperlink xmlns:r="http://schemas.openxmlformats.org/officeDocument/2006/relationships" ref="M222" r:id="rId801"/>
    <hyperlink xmlns:r="http://schemas.openxmlformats.org/officeDocument/2006/relationships" ref="N222" r:id="rId802"/>
    <hyperlink xmlns:r="http://schemas.openxmlformats.org/officeDocument/2006/relationships" ref="O222" r:id="rId803"/>
    <hyperlink xmlns:r="http://schemas.openxmlformats.org/officeDocument/2006/relationships" ref="P222" r:id="rId804"/>
    <hyperlink xmlns:r="http://schemas.openxmlformats.org/officeDocument/2006/relationships" ref="M223" r:id="rId805"/>
    <hyperlink xmlns:r="http://schemas.openxmlformats.org/officeDocument/2006/relationships" ref="N223" r:id="rId806"/>
    <hyperlink xmlns:r="http://schemas.openxmlformats.org/officeDocument/2006/relationships" ref="O223" r:id="rId807"/>
    <hyperlink xmlns:r="http://schemas.openxmlformats.org/officeDocument/2006/relationships" ref="P223" r:id="rId808"/>
    <hyperlink xmlns:r="http://schemas.openxmlformats.org/officeDocument/2006/relationships" ref="M224" r:id="rId809"/>
    <hyperlink xmlns:r="http://schemas.openxmlformats.org/officeDocument/2006/relationships" ref="N224" r:id="rId810"/>
    <hyperlink xmlns:r="http://schemas.openxmlformats.org/officeDocument/2006/relationships" ref="P224" r:id="rId811"/>
    <hyperlink xmlns:r="http://schemas.openxmlformats.org/officeDocument/2006/relationships" ref="M225" r:id="rId812"/>
    <hyperlink xmlns:r="http://schemas.openxmlformats.org/officeDocument/2006/relationships" ref="N225" r:id="rId813"/>
    <hyperlink xmlns:r="http://schemas.openxmlformats.org/officeDocument/2006/relationships" ref="O225" r:id="rId814"/>
    <hyperlink xmlns:r="http://schemas.openxmlformats.org/officeDocument/2006/relationships" ref="P225" r:id="rId815"/>
    <hyperlink xmlns:r="http://schemas.openxmlformats.org/officeDocument/2006/relationships" ref="M226" r:id="rId816"/>
    <hyperlink xmlns:r="http://schemas.openxmlformats.org/officeDocument/2006/relationships" ref="N226" r:id="rId817"/>
    <hyperlink xmlns:r="http://schemas.openxmlformats.org/officeDocument/2006/relationships" ref="O226" r:id="rId818"/>
    <hyperlink xmlns:r="http://schemas.openxmlformats.org/officeDocument/2006/relationships" ref="P226" r:id="rId819"/>
    <hyperlink xmlns:r="http://schemas.openxmlformats.org/officeDocument/2006/relationships" ref="M227" r:id="rId820"/>
    <hyperlink xmlns:r="http://schemas.openxmlformats.org/officeDocument/2006/relationships" ref="N227" r:id="rId821"/>
    <hyperlink xmlns:r="http://schemas.openxmlformats.org/officeDocument/2006/relationships" ref="O227" r:id="rId822"/>
    <hyperlink xmlns:r="http://schemas.openxmlformats.org/officeDocument/2006/relationships" ref="P227" r:id="rId823"/>
    <hyperlink xmlns:r="http://schemas.openxmlformats.org/officeDocument/2006/relationships" ref="M228" r:id="rId824"/>
    <hyperlink xmlns:r="http://schemas.openxmlformats.org/officeDocument/2006/relationships" ref="N228" r:id="rId825"/>
    <hyperlink xmlns:r="http://schemas.openxmlformats.org/officeDocument/2006/relationships" ref="O228" r:id="rId826"/>
    <hyperlink xmlns:r="http://schemas.openxmlformats.org/officeDocument/2006/relationships" ref="P228" r:id="rId827"/>
    <hyperlink xmlns:r="http://schemas.openxmlformats.org/officeDocument/2006/relationships" ref="M229" r:id="rId828"/>
    <hyperlink xmlns:r="http://schemas.openxmlformats.org/officeDocument/2006/relationships" ref="N229" r:id="rId829"/>
    <hyperlink xmlns:r="http://schemas.openxmlformats.org/officeDocument/2006/relationships" ref="P229" r:id="rId830"/>
    <hyperlink xmlns:r="http://schemas.openxmlformats.org/officeDocument/2006/relationships" ref="M230" r:id="rId831"/>
    <hyperlink xmlns:r="http://schemas.openxmlformats.org/officeDocument/2006/relationships" ref="N230" r:id="rId832"/>
    <hyperlink xmlns:r="http://schemas.openxmlformats.org/officeDocument/2006/relationships" ref="O230" r:id="rId833"/>
    <hyperlink xmlns:r="http://schemas.openxmlformats.org/officeDocument/2006/relationships" ref="P230" r:id="rId834"/>
    <hyperlink xmlns:r="http://schemas.openxmlformats.org/officeDocument/2006/relationships" ref="M231" r:id="rId835"/>
    <hyperlink xmlns:r="http://schemas.openxmlformats.org/officeDocument/2006/relationships" ref="N231" r:id="rId836"/>
    <hyperlink xmlns:r="http://schemas.openxmlformats.org/officeDocument/2006/relationships" ref="O231" r:id="rId837"/>
    <hyperlink xmlns:r="http://schemas.openxmlformats.org/officeDocument/2006/relationships" ref="P231" r:id="rId838"/>
    <hyperlink xmlns:r="http://schemas.openxmlformats.org/officeDocument/2006/relationships" ref="M232" r:id="rId839"/>
    <hyperlink xmlns:r="http://schemas.openxmlformats.org/officeDocument/2006/relationships" ref="N232" r:id="rId840"/>
    <hyperlink xmlns:r="http://schemas.openxmlformats.org/officeDocument/2006/relationships" ref="O232" r:id="rId841"/>
    <hyperlink xmlns:r="http://schemas.openxmlformats.org/officeDocument/2006/relationships" ref="P232" r:id="rId842"/>
    <hyperlink xmlns:r="http://schemas.openxmlformats.org/officeDocument/2006/relationships" ref="M233" r:id="rId843"/>
    <hyperlink xmlns:r="http://schemas.openxmlformats.org/officeDocument/2006/relationships" ref="N233" r:id="rId844"/>
    <hyperlink xmlns:r="http://schemas.openxmlformats.org/officeDocument/2006/relationships" ref="P233" r:id="rId845"/>
    <hyperlink xmlns:r="http://schemas.openxmlformats.org/officeDocument/2006/relationships" ref="M234" r:id="rId846"/>
    <hyperlink xmlns:r="http://schemas.openxmlformats.org/officeDocument/2006/relationships" ref="N234" r:id="rId847"/>
    <hyperlink xmlns:r="http://schemas.openxmlformats.org/officeDocument/2006/relationships" ref="O234" r:id="rId848"/>
    <hyperlink xmlns:r="http://schemas.openxmlformats.org/officeDocument/2006/relationships" ref="P234" r:id="rId849"/>
    <hyperlink xmlns:r="http://schemas.openxmlformats.org/officeDocument/2006/relationships" ref="M235" r:id="rId850"/>
    <hyperlink xmlns:r="http://schemas.openxmlformats.org/officeDocument/2006/relationships" ref="N235" r:id="rId851"/>
    <hyperlink xmlns:r="http://schemas.openxmlformats.org/officeDocument/2006/relationships" ref="O235" r:id="rId852"/>
    <hyperlink xmlns:r="http://schemas.openxmlformats.org/officeDocument/2006/relationships" ref="P235" r:id="rId853"/>
    <hyperlink xmlns:r="http://schemas.openxmlformats.org/officeDocument/2006/relationships" ref="M236" r:id="rId854"/>
    <hyperlink xmlns:r="http://schemas.openxmlformats.org/officeDocument/2006/relationships" ref="N236" r:id="rId855"/>
    <hyperlink xmlns:r="http://schemas.openxmlformats.org/officeDocument/2006/relationships" ref="P236" r:id="rId856"/>
    <hyperlink xmlns:r="http://schemas.openxmlformats.org/officeDocument/2006/relationships" ref="M237" r:id="rId857"/>
    <hyperlink xmlns:r="http://schemas.openxmlformats.org/officeDocument/2006/relationships" ref="N237" r:id="rId858"/>
    <hyperlink xmlns:r="http://schemas.openxmlformats.org/officeDocument/2006/relationships" ref="O237" r:id="rId859"/>
    <hyperlink xmlns:r="http://schemas.openxmlformats.org/officeDocument/2006/relationships" ref="P237" r:id="rId860"/>
    <hyperlink xmlns:r="http://schemas.openxmlformats.org/officeDocument/2006/relationships" ref="M238" r:id="rId861"/>
    <hyperlink xmlns:r="http://schemas.openxmlformats.org/officeDocument/2006/relationships" ref="N238" r:id="rId862"/>
    <hyperlink xmlns:r="http://schemas.openxmlformats.org/officeDocument/2006/relationships" ref="O238" r:id="rId863"/>
    <hyperlink xmlns:r="http://schemas.openxmlformats.org/officeDocument/2006/relationships" ref="P238" r:id="rId864"/>
    <hyperlink xmlns:r="http://schemas.openxmlformats.org/officeDocument/2006/relationships" ref="M239" r:id="rId865"/>
    <hyperlink xmlns:r="http://schemas.openxmlformats.org/officeDocument/2006/relationships" ref="N239" r:id="rId866"/>
    <hyperlink xmlns:r="http://schemas.openxmlformats.org/officeDocument/2006/relationships" ref="O239" r:id="rId867"/>
    <hyperlink xmlns:r="http://schemas.openxmlformats.org/officeDocument/2006/relationships" ref="P239" r:id="rId868"/>
    <hyperlink xmlns:r="http://schemas.openxmlformats.org/officeDocument/2006/relationships" ref="M240" r:id="rId869"/>
    <hyperlink xmlns:r="http://schemas.openxmlformats.org/officeDocument/2006/relationships" ref="N240" r:id="rId870"/>
    <hyperlink xmlns:r="http://schemas.openxmlformats.org/officeDocument/2006/relationships" ref="O240" r:id="rId871"/>
    <hyperlink xmlns:r="http://schemas.openxmlformats.org/officeDocument/2006/relationships" ref="P240" r:id="rId872"/>
    <hyperlink xmlns:r="http://schemas.openxmlformats.org/officeDocument/2006/relationships" ref="M241" r:id="rId873"/>
    <hyperlink xmlns:r="http://schemas.openxmlformats.org/officeDocument/2006/relationships" ref="N241" r:id="rId874"/>
    <hyperlink xmlns:r="http://schemas.openxmlformats.org/officeDocument/2006/relationships" ref="O241" r:id="rId875"/>
    <hyperlink xmlns:r="http://schemas.openxmlformats.org/officeDocument/2006/relationships" ref="P241" r:id="rId876"/>
    <hyperlink xmlns:r="http://schemas.openxmlformats.org/officeDocument/2006/relationships" ref="M242" r:id="rId877"/>
    <hyperlink xmlns:r="http://schemas.openxmlformats.org/officeDocument/2006/relationships" ref="N242" r:id="rId878"/>
    <hyperlink xmlns:r="http://schemas.openxmlformats.org/officeDocument/2006/relationships" ref="P242" r:id="rId879"/>
    <hyperlink xmlns:r="http://schemas.openxmlformats.org/officeDocument/2006/relationships" ref="M243" r:id="rId880"/>
    <hyperlink xmlns:r="http://schemas.openxmlformats.org/officeDocument/2006/relationships" ref="N243" r:id="rId881"/>
    <hyperlink xmlns:r="http://schemas.openxmlformats.org/officeDocument/2006/relationships" ref="O243" r:id="rId882"/>
    <hyperlink xmlns:r="http://schemas.openxmlformats.org/officeDocument/2006/relationships" ref="P243" r:id="rId883"/>
    <hyperlink xmlns:r="http://schemas.openxmlformats.org/officeDocument/2006/relationships" ref="M244" r:id="rId884"/>
    <hyperlink xmlns:r="http://schemas.openxmlformats.org/officeDocument/2006/relationships" ref="N244" r:id="rId885"/>
    <hyperlink xmlns:r="http://schemas.openxmlformats.org/officeDocument/2006/relationships" ref="O244" r:id="rId886"/>
    <hyperlink xmlns:r="http://schemas.openxmlformats.org/officeDocument/2006/relationships" ref="P244" r:id="rId887"/>
    <hyperlink xmlns:r="http://schemas.openxmlformats.org/officeDocument/2006/relationships" ref="M245" r:id="rId888"/>
    <hyperlink xmlns:r="http://schemas.openxmlformats.org/officeDocument/2006/relationships" ref="N245" r:id="rId889"/>
    <hyperlink xmlns:r="http://schemas.openxmlformats.org/officeDocument/2006/relationships" ref="O245" r:id="rId890"/>
    <hyperlink xmlns:r="http://schemas.openxmlformats.org/officeDocument/2006/relationships" ref="P245" r:id="rId891"/>
    <hyperlink xmlns:r="http://schemas.openxmlformats.org/officeDocument/2006/relationships" ref="M246" r:id="rId892"/>
    <hyperlink xmlns:r="http://schemas.openxmlformats.org/officeDocument/2006/relationships" ref="N246" r:id="rId893"/>
    <hyperlink xmlns:r="http://schemas.openxmlformats.org/officeDocument/2006/relationships" ref="P246" r:id="rId894"/>
    <hyperlink xmlns:r="http://schemas.openxmlformats.org/officeDocument/2006/relationships" ref="M247" r:id="rId895"/>
    <hyperlink xmlns:r="http://schemas.openxmlformats.org/officeDocument/2006/relationships" ref="N247" r:id="rId896"/>
    <hyperlink xmlns:r="http://schemas.openxmlformats.org/officeDocument/2006/relationships" ref="O247" r:id="rId897"/>
    <hyperlink xmlns:r="http://schemas.openxmlformats.org/officeDocument/2006/relationships" ref="P247" r:id="rId898"/>
    <hyperlink xmlns:r="http://schemas.openxmlformats.org/officeDocument/2006/relationships" ref="M248" r:id="rId899"/>
    <hyperlink xmlns:r="http://schemas.openxmlformats.org/officeDocument/2006/relationships" ref="N248" r:id="rId900"/>
    <hyperlink xmlns:r="http://schemas.openxmlformats.org/officeDocument/2006/relationships" ref="O248" r:id="rId901"/>
    <hyperlink xmlns:r="http://schemas.openxmlformats.org/officeDocument/2006/relationships" ref="P248" r:id="rId902"/>
    <hyperlink xmlns:r="http://schemas.openxmlformats.org/officeDocument/2006/relationships" ref="M250" r:id="rId903"/>
    <hyperlink xmlns:r="http://schemas.openxmlformats.org/officeDocument/2006/relationships" ref="N250" r:id="rId904"/>
    <hyperlink xmlns:r="http://schemas.openxmlformats.org/officeDocument/2006/relationships" ref="P250" r:id="rId905"/>
    <hyperlink xmlns:r="http://schemas.openxmlformats.org/officeDocument/2006/relationships" ref="M251" r:id="rId906"/>
    <hyperlink xmlns:r="http://schemas.openxmlformats.org/officeDocument/2006/relationships" ref="N251" r:id="rId907"/>
    <hyperlink xmlns:r="http://schemas.openxmlformats.org/officeDocument/2006/relationships" ref="O251" r:id="rId908"/>
    <hyperlink xmlns:r="http://schemas.openxmlformats.org/officeDocument/2006/relationships" ref="P251" r:id="rId909"/>
    <hyperlink xmlns:r="http://schemas.openxmlformats.org/officeDocument/2006/relationships" ref="M252" r:id="rId910"/>
    <hyperlink xmlns:r="http://schemas.openxmlformats.org/officeDocument/2006/relationships" ref="N252" r:id="rId911"/>
    <hyperlink xmlns:r="http://schemas.openxmlformats.org/officeDocument/2006/relationships" ref="P252" r:id="rId912"/>
    <hyperlink xmlns:r="http://schemas.openxmlformats.org/officeDocument/2006/relationships" ref="M253" r:id="rId913"/>
    <hyperlink xmlns:r="http://schemas.openxmlformats.org/officeDocument/2006/relationships" ref="N253" r:id="rId914"/>
    <hyperlink xmlns:r="http://schemas.openxmlformats.org/officeDocument/2006/relationships" ref="O253" r:id="rId915"/>
    <hyperlink xmlns:r="http://schemas.openxmlformats.org/officeDocument/2006/relationships" ref="P253" r:id="rId916"/>
    <hyperlink xmlns:r="http://schemas.openxmlformats.org/officeDocument/2006/relationships" ref="M254" r:id="rId917"/>
    <hyperlink xmlns:r="http://schemas.openxmlformats.org/officeDocument/2006/relationships" ref="N254" r:id="rId918"/>
    <hyperlink xmlns:r="http://schemas.openxmlformats.org/officeDocument/2006/relationships" ref="O254" r:id="rId919"/>
    <hyperlink xmlns:r="http://schemas.openxmlformats.org/officeDocument/2006/relationships" ref="P254" r:id="rId920"/>
    <hyperlink xmlns:r="http://schemas.openxmlformats.org/officeDocument/2006/relationships" ref="M255" r:id="rId921"/>
    <hyperlink xmlns:r="http://schemas.openxmlformats.org/officeDocument/2006/relationships" ref="N255" r:id="rId922"/>
    <hyperlink xmlns:r="http://schemas.openxmlformats.org/officeDocument/2006/relationships" ref="O255" r:id="rId923"/>
    <hyperlink xmlns:r="http://schemas.openxmlformats.org/officeDocument/2006/relationships" ref="P255" r:id="rId924"/>
    <hyperlink xmlns:r="http://schemas.openxmlformats.org/officeDocument/2006/relationships" ref="M256" r:id="rId925"/>
    <hyperlink xmlns:r="http://schemas.openxmlformats.org/officeDocument/2006/relationships" ref="N256" r:id="rId926"/>
    <hyperlink xmlns:r="http://schemas.openxmlformats.org/officeDocument/2006/relationships" ref="O256" r:id="rId927"/>
    <hyperlink xmlns:r="http://schemas.openxmlformats.org/officeDocument/2006/relationships" ref="P256" r:id="rId928"/>
    <hyperlink xmlns:r="http://schemas.openxmlformats.org/officeDocument/2006/relationships" ref="M257" r:id="rId929"/>
    <hyperlink xmlns:r="http://schemas.openxmlformats.org/officeDocument/2006/relationships" ref="N257" r:id="rId930"/>
    <hyperlink xmlns:r="http://schemas.openxmlformats.org/officeDocument/2006/relationships" ref="O257" r:id="rId931"/>
    <hyperlink xmlns:r="http://schemas.openxmlformats.org/officeDocument/2006/relationships" ref="P257" r:id="rId932"/>
    <hyperlink xmlns:r="http://schemas.openxmlformats.org/officeDocument/2006/relationships" ref="M258" r:id="rId933"/>
    <hyperlink xmlns:r="http://schemas.openxmlformats.org/officeDocument/2006/relationships" ref="N258" r:id="rId934"/>
    <hyperlink xmlns:r="http://schemas.openxmlformats.org/officeDocument/2006/relationships" ref="O258" r:id="rId935"/>
    <hyperlink xmlns:r="http://schemas.openxmlformats.org/officeDocument/2006/relationships" ref="P258" r:id="rId936"/>
    <hyperlink xmlns:r="http://schemas.openxmlformats.org/officeDocument/2006/relationships" ref="M259" r:id="rId937"/>
    <hyperlink xmlns:r="http://schemas.openxmlformats.org/officeDocument/2006/relationships" ref="N259" r:id="rId938"/>
    <hyperlink xmlns:r="http://schemas.openxmlformats.org/officeDocument/2006/relationships" ref="O259" r:id="rId939"/>
    <hyperlink xmlns:r="http://schemas.openxmlformats.org/officeDocument/2006/relationships" ref="P259" r:id="rId940"/>
    <hyperlink xmlns:r="http://schemas.openxmlformats.org/officeDocument/2006/relationships" ref="M260" r:id="rId941"/>
    <hyperlink xmlns:r="http://schemas.openxmlformats.org/officeDocument/2006/relationships" ref="N260" r:id="rId942"/>
    <hyperlink xmlns:r="http://schemas.openxmlformats.org/officeDocument/2006/relationships" ref="P260" r:id="rId943"/>
    <hyperlink xmlns:r="http://schemas.openxmlformats.org/officeDocument/2006/relationships" ref="M261" r:id="rId944"/>
    <hyperlink xmlns:r="http://schemas.openxmlformats.org/officeDocument/2006/relationships" ref="N261" r:id="rId945"/>
    <hyperlink xmlns:r="http://schemas.openxmlformats.org/officeDocument/2006/relationships" ref="O261" r:id="rId946"/>
    <hyperlink xmlns:r="http://schemas.openxmlformats.org/officeDocument/2006/relationships" ref="P261" r:id="rId947"/>
    <hyperlink xmlns:r="http://schemas.openxmlformats.org/officeDocument/2006/relationships" ref="M262" r:id="rId948"/>
    <hyperlink xmlns:r="http://schemas.openxmlformats.org/officeDocument/2006/relationships" ref="N262" r:id="rId949"/>
    <hyperlink xmlns:r="http://schemas.openxmlformats.org/officeDocument/2006/relationships" ref="O262" r:id="rId950"/>
    <hyperlink xmlns:r="http://schemas.openxmlformats.org/officeDocument/2006/relationships" ref="P262" r:id="rId951"/>
    <hyperlink xmlns:r="http://schemas.openxmlformats.org/officeDocument/2006/relationships" ref="M263" r:id="rId952"/>
    <hyperlink xmlns:r="http://schemas.openxmlformats.org/officeDocument/2006/relationships" ref="N263" r:id="rId953"/>
    <hyperlink xmlns:r="http://schemas.openxmlformats.org/officeDocument/2006/relationships" ref="P263" r:id="rId954"/>
    <hyperlink xmlns:r="http://schemas.openxmlformats.org/officeDocument/2006/relationships" ref="M264" r:id="rId955"/>
    <hyperlink xmlns:r="http://schemas.openxmlformats.org/officeDocument/2006/relationships" ref="N264" r:id="rId956"/>
    <hyperlink xmlns:r="http://schemas.openxmlformats.org/officeDocument/2006/relationships" ref="O264" r:id="rId957"/>
    <hyperlink xmlns:r="http://schemas.openxmlformats.org/officeDocument/2006/relationships" ref="P264" r:id="rId958"/>
    <hyperlink xmlns:r="http://schemas.openxmlformats.org/officeDocument/2006/relationships" ref="M265" r:id="rId959"/>
    <hyperlink xmlns:r="http://schemas.openxmlformats.org/officeDocument/2006/relationships" ref="N265" r:id="rId960"/>
    <hyperlink xmlns:r="http://schemas.openxmlformats.org/officeDocument/2006/relationships" ref="O265" r:id="rId961"/>
    <hyperlink xmlns:r="http://schemas.openxmlformats.org/officeDocument/2006/relationships" ref="P265" r:id="rId962"/>
    <hyperlink xmlns:r="http://schemas.openxmlformats.org/officeDocument/2006/relationships" ref="M266" r:id="rId963"/>
    <hyperlink xmlns:r="http://schemas.openxmlformats.org/officeDocument/2006/relationships" ref="N266" r:id="rId964"/>
    <hyperlink xmlns:r="http://schemas.openxmlformats.org/officeDocument/2006/relationships" ref="P266" r:id="rId965"/>
    <hyperlink xmlns:r="http://schemas.openxmlformats.org/officeDocument/2006/relationships" ref="M267" r:id="rId966"/>
    <hyperlink xmlns:r="http://schemas.openxmlformats.org/officeDocument/2006/relationships" ref="N267" r:id="rId967"/>
    <hyperlink xmlns:r="http://schemas.openxmlformats.org/officeDocument/2006/relationships" ref="O267" r:id="rId968"/>
    <hyperlink xmlns:r="http://schemas.openxmlformats.org/officeDocument/2006/relationships" ref="P267" r:id="rId969"/>
    <hyperlink xmlns:r="http://schemas.openxmlformats.org/officeDocument/2006/relationships" ref="M268" r:id="rId970"/>
    <hyperlink xmlns:r="http://schemas.openxmlformats.org/officeDocument/2006/relationships" ref="N268" r:id="rId971"/>
    <hyperlink xmlns:r="http://schemas.openxmlformats.org/officeDocument/2006/relationships" ref="O268" r:id="rId972"/>
    <hyperlink xmlns:r="http://schemas.openxmlformats.org/officeDocument/2006/relationships" ref="P268" r:id="rId973"/>
    <hyperlink xmlns:r="http://schemas.openxmlformats.org/officeDocument/2006/relationships" ref="M269" r:id="rId974"/>
    <hyperlink xmlns:r="http://schemas.openxmlformats.org/officeDocument/2006/relationships" ref="N269" r:id="rId975"/>
    <hyperlink xmlns:r="http://schemas.openxmlformats.org/officeDocument/2006/relationships" ref="O269" r:id="rId976"/>
    <hyperlink xmlns:r="http://schemas.openxmlformats.org/officeDocument/2006/relationships" ref="P269" r:id="rId977"/>
    <hyperlink xmlns:r="http://schemas.openxmlformats.org/officeDocument/2006/relationships" ref="M270" r:id="rId978"/>
    <hyperlink xmlns:r="http://schemas.openxmlformats.org/officeDocument/2006/relationships" ref="N270" r:id="rId979"/>
    <hyperlink xmlns:r="http://schemas.openxmlformats.org/officeDocument/2006/relationships" ref="P270" r:id="rId980"/>
    <hyperlink xmlns:r="http://schemas.openxmlformats.org/officeDocument/2006/relationships" ref="M271" r:id="rId981"/>
    <hyperlink xmlns:r="http://schemas.openxmlformats.org/officeDocument/2006/relationships" ref="N271" r:id="rId982"/>
    <hyperlink xmlns:r="http://schemas.openxmlformats.org/officeDocument/2006/relationships" ref="O271" r:id="rId983"/>
    <hyperlink xmlns:r="http://schemas.openxmlformats.org/officeDocument/2006/relationships" ref="P271" r:id="rId984"/>
    <hyperlink xmlns:r="http://schemas.openxmlformats.org/officeDocument/2006/relationships" ref="M272" r:id="rId985"/>
    <hyperlink xmlns:r="http://schemas.openxmlformats.org/officeDocument/2006/relationships" ref="N272" r:id="rId986"/>
    <hyperlink xmlns:r="http://schemas.openxmlformats.org/officeDocument/2006/relationships" ref="O272" r:id="rId987"/>
    <hyperlink xmlns:r="http://schemas.openxmlformats.org/officeDocument/2006/relationships" ref="P272" r:id="rId988"/>
    <hyperlink xmlns:r="http://schemas.openxmlformats.org/officeDocument/2006/relationships" ref="M273" r:id="rId989"/>
    <hyperlink xmlns:r="http://schemas.openxmlformats.org/officeDocument/2006/relationships" ref="N273" r:id="rId990"/>
    <hyperlink xmlns:r="http://schemas.openxmlformats.org/officeDocument/2006/relationships" ref="O273" r:id="rId991"/>
    <hyperlink xmlns:r="http://schemas.openxmlformats.org/officeDocument/2006/relationships" ref="P273" r:id="rId992"/>
    <hyperlink xmlns:r="http://schemas.openxmlformats.org/officeDocument/2006/relationships" ref="M274" r:id="rId993"/>
    <hyperlink xmlns:r="http://schemas.openxmlformats.org/officeDocument/2006/relationships" ref="N274" r:id="rId994"/>
    <hyperlink xmlns:r="http://schemas.openxmlformats.org/officeDocument/2006/relationships" ref="O274" r:id="rId995"/>
    <hyperlink xmlns:r="http://schemas.openxmlformats.org/officeDocument/2006/relationships" ref="P274" r:id="rId996"/>
    <hyperlink xmlns:r="http://schemas.openxmlformats.org/officeDocument/2006/relationships" ref="M275" r:id="rId997"/>
    <hyperlink xmlns:r="http://schemas.openxmlformats.org/officeDocument/2006/relationships" ref="N275" r:id="rId998"/>
    <hyperlink xmlns:r="http://schemas.openxmlformats.org/officeDocument/2006/relationships" ref="O275" r:id="rId999"/>
    <hyperlink xmlns:r="http://schemas.openxmlformats.org/officeDocument/2006/relationships" ref="P275" r:id="rId1000"/>
    <hyperlink xmlns:r="http://schemas.openxmlformats.org/officeDocument/2006/relationships" ref="M276" r:id="rId1001"/>
    <hyperlink xmlns:r="http://schemas.openxmlformats.org/officeDocument/2006/relationships" ref="N276" r:id="rId1002"/>
    <hyperlink xmlns:r="http://schemas.openxmlformats.org/officeDocument/2006/relationships" ref="O276" r:id="rId1003"/>
    <hyperlink xmlns:r="http://schemas.openxmlformats.org/officeDocument/2006/relationships" ref="P276" r:id="rId1004"/>
    <hyperlink xmlns:r="http://schemas.openxmlformats.org/officeDocument/2006/relationships" ref="M277" r:id="rId1005"/>
    <hyperlink xmlns:r="http://schemas.openxmlformats.org/officeDocument/2006/relationships" ref="N277" r:id="rId1006"/>
    <hyperlink xmlns:r="http://schemas.openxmlformats.org/officeDocument/2006/relationships" ref="O277" r:id="rId1007"/>
    <hyperlink xmlns:r="http://schemas.openxmlformats.org/officeDocument/2006/relationships" ref="P277" r:id="rId1008"/>
    <hyperlink xmlns:r="http://schemas.openxmlformats.org/officeDocument/2006/relationships" ref="M278" r:id="rId1009"/>
    <hyperlink xmlns:r="http://schemas.openxmlformats.org/officeDocument/2006/relationships" ref="N278" r:id="rId1010"/>
    <hyperlink xmlns:r="http://schemas.openxmlformats.org/officeDocument/2006/relationships" ref="P278" r:id="rId1011"/>
    <hyperlink xmlns:r="http://schemas.openxmlformats.org/officeDocument/2006/relationships" ref="M279" r:id="rId1012"/>
    <hyperlink xmlns:r="http://schemas.openxmlformats.org/officeDocument/2006/relationships" ref="N279" r:id="rId1013"/>
    <hyperlink xmlns:r="http://schemas.openxmlformats.org/officeDocument/2006/relationships" ref="O279" r:id="rId1014"/>
    <hyperlink xmlns:r="http://schemas.openxmlformats.org/officeDocument/2006/relationships" ref="P279" r:id="rId1015"/>
    <hyperlink xmlns:r="http://schemas.openxmlformats.org/officeDocument/2006/relationships" ref="M280" r:id="rId1016"/>
    <hyperlink xmlns:r="http://schemas.openxmlformats.org/officeDocument/2006/relationships" ref="N280" r:id="rId1017"/>
    <hyperlink xmlns:r="http://schemas.openxmlformats.org/officeDocument/2006/relationships" ref="P280" r:id="rId1018"/>
    <hyperlink xmlns:r="http://schemas.openxmlformats.org/officeDocument/2006/relationships" ref="M281" r:id="rId1019"/>
    <hyperlink xmlns:r="http://schemas.openxmlformats.org/officeDocument/2006/relationships" ref="N281" r:id="rId1020"/>
    <hyperlink xmlns:r="http://schemas.openxmlformats.org/officeDocument/2006/relationships" ref="O281" r:id="rId1021"/>
    <hyperlink xmlns:r="http://schemas.openxmlformats.org/officeDocument/2006/relationships" ref="P281" r:id="rId1022"/>
    <hyperlink xmlns:r="http://schemas.openxmlformats.org/officeDocument/2006/relationships" ref="M282" r:id="rId1023"/>
    <hyperlink xmlns:r="http://schemas.openxmlformats.org/officeDocument/2006/relationships" ref="N282" r:id="rId1024"/>
    <hyperlink xmlns:r="http://schemas.openxmlformats.org/officeDocument/2006/relationships" ref="P282" r:id="rId1025"/>
    <hyperlink xmlns:r="http://schemas.openxmlformats.org/officeDocument/2006/relationships" ref="M283" r:id="rId1026"/>
    <hyperlink xmlns:r="http://schemas.openxmlformats.org/officeDocument/2006/relationships" ref="N283" r:id="rId1027"/>
    <hyperlink xmlns:r="http://schemas.openxmlformats.org/officeDocument/2006/relationships" ref="P283" r:id="rId1028"/>
    <hyperlink xmlns:r="http://schemas.openxmlformats.org/officeDocument/2006/relationships" ref="M284" r:id="rId1029"/>
    <hyperlink xmlns:r="http://schemas.openxmlformats.org/officeDocument/2006/relationships" ref="N284" r:id="rId1030"/>
    <hyperlink xmlns:r="http://schemas.openxmlformats.org/officeDocument/2006/relationships" ref="P284" r:id="rId1031"/>
    <hyperlink xmlns:r="http://schemas.openxmlformats.org/officeDocument/2006/relationships" ref="M285" r:id="rId1032"/>
    <hyperlink xmlns:r="http://schemas.openxmlformats.org/officeDocument/2006/relationships" ref="N285" r:id="rId1033"/>
    <hyperlink xmlns:r="http://schemas.openxmlformats.org/officeDocument/2006/relationships" ref="O285" r:id="rId1034"/>
    <hyperlink xmlns:r="http://schemas.openxmlformats.org/officeDocument/2006/relationships" ref="P285" r:id="rId1035"/>
    <hyperlink xmlns:r="http://schemas.openxmlformats.org/officeDocument/2006/relationships" ref="M286" r:id="rId1036"/>
    <hyperlink xmlns:r="http://schemas.openxmlformats.org/officeDocument/2006/relationships" ref="N286" r:id="rId1037"/>
    <hyperlink xmlns:r="http://schemas.openxmlformats.org/officeDocument/2006/relationships" ref="O286" r:id="rId1038"/>
    <hyperlink xmlns:r="http://schemas.openxmlformats.org/officeDocument/2006/relationships" ref="P286" r:id="rId1039"/>
    <hyperlink xmlns:r="http://schemas.openxmlformats.org/officeDocument/2006/relationships" ref="M287" r:id="rId1040"/>
    <hyperlink xmlns:r="http://schemas.openxmlformats.org/officeDocument/2006/relationships" ref="N287" r:id="rId1041"/>
    <hyperlink xmlns:r="http://schemas.openxmlformats.org/officeDocument/2006/relationships" ref="O287" r:id="rId1042"/>
    <hyperlink xmlns:r="http://schemas.openxmlformats.org/officeDocument/2006/relationships" ref="P287" r:id="rId1043"/>
    <hyperlink xmlns:r="http://schemas.openxmlformats.org/officeDocument/2006/relationships" ref="M288" r:id="rId1044"/>
    <hyperlink xmlns:r="http://schemas.openxmlformats.org/officeDocument/2006/relationships" ref="N288" r:id="rId1045"/>
    <hyperlink xmlns:r="http://schemas.openxmlformats.org/officeDocument/2006/relationships" ref="O288" r:id="rId1046"/>
    <hyperlink xmlns:r="http://schemas.openxmlformats.org/officeDocument/2006/relationships" ref="P288" r:id="rId1047"/>
    <hyperlink xmlns:r="http://schemas.openxmlformats.org/officeDocument/2006/relationships" ref="M289" r:id="rId1048"/>
    <hyperlink xmlns:r="http://schemas.openxmlformats.org/officeDocument/2006/relationships" ref="N289" r:id="rId1049"/>
    <hyperlink xmlns:r="http://schemas.openxmlformats.org/officeDocument/2006/relationships" ref="O289" r:id="rId1050"/>
    <hyperlink xmlns:r="http://schemas.openxmlformats.org/officeDocument/2006/relationships" ref="P289" r:id="rId1051"/>
    <hyperlink xmlns:r="http://schemas.openxmlformats.org/officeDocument/2006/relationships" ref="M290" r:id="rId1052"/>
    <hyperlink xmlns:r="http://schemas.openxmlformats.org/officeDocument/2006/relationships" ref="N290" r:id="rId1053"/>
    <hyperlink xmlns:r="http://schemas.openxmlformats.org/officeDocument/2006/relationships" ref="O290" r:id="rId1054"/>
    <hyperlink xmlns:r="http://schemas.openxmlformats.org/officeDocument/2006/relationships" ref="P290" r:id="rId1055"/>
    <hyperlink xmlns:r="http://schemas.openxmlformats.org/officeDocument/2006/relationships" ref="M291" r:id="rId1056"/>
    <hyperlink xmlns:r="http://schemas.openxmlformats.org/officeDocument/2006/relationships" ref="N291" r:id="rId1057"/>
    <hyperlink xmlns:r="http://schemas.openxmlformats.org/officeDocument/2006/relationships" ref="O291" r:id="rId1058"/>
    <hyperlink xmlns:r="http://schemas.openxmlformats.org/officeDocument/2006/relationships" ref="P291" r:id="rId1059"/>
    <hyperlink xmlns:r="http://schemas.openxmlformats.org/officeDocument/2006/relationships" ref="M292" r:id="rId1060"/>
    <hyperlink xmlns:r="http://schemas.openxmlformats.org/officeDocument/2006/relationships" ref="N292" r:id="rId1061"/>
    <hyperlink xmlns:r="http://schemas.openxmlformats.org/officeDocument/2006/relationships" ref="P292" r:id="rId1062"/>
    <hyperlink xmlns:r="http://schemas.openxmlformats.org/officeDocument/2006/relationships" ref="M293" r:id="rId1063"/>
    <hyperlink xmlns:r="http://schemas.openxmlformats.org/officeDocument/2006/relationships" ref="N293" r:id="rId1064"/>
    <hyperlink xmlns:r="http://schemas.openxmlformats.org/officeDocument/2006/relationships" ref="O293" r:id="rId1065"/>
    <hyperlink xmlns:r="http://schemas.openxmlformats.org/officeDocument/2006/relationships" ref="P293" r:id="rId1066"/>
    <hyperlink xmlns:r="http://schemas.openxmlformats.org/officeDocument/2006/relationships" ref="M294" r:id="rId1067"/>
    <hyperlink xmlns:r="http://schemas.openxmlformats.org/officeDocument/2006/relationships" ref="N294" r:id="rId1068"/>
    <hyperlink xmlns:r="http://schemas.openxmlformats.org/officeDocument/2006/relationships" ref="O294" r:id="rId1069"/>
    <hyperlink xmlns:r="http://schemas.openxmlformats.org/officeDocument/2006/relationships" ref="P294" r:id="rId1070"/>
    <hyperlink xmlns:r="http://schemas.openxmlformats.org/officeDocument/2006/relationships" ref="M295" r:id="rId1071"/>
    <hyperlink xmlns:r="http://schemas.openxmlformats.org/officeDocument/2006/relationships" ref="N295" r:id="rId1072"/>
    <hyperlink xmlns:r="http://schemas.openxmlformats.org/officeDocument/2006/relationships" ref="O295" r:id="rId1073"/>
    <hyperlink xmlns:r="http://schemas.openxmlformats.org/officeDocument/2006/relationships" ref="P295" r:id="rId1074"/>
    <hyperlink xmlns:r="http://schemas.openxmlformats.org/officeDocument/2006/relationships" ref="M296" r:id="rId1075"/>
    <hyperlink xmlns:r="http://schemas.openxmlformats.org/officeDocument/2006/relationships" ref="N296" r:id="rId1076"/>
    <hyperlink xmlns:r="http://schemas.openxmlformats.org/officeDocument/2006/relationships" ref="O296" r:id="rId1077"/>
    <hyperlink xmlns:r="http://schemas.openxmlformats.org/officeDocument/2006/relationships" ref="P296" r:id="rId1078"/>
    <hyperlink xmlns:r="http://schemas.openxmlformats.org/officeDocument/2006/relationships" ref="M297" r:id="rId1079"/>
    <hyperlink xmlns:r="http://schemas.openxmlformats.org/officeDocument/2006/relationships" ref="N297" r:id="rId1080"/>
    <hyperlink xmlns:r="http://schemas.openxmlformats.org/officeDocument/2006/relationships" ref="O297" r:id="rId1081"/>
    <hyperlink xmlns:r="http://schemas.openxmlformats.org/officeDocument/2006/relationships" ref="P297" r:id="rId1082"/>
    <hyperlink xmlns:r="http://schemas.openxmlformats.org/officeDocument/2006/relationships" ref="M298" r:id="rId1083"/>
    <hyperlink xmlns:r="http://schemas.openxmlformats.org/officeDocument/2006/relationships" ref="N298" r:id="rId1084"/>
    <hyperlink xmlns:r="http://schemas.openxmlformats.org/officeDocument/2006/relationships" ref="P298" r:id="rId1085"/>
    <hyperlink xmlns:r="http://schemas.openxmlformats.org/officeDocument/2006/relationships" ref="M299" r:id="rId1086"/>
    <hyperlink xmlns:r="http://schemas.openxmlformats.org/officeDocument/2006/relationships" ref="N299" r:id="rId1087"/>
    <hyperlink xmlns:r="http://schemas.openxmlformats.org/officeDocument/2006/relationships" ref="O299" r:id="rId1088"/>
    <hyperlink xmlns:r="http://schemas.openxmlformats.org/officeDocument/2006/relationships" ref="P299" r:id="rId1089"/>
    <hyperlink xmlns:r="http://schemas.openxmlformats.org/officeDocument/2006/relationships" ref="M300" r:id="rId1090"/>
    <hyperlink xmlns:r="http://schemas.openxmlformats.org/officeDocument/2006/relationships" ref="N300" r:id="rId1091"/>
    <hyperlink xmlns:r="http://schemas.openxmlformats.org/officeDocument/2006/relationships" ref="O300" r:id="rId1092"/>
    <hyperlink xmlns:r="http://schemas.openxmlformats.org/officeDocument/2006/relationships" ref="P300" r:id="rId1093"/>
    <hyperlink xmlns:r="http://schemas.openxmlformats.org/officeDocument/2006/relationships" ref="M301" r:id="rId1094"/>
    <hyperlink xmlns:r="http://schemas.openxmlformats.org/officeDocument/2006/relationships" ref="N301" r:id="rId1095"/>
    <hyperlink xmlns:r="http://schemas.openxmlformats.org/officeDocument/2006/relationships" ref="P301" r:id="rId1096"/>
    <hyperlink xmlns:r="http://schemas.openxmlformats.org/officeDocument/2006/relationships" ref="M302" r:id="rId1097"/>
    <hyperlink xmlns:r="http://schemas.openxmlformats.org/officeDocument/2006/relationships" ref="N302" r:id="rId1098"/>
    <hyperlink xmlns:r="http://schemas.openxmlformats.org/officeDocument/2006/relationships" ref="O302" r:id="rId1099"/>
    <hyperlink xmlns:r="http://schemas.openxmlformats.org/officeDocument/2006/relationships" ref="P302" r:id="rId1100"/>
    <hyperlink xmlns:r="http://schemas.openxmlformats.org/officeDocument/2006/relationships" ref="M303" r:id="rId1101"/>
    <hyperlink xmlns:r="http://schemas.openxmlformats.org/officeDocument/2006/relationships" ref="N303" r:id="rId1102"/>
    <hyperlink xmlns:r="http://schemas.openxmlformats.org/officeDocument/2006/relationships" ref="O303" r:id="rId1103"/>
    <hyperlink xmlns:r="http://schemas.openxmlformats.org/officeDocument/2006/relationships" ref="P303" r:id="rId1104"/>
    <hyperlink xmlns:r="http://schemas.openxmlformats.org/officeDocument/2006/relationships" ref="M304" r:id="rId1105"/>
    <hyperlink xmlns:r="http://schemas.openxmlformats.org/officeDocument/2006/relationships" ref="N304" r:id="rId1106"/>
    <hyperlink xmlns:r="http://schemas.openxmlformats.org/officeDocument/2006/relationships" ref="O304" r:id="rId1107"/>
    <hyperlink xmlns:r="http://schemas.openxmlformats.org/officeDocument/2006/relationships" ref="P304" r:id="rId1108"/>
    <hyperlink xmlns:r="http://schemas.openxmlformats.org/officeDocument/2006/relationships" ref="M305" r:id="rId1109"/>
    <hyperlink xmlns:r="http://schemas.openxmlformats.org/officeDocument/2006/relationships" ref="N305" r:id="rId1110"/>
    <hyperlink xmlns:r="http://schemas.openxmlformats.org/officeDocument/2006/relationships" ref="P305" r:id="rId1111"/>
    <hyperlink xmlns:r="http://schemas.openxmlformats.org/officeDocument/2006/relationships" ref="M306" r:id="rId1112"/>
    <hyperlink xmlns:r="http://schemas.openxmlformats.org/officeDocument/2006/relationships" ref="N306" r:id="rId1113"/>
    <hyperlink xmlns:r="http://schemas.openxmlformats.org/officeDocument/2006/relationships" ref="P306" r:id="rId1114"/>
    <hyperlink xmlns:r="http://schemas.openxmlformats.org/officeDocument/2006/relationships" ref="M307" r:id="rId1115"/>
    <hyperlink xmlns:r="http://schemas.openxmlformats.org/officeDocument/2006/relationships" ref="N307" r:id="rId1116"/>
    <hyperlink xmlns:r="http://schemas.openxmlformats.org/officeDocument/2006/relationships" ref="P307" r:id="rId1117"/>
    <hyperlink xmlns:r="http://schemas.openxmlformats.org/officeDocument/2006/relationships" ref="M308" r:id="rId1118"/>
    <hyperlink xmlns:r="http://schemas.openxmlformats.org/officeDocument/2006/relationships" ref="N308" r:id="rId1119"/>
    <hyperlink xmlns:r="http://schemas.openxmlformats.org/officeDocument/2006/relationships" ref="P308" r:id="rId1120"/>
    <hyperlink xmlns:r="http://schemas.openxmlformats.org/officeDocument/2006/relationships" ref="M309" r:id="rId1121"/>
    <hyperlink xmlns:r="http://schemas.openxmlformats.org/officeDocument/2006/relationships" ref="N309" r:id="rId1122"/>
    <hyperlink xmlns:r="http://schemas.openxmlformats.org/officeDocument/2006/relationships" ref="O309" r:id="rId1123"/>
    <hyperlink xmlns:r="http://schemas.openxmlformats.org/officeDocument/2006/relationships" ref="P309" r:id="rId1124"/>
    <hyperlink xmlns:r="http://schemas.openxmlformats.org/officeDocument/2006/relationships" ref="M310" r:id="rId1125"/>
    <hyperlink xmlns:r="http://schemas.openxmlformats.org/officeDocument/2006/relationships" ref="O310" r:id="rId1126"/>
    <hyperlink xmlns:r="http://schemas.openxmlformats.org/officeDocument/2006/relationships" ref="P310" r:id="rId1127"/>
    <hyperlink xmlns:r="http://schemas.openxmlformats.org/officeDocument/2006/relationships" ref="M311" r:id="rId1128"/>
    <hyperlink xmlns:r="http://schemas.openxmlformats.org/officeDocument/2006/relationships" ref="N311" r:id="rId1129"/>
    <hyperlink xmlns:r="http://schemas.openxmlformats.org/officeDocument/2006/relationships" ref="O311" r:id="rId1130"/>
    <hyperlink xmlns:r="http://schemas.openxmlformats.org/officeDocument/2006/relationships" ref="P311" r:id="rId1131"/>
    <hyperlink xmlns:r="http://schemas.openxmlformats.org/officeDocument/2006/relationships" ref="M312" r:id="rId1132"/>
    <hyperlink xmlns:r="http://schemas.openxmlformats.org/officeDocument/2006/relationships" ref="N312" r:id="rId1133"/>
    <hyperlink xmlns:r="http://schemas.openxmlformats.org/officeDocument/2006/relationships" ref="O312" r:id="rId1134"/>
    <hyperlink xmlns:r="http://schemas.openxmlformats.org/officeDocument/2006/relationships" ref="P312" r:id="rId1135"/>
    <hyperlink xmlns:r="http://schemas.openxmlformats.org/officeDocument/2006/relationships" ref="M313" r:id="rId1136"/>
    <hyperlink xmlns:r="http://schemas.openxmlformats.org/officeDocument/2006/relationships" ref="N313" r:id="rId1137"/>
    <hyperlink xmlns:r="http://schemas.openxmlformats.org/officeDocument/2006/relationships" ref="O313" r:id="rId1138"/>
    <hyperlink xmlns:r="http://schemas.openxmlformats.org/officeDocument/2006/relationships" ref="P313" r:id="rId1139"/>
    <hyperlink xmlns:r="http://schemas.openxmlformats.org/officeDocument/2006/relationships" ref="M314" r:id="rId1140"/>
    <hyperlink xmlns:r="http://schemas.openxmlformats.org/officeDocument/2006/relationships" ref="N314" r:id="rId1141"/>
    <hyperlink xmlns:r="http://schemas.openxmlformats.org/officeDocument/2006/relationships" ref="P314" r:id="rId1142"/>
    <hyperlink xmlns:r="http://schemas.openxmlformats.org/officeDocument/2006/relationships" ref="M315" r:id="rId1143"/>
    <hyperlink xmlns:r="http://schemas.openxmlformats.org/officeDocument/2006/relationships" ref="N315" r:id="rId1144"/>
    <hyperlink xmlns:r="http://schemas.openxmlformats.org/officeDocument/2006/relationships" ref="P315" r:id="rId1145"/>
    <hyperlink xmlns:r="http://schemas.openxmlformats.org/officeDocument/2006/relationships" ref="M316" r:id="rId1146"/>
    <hyperlink xmlns:r="http://schemas.openxmlformats.org/officeDocument/2006/relationships" ref="N316" r:id="rId1147"/>
    <hyperlink xmlns:r="http://schemas.openxmlformats.org/officeDocument/2006/relationships" ref="O316" r:id="rId1148"/>
    <hyperlink xmlns:r="http://schemas.openxmlformats.org/officeDocument/2006/relationships" ref="P316" r:id="rId1149"/>
    <hyperlink xmlns:r="http://schemas.openxmlformats.org/officeDocument/2006/relationships" ref="M317" r:id="rId1150"/>
    <hyperlink xmlns:r="http://schemas.openxmlformats.org/officeDocument/2006/relationships" ref="N317" r:id="rId1151"/>
    <hyperlink xmlns:r="http://schemas.openxmlformats.org/officeDocument/2006/relationships" ref="O317" r:id="rId1152"/>
    <hyperlink xmlns:r="http://schemas.openxmlformats.org/officeDocument/2006/relationships" ref="P317" r:id="rId1153"/>
    <hyperlink xmlns:r="http://schemas.openxmlformats.org/officeDocument/2006/relationships" ref="M318" r:id="rId1154"/>
    <hyperlink xmlns:r="http://schemas.openxmlformats.org/officeDocument/2006/relationships" ref="N318" r:id="rId1155"/>
    <hyperlink xmlns:r="http://schemas.openxmlformats.org/officeDocument/2006/relationships" ref="O318" r:id="rId1156"/>
    <hyperlink xmlns:r="http://schemas.openxmlformats.org/officeDocument/2006/relationships" ref="P318" r:id="rId1157"/>
    <hyperlink xmlns:r="http://schemas.openxmlformats.org/officeDocument/2006/relationships" ref="M319" r:id="rId1158"/>
    <hyperlink xmlns:r="http://schemas.openxmlformats.org/officeDocument/2006/relationships" ref="N319" r:id="rId1159"/>
    <hyperlink xmlns:r="http://schemas.openxmlformats.org/officeDocument/2006/relationships" ref="O319" r:id="rId1160"/>
    <hyperlink xmlns:r="http://schemas.openxmlformats.org/officeDocument/2006/relationships" ref="P319" r:id="rId1161"/>
    <hyperlink xmlns:r="http://schemas.openxmlformats.org/officeDocument/2006/relationships" ref="M320" r:id="rId1162"/>
    <hyperlink xmlns:r="http://schemas.openxmlformats.org/officeDocument/2006/relationships" ref="N320" r:id="rId1163"/>
    <hyperlink xmlns:r="http://schemas.openxmlformats.org/officeDocument/2006/relationships" ref="P320" r:id="rId1164"/>
    <hyperlink xmlns:r="http://schemas.openxmlformats.org/officeDocument/2006/relationships" ref="M321" r:id="rId1165"/>
    <hyperlink xmlns:r="http://schemas.openxmlformats.org/officeDocument/2006/relationships" ref="N321" r:id="rId1166"/>
    <hyperlink xmlns:r="http://schemas.openxmlformats.org/officeDocument/2006/relationships" ref="O321" r:id="rId1167"/>
    <hyperlink xmlns:r="http://schemas.openxmlformats.org/officeDocument/2006/relationships" ref="P321" r:id="rId1168"/>
    <hyperlink xmlns:r="http://schemas.openxmlformats.org/officeDocument/2006/relationships" ref="M322" r:id="rId1169"/>
    <hyperlink xmlns:r="http://schemas.openxmlformats.org/officeDocument/2006/relationships" ref="N322" r:id="rId1170"/>
    <hyperlink xmlns:r="http://schemas.openxmlformats.org/officeDocument/2006/relationships" ref="O322" r:id="rId1171"/>
    <hyperlink xmlns:r="http://schemas.openxmlformats.org/officeDocument/2006/relationships" ref="P322" r:id="rId1172"/>
    <hyperlink xmlns:r="http://schemas.openxmlformats.org/officeDocument/2006/relationships" ref="M323" r:id="rId1173"/>
    <hyperlink xmlns:r="http://schemas.openxmlformats.org/officeDocument/2006/relationships" ref="N323" r:id="rId1174"/>
    <hyperlink xmlns:r="http://schemas.openxmlformats.org/officeDocument/2006/relationships" ref="O323" r:id="rId1175"/>
    <hyperlink xmlns:r="http://schemas.openxmlformats.org/officeDocument/2006/relationships" ref="P323" r:id="rId1176"/>
    <hyperlink xmlns:r="http://schemas.openxmlformats.org/officeDocument/2006/relationships" ref="M324" r:id="rId1177"/>
    <hyperlink xmlns:r="http://schemas.openxmlformats.org/officeDocument/2006/relationships" ref="N324" r:id="rId1178"/>
    <hyperlink xmlns:r="http://schemas.openxmlformats.org/officeDocument/2006/relationships" ref="O324" r:id="rId1179"/>
    <hyperlink xmlns:r="http://schemas.openxmlformats.org/officeDocument/2006/relationships" ref="P324" r:id="rId1180"/>
    <hyperlink xmlns:r="http://schemas.openxmlformats.org/officeDocument/2006/relationships" ref="M325" r:id="rId1181"/>
    <hyperlink xmlns:r="http://schemas.openxmlformats.org/officeDocument/2006/relationships" ref="N325" r:id="rId1182"/>
    <hyperlink xmlns:r="http://schemas.openxmlformats.org/officeDocument/2006/relationships" ref="O325" r:id="rId1183"/>
    <hyperlink xmlns:r="http://schemas.openxmlformats.org/officeDocument/2006/relationships" ref="P325" r:id="rId1184"/>
    <hyperlink xmlns:r="http://schemas.openxmlformats.org/officeDocument/2006/relationships" ref="M326" r:id="rId1185"/>
    <hyperlink xmlns:r="http://schemas.openxmlformats.org/officeDocument/2006/relationships" ref="N326" r:id="rId1186"/>
    <hyperlink xmlns:r="http://schemas.openxmlformats.org/officeDocument/2006/relationships" ref="O326" r:id="rId1187"/>
    <hyperlink xmlns:r="http://schemas.openxmlformats.org/officeDocument/2006/relationships" ref="P326" r:id="rId1188"/>
    <hyperlink xmlns:r="http://schemas.openxmlformats.org/officeDocument/2006/relationships" ref="M327" r:id="rId1189"/>
    <hyperlink xmlns:r="http://schemas.openxmlformats.org/officeDocument/2006/relationships" ref="N327" r:id="rId1190"/>
    <hyperlink xmlns:r="http://schemas.openxmlformats.org/officeDocument/2006/relationships" ref="P327" r:id="rId1191"/>
    <hyperlink xmlns:r="http://schemas.openxmlformats.org/officeDocument/2006/relationships" ref="M328" r:id="rId1192"/>
    <hyperlink xmlns:r="http://schemas.openxmlformats.org/officeDocument/2006/relationships" ref="N328" r:id="rId1193"/>
    <hyperlink xmlns:r="http://schemas.openxmlformats.org/officeDocument/2006/relationships" ref="O328" r:id="rId1194"/>
    <hyperlink xmlns:r="http://schemas.openxmlformats.org/officeDocument/2006/relationships" ref="P328" r:id="rId1195"/>
    <hyperlink xmlns:r="http://schemas.openxmlformats.org/officeDocument/2006/relationships" ref="M329" r:id="rId1196"/>
    <hyperlink xmlns:r="http://schemas.openxmlformats.org/officeDocument/2006/relationships" ref="N329" r:id="rId1197"/>
    <hyperlink xmlns:r="http://schemas.openxmlformats.org/officeDocument/2006/relationships" ref="O329" r:id="rId1198"/>
    <hyperlink xmlns:r="http://schemas.openxmlformats.org/officeDocument/2006/relationships" ref="P329" r:id="rId1199"/>
    <hyperlink xmlns:r="http://schemas.openxmlformats.org/officeDocument/2006/relationships" ref="M330" r:id="rId1200"/>
    <hyperlink xmlns:r="http://schemas.openxmlformats.org/officeDocument/2006/relationships" ref="N330" r:id="rId1201"/>
    <hyperlink xmlns:r="http://schemas.openxmlformats.org/officeDocument/2006/relationships" ref="O330" r:id="rId1202"/>
    <hyperlink xmlns:r="http://schemas.openxmlformats.org/officeDocument/2006/relationships" ref="P330" r:id="rId1203"/>
    <hyperlink xmlns:r="http://schemas.openxmlformats.org/officeDocument/2006/relationships" ref="M331" r:id="rId1204"/>
    <hyperlink xmlns:r="http://schemas.openxmlformats.org/officeDocument/2006/relationships" ref="N331" r:id="rId1205"/>
    <hyperlink xmlns:r="http://schemas.openxmlformats.org/officeDocument/2006/relationships" ref="P331" r:id="rId1206"/>
    <hyperlink xmlns:r="http://schemas.openxmlformats.org/officeDocument/2006/relationships" ref="M332" r:id="rId1207"/>
    <hyperlink xmlns:r="http://schemas.openxmlformats.org/officeDocument/2006/relationships" ref="N332" r:id="rId1208"/>
    <hyperlink xmlns:r="http://schemas.openxmlformats.org/officeDocument/2006/relationships" ref="P332" r:id="rId1209"/>
    <hyperlink xmlns:r="http://schemas.openxmlformats.org/officeDocument/2006/relationships" ref="M333" r:id="rId1210"/>
    <hyperlink xmlns:r="http://schemas.openxmlformats.org/officeDocument/2006/relationships" ref="N333" r:id="rId1211"/>
    <hyperlink xmlns:r="http://schemas.openxmlformats.org/officeDocument/2006/relationships" ref="P333" r:id="rId1212"/>
    <hyperlink xmlns:r="http://schemas.openxmlformats.org/officeDocument/2006/relationships" ref="M334" r:id="rId1213"/>
    <hyperlink xmlns:r="http://schemas.openxmlformats.org/officeDocument/2006/relationships" ref="N334" r:id="rId1214"/>
    <hyperlink xmlns:r="http://schemas.openxmlformats.org/officeDocument/2006/relationships" ref="O334" r:id="rId1215"/>
    <hyperlink xmlns:r="http://schemas.openxmlformats.org/officeDocument/2006/relationships" ref="P334" r:id="rId1216"/>
    <hyperlink xmlns:r="http://schemas.openxmlformats.org/officeDocument/2006/relationships" ref="M335" r:id="rId1217"/>
    <hyperlink xmlns:r="http://schemas.openxmlformats.org/officeDocument/2006/relationships" ref="N335" r:id="rId1218"/>
    <hyperlink xmlns:r="http://schemas.openxmlformats.org/officeDocument/2006/relationships" ref="O335" r:id="rId1219"/>
    <hyperlink xmlns:r="http://schemas.openxmlformats.org/officeDocument/2006/relationships" ref="P335" r:id="rId1220"/>
    <hyperlink xmlns:r="http://schemas.openxmlformats.org/officeDocument/2006/relationships" ref="M336" r:id="rId1221"/>
    <hyperlink xmlns:r="http://schemas.openxmlformats.org/officeDocument/2006/relationships" ref="N336" r:id="rId1222"/>
    <hyperlink xmlns:r="http://schemas.openxmlformats.org/officeDocument/2006/relationships" ref="O336" r:id="rId1223"/>
    <hyperlink xmlns:r="http://schemas.openxmlformats.org/officeDocument/2006/relationships" ref="P336" r:id="rId1224"/>
    <hyperlink xmlns:r="http://schemas.openxmlformats.org/officeDocument/2006/relationships" ref="M337" r:id="rId1225"/>
    <hyperlink xmlns:r="http://schemas.openxmlformats.org/officeDocument/2006/relationships" ref="N337" r:id="rId1226"/>
    <hyperlink xmlns:r="http://schemas.openxmlformats.org/officeDocument/2006/relationships" ref="P337" r:id="rId1227"/>
    <hyperlink xmlns:r="http://schemas.openxmlformats.org/officeDocument/2006/relationships" ref="M338" r:id="rId1228"/>
    <hyperlink xmlns:r="http://schemas.openxmlformats.org/officeDocument/2006/relationships" ref="N338" r:id="rId1229"/>
    <hyperlink xmlns:r="http://schemas.openxmlformats.org/officeDocument/2006/relationships" ref="P338" r:id="rId1230"/>
    <hyperlink xmlns:r="http://schemas.openxmlformats.org/officeDocument/2006/relationships" ref="M339" r:id="rId1231"/>
    <hyperlink xmlns:r="http://schemas.openxmlformats.org/officeDocument/2006/relationships" ref="N339" r:id="rId1232"/>
    <hyperlink xmlns:r="http://schemas.openxmlformats.org/officeDocument/2006/relationships" ref="P339" r:id="rId1233"/>
    <hyperlink xmlns:r="http://schemas.openxmlformats.org/officeDocument/2006/relationships" ref="M340" r:id="rId1234"/>
    <hyperlink xmlns:r="http://schemas.openxmlformats.org/officeDocument/2006/relationships" ref="N340" r:id="rId1235"/>
    <hyperlink xmlns:r="http://schemas.openxmlformats.org/officeDocument/2006/relationships" ref="O340" r:id="rId1236"/>
    <hyperlink xmlns:r="http://schemas.openxmlformats.org/officeDocument/2006/relationships" ref="P340" r:id="rId1237"/>
    <hyperlink xmlns:r="http://schemas.openxmlformats.org/officeDocument/2006/relationships" ref="M341" r:id="rId1238"/>
    <hyperlink xmlns:r="http://schemas.openxmlformats.org/officeDocument/2006/relationships" ref="N341" r:id="rId1239"/>
    <hyperlink xmlns:r="http://schemas.openxmlformats.org/officeDocument/2006/relationships" ref="P341" r:id="rId1240"/>
    <hyperlink xmlns:r="http://schemas.openxmlformats.org/officeDocument/2006/relationships" ref="M342" r:id="rId1241"/>
    <hyperlink xmlns:r="http://schemas.openxmlformats.org/officeDocument/2006/relationships" ref="N342" r:id="rId1242"/>
    <hyperlink xmlns:r="http://schemas.openxmlformats.org/officeDocument/2006/relationships" ref="P342" r:id="rId1243"/>
    <hyperlink xmlns:r="http://schemas.openxmlformats.org/officeDocument/2006/relationships" ref="M343" r:id="rId1244"/>
    <hyperlink xmlns:r="http://schemas.openxmlformats.org/officeDocument/2006/relationships" ref="N343" r:id="rId1245"/>
    <hyperlink xmlns:r="http://schemas.openxmlformats.org/officeDocument/2006/relationships" ref="O343" r:id="rId1246"/>
    <hyperlink xmlns:r="http://schemas.openxmlformats.org/officeDocument/2006/relationships" ref="P343" r:id="rId1247"/>
    <hyperlink xmlns:r="http://schemas.openxmlformats.org/officeDocument/2006/relationships" ref="M344" r:id="rId1248"/>
    <hyperlink xmlns:r="http://schemas.openxmlformats.org/officeDocument/2006/relationships" ref="N344" r:id="rId1249"/>
    <hyperlink xmlns:r="http://schemas.openxmlformats.org/officeDocument/2006/relationships" ref="P344" r:id="rId1250"/>
    <hyperlink xmlns:r="http://schemas.openxmlformats.org/officeDocument/2006/relationships" ref="M345" r:id="rId1251"/>
    <hyperlink xmlns:r="http://schemas.openxmlformats.org/officeDocument/2006/relationships" ref="N345" r:id="rId1252"/>
    <hyperlink xmlns:r="http://schemas.openxmlformats.org/officeDocument/2006/relationships" ref="O345" r:id="rId1253"/>
    <hyperlink xmlns:r="http://schemas.openxmlformats.org/officeDocument/2006/relationships" ref="P345" r:id="rId1254"/>
    <hyperlink xmlns:r="http://schemas.openxmlformats.org/officeDocument/2006/relationships" ref="M346" r:id="rId1255"/>
    <hyperlink xmlns:r="http://schemas.openxmlformats.org/officeDocument/2006/relationships" ref="N346" r:id="rId1256"/>
    <hyperlink xmlns:r="http://schemas.openxmlformats.org/officeDocument/2006/relationships" ref="O346" r:id="rId1257"/>
    <hyperlink xmlns:r="http://schemas.openxmlformats.org/officeDocument/2006/relationships" ref="P346" r:id="rId1258"/>
    <hyperlink xmlns:r="http://schemas.openxmlformats.org/officeDocument/2006/relationships" ref="M347" r:id="rId1259"/>
    <hyperlink xmlns:r="http://schemas.openxmlformats.org/officeDocument/2006/relationships" ref="N347" r:id="rId1260"/>
    <hyperlink xmlns:r="http://schemas.openxmlformats.org/officeDocument/2006/relationships" ref="P347" r:id="rId1261"/>
    <hyperlink xmlns:r="http://schemas.openxmlformats.org/officeDocument/2006/relationships" ref="M348" r:id="rId1262"/>
    <hyperlink xmlns:r="http://schemas.openxmlformats.org/officeDocument/2006/relationships" ref="N348" r:id="rId1263"/>
    <hyperlink xmlns:r="http://schemas.openxmlformats.org/officeDocument/2006/relationships" ref="P348" r:id="rId1264"/>
    <hyperlink xmlns:r="http://schemas.openxmlformats.org/officeDocument/2006/relationships" ref="M349" r:id="rId1265"/>
    <hyperlink xmlns:r="http://schemas.openxmlformats.org/officeDocument/2006/relationships" ref="N349" r:id="rId1266"/>
    <hyperlink xmlns:r="http://schemas.openxmlformats.org/officeDocument/2006/relationships" ref="O349" r:id="rId1267"/>
    <hyperlink xmlns:r="http://schemas.openxmlformats.org/officeDocument/2006/relationships" ref="P349" r:id="rId1268"/>
    <hyperlink xmlns:r="http://schemas.openxmlformats.org/officeDocument/2006/relationships" ref="M350" r:id="rId1269"/>
    <hyperlink xmlns:r="http://schemas.openxmlformats.org/officeDocument/2006/relationships" ref="N350" r:id="rId1270"/>
    <hyperlink xmlns:r="http://schemas.openxmlformats.org/officeDocument/2006/relationships" ref="P350" r:id="rId1271"/>
    <hyperlink xmlns:r="http://schemas.openxmlformats.org/officeDocument/2006/relationships" ref="M351" r:id="rId1272"/>
    <hyperlink xmlns:r="http://schemas.openxmlformats.org/officeDocument/2006/relationships" ref="N351" r:id="rId1273"/>
    <hyperlink xmlns:r="http://schemas.openxmlformats.org/officeDocument/2006/relationships" ref="O351" r:id="rId1274"/>
    <hyperlink xmlns:r="http://schemas.openxmlformats.org/officeDocument/2006/relationships" ref="P351" r:id="rId1275"/>
    <hyperlink xmlns:r="http://schemas.openxmlformats.org/officeDocument/2006/relationships" ref="M352" r:id="rId1276"/>
    <hyperlink xmlns:r="http://schemas.openxmlformats.org/officeDocument/2006/relationships" ref="N352" r:id="rId1277"/>
    <hyperlink xmlns:r="http://schemas.openxmlformats.org/officeDocument/2006/relationships" ref="P352" r:id="rId1278"/>
    <hyperlink xmlns:r="http://schemas.openxmlformats.org/officeDocument/2006/relationships" ref="M353" r:id="rId1279"/>
    <hyperlink xmlns:r="http://schemas.openxmlformats.org/officeDocument/2006/relationships" ref="N353" r:id="rId1280"/>
    <hyperlink xmlns:r="http://schemas.openxmlformats.org/officeDocument/2006/relationships" ref="P353" r:id="rId1281"/>
    <hyperlink xmlns:r="http://schemas.openxmlformats.org/officeDocument/2006/relationships" ref="M354" r:id="rId1282"/>
    <hyperlink xmlns:r="http://schemas.openxmlformats.org/officeDocument/2006/relationships" ref="N354" r:id="rId1283"/>
    <hyperlink xmlns:r="http://schemas.openxmlformats.org/officeDocument/2006/relationships" ref="O354" r:id="rId1284"/>
    <hyperlink xmlns:r="http://schemas.openxmlformats.org/officeDocument/2006/relationships" ref="P354" r:id="rId1285"/>
    <hyperlink xmlns:r="http://schemas.openxmlformats.org/officeDocument/2006/relationships" ref="M355" r:id="rId1286"/>
    <hyperlink xmlns:r="http://schemas.openxmlformats.org/officeDocument/2006/relationships" ref="N355" r:id="rId1287"/>
    <hyperlink xmlns:r="http://schemas.openxmlformats.org/officeDocument/2006/relationships" ref="P355" r:id="rId1288"/>
    <hyperlink xmlns:r="http://schemas.openxmlformats.org/officeDocument/2006/relationships" ref="M356" r:id="rId1289"/>
    <hyperlink xmlns:r="http://schemas.openxmlformats.org/officeDocument/2006/relationships" ref="N356" r:id="rId1290"/>
    <hyperlink xmlns:r="http://schemas.openxmlformats.org/officeDocument/2006/relationships" ref="O356" r:id="rId1291"/>
    <hyperlink xmlns:r="http://schemas.openxmlformats.org/officeDocument/2006/relationships" ref="P356" r:id="rId1292"/>
    <hyperlink xmlns:r="http://schemas.openxmlformats.org/officeDocument/2006/relationships" ref="M357" r:id="rId1293"/>
    <hyperlink xmlns:r="http://schemas.openxmlformats.org/officeDocument/2006/relationships" ref="N357" r:id="rId1294"/>
    <hyperlink xmlns:r="http://schemas.openxmlformats.org/officeDocument/2006/relationships" ref="P357" r:id="rId1295"/>
    <hyperlink xmlns:r="http://schemas.openxmlformats.org/officeDocument/2006/relationships" ref="M358" r:id="rId1296"/>
    <hyperlink xmlns:r="http://schemas.openxmlformats.org/officeDocument/2006/relationships" ref="N358" r:id="rId1297"/>
    <hyperlink xmlns:r="http://schemas.openxmlformats.org/officeDocument/2006/relationships" ref="O358" r:id="rId1298"/>
    <hyperlink xmlns:r="http://schemas.openxmlformats.org/officeDocument/2006/relationships" ref="P358" r:id="rId1299"/>
    <hyperlink xmlns:r="http://schemas.openxmlformats.org/officeDocument/2006/relationships" ref="M359" r:id="rId1300"/>
    <hyperlink xmlns:r="http://schemas.openxmlformats.org/officeDocument/2006/relationships" ref="N359" r:id="rId1301"/>
    <hyperlink xmlns:r="http://schemas.openxmlformats.org/officeDocument/2006/relationships" ref="P359" r:id="rId1302"/>
    <hyperlink xmlns:r="http://schemas.openxmlformats.org/officeDocument/2006/relationships" ref="M360" r:id="rId1303"/>
    <hyperlink xmlns:r="http://schemas.openxmlformats.org/officeDocument/2006/relationships" ref="N360" r:id="rId1304"/>
    <hyperlink xmlns:r="http://schemas.openxmlformats.org/officeDocument/2006/relationships" ref="O360" r:id="rId1305"/>
    <hyperlink xmlns:r="http://schemas.openxmlformats.org/officeDocument/2006/relationships" ref="P360" r:id="rId1306"/>
    <hyperlink xmlns:r="http://schemas.openxmlformats.org/officeDocument/2006/relationships" ref="M361" r:id="rId1307"/>
    <hyperlink xmlns:r="http://schemas.openxmlformats.org/officeDocument/2006/relationships" ref="N361" r:id="rId1308"/>
    <hyperlink xmlns:r="http://schemas.openxmlformats.org/officeDocument/2006/relationships" ref="O361" r:id="rId1309"/>
    <hyperlink xmlns:r="http://schemas.openxmlformats.org/officeDocument/2006/relationships" ref="P361" r:id="rId1310"/>
    <hyperlink xmlns:r="http://schemas.openxmlformats.org/officeDocument/2006/relationships" ref="M362" r:id="rId1311"/>
    <hyperlink xmlns:r="http://schemas.openxmlformats.org/officeDocument/2006/relationships" ref="N362" r:id="rId1312"/>
    <hyperlink xmlns:r="http://schemas.openxmlformats.org/officeDocument/2006/relationships" ref="O362" r:id="rId1313"/>
    <hyperlink xmlns:r="http://schemas.openxmlformats.org/officeDocument/2006/relationships" ref="P362" r:id="rId1314"/>
    <hyperlink xmlns:r="http://schemas.openxmlformats.org/officeDocument/2006/relationships" ref="M363" r:id="rId1315"/>
    <hyperlink xmlns:r="http://schemas.openxmlformats.org/officeDocument/2006/relationships" ref="N363" r:id="rId1316"/>
    <hyperlink xmlns:r="http://schemas.openxmlformats.org/officeDocument/2006/relationships" ref="P363" r:id="rId1317"/>
    <hyperlink xmlns:r="http://schemas.openxmlformats.org/officeDocument/2006/relationships" ref="M364" r:id="rId1318"/>
    <hyperlink xmlns:r="http://schemas.openxmlformats.org/officeDocument/2006/relationships" ref="N364" r:id="rId1319"/>
    <hyperlink xmlns:r="http://schemas.openxmlformats.org/officeDocument/2006/relationships" ref="O364" r:id="rId1320"/>
    <hyperlink xmlns:r="http://schemas.openxmlformats.org/officeDocument/2006/relationships" ref="P364" r:id="rId1321"/>
    <hyperlink xmlns:r="http://schemas.openxmlformats.org/officeDocument/2006/relationships" ref="M365" r:id="rId1322"/>
    <hyperlink xmlns:r="http://schemas.openxmlformats.org/officeDocument/2006/relationships" ref="N365" r:id="rId1323"/>
    <hyperlink xmlns:r="http://schemas.openxmlformats.org/officeDocument/2006/relationships" ref="O365" r:id="rId1324"/>
    <hyperlink xmlns:r="http://schemas.openxmlformats.org/officeDocument/2006/relationships" ref="P365" r:id="rId1325"/>
    <hyperlink xmlns:r="http://schemas.openxmlformats.org/officeDocument/2006/relationships" ref="M366" r:id="rId1326"/>
    <hyperlink xmlns:r="http://schemas.openxmlformats.org/officeDocument/2006/relationships" ref="N366" r:id="rId1327"/>
    <hyperlink xmlns:r="http://schemas.openxmlformats.org/officeDocument/2006/relationships" ref="O366" r:id="rId1328"/>
    <hyperlink xmlns:r="http://schemas.openxmlformats.org/officeDocument/2006/relationships" ref="P366" r:id="rId1329"/>
    <hyperlink xmlns:r="http://schemas.openxmlformats.org/officeDocument/2006/relationships" ref="M367" r:id="rId1330"/>
    <hyperlink xmlns:r="http://schemas.openxmlformats.org/officeDocument/2006/relationships" ref="N367" r:id="rId1331"/>
    <hyperlink xmlns:r="http://schemas.openxmlformats.org/officeDocument/2006/relationships" ref="O367" r:id="rId1332"/>
    <hyperlink xmlns:r="http://schemas.openxmlformats.org/officeDocument/2006/relationships" ref="P367" r:id="rId1333"/>
    <hyperlink xmlns:r="http://schemas.openxmlformats.org/officeDocument/2006/relationships" ref="M368" r:id="rId1334"/>
    <hyperlink xmlns:r="http://schemas.openxmlformats.org/officeDocument/2006/relationships" ref="N368" r:id="rId1335"/>
    <hyperlink xmlns:r="http://schemas.openxmlformats.org/officeDocument/2006/relationships" ref="O368" r:id="rId1336"/>
    <hyperlink xmlns:r="http://schemas.openxmlformats.org/officeDocument/2006/relationships" ref="P368" r:id="rId1337"/>
    <hyperlink xmlns:r="http://schemas.openxmlformats.org/officeDocument/2006/relationships" ref="M369" r:id="rId1338"/>
    <hyperlink xmlns:r="http://schemas.openxmlformats.org/officeDocument/2006/relationships" ref="N369" r:id="rId1339"/>
    <hyperlink xmlns:r="http://schemas.openxmlformats.org/officeDocument/2006/relationships" ref="P369" r:id="rId1340"/>
    <hyperlink xmlns:r="http://schemas.openxmlformats.org/officeDocument/2006/relationships" ref="M370" r:id="rId1341"/>
    <hyperlink xmlns:r="http://schemas.openxmlformats.org/officeDocument/2006/relationships" ref="N370" r:id="rId1342"/>
    <hyperlink xmlns:r="http://schemas.openxmlformats.org/officeDocument/2006/relationships" ref="O370" r:id="rId1343"/>
    <hyperlink xmlns:r="http://schemas.openxmlformats.org/officeDocument/2006/relationships" ref="P370" r:id="rId1344"/>
    <hyperlink xmlns:r="http://schemas.openxmlformats.org/officeDocument/2006/relationships" ref="M371" r:id="rId1345"/>
    <hyperlink xmlns:r="http://schemas.openxmlformats.org/officeDocument/2006/relationships" ref="N371" r:id="rId1346"/>
    <hyperlink xmlns:r="http://schemas.openxmlformats.org/officeDocument/2006/relationships" ref="P371" r:id="rId1347"/>
    <hyperlink xmlns:r="http://schemas.openxmlformats.org/officeDocument/2006/relationships" ref="M372" r:id="rId1348"/>
    <hyperlink xmlns:r="http://schemas.openxmlformats.org/officeDocument/2006/relationships" ref="N372" r:id="rId1349"/>
    <hyperlink xmlns:r="http://schemas.openxmlformats.org/officeDocument/2006/relationships" ref="P372" r:id="rId1350"/>
    <hyperlink xmlns:r="http://schemas.openxmlformats.org/officeDocument/2006/relationships" ref="M373" r:id="rId1351"/>
    <hyperlink xmlns:r="http://schemas.openxmlformats.org/officeDocument/2006/relationships" ref="N373" r:id="rId1352"/>
    <hyperlink xmlns:r="http://schemas.openxmlformats.org/officeDocument/2006/relationships" ref="O373" r:id="rId1353"/>
    <hyperlink xmlns:r="http://schemas.openxmlformats.org/officeDocument/2006/relationships" ref="P373" r:id="rId1354"/>
    <hyperlink xmlns:r="http://schemas.openxmlformats.org/officeDocument/2006/relationships" ref="M374" r:id="rId1355"/>
    <hyperlink xmlns:r="http://schemas.openxmlformats.org/officeDocument/2006/relationships" ref="N374" r:id="rId1356"/>
    <hyperlink xmlns:r="http://schemas.openxmlformats.org/officeDocument/2006/relationships" ref="P374" r:id="rId1357"/>
    <hyperlink xmlns:r="http://schemas.openxmlformats.org/officeDocument/2006/relationships" ref="M375" r:id="rId1358"/>
    <hyperlink xmlns:r="http://schemas.openxmlformats.org/officeDocument/2006/relationships" ref="N375" r:id="rId1359"/>
    <hyperlink xmlns:r="http://schemas.openxmlformats.org/officeDocument/2006/relationships" ref="O375" r:id="rId1360"/>
    <hyperlink xmlns:r="http://schemas.openxmlformats.org/officeDocument/2006/relationships" ref="P375" r:id="rId1361"/>
    <hyperlink xmlns:r="http://schemas.openxmlformats.org/officeDocument/2006/relationships" ref="M376" r:id="rId1362"/>
    <hyperlink xmlns:r="http://schemas.openxmlformats.org/officeDocument/2006/relationships" ref="N376" r:id="rId1363"/>
    <hyperlink xmlns:r="http://schemas.openxmlformats.org/officeDocument/2006/relationships" ref="P376" r:id="rId1364"/>
    <hyperlink xmlns:r="http://schemas.openxmlformats.org/officeDocument/2006/relationships" ref="M377" r:id="rId1365"/>
    <hyperlink xmlns:r="http://schemas.openxmlformats.org/officeDocument/2006/relationships" ref="N377" r:id="rId1366"/>
    <hyperlink xmlns:r="http://schemas.openxmlformats.org/officeDocument/2006/relationships" ref="O377" r:id="rId1367"/>
    <hyperlink xmlns:r="http://schemas.openxmlformats.org/officeDocument/2006/relationships" ref="P377" r:id="rId1368"/>
    <hyperlink xmlns:r="http://schemas.openxmlformats.org/officeDocument/2006/relationships" ref="M378" r:id="rId1369"/>
    <hyperlink xmlns:r="http://schemas.openxmlformats.org/officeDocument/2006/relationships" ref="N378" r:id="rId1370"/>
    <hyperlink xmlns:r="http://schemas.openxmlformats.org/officeDocument/2006/relationships" ref="O378" r:id="rId1371"/>
    <hyperlink xmlns:r="http://schemas.openxmlformats.org/officeDocument/2006/relationships" ref="P378" r:id="rId1372"/>
    <hyperlink xmlns:r="http://schemas.openxmlformats.org/officeDocument/2006/relationships" ref="M379" r:id="rId1373"/>
    <hyperlink xmlns:r="http://schemas.openxmlformats.org/officeDocument/2006/relationships" ref="N379" r:id="rId1374"/>
    <hyperlink xmlns:r="http://schemas.openxmlformats.org/officeDocument/2006/relationships" ref="O379" r:id="rId1375"/>
    <hyperlink xmlns:r="http://schemas.openxmlformats.org/officeDocument/2006/relationships" ref="P379" r:id="rId1376"/>
    <hyperlink xmlns:r="http://schemas.openxmlformats.org/officeDocument/2006/relationships" ref="M380" r:id="rId1377"/>
    <hyperlink xmlns:r="http://schemas.openxmlformats.org/officeDocument/2006/relationships" ref="N380" r:id="rId1378"/>
    <hyperlink xmlns:r="http://schemas.openxmlformats.org/officeDocument/2006/relationships" ref="O380" r:id="rId1379"/>
    <hyperlink xmlns:r="http://schemas.openxmlformats.org/officeDocument/2006/relationships" ref="P380" r:id="rId1380"/>
    <hyperlink xmlns:r="http://schemas.openxmlformats.org/officeDocument/2006/relationships" ref="M381" r:id="rId1381"/>
    <hyperlink xmlns:r="http://schemas.openxmlformats.org/officeDocument/2006/relationships" ref="N381" r:id="rId1382"/>
    <hyperlink xmlns:r="http://schemas.openxmlformats.org/officeDocument/2006/relationships" ref="O381" r:id="rId1383"/>
    <hyperlink xmlns:r="http://schemas.openxmlformats.org/officeDocument/2006/relationships" ref="P381" r:id="rId1384"/>
    <hyperlink xmlns:r="http://schemas.openxmlformats.org/officeDocument/2006/relationships" ref="M382" r:id="rId1385"/>
    <hyperlink xmlns:r="http://schemas.openxmlformats.org/officeDocument/2006/relationships" ref="N382" r:id="rId1386"/>
    <hyperlink xmlns:r="http://schemas.openxmlformats.org/officeDocument/2006/relationships" ref="O382" r:id="rId1387"/>
    <hyperlink xmlns:r="http://schemas.openxmlformats.org/officeDocument/2006/relationships" ref="P382" r:id="rId1388"/>
    <hyperlink xmlns:r="http://schemas.openxmlformats.org/officeDocument/2006/relationships" ref="M383" r:id="rId1389"/>
    <hyperlink xmlns:r="http://schemas.openxmlformats.org/officeDocument/2006/relationships" ref="N383" r:id="rId1390"/>
    <hyperlink xmlns:r="http://schemas.openxmlformats.org/officeDocument/2006/relationships" ref="P383" r:id="rId1391"/>
    <hyperlink xmlns:r="http://schemas.openxmlformats.org/officeDocument/2006/relationships" ref="M384" r:id="rId1392"/>
    <hyperlink xmlns:r="http://schemas.openxmlformats.org/officeDocument/2006/relationships" ref="N384" r:id="rId1393"/>
    <hyperlink xmlns:r="http://schemas.openxmlformats.org/officeDocument/2006/relationships" ref="P384" r:id="rId1394"/>
    <hyperlink xmlns:r="http://schemas.openxmlformats.org/officeDocument/2006/relationships" ref="M385" r:id="rId1395"/>
    <hyperlink xmlns:r="http://schemas.openxmlformats.org/officeDocument/2006/relationships" ref="N385" r:id="rId1396"/>
    <hyperlink xmlns:r="http://schemas.openxmlformats.org/officeDocument/2006/relationships" ref="O385" r:id="rId1397"/>
    <hyperlink xmlns:r="http://schemas.openxmlformats.org/officeDocument/2006/relationships" ref="P385" r:id="rId1398"/>
    <hyperlink xmlns:r="http://schemas.openxmlformats.org/officeDocument/2006/relationships" ref="M386" r:id="rId1399"/>
    <hyperlink xmlns:r="http://schemas.openxmlformats.org/officeDocument/2006/relationships" ref="N386" r:id="rId1400"/>
    <hyperlink xmlns:r="http://schemas.openxmlformats.org/officeDocument/2006/relationships" ref="O386" r:id="rId1401"/>
    <hyperlink xmlns:r="http://schemas.openxmlformats.org/officeDocument/2006/relationships" ref="P386" r:id="rId1402"/>
    <hyperlink xmlns:r="http://schemas.openxmlformats.org/officeDocument/2006/relationships" ref="M387" r:id="rId1403"/>
    <hyperlink xmlns:r="http://schemas.openxmlformats.org/officeDocument/2006/relationships" ref="N387" r:id="rId1404"/>
    <hyperlink xmlns:r="http://schemas.openxmlformats.org/officeDocument/2006/relationships" ref="P387" r:id="rId1405"/>
    <hyperlink xmlns:r="http://schemas.openxmlformats.org/officeDocument/2006/relationships" ref="M388" r:id="rId1406"/>
    <hyperlink xmlns:r="http://schemas.openxmlformats.org/officeDocument/2006/relationships" ref="N388" r:id="rId1407"/>
    <hyperlink xmlns:r="http://schemas.openxmlformats.org/officeDocument/2006/relationships" ref="O388" r:id="rId1408"/>
    <hyperlink xmlns:r="http://schemas.openxmlformats.org/officeDocument/2006/relationships" ref="P388" r:id="rId1409"/>
    <hyperlink xmlns:r="http://schemas.openxmlformats.org/officeDocument/2006/relationships" ref="M389" r:id="rId1410"/>
    <hyperlink xmlns:r="http://schemas.openxmlformats.org/officeDocument/2006/relationships" ref="N389" r:id="rId1411"/>
    <hyperlink xmlns:r="http://schemas.openxmlformats.org/officeDocument/2006/relationships" ref="O389" r:id="rId1412"/>
    <hyperlink xmlns:r="http://schemas.openxmlformats.org/officeDocument/2006/relationships" ref="P389" r:id="rId1413"/>
    <hyperlink xmlns:r="http://schemas.openxmlformats.org/officeDocument/2006/relationships" ref="M390" r:id="rId1414"/>
    <hyperlink xmlns:r="http://schemas.openxmlformats.org/officeDocument/2006/relationships" ref="N390" r:id="rId1415"/>
    <hyperlink xmlns:r="http://schemas.openxmlformats.org/officeDocument/2006/relationships" ref="O390" r:id="rId1416"/>
    <hyperlink xmlns:r="http://schemas.openxmlformats.org/officeDocument/2006/relationships" ref="P390" r:id="rId1417"/>
    <hyperlink xmlns:r="http://schemas.openxmlformats.org/officeDocument/2006/relationships" ref="M391" r:id="rId1418"/>
    <hyperlink xmlns:r="http://schemas.openxmlformats.org/officeDocument/2006/relationships" ref="N391" r:id="rId1419"/>
    <hyperlink xmlns:r="http://schemas.openxmlformats.org/officeDocument/2006/relationships" ref="O391" r:id="rId1420"/>
    <hyperlink xmlns:r="http://schemas.openxmlformats.org/officeDocument/2006/relationships" ref="P391" r:id="rId1421"/>
    <hyperlink xmlns:r="http://schemas.openxmlformats.org/officeDocument/2006/relationships" ref="M392" r:id="rId1422"/>
    <hyperlink xmlns:r="http://schemas.openxmlformats.org/officeDocument/2006/relationships" ref="N392" r:id="rId1423"/>
    <hyperlink xmlns:r="http://schemas.openxmlformats.org/officeDocument/2006/relationships" ref="O392" r:id="rId1424"/>
    <hyperlink xmlns:r="http://schemas.openxmlformats.org/officeDocument/2006/relationships" ref="P392" r:id="rId1425"/>
    <hyperlink xmlns:r="http://schemas.openxmlformats.org/officeDocument/2006/relationships" ref="M393" r:id="rId1426"/>
    <hyperlink xmlns:r="http://schemas.openxmlformats.org/officeDocument/2006/relationships" ref="N393" r:id="rId1427"/>
    <hyperlink xmlns:r="http://schemas.openxmlformats.org/officeDocument/2006/relationships" ref="O393" r:id="rId1428"/>
    <hyperlink xmlns:r="http://schemas.openxmlformats.org/officeDocument/2006/relationships" ref="P393" r:id="rId1429"/>
    <hyperlink xmlns:r="http://schemas.openxmlformats.org/officeDocument/2006/relationships" ref="M394" r:id="rId1430"/>
    <hyperlink xmlns:r="http://schemas.openxmlformats.org/officeDocument/2006/relationships" ref="N394" r:id="rId1431"/>
    <hyperlink xmlns:r="http://schemas.openxmlformats.org/officeDocument/2006/relationships" ref="O394" r:id="rId1432"/>
    <hyperlink xmlns:r="http://schemas.openxmlformats.org/officeDocument/2006/relationships" ref="P394" r:id="rId1433"/>
    <hyperlink xmlns:r="http://schemas.openxmlformats.org/officeDocument/2006/relationships" ref="M395" r:id="rId1434"/>
    <hyperlink xmlns:r="http://schemas.openxmlformats.org/officeDocument/2006/relationships" ref="N395" r:id="rId1435"/>
    <hyperlink xmlns:r="http://schemas.openxmlformats.org/officeDocument/2006/relationships" ref="O395" r:id="rId1436"/>
    <hyperlink xmlns:r="http://schemas.openxmlformats.org/officeDocument/2006/relationships" ref="P395" r:id="rId1437"/>
    <hyperlink xmlns:r="http://schemas.openxmlformats.org/officeDocument/2006/relationships" ref="M396" r:id="rId1438"/>
    <hyperlink xmlns:r="http://schemas.openxmlformats.org/officeDocument/2006/relationships" ref="N396" r:id="rId1439"/>
    <hyperlink xmlns:r="http://schemas.openxmlformats.org/officeDocument/2006/relationships" ref="O396" r:id="rId1440"/>
    <hyperlink xmlns:r="http://schemas.openxmlformats.org/officeDocument/2006/relationships" ref="P396" r:id="rId1441"/>
    <hyperlink xmlns:r="http://schemas.openxmlformats.org/officeDocument/2006/relationships" ref="M397" r:id="rId1442"/>
    <hyperlink xmlns:r="http://schemas.openxmlformats.org/officeDocument/2006/relationships" ref="N397" r:id="rId1443"/>
    <hyperlink xmlns:r="http://schemas.openxmlformats.org/officeDocument/2006/relationships" ref="P397" r:id="rId1444"/>
    <hyperlink xmlns:r="http://schemas.openxmlformats.org/officeDocument/2006/relationships" ref="M398" r:id="rId1445"/>
    <hyperlink xmlns:r="http://schemas.openxmlformats.org/officeDocument/2006/relationships" ref="N398" r:id="rId1446"/>
    <hyperlink xmlns:r="http://schemas.openxmlformats.org/officeDocument/2006/relationships" ref="O398" r:id="rId1447"/>
    <hyperlink xmlns:r="http://schemas.openxmlformats.org/officeDocument/2006/relationships" ref="P398" r:id="rId1448"/>
    <hyperlink xmlns:r="http://schemas.openxmlformats.org/officeDocument/2006/relationships" ref="M399" r:id="rId1449"/>
    <hyperlink xmlns:r="http://schemas.openxmlformats.org/officeDocument/2006/relationships" ref="N399" r:id="rId1450"/>
    <hyperlink xmlns:r="http://schemas.openxmlformats.org/officeDocument/2006/relationships" ref="O399" r:id="rId1451"/>
    <hyperlink xmlns:r="http://schemas.openxmlformats.org/officeDocument/2006/relationships" ref="P399" r:id="rId1452"/>
    <hyperlink xmlns:r="http://schemas.openxmlformats.org/officeDocument/2006/relationships" ref="M400" r:id="rId1453"/>
    <hyperlink xmlns:r="http://schemas.openxmlformats.org/officeDocument/2006/relationships" ref="N400" r:id="rId1454"/>
    <hyperlink xmlns:r="http://schemas.openxmlformats.org/officeDocument/2006/relationships" ref="P400" r:id="rId1455"/>
    <hyperlink xmlns:r="http://schemas.openxmlformats.org/officeDocument/2006/relationships" ref="M401" r:id="rId1456"/>
    <hyperlink xmlns:r="http://schemas.openxmlformats.org/officeDocument/2006/relationships" ref="N401" r:id="rId1457"/>
    <hyperlink xmlns:r="http://schemas.openxmlformats.org/officeDocument/2006/relationships" ref="O401" r:id="rId1458"/>
    <hyperlink xmlns:r="http://schemas.openxmlformats.org/officeDocument/2006/relationships" ref="P401" r:id="rId1459"/>
    <hyperlink xmlns:r="http://schemas.openxmlformats.org/officeDocument/2006/relationships" ref="M402" r:id="rId1460"/>
    <hyperlink xmlns:r="http://schemas.openxmlformats.org/officeDocument/2006/relationships" ref="N402" r:id="rId1461"/>
    <hyperlink xmlns:r="http://schemas.openxmlformats.org/officeDocument/2006/relationships" ref="P402" r:id="rId1462"/>
    <hyperlink xmlns:r="http://schemas.openxmlformats.org/officeDocument/2006/relationships" ref="M403" r:id="rId1463"/>
    <hyperlink xmlns:r="http://schemas.openxmlformats.org/officeDocument/2006/relationships" ref="N403" r:id="rId1464"/>
    <hyperlink xmlns:r="http://schemas.openxmlformats.org/officeDocument/2006/relationships" ref="O403" r:id="rId1465"/>
    <hyperlink xmlns:r="http://schemas.openxmlformats.org/officeDocument/2006/relationships" ref="P403" r:id="rId1466"/>
    <hyperlink xmlns:r="http://schemas.openxmlformats.org/officeDocument/2006/relationships" ref="M404" r:id="rId1467"/>
    <hyperlink xmlns:r="http://schemas.openxmlformats.org/officeDocument/2006/relationships" ref="N404" r:id="rId1468"/>
    <hyperlink xmlns:r="http://schemas.openxmlformats.org/officeDocument/2006/relationships" ref="O404" r:id="rId1469"/>
    <hyperlink xmlns:r="http://schemas.openxmlformats.org/officeDocument/2006/relationships" ref="P404" r:id="rId1470"/>
    <hyperlink xmlns:r="http://schemas.openxmlformats.org/officeDocument/2006/relationships" ref="M405" r:id="rId1471"/>
    <hyperlink xmlns:r="http://schemas.openxmlformats.org/officeDocument/2006/relationships" ref="N405" r:id="rId1472"/>
    <hyperlink xmlns:r="http://schemas.openxmlformats.org/officeDocument/2006/relationships" ref="P405" r:id="rId1473"/>
    <hyperlink xmlns:r="http://schemas.openxmlformats.org/officeDocument/2006/relationships" ref="M406" r:id="rId1474"/>
    <hyperlink xmlns:r="http://schemas.openxmlformats.org/officeDocument/2006/relationships" ref="N406" r:id="rId1475"/>
    <hyperlink xmlns:r="http://schemas.openxmlformats.org/officeDocument/2006/relationships" ref="O406" r:id="rId1476"/>
    <hyperlink xmlns:r="http://schemas.openxmlformats.org/officeDocument/2006/relationships" ref="P406" r:id="rId1477"/>
    <hyperlink xmlns:r="http://schemas.openxmlformats.org/officeDocument/2006/relationships" ref="M407" r:id="rId1478"/>
    <hyperlink xmlns:r="http://schemas.openxmlformats.org/officeDocument/2006/relationships" ref="N407" r:id="rId1479"/>
    <hyperlink xmlns:r="http://schemas.openxmlformats.org/officeDocument/2006/relationships" ref="P407" r:id="rId1480"/>
    <hyperlink xmlns:r="http://schemas.openxmlformats.org/officeDocument/2006/relationships" ref="M408" r:id="rId1481"/>
    <hyperlink xmlns:r="http://schemas.openxmlformats.org/officeDocument/2006/relationships" ref="N408" r:id="rId1482"/>
    <hyperlink xmlns:r="http://schemas.openxmlformats.org/officeDocument/2006/relationships" ref="P408" r:id="rId1483"/>
    <hyperlink xmlns:r="http://schemas.openxmlformats.org/officeDocument/2006/relationships" ref="M409" r:id="rId1484"/>
    <hyperlink xmlns:r="http://schemas.openxmlformats.org/officeDocument/2006/relationships" ref="N409" r:id="rId1485"/>
    <hyperlink xmlns:r="http://schemas.openxmlformats.org/officeDocument/2006/relationships" ref="O409" r:id="rId1486"/>
    <hyperlink xmlns:r="http://schemas.openxmlformats.org/officeDocument/2006/relationships" ref="P409" r:id="rId1487"/>
    <hyperlink xmlns:r="http://schemas.openxmlformats.org/officeDocument/2006/relationships" ref="M410" r:id="rId1488"/>
    <hyperlink xmlns:r="http://schemas.openxmlformats.org/officeDocument/2006/relationships" ref="N410" r:id="rId1489"/>
    <hyperlink xmlns:r="http://schemas.openxmlformats.org/officeDocument/2006/relationships" ref="P410" r:id="rId1490"/>
    <hyperlink xmlns:r="http://schemas.openxmlformats.org/officeDocument/2006/relationships" ref="M411" r:id="rId1491"/>
    <hyperlink xmlns:r="http://schemas.openxmlformats.org/officeDocument/2006/relationships" ref="N411" r:id="rId1492"/>
    <hyperlink xmlns:r="http://schemas.openxmlformats.org/officeDocument/2006/relationships" ref="O411" r:id="rId1493"/>
    <hyperlink xmlns:r="http://schemas.openxmlformats.org/officeDocument/2006/relationships" ref="P411" r:id="rId1494"/>
    <hyperlink xmlns:r="http://schemas.openxmlformats.org/officeDocument/2006/relationships" ref="M412" r:id="rId1495"/>
    <hyperlink xmlns:r="http://schemas.openxmlformats.org/officeDocument/2006/relationships" ref="N412" r:id="rId1496"/>
    <hyperlink xmlns:r="http://schemas.openxmlformats.org/officeDocument/2006/relationships" ref="P412" r:id="rId1497"/>
    <hyperlink xmlns:r="http://schemas.openxmlformats.org/officeDocument/2006/relationships" ref="M413" r:id="rId1498"/>
    <hyperlink xmlns:r="http://schemas.openxmlformats.org/officeDocument/2006/relationships" ref="N413" r:id="rId1499"/>
    <hyperlink xmlns:r="http://schemas.openxmlformats.org/officeDocument/2006/relationships" ref="O413" r:id="rId1500"/>
    <hyperlink xmlns:r="http://schemas.openxmlformats.org/officeDocument/2006/relationships" ref="P413" r:id="rId1501"/>
    <hyperlink xmlns:r="http://schemas.openxmlformats.org/officeDocument/2006/relationships" ref="M414" r:id="rId1502"/>
    <hyperlink xmlns:r="http://schemas.openxmlformats.org/officeDocument/2006/relationships" ref="N414" r:id="rId1503"/>
    <hyperlink xmlns:r="http://schemas.openxmlformats.org/officeDocument/2006/relationships" ref="O414" r:id="rId1504"/>
    <hyperlink xmlns:r="http://schemas.openxmlformats.org/officeDocument/2006/relationships" ref="P414" r:id="rId1505"/>
    <hyperlink xmlns:r="http://schemas.openxmlformats.org/officeDocument/2006/relationships" ref="M415" r:id="rId1506"/>
    <hyperlink xmlns:r="http://schemas.openxmlformats.org/officeDocument/2006/relationships" ref="N415" r:id="rId1507"/>
    <hyperlink xmlns:r="http://schemas.openxmlformats.org/officeDocument/2006/relationships" ref="P415" r:id="rId1508"/>
    <hyperlink xmlns:r="http://schemas.openxmlformats.org/officeDocument/2006/relationships" ref="M416" r:id="rId1509"/>
    <hyperlink xmlns:r="http://schemas.openxmlformats.org/officeDocument/2006/relationships" ref="N416" r:id="rId1510"/>
    <hyperlink xmlns:r="http://schemas.openxmlformats.org/officeDocument/2006/relationships" ref="P416" r:id="rId1511"/>
    <hyperlink xmlns:r="http://schemas.openxmlformats.org/officeDocument/2006/relationships" ref="M417" r:id="rId1512"/>
    <hyperlink xmlns:r="http://schemas.openxmlformats.org/officeDocument/2006/relationships" ref="N417" r:id="rId1513"/>
    <hyperlink xmlns:r="http://schemas.openxmlformats.org/officeDocument/2006/relationships" ref="O417" r:id="rId1514"/>
    <hyperlink xmlns:r="http://schemas.openxmlformats.org/officeDocument/2006/relationships" ref="P417" r:id="rId1515"/>
    <hyperlink xmlns:r="http://schemas.openxmlformats.org/officeDocument/2006/relationships" ref="M418" r:id="rId1516"/>
    <hyperlink xmlns:r="http://schemas.openxmlformats.org/officeDocument/2006/relationships" ref="N418" r:id="rId1517"/>
    <hyperlink xmlns:r="http://schemas.openxmlformats.org/officeDocument/2006/relationships" ref="P418" r:id="rId1518"/>
    <hyperlink xmlns:r="http://schemas.openxmlformats.org/officeDocument/2006/relationships" ref="M419" r:id="rId1519"/>
    <hyperlink xmlns:r="http://schemas.openxmlformats.org/officeDocument/2006/relationships" ref="N419" r:id="rId1520"/>
    <hyperlink xmlns:r="http://schemas.openxmlformats.org/officeDocument/2006/relationships" ref="O419" r:id="rId1521"/>
    <hyperlink xmlns:r="http://schemas.openxmlformats.org/officeDocument/2006/relationships" ref="P419" r:id="rId1522"/>
    <hyperlink xmlns:r="http://schemas.openxmlformats.org/officeDocument/2006/relationships" ref="M420" r:id="rId1523"/>
    <hyperlink xmlns:r="http://schemas.openxmlformats.org/officeDocument/2006/relationships" ref="N420" r:id="rId1524"/>
    <hyperlink xmlns:r="http://schemas.openxmlformats.org/officeDocument/2006/relationships" ref="P420" r:id="rId1525"/>
    <hyperlink xmlns:r="http://schemas.openxmlformats.org/officeDocument/2006/relationships" ref="M421" r:id="rId1526"/>
    <hyperlink xmlns:r="http://schemas.openxmlformats.org/officeDocument/2006/relationships" ref="N421" r:id="rId1527"/>
    <hyperlink xmlns:r="http://schemas.openxmlformats.org/officeDocument/2006/relationships" ref="O421" r:id="rId1528"/>
    <hyperlink xmlns:r="http://schemas.openxmlformats.org/officeDocument/2006/relationships" ref="P421" r:id="rId1529"/>
    <hyperlink xmlns:r="http://schemas.openxmlformats.org/officeDocument/2006/relationships" ref="M422" r:id="rId1530"/>
    <hyperlink xmlns:r="http://schemas.openxmlformats.org/officeDocument/2006/relationships" ref="N422" r:id="rId1531"/>
    <hyperlink xmlns:r="http://schemas.openxmlformats.org/officeDocument/2006/relationships" ref="O422" r:id="rId1532"/>
    <hyperlink xmlns:r="http://schemas.openxmlformats.org/officeDocument/2006/relationships" ref="P422" r:id="rId1533"/>
    <hyperlink xmlns:r="http://schemas.openxmlformats.org/officeDocument/2006/relationships" ref="M423" r:id="rId1534"/>
    <hyperlink xmlns:r="http://schemas.openxmlformats.org/officeDocument/2006/relationships" ref="N423" r:id="rId1535"/>
    <hyperlink xmlns:r="http://schemas.openxmlformats.org/officeDocument/2006/relationships" ref="P423" r:id="rId1536"/>
    <hyperlink xmlns:r="http://schemas.openxmlformats.org/officeDocument/2006/relationships" ref="M424" r:id="rId1537"/>
    <hyperlink xmlns:r="http://schemas.openxmlformats.org/officeDocument/2006/relationships" ref="N424" r:id="rId1538"/>
    <hyperlink xmlns:r="http://schemas.openxmlformats.org/officeDocument/2006/relationships" ref="O424" r:id="rId1539"/>
    <hyperlink xmlns:r="http://schemas.openxmlformats.org/officeDocument/2006/relationships" ref="P424" r:id="rId1540"/>
    <hyperlink xmlns:r="http://schemas.openxmlformats.org/officeDocument/2006/relationships" ref="M425" r:id="rId1541"/>
    <hyperlink xmlns:r="http://schemas.openxmlformats.org/officeDocument/2006/relationships" ref="N425" r:id="rId1542"/>
    <hyperlink xmlns:r="http://schemas.openxmlformats.org/officeDocument/2006/relationships" ref="P425" r:id="rId1543"/>
    <hyperlink xmlns:r="http://schemas.openxmlformats.org/officeDocument/2006/relationships" ref="M426" r:id="rId1544"/>
    <hyperlink xmlns:r="http://schemas.openxmlformats.org/officeDocument/2006/relationships" ref="N426" r:id="rId1545"/>
    <hyperlink xmlns:r="http://schemas.openxmlformats.org/officeDocument/2006/relationships" ref="P426" r:id="rId1546"/>
    <hyperlink xmlns:r="http://schemas.openxmlformats.org/officeDocument/2006/relationships" ref="M427" r:id="rId1547"/>
    <hyperlink xmlns:r="http://schemas.openxmlformats.org/officeDocument/2006/relationships" ref="N427" r:id="rId1548"/>
    <hyperlink xmlns:r="http://schemas.openxmlformats.org/officeDocument/2006/relationships" ref="O427" r:id="rId1549"/>
    <hyperlink xmlns:r="http://schemas.openxmlformats.org/officeDocument/2006/relationships" ref="P427" r:id="rId1550"/>
    <hyperlink xmlns:r="http://schemas.openxmlformats.org/officeDocument/2006/relationships" ref="M428" r:id="rId1551"/>
    <hyperlink xmlns:r="http://schemas.openxmlformats.org/officeDocument/2006/relationships" ref="N428" r:id="rId1552"/>
    <hyperlink xmlns:r="http://schemas.openxmlformats.org/officeDocument/2006/relationships" ref="O428" r:id="rId1553"/>
    <hyperlink xmlns:r="http://schemas.openxmlformats.org/officeDocument/2006/relationships" ref="P428" r:id="rId1554"/>
    <hyperlink xmlns:r="http://schemas.openxmlformats.org/officeDocument/2006/relationships" ref="M429" r:id="rId1555"/>
    <hyperlink xmlns:r="http://schemas.openxmlformats.org/officeDocument/2006/relationships" ref="N429" r:id="rId1556"/>
    <hyperlink xmlns:r="http://schemas.openxmlformats.org/officeDocument/2006/relationships" ref="P429" r:id="rId1557"/>
    <hyperlink xmlns:r="http://schemas.openxmlformats.org/officeDocument/2006/relationships" ref="M430" r:id="rId1558"/>
    <hyperlink xmlns:r="http://schemas.openxmlformats.org/officeDocument/2006/relationships" ref="N430" r:id="rId1559"/>
    <hyperlink xmlns:r="http://schemas.openxmlformats.org/officeDocument/2006/relationships" ref="O430" r:id="rId1560"/>
    <hyperlink xmlns:r="http://schemas.openxmlformats.org/officeDocument/2006/relationships" ref="P430" r:id="rId1561"/>
    <hyperlink xmlns:r="http://schemas.openxmlformats.org/officeDocument/2006/relationships" ref="M431" r:id="rId1562"/>
    <hyperlink xmlns:r="http://schemas.openxmlformats.org/officeDocument/2006/relationships" ref="N431" r:id="rId1563"/>
    <hyperlink xmlns:r="http://schemas.openxmlformats.org/officeDocument/2006/relationships" ref="O431" r:id="rId1564"/>
    <hyperlink xmlns:r="http://schemas.openxmlformats.org/officeDocument/2006/relationships" ref="P431" r:id="rId1565"/>
    <hyperlink xmlns:r="http://schemas.openxmlformats.org/officeDocument/2006/relationships" ref="M432" r:id="rId1566"/>
    <hyperlink xmlns:r="http://schemas.openxmlformats.org/officeDocument/2006/relationships" ref="N432" r:id="rId1567"/>
    <hyperlink xmlns:r="http://schemas.openxmlformats.org/officeDocument/2006/relationships" ref="O432" r:id="rId1568"/>
    <hyperlink xmlns:r="http://schemas.openxmlformats.org/officeDocument/2006/relationships" ref="P432" r:id="rId1569"/>
    <hyperlink xmlns:r="http://schemas.openxmlformats.org/officeDocument/2006/relationships" ref="M433" r:id="rId1570"/>
    <hyperlink xmlns:r="http://schemas.openxmlformats.org/officeDocument/2006/relationships" ref="N433" r:id="rId1571"/>
    <hyperlink xmlns:r="http://schemas.openxmlformats.org/officeDocument/2006/relationships" ref="P433" r:id="rId1572"/>
    <hyperlink xmlns:r="http://schemas.openxmlformats.org/officeDocument/2006/relationships" ref="M434" r:id="rId1573"/>
    <hyperlink xmlns:r="http://schemas.openxmlformats.org/officeDocument/2006/relationships" ref="N434" r:id="rId1574"/>
    <hyperlink xmlns:r="http://schemas.openxmlformats.org/officeDocument/2006/relationships" ref="O434" r:id="rId1575"/>
    <hyperlink xmlns:r="http://schemas.openxmlformats.org/officeDocument/2006/relationships" ref="P434" r:id="rId1576"/>
    <hyperlink xmlns:r="http://schemas.openxmlformats.org/officeDocument/2006/relationships" ref="M435" r:id="rId1577"/>
    <hyperlink xmlns:r="http://schemas.openxmlformats.org/officeDocument/2006/relationships" ref="N435" r:id="rId1578"/>
    <hyperlink xmlns:r="http://schemas.openxmlformats.org/officeDocument/2006/relationships" ref="O435" r:id="rId1579"/>
    <hyperlink xmlns:r="http://schemas.openxmlformats.org/officeDocument/2006/relationships" ref="P435" r:id="rId1580"/>
    <hyperlink xmlns:r="http://schemas.openxmlformats.org/officeDocument/2006/relationships" ref="M436" r:id="rId1581"/>
    <hyperlink xmlns:r="http://schemas.openxmlformats.org/officeDocument/2006/relationships" ref="N436" r:id="rId1582"/>
    <hyperlink xmlns:r="http://schemas.openxmlformats.org/officeDocument/2006/relationships" ref="O436" r:id="rId1583"/>
    <hyperlink xmlns:r="http://schemas.openxmlformats.org/officeDocument/2006/relationships" ref="P436" r:id="rId1584"/>
    <hyperlink xmlns:r="http://schemas.openxmlformats.org/officeDocument/2006/relationships" ref="M437" r:id="rId1585"/>
    <hyperlink xmlns:r="http://schemas.openxmlformats.org/officeDocument/2006/relationships" ref="N437" r:id="rId1586"/>
    <hyperlink xmlns:r="http://schemas.openxmlformats.org/officeDocument/2006/relationships" ref="P437" r:id="rId1587"/>
    <hyperlink xmlns:r="http://schemas.openxmlformats.org/officeDocument/2006/relationships" ref="M438" r:id="rId1588"/>
    <hyperlink xmlns:r="http://schemas.openxmlformats.org/officeDocument/2006/relationships" ref="N438" r:id="rId1589"/>
    <hyperlink xmlns:r="http://schemas.openxmlformats.org/officeDocument/2006/relationships" ref="O438" r:id="rId1590"/>
    <hyperlink xmlns:r="http://schemas.openxmlformats.org/officeDocument/2006/relationships" ref="P438" r:id="rId1591"/>
    <hyperlink xmlns:r="http://schemas.openxmlformats.org/officeDocument/2006/relationships" ref="M439" r:id="rId1592"/>
    <hyperlink xmlns:r="http://schemas.openxmlformats.org/officeDocument/2006/relationships" ref="N439" r:id="rId1593"/>
    <hyperlink xmlns:r="http://schemas.openxmlformats.org/officeDocument/2006/relationships" ref="P439" r:id="rId1594"/>
    <hyperlink xmlns:r="http://schemas.openxmlformats.org/officeDocument/2006/relationships" ref="M440" r:id="rId1595"/>
    <hyperlink xmlns:r="http://schemas.openxmlformats.org/officeDocument/2006/relationships" ref="N440" r:id="rId1596"/>
    <hyperlink xmlns:r="http://schemas.openxmlformats.org/officeDocument/2006/relationships" ref="O440" r:id="rId1597"/>
    <hyperlink xmlns:r="http://schemas.openxmlformats.org/officeDocument/2006/relationships" ref="P440" r:id="rId1598"/>
    <hyperlink xmlns:r="http://schemas.openxmlformats.org/officeDocument/2006/relationships" ref="M441" r:id="rId1599"/>
    <hyperlink xmlns:r="http://schemas.openxmlformats.org/officeDocument/2006/relationships" ref="N441" r:id="rId1600"/>
    <hyperlink xmlns:r="http://schemas.openxmlformats.org/officeDocument/2006/relationships" ref="O441" r:id="rId1601"/>
    <hyperlink xmlns:r="http://schemas.openxmlformats.org/officeDocument/2006/relationships" ref="P441" r:id="rId1602"/>
    <hyperlink xmlns:r="http://schemas.openxmlformats.org/officeDocument/2006/relationships" ref="M442" r:id="rId1603"/>
    <hyperlink xmlns:r="http://schemas.openxmlformats.org/officeDocument/2006/relationships" ref="N442" r:id="rId1604"/>
    <hyperlink xmlns:r="http://schemas.openxmlformats.org/officeDocument/2006/relationships" ref="P442" r:id="rId1605"/>
    <hyperlink xmlns:r="http://schemas.openxmlformats.org/officeDocument/2006/relationships" ref="M443" r:id="rId1606"/>
    <hyperlink xmlns:r="http://schemas.openxmlformats.org/officeDocument/2006/relationships" ref="N443" r:id="rId1607"/>
    <hyperlink xmlns:r="http://schemas.openxmlformats.org/officeDocument/2006/relationships" ref="P443" r:id="rId1608"/>
    <hyperlink xmlns:r="http://schemas.openxmlformats.org/officeDocument/2006/relationships" ref="M444" r:id="rId1609"/>
    <hyperlink xmlns:r="http://schemas.openxmlformats.org/officeDocument/2006/relationships" ref="N444" r:id="rId1610"/>
    <hyperlink xmlns:r="http://schemas.openxmlformats.org/officeDocument/2006/relationships" ref="O444" r:id="rId1611"/>
    <hyperlink xmlns:r="http://schemas.openxmlformats.org/officeDocument/2006/relationships" ref="P444" r:id="rId1612"/>
    <hyperlink xmlns:r="http://schemas.openxmlformats.org/officeDocument/2006/relationships" ref="M445" r:id="rId1613"/>
    <hyperlink xmlns:r="http://schemas.openxmlformats.org/officeDocument/2006/relationships" ref="N445" r:id="rId1614"/>
    <hyperlink xmlns:r="http://schemas.openxmlformats.org/officeDocument/2006/relationships" ref="O445" r:id="rId1615"/>
    <hyperlink xmlns:r="http://schemas.openxmlformats.org/officeDocument/2006/relationships" ref="P445" r:id="rId1616"/>
    <hyperlink xmlns:r="http://schemas.openxmlformats.org/officeDocument/2006/relationships" ref="M446" r:id="rId1617"/>
    <hyperlink xmlns:r="http://schemas.openxmlformats.org/officeDocument/2006/relationships" ref="N446" r:id="rId1618"/>
    <hyperlink xmlns:r="http://schemas.openxmlformats.org/officeDocument/2006/relationships" ref="O446" r:id="rId1619"/>
    <hyperlink xmlns:r="http://schemas.openxmlformats.org/officeDocument/2006/relationships" ref="P446" r:id="rId1620"/>
    <hyperlink xmlns:r="http://schemas.openxmlformats.org/officeDocument/2006/relationships" ref="M447" r:id="rId1621"/>
    <hyperlink xmlns:r="http://schemas.openxmlformats.org/officeDocument/2006/relationships" ref="N447" r:id="rId1622"/>
    <hyperlink xmlns:r="http://schemas.openxmlformats.org/officeDocument/2006/relationships" ref="O447" r:id="rId1623"/>
    <hyperlink xmlns:r="http://schemas.openxmlformats.org/officeDocument/2006/relationships" ref="P447" r:id="rId1624"/>
    <hyperlink xmlns:r="http://schemas.openxmlformats.org/officeDocument/2006/relationships" ref="M448" r:id="rId1625"/>
    <hyperlink xmlns:r="http://schemas.openxmlformats.org/officeDocument/2006/relationships" ref="N448" r:id="rId1626"/>
    <hyperlink xmlns:r="http://schemas.openxmlformats.org/officeDocument/2006/relationships" ref="O448" r:id="rId1627"/>
    <hyperlink xmlns:r="http://schemas.openxmlformats.org/officeDocument/2006/relationships" ref="P448" r:id="rId1628"/>
    <hyperlink xmlns:r="http://schemas.openxmlformats.org/officeDocument/2006/relationships" ref="M449" r:id="rId1629"/>
    <hyperlink xmlns:r="http://schemas.openxmlformats.org/officeDocument/2006/relationships" ref="N449" r:id="rId1630"/>
    <hyperlink xmlns:r="http://schemas.openxmlformats.org/officeDocument/2006/relationships" ref="P449" r:id="rId1631"/>
    <hyperlink xmlns:r="http://schemas.openxmlformats.org/officeDocument/2006/relationships" ref="M450" r:id="rId1632"/>
    <hyperlink xmlns:r="http://schemas.openxmlformats.org/officeDocument/2006/relationships" ref="N450" r:id="rId1633"/>
    <hyperlink xmlns:r="http://schemas.openxmlformats.org/officeDocument/2006/relationships" ref="P450" r:id="rId1634"/>
    <hyperlink xmlns:r="http://schemas.openxmlformats.org/officeDocument/2006/relationships" ref="M451" r:id="rId1635"/>
    <hyperlink xmlns:r="http://schemas.openxmlformats.org/officeDocument/2006/relationships" ref="N451" r:id="rId1636"/>
    <hyperlink xmlns:r="http://schemas.openxmlformats.org/officeDocument/2006/relationships" ref="O451" r:id="rId1637"/>
    <hyperlink xmlns:r="http://schemas.openxmlformats.org/officeDocument/2006/relationships" ref="P451" r:id="rId1638"/>
    <hyperlink xmlns:r="http://schemas.openxmlformats.org/officeDocument/2006/relationships" ref="M452" r:id="rId1639"/>
    <hyperlink xmlns:r="http://schemas.openxmlformats.org/officeDocument/2006/relationships" ref="N452" r:id="rId1640"/>
    <hyperlink xmlns:r="http://schemas.openxmlformats.org/officeDocument/2006/relationships" ref="P452" r:id="rId1641"/>
    <hyperlink xmlns:r="http://schemas.openxmlformats.org/officeDocument/2006/relationships" ref="M453" r:id="rId1642"/>
    <hyperlink xmlns:r="http://schemas.openxmlformats.org/officeDocument/2006/relationships" ref="N453" r:id="rId1643"/>
    <hyperlink xmlns:r="http://schemas.openxmlformats.org/officeDocument/2006/relationships" ref="O453" r:id="rId1644"/>
    <hyperlink xmlns:r="http://schemas.openxmlformats.org/officeDocument/2006/relationships" ref="P453" r:id="rId1645"/>
    <hyperlink xmlns:r="http://schemas.openxmlformats.org/officeDocument/2006/relationships" ref="M454" r:id="rId1646"/>
    <hyperlink xmlns:r="http://schemas.openxmlformats.org/officeDocument/2006/relationships" ref="N454" r:id="rId1647"/>
    <hyperlink xmlns:r="http://schemas.openxmlformats.org/officeDocument/2006/relationships" ref="P454" r:id="rId1648"/>
    <hyperlink xmlns:r="http://schemas.openxmlformats.org/officeDocument/2006/relationships" ref="M455" r:id="rId1649"/>
    <hyperlink xmlns:r="http://schemas.openxmlformats.org/officeDocument/2006/relationships" ref="N455" r:id="rId1650"/>
    <hyperlink xmlns:r="http://schemas.openxmlformats.org/officeDocument/2006/relationships" ref="O455" r:id="rId1651"/>
    <hyperlink xmlns:r="http://schemas.openxmlformats.org/officeDocument/2006/relationships" ref="P455" r:id="rId1652"/>
    <hyperlink xmlns:r="http://schemas.openxmlformats.org/officeDocument/2006/relationships" ref="M456" r:id="rId1653"/>
    <hyperlink xmlns:r="http://schemas.openxmlformats.org/officeDocument/2006/relationships" ref="N456" r:id="rId1654"/>
    <hyperlink xmlns:r="http://schemas.openxmlformats.org/officeDocument/2006/relationships" ref="O456" r:id="rId1655"/>
    <hyperlink xmlns:r="http://schemas.openxmlformats.org/officeDocument/2006/relationships" ref="P456" r:id="rId1656"/>
    <hyperlink xmlns:r="http://schemas.openxmlformats.org/officeDocument/2006/relationships" ref="M457" r:id="rId1657"/>
    <hyperlink xmlns:r="http://schemas.openxmlformats.org/officeDocument/2006/relationships" ref="N457" r:id="rId1658"/>
    <hyperlink xmlns:r="http://schemas.openxmlformats.org/officeDocument/2006/relationships" ref="P457" r:id="rId1659"/>
    <hyperlink xmlns:r="http://schemas.openxmlformats.org/officeDocument/2006/relationships" ref="M458" r:id="rId1660"/>
    <hyperlink xmlns:r="http://schemas.openxmlformats.org/officeDocument/2006/relationships" ref="N458" r:id="rId1661"/>
    <hyperlink xmlns:r="http://schemas.openxmlformats.org/officeDocument/2006/relationships" ref="P458" r:id="rId1662"/>
    <hyperlink xmlns:r="http://schemas.openxmlformats.org/officeDocument/2006/relationships" ref="M459" r:id="rId1663"/>
    <hyperlink xmlns:r="http://schemas.openxmlformats.org/officeDocument/2006/relationships" ref="N459" r:id="rId1664"/>
    <hyperlink xmlns:r="http://schemas.openxmlformats.org/officeDocument/2006/relationships" ref="P459" r:id="rId1665"/>
    <hyperlink xmlns:r="http://schemas.openxmlformats.org/officeDocument/2006/relationships" ref="M460" r:id="rId1666"/>
    <hyperlink xmlns:r="http://schemas.openxmlformats.org/officeDocument/2006/relationships" ref="N460" r:id="rId1667"/>
    <hyperlink xmlns:r="http://schemas.openxmlformats.org/officeDocument/2006/relationships" ref="P460" r:id="rId1668"/>
    <hyperlink xmlns:r="http://schemas.openxmlformats.org/officeDocument/2006/relationships" ref="M461" r:id="rId1669"/>
    <hyperlink xmlns:r="http://schemas.openxmlformats.org/officeDocument/2006/relationships" ref="N461" r:id="rId1670"/>
    <hyperlink xmlns:r="http://schemas.openxmlformats.org/officeDocument/2006/relationships" ref="O461" r:id="rId1671"/>
    <hyperlink xmlns:r="http://schemas.openxmlformats.org/officeDocument/2006/relationships" ref="P461" r:id="rId1672"/>
    <hyperlink xmlns:r="http://schemas.openxmlformats.org/officeDocument/2006/relationships" ref="M462" r:id="rId1673"/>
    <hyperlink xmlns:r="http://schemas.openxmlformats.org/officeDocument/2006/relationships" ref="N462" r:id="rId1674"/>
    <hyperlink xmlns:r="http://schemas.openxmlformats.org/officeDocument/2006/relationships" ref="O462" r:id="rId1675"/>
    <hyperlink xmlns:r="http://schemas.openxmlformats.org/officeDocument/2006/relationships" ref="P462" r:id="rId1676"/>
    <hyperlink xmlns:r="http://schemas.openxmlformats.org/officeDocument/2006/relationships" ref="M463" r:id="rId1677"/>
    <hyperlink xmlns:r="http://schemas.openxmlformats.org/officeDocument/2006/relationships" ref="N463" r:id="rId1678"/>
    <hyperlink xmlns:r="http://schemas.openxmlformats.org/officeDocument/2006/relationships" ref="O463" r:id="rId1679"/>
    <hyperlink xmlns:r="http://schemas.openxmlformats.org/officeDocument/2006/relationships" ref="P463" r:id="rId1680"/>
    <hyperlink xmlns:r="http://schemas.openxmlformats.org/officeDocument/2006/relationships" ref="M464" r:id="rId1681"/>
    <hyperlink xmlns:r="http://schemas.openxmlformats.org/officeDocument/2006/relationships" ref="N464" r:id="rId1682"/>
    <hyperlink xmlns:r="http://schemas.openxmlformats.org/officeDocument/2006/relationships" ref="O464" r:id="rId1683"/>
    <hyperlink xmlns:r="http://schemas.openxmlformats.org/officeDocument/2006/relationships" ref="P464" r:id="rId1684"/>
    <hyperlink xmlns:r="http://schemas.openxmlformats.org/officeDocument/2006/relationships" ref="M465" r:id="rId1685"/>
    <hyperlink xmlns:r="http://schemas.openxmlformats.org/officeDocument/2006/relationships" ref="N465" r:id="rId1686"/>
    <hyperlink xmlns:r="http://schemas.openxmlformats.org/officeDocument/2006/relationships" ref="O465" r:id="rId1687"/>
    <hyperlink xmlns:r="http://schemas.openxmlformats.org/officeDocument/2006/relationships" ref="P465" r:id="rId1688"/>
    <hyperlink xmlns:r="http://schemas.openxmlformats.org/officeDocument/2006/relationships" ref="M466" r:id="rId1689"/>
    <hyperlink xmlns:r="http://schemas.openxmlformats.org/officeDocument/2006/relationships" ref="P466" r:id="rId1690"/>
    <hyperlink xmlns:r="http://schemas.openxmlformats.org/officeDocument/2006/relationships" ref="M467" r:id="rId1691"/>
    <hyperlink xmlns:r="http://schemas.openxmlformats.org/officeDocument/2006/relationships" ref="N467" r:id="rId1692"/>
    <hyperlink xmlns:r="http://schemas.openxmlformats.org/officeDocument/2006/relationships" ref="O467" r:id="rId1693"/>
    <hyperlink xmlns:r="http://schemas.openxmlformats.org/officeDocument/2006/relationships" ref="P467" r:id="rId1694"/>
    <hyperlink xmlns:r="http://schemas.openxmlformats.org/officeDocument/2006/relationships" ref="M468" r:id="rId1695"/>
    <hyperlink xmlns:r="http://schemas.openxmlformats.org/officeDocument/2006/relationships" ref="N468" r:id="rId1696"/>
    <hyperlink xmlns:r="http://schemas.openxmlformats.org/officeDocument/2006/relationships" ref="P468" r:id="rId1697"/>
    <hyperlink xmlns:r="http://schemas.openxmlformats.org/officeDocument/2006/relationships" ref="M469" r:id="rId1698"/>
    <hyperlink xmlns:r="http://schemas.openxmlformats.org/officeDocument/2006/relationships" ref="N469" r:id="rId1699"/>
    <hyperlink xmlns:r="http://schemas.openxmlformats.org/officeDocument/2006/relationships" ref="P469" r:id="rId1700"/>
    <hyperlink xmlns:r="http://schemas.openxmlformats.org/officeDocument/2006/relationships" ref="M470" r:id="rId1701"/>
    <hyperlink xmlns:r="http://schemas.openxmlformats.org/officeDocument/2006/relationships" ref="N470" r:id="rId1702"/>
    <hyperlink xmlns:r="http://schemas.openxmlformats.org/officeDocument/2006/relationships" ref="O470" r:id="rId1703"/>
    <hyperlink xmlns:r="http://schemas.openxmlformats.org/officeDocument/2006/relationships" ref="P470" r:id="rId1704"/>
    <hyperlink xmlns:r="http://schemas.openxmlformats.org/officeDocument/2006/relationships" ref="M471" r:id="rId1705"/>
    <hyperlink xmlns:r="http://schemas.openxmlformats.org/officeDocument/2006/relationships" ref="N471" r:id="rId1706"/>
    <hyperlink xmlns:r="http://schemas.openxmlformats.org/officeDocument/2006/relationships" ref="O471" r:id="rId1707"/>
    <hyperlink xmlns:r="http://schemas.openxmlformats.org/officeDocument/2006/relationships" ref="P471" r:id="rId1708"/>
    <hyperlink xmlns:r="http://schemas.openxmlformats.org/officeDocument/2006/relationships" ref="M472" r:id="rId1709"/>
    <hyperlink xmlns:r="http://schemas.openxmlformats.org/officeDocument/2006/relationships" ref="N472" r:id="rId1710"/>
    <hyperlink xmlns:r="http://schemas.openxmlformats.org/officeDocument/2006/relationships" ref="O472" r:id="rId1711"/>
    <hyperlink xmlns:r="http://schemas.openxmlformats.org/officeDocument/2006/relationships" ref="P472" r:id="rId1712"/>
    <hyperlink xmlns:r="http://schemas.openxmlformats.org/officeDocument/2006/relationships" ref="M473" r:id="rId1713"/>
    <hyperlink xmlns:r="http://schemas.openxmlformats.org/officeDocument/2006/relationships" ref="N473" r:id="rId1714"/>
    <hyperlink xmlns:r="http://schemas.openxmlformats.org/officeDocument/2006/relationships" ref="O473" r:id="rId1715"/>
    <hyperlink xmlns:r="http://schemas.openxmlformats.org/officeDocument/2006/relationships" ref="P473" r:id="rId1716"/>
    <hyperlink xmlns:r="http://schemas.openxmlformats.org/officeDocument/2006/relationships" ref="M474" r:id="rId1717"/>
    <hyperlink xmlns:r="http://schemas.openxmlformats.org/officeDocument/2006/relationships" ref="N474" r:id="rId1718"/>
    <hyperlink xmlns:r="http://schemas.openxmlformats.org/officeDocument/2006/relationships" ref="O474" r:id="rId1719"/>
    <hyperlink xmlns:r="http://schemas.openxmlformats.org/officeDocument/2006/relationships" ref="P474" r:id="rId1720"/>
    <hyperlink xmlns:r="http://schemas.openxmlformats.org/officeDocument/2006/relationships" ref="M475" r:id="rId1721"/>
    <hyperlink xmlns:r="http://schemas.openxmlformats.org/officeDocument/2006/relationships" ref="N475" r:id="rId1722"/>
    <hyperlink xmlns:r="http://schemas.openxmlformats.org/officeDocument/2006/relationships" ref="O475" r:id="rId1723"/>
    <hyperlink xmlns:r="http://schemas.openxmlformats.org/officeDocument/2006/relationships" ref="P475" r:id="rId1724"/>
    <hyperlink xmlns:r="http://schemas.openxmlformats.org/officeDocument/2006/relationships" ref="M476" r:id="rId1725"/>
    <hyperlink xmlns:r="http://schemas.openxmlformats.org/officeDocument/2006/relationships" ref="N476" r:id="rId1726"/>
    <hyperlink xmlns:r="http://schemas.openxmlformats.org/officeDocument/2006/relationships" ref="O476" r:id="rId1727"/>
    <hyperlink xmlns:r="http://schemas.openxmlformats.org/officeDocument/2006/relationships" ref="P476" r:id="rId1728"/>
    <hyperlink xmlns:r="http://schemas.openxmlformats.org/officeDocument/2006/relationships" ref="M477" r:id="rId1729"/>
    <hyperlink xmlns:r="http://schemas.openxmlformats.org/officeDocument/2006/relationships" ref="N477" r:id="rId1730"/>
    <hyperlink xmlns:r="http://schemas.openxmlformats.org/officeDocument/2006/relationships" ref="O477" r:id="rId1731"/>
    <hyperlink xmlns:r="http://schemas.openxmlformats.org/officeDocument/2006/relationships" ref="P477" r:id="rId1732"/>
    <hyperlink xmlns:r="http://schemas.openxmlformats.org/officeDocument/2006/relationships" ref="M478" r:id="rId1733"/>
    <hyperlink xmlns:r="http://schemas.openxmlformats.org/officeDocument/2006/relationships" ref="N478" r:id="rId1734"/>
    <hyperlink xmlns:r="http://schemas.openxmlformats.org/officeDocument/2006/relationships" ref="O478" r:id="rId1735"/>
    <hyperlink xmlns:r="http://schemas.openxmlformats.org/officeDocument/2006/relationships" ref="P478" r:id="rId1736"/>
    <hyperlink xmlns:r="http://schemas.openxmlformats.org/officeDocument/2006/relationships" ref="M479" r:id="rId1737"/>
    <hyperlink xmlns:r="http://schemas.openxmlformats.org/officeDocument/2006/relationships" ref="N479" r:id="rId1738"/>
    <hyperlink xmlns:r="http://schemas.openxmlformats.org/officeDocument/2006/relationships" ref="O479" r:id="rId1739"/>
    <hyperlink xmlns:r="http://schemas.openxmlformats.org/officeDocument/2006/relationships" ref="P479" r:id="rId1740"/>
    <hyperlink xmlns:r="http://schemas.openxmlformats.org/officeDocument/2006/relationships" ref="M480" r:id="rId1741"/>
    <hyperlink xmlns:r="http://schemas.openxmlformats.org/officeDocument/2006/relationships" ref="N480" r:id="rId1742"/>
    <hyperlink xmlns:r="http://schemas.openxmlformats.org/officeDocument/2006/relationships" ref="O480" r:id="rId1743"/>
    <hyperlink xmlns:r="http://schemas.openxmlformats.org/officeDocument/2006/relationships" ref="P480" r:id="rId1744"/>
    <hyperlink xmlns:r="http://schemas.openxmlformats.org/officeDocument/2006/relationships" ref="M481" r:id="rId1745"/>
    <hyperlink xmlns:r="http://schemas.openxmlformats.org/officeDocument/2006/relationships" ref="N481" r:id="rId1746"/>
    <hyperlink xmlns:r="http://schemas.openxmlformats.org/officeDocument/2006/relationships" ref="O481" r:id="rId1747"/>
    <hyperlink xmlns:r="http://schemas.openxmlformats.org/officeDocument/2006/relationships" ref="P481" r:id="rId1748"/>
    <hyperlink xmlns:r="http://schemas.openxmlformats.org/officeDocument/2006/relationships" ref="M482" r:id="rId1749"/>
    <hyperlink xmlns:r="http://schemas.openxmlformats.org/officeDocument/2006/relationships" ref="N482" r:id="rId1750"/>
    <hyperlink xmlns:r="http://schemas.openxmlformats.org/officeDocument/2006/relationships" ref="O482" r:id="rId1751"/>
    <hyperlink xmlns:r="http://schemas.openxmlformats.org/officeDocument/2006/relationships" ref="P482" r:id="rId1752"/>
    <hyperlink xmlns:r="http://schemas.openxmlformats.org/officeDocument/2006/relationships" ref="M483" r:id="rId1753"/>
    <hyperlink xmlns:r="http://schemas.openxmlformats.org/officeDocument/2006/relationships" ref="N483" r:id="rId1754"/>
    <hyperlink xmlns:r="http://schemas.openxmlformats.org/officeDocument/2006/relationships" ref="O483" r:id="rId1755"/>
    <hyperlink xmlns:r="http://schemas.openxmlformats.org/officeDocument/2006/relationships" ref="P483" r:id="rId1756"/>
    <hyperlink xmlns:r="http://schemas.openxmlformats.org/officeDocument/2006/relationships" ref="M484" r:id="rId1757"/>
    <hyperlink xmlns:r="http://schemas.openxmlformats.org/officeDocument/2006/relationships" ref="N484" r:id="rId1758"/>
    <hyperlink xmlns:r="http://schemas.openxmlformats.org/officeDocument/2006/relationships" ref="P484" r:id="rId1759"/>
    <hyperlink xmlns:r="http://schemas.openxmlformats.org/officeDocument/2006/relationships" ref="M485" r:id="rId1760"/>
    <hyperlink xmlns:r="http://schemas.openxmlformats.org/officeDocument/2006/relationships" ref="N485" r:id="rId1761"/>
    <hyperlink xmlns:r="http://schemas.openxmlformats.org/officeDocument/2006/relationships" ref="O485" r:id="rId1762"/>
    <hyperlink xmlns:r="http://schemas.openxmlformats.org/officeDocument/2006/relationships" ref="P485" r:id="rId1763"/>
    <hyperlink xmlns:r="http://schemas.openxmlformats.org/officeDocument/2006/relationships" ref="M486" r:id="rId1764"/>
    <hyperlink xmlns:r="http://schemas.openxmlformats.org/officeDocument/2006/relationships" ref="N486" r:id="rId1765"/>
    <hyperlink xmlns:r="http://schemas.openxmlformats.org/officeDocument/2006/relationships" ref="O486" r:id="rId1766"/>
    <hyperlink xmlns:r="http://schemas.openxmlformats.org/officeDocument/2006/relationships" ref="P486" r:id="rId1767"/>
    <hyperlink xmlns:r="http://schemas.openxmlformats.org/officeDocument/2006/relationships" ref="M487" r:id="rId1768"/>
    <hyperlink xmlns:r="http://schemas.openxmlformats.org/officeDocument/2006/relationships" ref="N487" r:id="rId1769"/>
    <hyperlink xmlns:r="http://schemas.openxmlformats.org/officeDocument/2006/relationships" ref="O487" r:id="rId1770"/>
    <hyperlink xmlns:r="http://schemas.openxmlformats.org/officeDocument/2006/relationships" ref="P487" r:id="rId1771"/>
    <hyperlink xmlns:r="http://schemas.openxmlformats.org/officeDocument/2006/relationships" ref="M488" r:id="rId1772"/>
    <hyperlink xmlns:r="http://schemas.openxmlformats.org/officeDocument/2006/relationships" ref="N488" r:id="rId1773"/>
    <hyperlink xmlns:r="http://schemas.openxmlformats.org/officeDocument/2006/relationships" ref="P488" r:id="rId1774"/>
    <hyperlink xmlns:r="http://schemas.openxmlformats.org/officeDocument/2006/relationships" ref="M489" r:id="rId1775"/>
    <hyperlink xmlns:r="http://schemas.openxmlformats.org/officeDocument/2006/relationships" ref="N489" r:id="rId1776"/>
    <hyperlink xmlns:r="http://schemas.openxmlformats.org/officeDocument/2006/relationships" ref="O489" r:id="rId1777"/>
    <hyperlink xmlns:r="http://schemas.openxmlformats.org/officeDocument/2006/relationships" ref="P489" r:id="rId1778"/>
    <hyperlink xmlns:r="http://schemas.openxmlformats.org/officeDocument/2006/relationships" ref="M490" r:id="rId1779"/>
    <hyperlink xmlns:r="http://schemas.openxmlformats.org/officeDocument/2006/relationships" ref="N490" r:id="rId1780"/>
    <hyperlink xmlns:r="http://schemas.openxmlformats.org/officeDocument/2006/relationships" ref="O490" r:id="rId1781"/>
    <hyperlink xmlns:r="http://schemas.openxmlformats.org/officeDocument/2006/relationships" ref="P490" r:id="rId1782"/>
    <hyperlink xmlns:r="http://schemas.openxmlformats.org/officeDocument/2006/relationships" ref="M491" r:id="rId1783"/>
    <hyperlink xmlns:r="http://schemas.openxmlformats.org/officeDocument/2006/relationships" ref="N491" r:id="rId1784"/>
    <hyperlink xmlns:r="http://schemas.openxmlformats.org/officeDocument/2006/relationships" ref="O491" r:id="rId1785"/>
    <hyperlink xmlns:r="http://schemas.openxmlformats.org/officeDocument/2006/relationships" ref="P491" r:id="rId1786"/>
    <hyperlink xmlns:r="http://schemas.openxmlformats.org/officeDocument/2006/relationships" ref="M492" r:id="rId1787"/>
    <hyperlink xmlns:r="http://schemas.openxmlformats.org/officeDocument/2006/relationships" ref="N492" r:id="rId1788"/>
    <hyperlink xmlns:r="http://schemas.openxmlformats.org/officeDocument/2006/relationships" ref="O492" r:id="rId1789"/>
    <hyperlink xmlns:r="http://schemas.openxmlformats.org/officeDocument/2006/relationships" ref="P492" r:id="rId1790"/>
    <hyperlink xmlns:r="http://schemas.openxmlformats.org/officeDocument/2006/relationships" ref="M493" r:id="rId1791"/>
    <hyperlink xmlns:r="http://schemas.openxmlformats.org/officeDocument/2006/relationships" ref="N493" r:id="rId1792"/>
    <hyperlink xmlns:r="http://schemas.openxmlformats.org/officeDocument/2006/relationships" ref="O493" r:id="rId1793"/>
    <hyperlink xmlns:r="http://schemas.openxmlformats.org/officeDocument/2006/relationships" ref="P493" r:id="rId1794"/>
    <hyperlink xmlns:r="http://schemas.openxmlformats.org/officeDocument/2006/relationships" ref="M494" r:id="rId1795"/>
    <hyperlink xmlns:r="http://schemas.openxmlformats.org/officeDocument/2006/relationships" ref="N494" r:id="rId1796"/>
    <hyperlink xmlns:r="http://schemas.openxmlformats.org/officeDocument/2006/relationships" ref="O494" r:id="rId1797"/>
    <hyperlink xmlns:r="http://schemas.openxmlformats.org/officeDocument/2006/relationships" ref="P494" r:id="rId1798"/>
    <hyperlink xmlns:r="http://schemas.openxmlformats.org/officeDocument/2006/relationships" ref="M495" r:id="rId1799"/>
    <hyperlink xmlns:r="http://schemas.openxmlformats.org/officeDocument/2006/relationships" ref="N495" r:id="rId1800"/>
    <hyperlink xmlns:r="http://schemas.openxmlformats.org/officeDocument/2006/relationships" ref="P495" r:id="rId1801"/>
    <hyperlink xmlns:r="http://schemas.openxmlformats.org/officeDocument/2006/relationships" ref="M496" r:id="rId1802"/>
    <hyperlink xmlns:r="http://schemas.openxmlformats.org/officeDocument/2006/relationships" ref="N496" r:id="rId1803"/>
    <hyperlink xmlns:r="http://schemas.openxmlformats.org/officeDocument/2006/relationships" ref="O496" r:id="rId1804"/>
    <hyperlink xmlns:r="http://schemas.openxmlformats.org/officeDocument/2006/relationships" ref="P496" r:id="rId1805"/>
    <hyperlink xmlns:r="http://schemas.openxmlformats.org/officeDocument/2006/relationships" ref="M497" r:id="rId1806"/>
    <hyperlink xmlns:r="http://schemas.openxmlformats.org/officeDocument/2006/relationships" ref="N497" r:id="rId1807"/>
    <hyperlink xmlns:r="http://schemas.openxmlformats.org/officeDocument/2006/relationships" ref="O497" r:id="rId1808"/>
    <hyperlink xmlns:r="http://schemas.openxmlformats.org/officeDocument/2006/relationships" ref="P497" r:id="rId1809"/>
    <hyperlink xmlns:r="http://schemas.openxmlformats.org/officeDocument/2006/relationships" ref="M498" r:id="rId1810"/>
    <hyperlink xmlns:r="http://schemas.openxmlformats.org/officeDocument/2006/relationships" ref="N498" r:id="rId1811"/>
    <hyperlink xmlns:r="http://schemas.openxmlformats.org/officeDocument/2006/relationships" ref="O498" r:id="rId1812"/>
    <hyperlink xmlns:r="http://schemas.openxmlformats.org/officeDocument/2006/relationships" ref="P498" r:id="rId1813"/>
    <hyperlink xmlns:r="http://schemas.openxmlformats.org/officeDocument/2006/relationships" ref="M499" r:id="rId1814"/>
    <hyperlink xmlns:r="http://schemas.openxmlformats.org/officeDocument/2006/relationships" ref="N499" r:id="rId1815"/>
    <hyperlink xmlns:r="http://schemas.openxmlformats.org/officeDocument/2006/relationships" ref="O499" r:id="rId1816"/>
    <hyperlink xmlns:r="http://schemas.openxmlformats.org/officeDocument/2006/relationships" ref="P499" r:id="rId1817"/>
    <hyperlink xmlns:r="http://schemas.openxmlformats.org/officeDocument/2006/relationships" ref="M500" r:id="rId1818"/>
    <hyperlink xmlns:r="http://schemas.openxmlformats.org/officeDocument/2006/relationships" ref="N500" r:id="rId1819"/>
    <hyperlink xmlns:r="http://schemas.openxmlformats.org/officeDocument/2006/relationships" ref="O500" r:id="rId1820"/>
    <hyperlink xmlns:r="http://schemas.openxmlformats.org/officeDocument/2006/relationships" ref="P500" r:id="rId1821"/>
    <hyperlink xmlns:r="http://schemas.openxmlformats.org/officeDocument/2006/relationships" ref="M501" r:id="rId1822"/>
    <hyperlink xmlns:r="http://schemas.openxmlformats.org/officeDocument/2006/relationships" ref="N501" r:id="rId1823"/>
    <hyperlink xmlns:r="http://schemas.openxmlformats.org/officeDocument/2006/relationships" ref="O501" r:id="rId1824"/>
    <hyperlink xmlns:r="http://schemas.openxmlformats.org/officeDocument/2006/relationships" ref="P501" r:id="rId1825"/>
    <hyperlink xmlns:r="http://schemas.openxmlformats.org/officeDocument/2006/relationships" ref="M502" r:id="rId1826"/>
    <hyperlink xmlns:r="http://schemas.openxmlformats.org/officeDocument/2006/relationships" ref="N502" r:id="rId1827"/>
    <hyperlink xmlns:r="http://schemas.openxmlformats.org/officeDocument/2006/relationships" ref="O502" r:id="rId1828"/>
    <hyperlink xmlns:r="http://schemas.openxmlformats.org/officeDocument/2006/relationships" ref="P502" r:id="rId1829"/>
    <hyperlink xmlns:r="http://schemas.openxmlformats.org/officeDocument/2006/relationships" ref="M503" r:id="rId1830"/>
    <hyperlink xmlns:r="http://schemas.openxmlformats.org/officeDocument/2006/relationships" ref="N503" r:id="rId1831"/>
    <hyperlink xmlns:r="http://schemas.openxmlformats.org/officeDocument/2006/relationships" ref="O503" r:id="rId1832"/>
    <hyperlink xmlns:r="http://schemas.openxmlformats.org/officeDocument/2006/relationships" ref="P503" r:id="rId1833"/>
    <hyperlink xmlns:r="http://schemas.openxmlformats.org/officeDocument/2006/relationships" ref="M504" r:id="rId1834"/>
    <hyperlink xmlns:r="http://schemas.openxmlformats.org/officeDocument/2006/relationships" ref="N504" r:id="rId1835"/>
    <hyperlink xmlns:r="http://schemas.openxmlformats.org/officeDocument/2006/relationships" ref="O504" r:id="rId1836"/>
    <hyperlink xmlns:r="http://schemas.openxmlformats.org/officeDocument/2006/relationships" ref="P504" r:id="rId1837"/>
    <hyperlink xmlns:r="http://schemas.openxmlformats.org/officeDocument/2006/relationships" ref="M505" r:id="rId1838"/>
    <hyperlink xmlns:r="http://schemas.openxmlformats.org/officeDocument/2006/relationships" ref="N505" r:id="rId1839"/>
    <hyperlink xmlns:r="http://schemas.openxmlformats.org/officeDocument/2006/relationships" ref="O505" r:id="rId1840"/>
    <hyperlink xmlns:r="http://schemas.openxmlformats.org/officeDocument/2006/relationships" ref="P505" r:id="rId1841"/>
    <hyperlink xmlns:r="http://schemas.openxmlformats.org/officeDocument/2006/relationships" ref="M506" r:id="rId1842"/>
    <hyperlink xmlns:r="http://schemas.openxmlformats.org/officeDocument/2006/relationships" ref="N506" r:id="rId1843"/>
    <hyperlink xmlns:r="http://schemas.openxmlformats.org/officeDocument/2006/relationships" ref="O506" r:id="rId1844"/>
    <hyperlink xmlns:r="http://schemas.openxmlformats.org/officeDocument/2006/relationships" ref="P506" r:id="rId1845"/>
    <hyperlink xmlns:r="http://schemas.openxmlformats.org/officeDocument/2006/relationships" ref="M507" r:id="rId1846"/>
    <hyperlink xmlns:r="http://schemas.openxmlformats.org/officeDocument/2006/relationships" ref="N507" r:id="rId1847"/>
    <hyperlink xmlns:r="http://schemas.openxmlformats.org/officeDocument/2006/relationships" ref="O507" r:id="rId1848"/>
    <hyperlink xmlns:r="http://schemas.openxmlformats.org/officeDocument/2006/relationships" ref="P507" r:id="rId1849"/>
    <hyperlink xmlns:r="http://schemas.openxmlformats.org/officeDocument/2006/relationships" ref="M508" r:id="rId1850"/>
    <hyperlink xmlns:r="http://schemas.openxmlformats.org/officeDocument/2006/relationships" ref="N508" r:id="rId1851"/>
    <hyperlink xmlns:r="http://schemas.openxmlformats.org/officeDocument/2006/relationships" ref="O508" r:id="rId1852"/>
    <hyperlink xmlns:r="http://schemas.openxmlformats.org/officeDocument/2006/relationships" ref="P508" r:id="rId1853"/>
    <hyperlink xmlns:r="http://schemas.openxmlformats.org/officeDocument/2006/relationships" ref="M509" r:id="rId1854"/>
    <hyperlink xmlns:r="http://schemas.openxmlformats.org/officeDocument/2006/relationships" ref="N509" r:id="rId1855"/>
    <hyperlink xmlns:r="http://schemas.openxmlformats.org/officeDocument/2006/relationships" ref="P509" r:id="rId1856"/>
    <hyperlink xmlns:r="http://schemas.openxmlformats.org/officeDocument/2006/relationships" ref="M510" r:id="rId1857"/>
    <hyperlink xmlns:r="http://schemas.openxmlformats.org/officeDocument/2006/relationships" ref="N510" r:id="rId1858"/>
    <hyperlink xmlns:r="http://schemas.openxmlformats.org/officeDocument/2006/relationships" ref="P510" r:id="rId1859"/>
    <hyperlink xmlns:r="http://schemas.openxmlformats.org/officeDocument/2006/relationships" ref="M511" r:id="rId1860"/>
    <hyperlink xmlns:r="http://schemas.openxmlformats.org/officeDocument/2006/relationships" ref="N511" r:id="rId1861"/>
    <hyperlink xmlns:r="http://schemas.openxmlformats.org/officeDocument/2006/relationships" ref="O511" r:id="rId1862"/>
    <hyperlink xmlns:r="http://schemas.openxmlformats.org/officeDocument/2006/relationships" ref="P511" r:id="rId1863"/>
    <hyperlink xmlns:r="http://schemas.openxmlformats.org/officeDocument/2006/relationships" ref="M512" r:id="rId1864"/>
    <hyperlink xmlns:r="http://schemas.openxmlformats.org/officeDocument/2006/relationships" ref="N512" r:id="rId1865"/>
    <hyperlink xmlns:r="http://schemas.openxmlformats.org/officeDocument/2006/relationships" ref="O512" r:id="rId1866"/>
    <hyperlink xmlns:r="http://schemas.openxmlformats.org/officeDocument/2006/relationships" ref="P512" r:id="rId1867"/>
    <hyperlink xmlns:r="http://schemas.openxmlformats.org/officeDocument/2006/relationships" ref="M513" r:id="rId1868"/>
    <hyperlink xmlns:r="http://schemas.openxmlformats.org/officeDocument/2006/relationships" ref="N513" r:id="rId1869"/>
    <hyperlink xmlns:r="http://schemas.openxmlformats.org/officeDocument/2006/relationships" ref="O513" r:id="rId1870"/>
    <hyperlink xmlns:r="http://schemas.openxmlformats.org/officeDocument/2006/relationships" ref="P513" r:id="rId1871"/>
    <hyperlink xmlns:r="http://schemas.openxmlformats.org/officeDocument/2006/relationships" ref="M514" r:id="rId1872"/>
    <hyperlink xmlns:r="http://schemas.openxmlformats.org/officeDocument/2006/relationships" ref="N514" r:id="rId1873"/>
    <hyperlink xmlns:r="http://schemas.openxmlformats.org/officeDocument/2006/relationships" ref="O514" r:id="rId1874"/>
    <hyperlink xmlns:r="http://schemas.openxmlformats.org/officeDocument/2006/relationships" ref="P514" r:id="rId1875"/>
    <hyperlink xmlns:r="http://schemas.openxmlformats.org/officeDocument/2006/relationships" ref="M515" r:id="rId1876"/>
    <hyperlink xmlns:r="http://schemas.openxmlformats.org/officeDocument/2006/relationships" ref="N515" r:id="rId1877"/>
    <hyperlink xmlns:r="http://schemas.openxmlformats.org/officeDocument/2006/relationships" ref="O515" r:id="rId1878"/>
    <hyperlink xmlns:r="http://schemas.openxmlformats.org/officeDocument/2006/relationships" ref="P515" r:id="rId1879"/>
    <hyperlink xmlns:r="http://schemas.openxmlformats.org/officeDocument/2006/relationships" ref="M516" r:id="rId1880"/>
    <hyperlink xmlns:r="http://schemas.openxmlformats.org/officeDocument/2006/relationships" ref="N516" r:id="rId1881"/>
    <hyperlink xmlns:r="http://schemas.openxmlformats.org/officeDocument/2006/relationships" ref="O516" r:id="rId1882"/>
    <hyperlink xmlns:r="http://schemas.openxmlformats.org/officeDocument/2006/relationships" ref="P516" r:id="rId1883"/>
    <hyperlink xmlns:r="http://schemas.openxmlformats.org/officeDocument/2006/relationships" ref="M517" r:id="rId1884"/>
    <hyperlink xmlns:r="http://schemas.openxmlformats.org/officeDocument/2006/relationships" ref="N517" r:id="rId1885"/>
    <hyperlink xmlns:r="http://schemas.openxmlformats.org/officeDocument/2006/relationships" ref="P517" r:id="rId1886"/>
    <hyperlink xmlns:r="http://schemas.openxmlformats.org/officeDocument/2006/relationships" ref="M518" r:id="rId1887"/>
    <hyperlink xmlns:r="http://schemas.openxmlformats.org/officeDocument/2006/relationships" ref="N518" r:id="rId1888"/>
    <hyperlink xmlns:r="http://schemas.openxmlformats.org/officeDocument/2006/relationships" ref="O518" r:id="rId1889"/>
    <hyperlink xmlns:r="http://schemas.openxmlformats.org/officeDocument/2006/relationships" ref="P518" r:id="rId1890"/>
    <hyperlink xmlns:r="http://schemas.openxmlformats.org/officeDocument/2006/relationships" ref="M519" r:id="rId1891"/>
    <hyperlink xmlns:r="http://schemas.openxmlformats.org/officeDocument/2006/relationships" ref="N519" r:id="rId1892"/>
    <hyperlink xmlns:r="http://schemas.openxmlformats.org/officeDocument/2006/relationships" ref="O519" r:id="rId1893"/>
    <hyperlink xmlns:r="http://schemas.openxmlformats.org/officeDocument/2006/relationships" ref="P519" r:id="rId1894"/>
    <hyperlink xmlns:r="http://schemas.openxmlformats.org/officeDocument/2006/relationships" ref="M520" r:id="rId1895"/>
    <hyperlink xmlns:r="http://schemas.openxmlformats.org/officeDocument/2006/relationships" ref="N520" r:id="rId1896"/>
    <hyperlink xmlns:r="http://schemas.openxmlformats.org/officeDocument/2006/relationships" ref="O520" r:id="rId1897"/>
    <hyperlink xmlns:r="http://schemas.openxmlformats.org/officeDocument/2006/relationships" ref="P520" r:id="rId1898"/>
    <hyperlink xmlns:r="http://schemas.openxmlformats.org/officeDocument/2006/relationships" ref="M521" r:id="rId1899"/>
    <hyperlink xmlns:r="http://schemas.openxmlformats.org/officeDocument/2006/relationships" ref="N521" r:id="rId1900"/>
    <hyperlink xmlns:r="http://schemas.openxmlformats.org/officeDocument/2006/relationships" ref="P521" r:id="rId1901"/>
    <hyperlink xmlns:r="http://schemas.openxmlformats.org/officeDocument/2006/relationships" ref="M522" r:id="rId1902"/>
    <hyperlink xmlns:r="http://schemas.openxmlformats.org/officeDocument/2006/relationships" ref="N522" r:id="rId1903"/>
    <hyperlink xmlns:r="http://schemas.openxmlformats.org/officeDocument/2006/relationships" ref="O522" r:id="rId1904"/>
    <hyperlink xmlns:r="http://schemas.openxmlformats.org/officeDocument/2006/relationships" ref="P522" r:id="rId1905"/>
    <hyperlink xmlns:r="http://schemas.openxmlformats.org/officeDocument/2006/relationships" ref="M523" r:id="rId1906"/>
    <hyperlink xmlns:r="http://schemas.openxmlformats.org/officeDocument/2006/relationships" ref="N523" r:id="rId1907"/>
    <hyperlink xmlns:r="http://schemas.openxmlformats.org/officeDocument/2006/relationships" ref="O523" r:id="rId1908"/>
    <hyperlink xmlns:r="http://schemas.openxmlformats.org/officeDocument/2006/relationships" ref="P523" r:id="rId1909"/>
    <hyperlink xmlns:r="http://schemas.openxmlformats.org/officeDocument/2006/relationships" ref="M524" r:id="rId1910"/>
    <hyperlink xmlns:r="http://schemas.openxmlformats.org/officeDocument/2006/relationships" ref="N524" r:id="rId1911"/>
    <hyperlink xmlns:r="http://schemas.openxmlformats.org/officeDocument/2006/relationships" ref="O524" r:id="rId1912"/>
    <hyperlink xmlns:r="http://schemas.openxmlformats.org/officeDocument/2006/relationships" ref="P524" r:id="rId1913"/>
    <hyperlink xmlns:r="http://schemas.openxmlformats.org/officeDocument/2006/relationships" ref="M525" r:id="rId1914"/>
    <hyperlink xmlns:r="http://schemas.openxmlformats.org/officeDocument/2006/relationships" ref="N525" r:id="rId1915"/>
    <hyperlink xmlns:r="http://schemas.openxmlformats.org/officeDocument/2006/relationships" ref="P525" r:id="rId1916"/>
    <hyperlink xmlns:r="http://schemas.openxmlformats.org/officeDocument/2006/relationships" ref="M526" r:id="rId1917"/>
    <hyperlink xmlns:r="http://schemas.openxmlformats.org/officeDocument/2006/relationships" ref="N526" r:id="rId1918"/>
    <hyperlink xmlns:r="http://schemas.openxmlformats.org/officeDocument/2006/relationships" ref="P526" r:id="rId1919"/>
    <hyperlink xmlns:r="http://schemas.openxmlformats.org/officeDocument/2006/relationships" ref="M527" r:id="rId1920"/>
    <hyperlink xmlns:r="http://schemas.openxmlformats.org/officeDocument/2006/relationships" ref="N527" r:id="rId1921"/>
    <hyperlink xmlns:r="http://schemas.openxmlformats.org/officeDocument/2006/relationships" ref="O527" r:id="rId1922"/>
    <hyperlink xmlns:r="http://schemas.openxmlformats.org/officeDocument/2006/relationships" ref="P527" r:id="rId1923"/>
    <hyperlink xmlns:r="http://schemas.openxmlformats.org/officeDocument/2006/relationships" ref="M528" r:id="rId1924"/>
    <hyperlink xmlns:r="http://schemas.openxmlformats.org/officeDocument/2006/relationships" ref="N528" r:id="rId1925"/>
    <hyperlink xmlns:r="http://schemas.openxmlformats.org/officeDocument/2006/relationships" ref="O528" r:id="rId1926"/>
    <hyperlink xmlns:r="http://schemas.openxmlformats.org/officeDocument/2006/relationships" ref="P528" r:id="rId1927"/>
    <hyperlink xmlns:r="http://schemas.openxmlformats.org/officeDocument/2006/relationships" ref="M529" r:id="rId1928"/>
    <hyperlink xmlns:r="http://schemas.openxmlformats.org/officeDocument/2006/relationships" ref="N529" r:id="rId1929"/>
    <hyperlink xmlns:r="http://schemas.openxmlformats.org/officeDocument/2006/relationships" ref="P529" r:id="rId1930"/>
    <hyperlink xmlns:r="http://schemas.openxmlformats.org/officeDocument/2006/relationships" ref="M530" r:id="rId1931"/>
    <hyperlink xmlns:r="http://schemas.openxmlformats.org/officeDocument/2006/relationships" ref="N530" r:id="rId1932"/>
    <hyperlink xmlns:r="http://schemas.openxmlformats.org/officeDocument/2006/relationships" ref="O530" r:id="rId1933"/>
    <hyperlink xmlns:r="http://schemas.openxmlformats.org/officeDocument/2006/relationships" ref="P530" r:id="rId1934"/>
    <hyperlink xmlns:r="http://schemas.openxmlformats.org/officeDocument/2006/relationships" ref="M531" r:id="rId1935"/>
    <hyperlink xmlns:r="http://schemas.openxmlformats.org/officeDocument/2006/relationships" ref="N531" r:id="rId1936"/>
    <hyperlink xmlns:r="http://schemas.openxmlformats.org/officeDocument/2006/relationships" ref="O531" r:id="rId1937"/>
    <hyperlink xmlns:r="http://schemas.openxmlformats.org/officeDocument/2006/relationships" ref="P531" r:id="rId1938"/>
    <hyperlink xmlns:r="http://schemas.openxmlformats.org/officeDocument/2006/relationships" ref="M532" r:id="rId1939"/>
    <hyperlink xmlns:r="http://schemas.openxmlformats.org/officeDocument/2006/relationships" ref="N532" r:id="rId1940"/>
    <hyperlink xmlns:r="http://schemas.openxmlformats.org/officeDocument/2006/relationships" ref="O532" r:id="rId1941"/>
    <hyperlink xmlns:r="http://schemas.openxmlformats.org/officeDocument/2006/relationships" ref="P532" r:id="rId1942"/>
    <hyperlink xmlns:r="http://schemas.openxmlformats.org/officeDocument/2006/relationships" ref="M533" r:id="rId1943"/>
    <hyperlink xmlns:r="http://schemas.openxmlformats.org/officeDocument/2006/relationships" ref="N533" r:id="rId1944"/>
    <hyperlink xmlns:r="http://schemas.openxmlformats.org/officeDocument/2006/relationships" ref="O533" r:id="rId1945"/>
    <hyperlink xmlns:r="http://schemas.openxmlformats.org/officeDocument/2006/relationships" ref="P533" r:id="rId1946"/>
    <hyperlink xmlns:r="http://schemas.openxmlformats.org/officeDocument/2006/relationships" ref="M534" r:id="rId1947"/>
    <hyperlink xmlns:r="http://schemas.openxmlformats.org/officeDocument/2006/relationships" ref="N534" r:id="rId1948"/>
    <hyperlink xmlns:r="http://schemas.openxmlformats.org/officeDocument/2006/relationships" ref="O534" r:id="rId1949"/>
    <hyperlink xmlns:r="http://schemas.openxmlformats.org/officeDocument/2006/relationships" ref="P534" r:id="rId1950"/>
    <hyperlink xmlns:r="http://schemas.openxmlformats.org/officeDocument/2006/relationships" ref="M535" r:id="rId1951"/>
    <hyperlink xmlns:r="http://schemas.openxmlformats.org/officeDocument/2006/relationships" ref="N535" r:id="rId1952"/>
    <hyperlink xmlns:r="http://schemas.openxmlformats.org/officeDocument/2006/relationships" ref="O535" r:id="rId1953"/>
    <hyperlink xmlns:r="http://schemas.openxmlformats.org/officeDocument/2006/relationships" ref="P535" r:id="rId1954"/>
    <hyperlink xmlns:r="http://schemas.openxmlformats.org/officeDocument/2006/relationships" ref="M536" r:id="rId1955"/>
    <hyperlink xmlns:r="http://schemas.openxmlformats.org/officeDocument/2006/relationships" ref="N536" r:id="rId1956"/>
    <hyperlink xmlns:r="http://schemas.openxmlformats.org/officeDocument/2006/relationships" ref="P536" r:id="rId1957"/>
    <hyperlink xmlns:r="http://schemas.openxmlformats.org/officeDocument/2006/relationships" ref="M537" r:id="rId1958"/>
    <hyperlink xmlns:r="http://schemas.openxmlformats.org/officeDocument/2006/relationships" ref="N537" r:id="rId1959"/>
    <hyperlink xmlns:r="http://schemas.openxmlformats.org/officeDocument/2006/relationships" ref="O537" r:id="rId1960"/>
    <hyperlink xmlns:r="http://schemas.openxmlformats.org/officeDocument/2006/relationships" ref="P537" r:id="rId1961"/>
    <hyperlink xmlns:r="http://schemas.openxmlformats.org/officeDocument/2006/relationships" ref="M538" r:id="rId1962"/>
    <hyperlink xmlns:r="http://schemas.openxmlformats.org/officeDocument/2006/relationships" ref="N538" r:id="rId1963"/>
    <hyperlink xmlns:r="http://schemas.openxmlformats.org/officeDocument/2006/relationships" ref="O538" r:id="rId1964"/>
    <hyperlink xmlns:r="http://schemas.openxmlformats.org/officeDocument/2006/relationships" ref="P538" r:id="rId1965"/>
    <hyperlink xmlns:r="http://schemas.openxmlformats.org/officeDocument/2006/relationships" ref="M539" r:id="rId1966"/>
    <hyperlink xmlns:r="http://schemas.openxmlformats.org/officeDocument/2006/relationships" ref="N539" r:id="rId1967"/>
    <hyperlink xmlns:r="http://schemas.openxmlformats.org/officeDocument/2006/relationships" ref="O539" r:id="rId1968"/>
    <hyperlink xmlns:r="http://schemas.openxmlformats.org/officeDocument/2006/relationships" ref="P539" r:id="rId1969"/>
    <hyperlink xmlns:r="http://schemas.openxmlformats.org/officeDocument/2006/relationships" ref="M540" r:id="rId1970"/>
    <hyperlink xmlns:r="http://schemas.openxmlformats.org/officeDocument/2006/relationships" ref="N540" r:id="rId1971"/>
    <hyperlink xmlns:r="http://schemas.openxmlformats.org/officeDocument/2006/relationships" ref="O540" r:id="rId1972"/>
    <hyperlink xmlns:r="http://schemas.openxmlformats.org/officeDocument/2006/relationships" ref="P540" r:id="rId1973"/>
    <hyperlink xmlns:r="http://schemas.openxmlformats.org/officeDocument/2006/relationships" ref="M541" r:id="rId1974"/>
    <hyperlink xmlns:r="http://schemas.openxmlformats.org/officeDocument/2006/relationships" ref="N541" r:id="rId1975"/>
    <hyperlink xmlns:r="http://schemas.openxmlformats.org/officeDocument/2006/relationships" ref="O541" r:id="rId1976"/>
    <hyperlink xmlns:r="http://schemas.openxmlformats.org/officeDocument/2006/relationships" ref="P541" r:id="rId1977"/>
    <hyperlink xmlns:r="http://schemas.openxmlformats.org/officeDocument/2006/relationships" ref="M542" r:id="rId1978"/>
    <hyperlink xmlns:r="http://schemas.openxmlformats.org/officeDocument/2006/relationships" ref="N542" r:id="rId1979"/>
    <hyperlink xmlns:r="http://schemas.openxmlformats.org/officeDocument/2006/relationships" ref="O542" r:id="rId1980"/>
    <hyperlink xmlns:r="http://schemas.openxmlformats.org/officeDocument/2006/relationships" ref="P542" r:id="rId1981"/>
    <hyperlink xmlns:r="http://schemas.openxmlformats.org/officeDocument/2006/relationships" ref="M543" r:id="rId1982"/>
    <hyperlink xmlns:r="http://schemas.openxmlformats.org/officeDocument/2006/relationships" ref="N543" r:id="rId1983"/>
    <hyperlink xmlns:r="http://schemas.openxmlformats.org/officeDocument/2006/relationships" ref="O543" r:id="rId1984"/>
    <hyperlink xmlns:r="http://schemas.openxmlformats.org/officeDocument/2006/relationships" ref="P543" r:id="rId1985"/>
    <hyperlink xmlns:r="http://schemas.openxmlformats.org/officeDocument/2006/relationships" ref="M544" r:id="rId1986"/>
    <hyperlink xmlns:r="http://schemas.openxmlformats.org/officeDocument/2006/relationships" ref="N544" r:id="rId1987"/>
    <hyperlink xmlns:r="http://schemas.openxmlformats.org/officeDocument/2006/relationships" ref="O544" r:id="rId1988"/>
    <hyperlink xmlns:r="http://schemas.openxmlformats.org/officeDocument/2006/relationships" ref="P544" r:id="rId1989"/>
    <hyperlink xmlns:r="http://schemas.openxmlformats.org/officeDocument/2006/relationships" ref="M545" r:id="rId1990"/>
    <hyperlink xmlns:r="http://schemas.openxmlformats.org/officeDocument/2006/relationships" ref="N545" r:id="rId1991"/>
    <hyperlink xmlns:r="http://schemas.openxmlformats.org/officeDocument/2006/relationships" ref="O545" r:id="rId1992"/>
    <hyperlink xmlns:r="http://schemas.openxmlformats.org/officeDocument/2006/relationships" ref="P545" r:id="rId1993"/>
    <hyperlink xmlns:r="http://schemas.openxmlformats.org/officeDocument/2006/relationships" ref="M546" r:id="rId1994"/>
    <hyperlink xmlns:r="http://schemas.openxmlformats.org/officeDocument/2006/relationships" ref="N546" r:id="rId1995"/>
    <hyperlink xmlns:r="http://schemas.openxmlformats.org/officeDocument/2006/relationships" ref="O546" r:id="rId1996"/>
    <hyperlink xmlns:r="http://schemas.openxmlformats.org/officeDocument/2006/relationships" ref="P546" r:id="rId1997"/>
    <hyperlink xmlns:r="http://schemas.openxmlformats.org/officeDocument/2006/relationships" ref="M547" r:id="rId1998"/>
    <hyperlink xmlns:r="http://schemas.openxmlformats.org/officeDocument/2006/relationships" ref="N547" r:id="rId1999"/>
    <hyperlink xmlns:r="http://schemas.openxmlformats.org/officeDocument/2006/relationships" ref="O547" r:id="rId2000"/>
    <hyperlink xmlns:r="http://schemas.openxmlformats.org/officeDocument/2006/relationships" ref="P547" r:id="rId2001"/>
    <hyperlink xmlns:r="http://schemas.openxmlformats.org/officeDocument/2006/relationships" ref="M548" r:id="rId2002"/>
    <hyperlink xmlns:r="http://schemas.openxmlformats.org/officeDocument/2006/relationships" ref="N548" r:id="rId2003"/>
    <hyperlink xmlns:r="http://schemas.openxmlformats.org/officeDocument/2006/relationships" ref="O548" r:id="rId2004"/>
    <hyperlink xmlns:r="http://schemas.openxmlformats.org/officeDocument/2006/relationships" ref="P548" r:id="rId2005"/>
    <hyperlink xmlns:r="http://schemas.openxmlformats.org/officeDocument/2006/relationships" ref="M549" r:id="rId2006"/>
    <hyperlink xmlns:r="http://schemas.openxmlformats.org/officeDocument/2006/relationships" ref="N549" r:id="rId2007"/>
    <hyperlink xmlns:r="http://schemas.openxmlformats.org/officeDocument/2006/relationships" ref="P549" r:id="rId2008"/>
    <hyperlink xmlns:r="http://schemas.openxmlformats.org/officeDocument/2006/relationships" ref="M550" r:id="rId2009"/>
    <hyperlink xmlns:r="http://schemas.openxmlformats.org/officeDocument/2006/relationships" ref="N550" r:id="rId2010"/>
    <hyperlink xmlns:r="http://schemas.openxmlformats.org/officeDocument/2006/relationships" ref="P550" r:id="rId2011"/>
    <hyperlink xmlns:r="http://schemas.openxmlformats.org/officeDocument/2006/relationships" ref="M551" r:id="rId2012"/>
    <hyperlink xmlns:r="http://schemas.openxmlformats.org/officeDocument/2006/relationships" ref="N551" r:id="rId2013"/>
    <hyperlink xmlns:r="http://schemas.openxmlformats.org/officeDocument/2006/relationships" ref="O551" r:id="rId2014"/>
    <hyperlink xmlns:r="http://schemas.openxmlformats.org/officeDocument/2006/relationships" ref="P551" r:id="rId2015"/>
    <hyperlink xmlns:r="http://schemas.openxmlformats.org/officeDocument/2006/relationships" ref="M552" r:id="rId2016"/>
    <hyperlink xmlns:r="http://schemas.openxmlformats.org/officeDocument/2006/relationships" ref="N552" r:id="rId2017"/>
    <hyperlink xmlns:r="http://schemas.openxmlformats.org/officeDocument/2006/relationships" ref="P552" r:id="rId2018"/>
    <hyperlink xmlns:r="http://schemas.openxmlformats.org/officeDocument/2006/relationships" ref="M553" r:id="rId2019"/>
    <hyperlink xmlns:r="http://schemas.openxmlformats.org/officeDocument/2006/relationships" ref="N553" r:id="rId2020"/>
    <hyperlink xmlns:r="http://schemas.openxmlformats.org/officeDocument/2006/relationships" ref="P553" r:id="rId2021"/>
    <hyperlink xmlns:r="http://schemas.openxmlformats.org/officeDocument/2006/relationships" ref="M554" r:id="rId2022"/>
    <hyperlink xmlns:r="http://schemas.openxmlformats.org/officeDocument/2006/relationships" ref="N554" r:id="rId2023"/>
    <hyperlink xmlns:r="http://schemas.openxmlformats.org/officeDocument/2006/relationships" ref="O554" r:id="rId2024"/>
    <hyperlink xmlns:r="http://schemas.openxmlformats.org/officeDocument/2006/relationships" ref="P554" r:id="rId2025"/>
    <hyperlink xmlns:r="http://schemas.openxmlformats.org/officeDocument/2006/relationships" ref="M555" r:id="rId2026"/>
    <hyperlink xmlns:r="http://schemas.openxmlformats.org/officeDocument/2006/relationships" ref="N555" r:id="rId2027"/>
    <hyperlink xmlns:r="http://schemas.openxmlformats.org/officeDocument/2006/relationships" ref="O555" r:id="rId2028"/>
    <hyperlink xmlns:r="http://schemas.openxmlformats.org/officeDocument/2006/relationships" ref="P555" r:id="rId2029"/>
    <hyperlink xmlns:r="http://schemas.openxmlformats.org/officeDocument/2006/relationships" ref="M556" r:id="rId2030"/>
    <hyperlink xmlns:r="http://schemas.openxmlformats.org/officeDocument/2006/relationships" ref="N556" r:id="rId2031"/>
    <hyperlink xmlns:r="http://schemas.openxmlformats.org/officeDocument/2006/relationships" ref="P556" r:id="rId2032"/>
    <hyperlink xmlns:r="http://schemas.openxmlformats.org/officeDocument/2006/relationships" ref="M557" r:id="rId2033"/>
    <hyperlink xmlns:r="http://schemas.openxmlformats.org/officeDocument/2006/relationships" ref="N557" r:id="rId2034"/>
    <hyperlink xmlns:r="http://schemas.openxmlformats.org/officeDocument/2006/relationships" ref="O557" r:id="rId2035"/>
    <hyperlink xmlns:r="http://schemas.openxmlformats.org/officeDocument/2006/relationships" ref="P557" r:id="rId2036"/>
    <hyperlink xmlns:r="http://schemas.openxmlformats.org/officeDocument/2006/relationships" ref="M558" r:id="rId2037"/>
    <hyperlink xmlns:r="http://schemas.openxmlformats.org/officeDocument/2006/relationships" ref="N558" r:id="rId2038"/>
    <hyperlink xmlns:r="http://schemas.openxmlformats.org/officeDocument/2006/relationships" ref="P558" r:id="rId2039"/>
    <hyperlink xmlns:r="http://schemas.openxmlformats.org/officeDocument/2006/relationships" ref="M559" r:id="rId2040"/>
    <hyperlink xmlns:r="http://schemas.openxmlformats.org/officeDocument/2006/relationships" ref="N559" r:id="rId2041"/>
    <hyperlink xmlns:r="http://schemas.openxmlformats.org/officeDocument/2006/relationships" ref="O559" r:id="rId2042"/>
    <hyperlink xmlns:r="http://schemas.openxmlformats.org/officeDocument/2006/relationships" ref="P559" r:id="rId2043"/>
    <hyperlink xmlns:r="http://schemas.openxmlformats.org/officeDocument/2006/relationships" ref="M560" r:id="rId2044"/>
    <hyperlink xmlns:r="http://schemas.openxmlformats.org/officeDocument/2006/relationships" ref="N560" r:id="rId2045"/>
    <hyperlink xmlns:r="http://schemas.openxmlformats.org/officeDocument/2006/relationships" ref="O560" r:id="rId2046"/>
    <hyperlink xmlns:r="http://schemas.openxmlformats.org/officeDocument/2006/relationships" ref="P560" r:id="rId2047"/>
    <hyperlink xmlns:r="http://schemas.openxmlformats.org/officeDocument/2006/relationships" ref="M561" r:id="rId2048"/>
    <hyperlink xmlns:r="http://schemas.openxmlformats.org/officeDocument/2006/relationships" ref="N561" r:id="rId2049"/>
    <hyperlink xmlns:r="http://schemas.openxmlformats.org/officeDocument/2006/relationships" ref="O561" r:id="rId2050"/>
    <hyperlink xmlns:r="http://schemas.openxmlformats.org/officeDocument/2006/relationships" ref="P561" r:id="rId2051"/>
    <hyperlink xmlns:r="http://schemas.openxmlformats.org/officeDocument/2006/relationships" ref="M562" r:id="rId2052"/>
    <hyperlink xmlns:r="http://schemas.openxmlformats.org/officeDocument/2006/relationships" ref="N562" r:id="rId2053"/>
    <hyperlink xmlns:r="http://schemas.openxmlformats.org/officeDocument/2006/relationships" ref="P562" r:id="rId2054"/>
    <hyperlink xmlns:r="http://schemas.openxmlformats.org/officeDocument/2006/relationships" ref="M563" r:id="rId2055"/>
    <hyperlink xmlns:r="http://schemas.openxmlformats.org/officeDocument/2006/relationships" ref="N563" r:id="rId2056"/>
    <hyperlink xmlns:r="http://schemas.openxmlformats.org/officeDocument/2006/relationships" ref="O563" r:id="rId2057"/>
    <hyperlink xmlns:r="http://schemas.openxmlformats.org/officeDocument/2006/relationships" ref="P563" r:id="rId2058"/>
    <hyperlink xmlns:r="http://schemas.openxmlformats.org/officeDocument/2006/relationships" ref="M564" r:id="rId2059"/>
    <hyperlink xmlns:r="http://schemas.openxmlformats.org/officeDocument/2006/relationships" ref="N564" r:id="rId2060"/>
    <hyperlink xmlns:r="http://schemas.openxmlformats.org/officeDocument/2006/relationships" ref="P564" r:id="rId2061"/>
    <hyperlink xmlns:r="http://schemas.openxmlformats.org/officeDocument/2006/relationships" ref="M565" r:id="rId2062"/>
    <hyperlink xmlns:r="http://schemas.openxmlformats.org/officeDocument/2006/relationships" ref="N565" r:id="rId2063"/>
    <hyperlink xmlns:r="http://schemas.openxmlformats.org/officeDocument/2006/relationships" ref="O565" r:id="rId2064"/>
    <hyperlink xmlns:r="http://schemas.openxmlformats.org/officeDocument/2006/relationships" ref="P565" r:id="rId2065"/>
    <hyperlink xmlns:r="http://schemas.openxmlformats.org/officeDocument/2006/relationships" ref="M566" r:id="rId2066"/>
    <hyperlink xmlns:r="http://schemas.openxmlformats.org/officeDocument/2006/relationships" ref="N566" r:id="rId2067"/>
    <hyperlink xmlns:r="http://schemas.openxmlformats.org/officeDocument/2006/relationships" ref="O566" r:id="rId2068"/>
    <hyperlink xmlns:r="http://schemas.openxmlformats.org/officeDocument/2006/relationships" ref="P566" r:id="rId2069"/>
    <hyperlink xmlns:r="http://schemas.openxmlformats.org/officeDocument/2006/relationships" ref="M567" r:id="rId2070"/>
    <hyperlink xmlns:r="http://schemas.openxmlformats.org/officeDocument/2006/relationships" ref="N567" r:id="rId2071"/>
    <hyperlink xmlns:r="http://schemas.openxmlformats.org/officeDocument/2006/relationships" ref="O567" r:id="rId2072"/>
    <hyperlink xmlns:r="http://schemas.openxmlformats.org/officeDocument/2006/relationships" ref="P567" r:id="rId2073"/>
    <hyperlink xmlns:r="http://schemas.openxmlformats.org/officeDocument/2006/relationships" ref="M568" r:id="rId2074"/>
    <hyperlink xmlns:r="http://schemas.openxmlformats.org/officeDocument/2006/relationships" ref="N568" r:id="rId2075"/>
    <hyperlink xmlns:r="http://schemas.openxmlformats.org/officeDocument/2006/relationships" ref="P568" r:id="rId2076"/>
    <hyperlink xmlns:r="http://schemas.openxmlformats.org/officeDocument/2006/relationships" ref="M569" r:id="rId2077"/>
    <hyperlink xmlns:r="http://schemas.openxmlformats.org/officeDocument/2006/relationships" ref="N569" r:id="rId2078"/>
    <hyperlink xmlns:r="http://schemas.openxmlformats.org/officeDocument/2006/relationships" ref="O569" r:id="rId2079"/>
    <hyperlink xmlns:r="http://schemas.openxmlformats.org/officeDocument/2006/relationships" ref="P569" r:id="rId2080"/>
    <hyperlink xmlns:r="http://schemas.openxmlformats.org/officeDocument/2006/relationships" ref="M570" r:id="rId2081"/>
    <hyperlink xmlns:r="http://schemas.openxmlformats.org/officeDocument/2006/relationships" ref="N570" r:id="rId2082"/>
    <hyperlink xmlns:r="http://schemas.openxmlformats.org/officeDocument/2006/relationships" ref="O570" r:id="rId2083"/>
    <hyperlink xmlns:r="http://schemas.openxmlformats.org/officeDocument/2006/relationships" ref="P570" r:id="rId2084"/>
    <hyperlink xmlns:r="http://schemas.openxmlformats.org/officeDocument/2006/relationships" ref="M571" r:id="rId2085"/>
    <hyperlink xmlns:r="http://schemas.openxmlformats.org/officeDocument/2006/relationships" ref="N571" r:id="rId2086"/>
    <hyperlink xmlns:r="http://schemas.openxmlformats.org/officeDocument/2006/relationships" ref="O571" r:id="rId2087"/>
    <hyperlink xmlns:r="http://schemas.openxmlformats.org/officeDocument/2006/relationships" ref="P571" r:id="rId2088"/>
    <hyperlink xmlns:r="http://schemas.openxmlformats.org/officeDocument/2006/relationships" ref="M572" r:id="rId2089"/>
    <hyperlink xmlns:r="http://schemas.openxmlformats.org/officeDocument/2006/relationships" ref="N572" r:id="rId2090"/>
    <hyperlink xmlns:r="http://schemas.openxmlformats.org/officeDocument/2006/relationships" ref="O572" r:id="rId2091"/>
    <hyperlink xmlns:r="http://schemas.openxmlformats.org/officeDocument/2006/relationships" ref="P572" r:id="rId2092"/>
    <hyperlink xmlns:r="http://schemas.openxmlformats.org/officeDocument/2006/relationships" ref="M573" r:id="rId2093"/>
    <hyperlink xmlns:r="http://schemas.openxmlformats.org/officeDocument/2006/relationships" ref="N573" r:id="rId2094"/>
    <hyperlink xmlns:r="http://schemas.openxmlformats.org/officeDocument/2006/relationships" ref="P573" r:id="rId2095"/>
    <hyperlink xmlns:r="http://schemas.openxmlformats.org/officeDocument/2006/relationships" ref="M574" r:id="rId2096"/>
    <hyperlink xmlns:r="http://schemas.openxmlformats.org/officeDocument/2006/relationships" ref="N574" r:id="rId2097"/>
    <hyperlink xmlns:r="http://schemas.openxmlformats.org/officeDocument/2006/relationships" ref="P574" r:id="rId2098"/>
    <hyperlink xmlns:r="http://schemas.openxmlformats.org/officeDocument/2006/relationships" ref="M575" r:id="rId2099"/>
    <hyperlink xmlns:r="http://schemas.openxmlformats.org/officeDocument/2006/relationships" ref="N575" r:id="rId2100"/>
    <hyperlink xmlns:r="http://schemas.openxmlformats.org/officeDocument/2006/relationships" ref="O575" r:id="rId2101"/>
    <hyperlink xmlns:r="http://schemas.openxmlformats.org/officeDocument/2006/relationships" ref="P575" r:id="rId2102"/>
    <hyperlink xmlns:r="http://schemas.openxmlformats.org/officeDocument/2006/relationships" ref="M576" r:id="rId2103"/>
    <hyperlink xmlns:r="http://schemas.openxmlformats.org/officeDocument/2006/relationships" ref="N576" r:id="rId2104"/>
    <hyperlink xmlns:r="http://schemas.openxmlformats.org/officeDocument/2006/relationships" ref="O576" r:id="rId2105"/>
    <hyperlink xmlns:r="http://schemas.openxmlformats.org/officeDocument/2006/relationships" ref="P576" r:id="rId2106"/>
    <hyperlink xmlns:r="http://schemas.openxmlformats.org/officeDocument/2006/relationships" ref="M577" r:id="rId2107"/>
    <hyperlink xmlns:r="http://schemas.openxmlformats.org/officeDocument/2006/relationships" ref="N577" r:id="rId2108"/>
    <hyperlink xmlns:r="http://schemas.openxmlformats.org/officeDocument/2006/relationships" ref="O577" r:id="rId2109"/>
    <hyperlink xmlns:r="http://schemas.openxmlformats.org/officeDocument/2006/relationships" ref="P577" r:id="rId2110"/>
    <hyperlink xmlns:r="http://schemas.openxmlformats.org/officeDocument/2006/relationships" ref="M578" r:id="rId2111"/>
    <hyperlink xmlns:r="http://schemas.openxmlformats.org/officeDocument/2006/relationships" ref="N578" r:id="rId2112"/>
    <hyperlink xmlns:r="http://schemas.openxmlformats.org/officeDocument/2006/relationships" ref="P578" r:id="rId2113"/>
    <hyperlink xmlns:r="http://schemas.openxmlformats.org/officeDocument/2006/relationships" ref="M579" r:id="rId2114"/>
    <hyperlink xmlns:r="http://schemas.openxmlformats.org/officeDocument/2006/relationships" ref="N579" r:id="rId2115"/>
    <hyperlink xmlns:r="http://schemas.openxmlformats.org/officeDocument/2006/relationships" ref="O579" r:id="rId2116"/>
    <hyperlink xmlns:r="http://schemas.openxmlformats.org/officeDocument/2006/relationships" ref="P579" r:id="rId2117"/>
    <hyperlink xmlns:r="http://schemas.openxmlformats.org/officeDocument/2006/relationships" ref="M580" r:id="rId2118"/>
    <hyperlink xmlns:r="http://schemas.openxmlformats.org/officeDocument/2006/relationships" ref="N580" r:id="rId2119"/>
    <hyperlink xmlns:r="http://schemas.openxmlformats.org/officeDocument/2006/relationships" ref="P580" r:id="rId2120"/>
    <hyperlink xmlns:r="http://schemas.openxmlformats.org/officeDocument/2006/relationships" ref="M581" r:id="rId2121"/>
    <hyperlink xmlns:r="http://schemas.openxmlformats.org/officeDocument/2006/relationships" ref="N581" r:id="rId2122"/>
    <hyperlink xmlns:r="http://schemas.openxmlformats.org/officeDocument/2006/relationships" ref="O581" r:id="rId2123"/>
    <hyperlink xmlns:r="http://schemas.openxmlformats.org/officeDocument/2006/relationships" ref="P581" r:id="rId2124"/>
    <hyperlink xmlns:r="http://schemas.openxmlformats.org/officeDocument/2006/relationships" ref="M582" r:id="rId2125"/>
    <hyperlink xmlns:r="http://schemas.openxmlformats.org/officeDocument/2006/relationships" ref="N582" r:id="rId2126"/>
    <hyperlink xmlns:r="http://schemas.openxmlformats.org/officeDocument/2006/relationships" ref="O582" r:id="rId2127"/>
    <hyperlink xmlns:r="http://schemas.openxmlformats.org/officeDocument/2006/relationships" ref="P582" r:id="rId2128"/>
    <hyperlink xmlns:r="http://schemas.openxmlformats.org/officeDocument/2006/relationships" ref="M583" r:id="rId2129"/>
    <hyperlink xmlns:r="http://schemas.openxmlformats.org/officeDocument/2006/relationships" ref="N583" r:id="rId2130"/>
    <hyperlink xmlns:r="http://schemas.openxmlformats.org/officeDocument/2006/relationships" ref="P583" r:id="rId2131"/>
    <hyperlink xmlns:r="http://schemas.openxmlformats.org/officeDocument/2006/relationships" ref="M584" r:id="rId2132"/>
    <hyperlink xmlns:r="http://schemas.openxmlformats.org/officeDocument/2006/relationships" ref="N584" r:id="rId2133"/>
    <hyperlink xmlns:r="http://schemas.openxmlformats.org/officeDocument/2006/relationships" ref="O584" r:id="rId2134"/>
    <hyperlink xmlns:r="http://schemas.openxmlformats.org/officeDocument/2006/relationships" ref="P584" r:id="rId2135"/>
    <hyperlink xmlns:r="http://schemas.openxmlformats.org/officeDocument/2006/relationships" ref="M585" r:id="rId2136"/>
    <hyperlink xmlns:r="http://schemas.openxmlformats.org/officeDocument/2006/relationships" ref="N585" r:id="rId2137"/>
    <hyperlink xmlns:r="http://schemas.openxmlformats.org/officeDocument/2006/relationships" ref="O585" r:id="rId2138"/>
    <hyperlink xmlns:r="http://schemas.openxmlformats.org/officeDocument/2006/relationships" ref="P585" r:id="rId2139"/>
    <hyperlink xmlns:r="http://schemas.openxmlformats.org/officeDocument/2006/relationships" ref="M586" r:id="rId2140"/>
    <hyperlink xmlns:r="http://schemas.openxmlformats.org/officeDocument/2006/relationships" ref="N586" r:id="rId2141"/>
    <hyperlink xmlns:r="http://schemas.openxmlformats.org/officeDocument/2006/relationships" ref="O586" r:id="rId2142"/>
    <hyperlink xmlns:r="http://schemas.openxmlformats.org/officeDocument/2006/relationships" ref="P586" r:id="rId2143"/>
    <hyperlink xmlns:r="http://schemas.openxmlformats.org/officeDocument/2006/relationships" ref="M587" r:id="rId2144"/>
    <hyperlink xmlns:r="http://schemas.openxmlformats.org/officeDocument/2006/relationships" ref="N587" r:id="rId2145"/>
    <hyperlink xmlns:r="http://schemas.openxmlformats.org/officeDocument/2006/relationships" ref="O587" r:id="rId2146"/>
    <hyperlink xmlns:r="http://schemas.openxmlformats.org/officeDocument/2006/relationships" ref="P587" r:id="rId2147"/>
    <hyperlink xmlns:r="http://schemas.openxmlformats.org/officeDocument/2006/relationships" ref="M588" r:id="rId2148"/>
    <hyperlink xmlns:r="http://schemas.openxmlformats.org/officeDocument/2006/relationships" ref="N588" r:id="rId2149"/>
    <hyperlink xmlns:r="http://schemas.openxmlformats.org/officeDocument/2006/relationships" ref="O588" r:id="rId2150"/>
    <hyperlink xmlns:r="http://schemas.openxmlformats.org/officeDocument/2006/relationships" ref="P588" r:id="rId2151"/>
    <hyperlink xmlns:r="http://schemas.openxmlformats.org/officeDocument/2006/relationships" ref="M589" r:id="rId2152"/>
    <hyperlink xmlns:r="http://schemas.openxmlformats.org/officeDocument/2006/relationships" ref="N589" r:id="rId2153"/>
    <hyperlink xmlns:r="http://schemas.openxmlformats.org/officeDocument/2006/relationships" ref="O589" r:id="rId2154"/>
    <hyperlink xmlns:r="http://schemas.openxmlformats.org/officeDocument/2006/relationships" ref="P589" r:id="rId2155"/>
    <hyperlink xmlns:r="http://schemas.openxmlformats.org/officeDocument/2006/relationships" ref="M590" r:id="rId2156"/>
    <hyperlink xmlns:r="http://schemas.openxmlformats.org/officeDocument/2006/relationships" ref="N590" r:id="rId2157"/>
    <hyperlink xmlns:r="http://schemas.openxmlformats.org/officeDocument/2006/relationships" ref="O590" r:id="rId2158"/>
    <hyperlink xmlns:r="http://schemas.openxmlformats.org/officeDocument/2006/relationships" ref="P590" r:id="rId2159"/>
    <hyperlink xmlns:r="http://schemas.openxmlformats.org/officeDocument/2006/relationships" ref="M591" r:id="rId2160"/>
    <hyperlink xmlns:r="http://schemas.openxmlformats.org/officeDocument/2006/relationships" ref="N591" r:id="rId2161"/>
    <hyperlink xmlns:r="http://schemas.openxmlformats.org/officeDocument/2006/relationships" ref="P591" r:id="rId2162"/>
    <hyperlink xmlns:r="http://schemas.openxmlformats.org/officeDocument/2006/relationships" ref="M592" r:id="rId2163"/>
    <hyperlink xmlns:r="http://schemas.openxmlformats.org/officeDocument/2006/relationships" ref="N592" r:id="rId2164"/>
    <hyperlink xmlns:r="http://schemas.openxmlformats.org/officeDocument/2006/relationships" ref="O592" r:id="rId2165"/>
    <hyperlink xmlns:r="http://schemas.openxmlformats.org/officeDocument/2006/relationships" ref="P592" r:id="rId2166"/>
    <hyperlink xmlns:r="http://schemas.openxmlformats.org/officeDocument/2006/relationships" ref="M593" r:id="rId2167"/>
    <hyperlink xmlns:r="http://schemas.openxmlformats.org/officeDocument/2006/relationships" ref="N593" r:id="rId2168"/>
    <hyperlink xmlns:r="http://schemas.openxmlformats.org/officeDocument/2006/relationships" ref="O593" r:id="rId2169"/>
    <hyperlink xmlns:r="http://schemas.openxmlformats.org/officeDocument/2006/relationships" ref="P593" r:id="rId2170"/>
    <hyperlink xmlns:r="http://schemas.openxmlformats.org/officeDocument/2006/relationships" ref="M594" r:id="rId2171"/>
    <hyperlink xmlns:r="http://schemas.openxmlformats.org/officeDocument/2006/relationships" ref="N594" r:id="rId2172"/>
    <hyperlink xmlns:r="http://schemas.openxmlformats.org/officeDocument/2006/relationships" ref="O594" r:id="rId2173"/>
    <hyperlink xmlns:r="http://schemas.openxmlformats.org/officeDocument/2006/relationships" ref="P594" r:id="rId2174"/>
    <hyperlink xmlns:r="http://schemas.openxmlformats.org/officeDocument/2006/relationships" ref="M595" r:id="rId2175"/>
    <hyperlink xmlns:r="http://schemas.openxmlformats.org/officeDocument/2006/relationships" ref="N595" r:id="rId2176"/>
    <hyperlink xmlns:r="http://schemas.openxmlformats.org/officeDocument/2006/relationships" ref="P595" r:id="rId2177"/>
    <hyperlink xmlns:r="http://schemas.openxmlformats.org/officeDocument/2006/relationships" ref="M596" r:id="rId2178"/>
    <hyperlink xmlns:r="http://schemas.openxmlformats.org/officeDocument/2006/relationships" ref="N596" r:id="rId2179"/>
    <hyperlink xmlns:r="http://schemas.openxmlformats.org/officeDocument/2006/relationships" ref="P596" r:id="rId2180"/>
    <hyperlink xmlns:r="http://schemas.openxmlformats.org/officeDocument/2006/relationships" ref="M597" r:id="rId2181"/>
    <hyperlink xmlns:r="http://schemas.openxmlformats.org/officeDocument/2006/relationships" ref="N597" r:id="rId2182"/>
    <hyperlink xmlns:r="http://schemas.openxmlformats.org/officeDocument/2006/relationships" ref="O597" r:id="rId2183"/>
    <hyperlink xmlns:r="http://schemas.openxmlformats.org/officeDocument/2006/relationships" ref="P597" r:id="rId2184"/>
    <hyperlink xmlns:r="http://schemas.openxmlformats.org/officeDocument/2006/relationships" ref="M598" r:id="rId2185"/>
    <hyperlink xmlns:r="http://schemas.openxmlformats.org/officeDocument/2006/relationships" ref="N598" r:id="rId2186"/>
    <hyperlink xmlns:r="http://schemas.openxmlformats.org/officeDocument/2006/relationships" ref="O598" r:id="rId2187"/>
    <hyperlink xmlns:r="http://schemas.openxmlformats.org/officeDocument/2006/relationships" ref="P598" r:id="rId2188"/>
    <hyperlink xmlns:r="http://schemas.openxmlformats.org/officeDocument/2006/relationships" ref="M599" r:id="rId2189"/>
    <hyperlink xmlns:r="http://schemas.openxmlformats.org/officeDocument/2006/relationships" ref="N599" r:id="rId2190"/>
    <hyperlink xmlns:r="http://schemas.openxmlformats.org/officeDocument/2006/relationships" ref="O599" r:id="rId2191"/>
    <hyperlink xmlns:r="http://schemas.openxmlformats.org/officeDocument/2006/relationships" ref="P599" r:id="rId2192"/>
    <hyperlink xmlns:r="http://schemas.openxmlformats.org/officeDocument/2006/relationships" ref="M600" r:id="rId2193"/>
    <hyperlink xmlns:r="http://schemas.openxmlformats.org/officeDocument/2006/relationships" ref="N600" r:id="rId2194"/>
    <hyperlink xmlns:r="http://schemas.openxmlformats.org/officeDocument/2006/relationships" ref="O600" r:id="rId2195"/>
    <hyperlink xmlns:r="http://schemas.openxmlformats.org/officeDocument/2006/relationships" ref="P600" r:id="rId2196"/>
    <hyperlink xmlns:r="http://schemas.openxmlformats.org/officeDocument/2006/relationships" ref="M601" r:id="rId2197"/>
    <hyperlink xmlns:r="http://schemas.openxmlformats.org/officeDocument/2006/relationships" ref="N601" r:id="rId2198"/>
    <hyperlink xmlns:r="http://schemas.openxmlformats.org/officeDocument/2006/relationships" ref="O601" r:id="rId2199"/>
    <hyperlink xmlns:r="http://schemas.openxmlformats.org/officeDocument/2006/relationships" ref="P601" r:id="rId2200"/>
    <hyperlink xmlns:r="http://schemas.openxmlformats.org/officeDocument/2006/relationships" ref="M602" r:id="rId2201"/>
    <hyperlink xmlns:r="http://schemas.openxmlformats.org/officeDocument/2006/relationships" ref="N602" r:id="rId2202"/>
    <hyperlink xmlns:r="http://schemas.openxmlformats.org/officeDocument/2006/relationships" ref="O602" r:id="rId2203"/>
    <hyperlink xmlns:r="http://schemas.openxmlformats.org/officeDocument/2006/relationships" ref="P602" r:id="rId2204"/>
    <hyperlink xmlns:r="http://schemas.openxmlformats.org/officeDocument/2006/relationships" ref="M603" r:id="rId2205"/>
    <hyperlink xmlns:r="http://schemas.openxmlformats.org/officeDocument/2006/relationships" ref="N603" r:id="rId2206"/>
    <hyperlink xmlns:r="http://schemas.openxmlformats.org/officeDocument/2006/relationships" ref="P603" r:id="rId2207"/>
    <hyperlink xmlns:r="http://schemas.openxmlformats.org/officeDocument/2006/relationships" ref="M604" r:id="rId2208"/>
    <hyperlink xmlns:r="http://schemas.openxmlformats.org/officeDocument/2006/relationships" ref="N604" r:id="rId2209"/>
    <hyperlink xmlns:r="http://schemas.openxmlformats.org/officeDocument/2006/relationships" ref="P604" r:id="rId2210"/>
    <hyperlink xmlns:r="http://schemas.openxmlformats.org/officeDocument/2006/relationships" ref="M605" r:id="rId2211"/>
    <hyperlink xmlns:r="http://schemas.openxmlformats.org/officeDocument/2006/relationships" ref="N605" r:id="rId2212"/>
    <hyperlink xmlns:r="http://schemas.openxmlformats.org/officeDocument/2006/relationships" ref="O605" r:id="rId2213"/>
    <hyperlink xmlns:r="http://schemas.openxmlformats.org/officeDocument/2006/relationships" ref="P605" r:id="rId2214"/>
    <hyperlink xmlns:r="http://schemas.openxmlformats.org/officeDocument/2006/relationships" ref="M606" r:id="rId2215"/>
    <hyperlink xmlns:r="http://schemas.openxmlformats.org/officeDocument/2006/relationships" ref="N606" r:id="rId2216"/>
    <hyperlink xmlns:r="http://schemas.openxmlformats.org/officeDocument/2006/relationships" ref="P606" r:id="rId2217"/>
    <hyperlink xmlns:r="http://schemas.openxmlformats.org/officeDocument/2006/relationships" ref="M607" r:id="rId2218"/>
    <hyperlink xmlns:r="http://schemas.openxmlformats.org/officeDocument/2006/relationships" ref="N607" r:id="rId2219"/>
    <hyperlink xmlns:r="http://schemas.openxmlformats.org/officeDocument/2006/relationships" ref="O607" r:id="rId2220"/>
    <hyperlink xmlns:r="http://schemas.openxmlformats.org/officeDocument/2006/relationships" ref="P607" r:id="rId2221"/>
    <hyperlink xmlns:r="http://schemas.openxmlformats.org/officeDocument/2006/relationships" ref="M608" r:id="rId2222"/>
    <hyperlink xmlns:r="http://schemas.openxmlformats.org/officeDocument/2006/relationships" ref="N608" r:id="rId2223"/>
    <hyperlink xmlns:r="http://schemas.openxmlformats.org/officeDocument/2006/relationships" ref="O608" r:id="rId2224"/>
    <hyperlink xmlns:r="http://schemas.openxmlformats.org/officeDocument/2006/relationships" ref="P608" r:id="rId2225"/>
    <hyperlink xmlns:r="http://schemas.openxmlformats.org/officeDocument/2006/relationships" ref="M609" r:id="rId2226"/>
    <hyperlink xmlns:r="http://schemas.openxmlformats.org/officeDocument/2006/relationships" ref="N609" r:id="rId2227"/>
    <hyperlink xmlns:r="http://schemas.openxmlformats.org/officeDocument/2006/relationships" ref="O609" r:id="rId2228"/>
    <hyperlink xmlns:r="http://schemas.openxmlformats.org/officeDocument/2006/relationships" ref="P609" r:id="rId2229"/>
    <hyperlink xmlns:r="http://schemas.openxmlformats.org/officeDocument/2006/relationships" ref="M610" r:id="rId2230"/>
    <hyperlink xmlns:r="http://schemas.openxmlformats.org/officeDocument/2006/relationships" ref="N610" r:id="rId2231"/>
    <hyperlink xmlns:r="http://schemas.openxmlformats.org/officeDocument/2006/relationships" ref="O610" r:id="rId2232"/>
    <hyperlink xmlns:r="http://schemas.openxmlformats.org/officeDocument/2006/relationships" ref="P610" r:id="rId2233"/>
    <hyperlink xmlns:r="http://schemas.openxmlformats.org/officeDocument/2006/relationships" ref="M611" r:id="rId2234"/>
    <hyperlink xmlns:r="http://schemas.openxmlformats.org/officeDocument/2006/relationships" ref="N611" r:id="rId2235"/>
    <hyperlink xmlns:r="http://schemas.openxmlformats.org/officeDocument/2006/relationships" ref="O611" r:id="rId2236"/>
    <hyperlink xmlns:r="http://schemas.openxmlformats.org/officeDocument/2006/relationships" ref="P611" r:id="rId2237"/>
    <hyperlink xmlns:r="http://schemas.openxmlformats.org/officeDocument/2006/relationships" ref="M612" r:id="rId2238"/>
    <hyperlink xmlns:r="http://schemas.openxmlformats.org/officeDocument/2006/relationships" ref="N612" r:id="rId2239"/>
    <hyperlink xmlns:r="http://schemas.openxmlformats.org/officeDocument/2006/relationships" ref="O612" r:id="rId2240"/>
    <hyperlink xmlns:r="http://schemas.openxmlformats.org/officeDocument/2006/relationships" ref="P612" r:id="rId2241"/>
    <hyperlink xmlns:r="http://schemas.openxmlformats.org/officeDocument/2006/relationships" ref="M613" r:id="rId2242"/>
    <hyperlink xmlns:r="http://schemas.openxmlformats.org/officeDocument/2006/relationships" ref="N613" r:id="rId2243"/>
    <hyperlink xmlns:r="http://schemas.openxmlformats.org/officeDocument/2006/relationships" ref="O613" r:id="rId2244"/>
    <hyperlink xmlns:r="http://schemas.openxmlformats.org/officeDocument/2006/relationships" ref="P613" r:id="rId2245"/>
    <hyperlink xmlns:r="http://schemas.openxmlformats.org/officeDocument/2006/relationships" ref="M614" r:id="rId2246"/>
    <hyperlink xmlns:r="http://schemas.openxmlformats.org/officeDocument/2006/relationships" ref="N614" r:id="rId2247"/>
    <hyperlink xmlns:r="http://schemas.openxmlformats.org/officeDocument/2006/relationships" ref="P614" r:id="rId2248"/>
    <hyperlink xmlns:r="http://schemas.openxmlformats.org/officeDocument/2006/relationships" ref="M615" r:id="rId2249"/>
    <hyperlink xmlns:r="http://schemas.openxmlformats.org/officeDocument/2006/relationships" ref="N615" r:id="rId2250"/>
    <hyperlink xmlns:r="http://schemas.openxmlformats.org/officeDocument/2006/relationships" ref="P615" r:id="rId2251"/>
    <hyperlink xmlns:r="http://schemas.openxmlformats.org/officeDocument/2006/relationships" ref="M616" r:id="rId2252"/>
    <hyperlink xmlns:r="http://schemas.openxmlformats.org/officeDocument/2006/relationships" ref="N616" r:id="rId2253"/>
    <hyperlink xmlns:r="http://schemas.openxmlformats.org/officeDocument/2006/relationships" ref="P616" r:id="rId2254"/>
    <hyperlink xmlns:r="http://schemas.openxmlformats.org/officeDocument/2006/relationships" ref="M617" r:id="rId2255"/>
    <hyperlink xmlns:r="http://schemas.openxmlformats.org/officeDocument/2006/relationships" ref="N617" r:id="rId2256"/>
    <hyperlink xmlns:r="http://schemas.openxmlformats.org/officeDocument/2006/relationships" ref="O617" r:id="rId2257"/>
    <hyperlink xmlns:r="http://schemas.openxmlformats.org/officeDocument/2006/relationships" ref="P617" r:id="rId2258"/>
    <hyperlink xmlns:r="http://schemas.openxmlformats.org/officeDocument/2006/relationships" ref="M618" r:id="rId2259"/>
    <hyperlink xmlns:r="http://schemas.openxmlformats.org/officeDocument/2006/relationships" ref="N618" r:id="rId2260"/>
    <hyperlink xmlns:r="http://schemas.openxmlformats.org/officeDocument/2006/relationships" ref="P618" r:id="rId2261"/>
    <hyperlink xmlns:r="http://schemas.openxmlformats.org/officeDocument/2006/relationships" ref="M619" r:id="rId2262"/>
    <hyperlink xmlns:r="http://schemas.openxmlformats.org/officeDocument/2006/relationships" ref="N619" r:id="rId2263"/>
    <hyperlink xmlns:r="http://schemas.openxmlformats.org/officeDocument/2006/relationships" ref="O619" r:id="rId2264"/>
    <hyperlink xmlns:r="http://schemas.openxmlformats.org/officeDocument/2006/relationships" ref="P619" r:id="rId2265"/>
    <hyperlink xmlns:r="http://schemas.openxmlformats.org/officeDocument/2006/relationships" ref="M620" r:id="rId2266"/>
    <hyperlink xmlns:r="http://schemas.openxmlformats.org/officeDocument/2006/relationships" ref="N620" r:id="rId2267"/>
    <hyperlink xmlns:r="http://schemas.openxmlformats.org/officeDocument/2006/relationships" ref="P620" r:id="rId2268"/>
    <hyperlink xmlns:r="http://schemas.openxmlformats.org/officeDocument/2006/relationships" ref="M621" r:id="rId2269"/>
    <hyperlink xmlns:r="http://schemas.openxmlformats.org/officeDocument/2006/relationships" ref="N621" r:id="rId2270"/>
    <hyperlink xmlns:r="http://schemas.openxmlformats.org/officeDocument/2006/relationships" ref="O621" r:id="rId2271"/>
    <hyperlink xmlns:r="http://schemas.openxmlformats.org/officeDocument/2006/relationships" ref="P621" r:id="rId2272"/>
    <hyperlink xmlns:r="http://schemas.openxmlformats.org/officeDocument/2006/relationships" ref="M622" r:id="rId2273"/>
    <hyperlink xmlns:r="http://schemas.openxmlformats.org/officeDocument/2006/relationships" ref="N622" r:id="rId2274"/>
    <hyperlink xmlns:r="http://schemas.openxmlformats.org/officeDocument/2006/relationships" ref="O622" r:id="rId2275"/>
    <hyperlink xmlns:r="http://schemas.openxmlformats.org/officeDocument/2006/relationships" ref="P622" r:id="rId2276"/>
    <hyperlink xmlns:r="http://schemas.openxmlformats.org/officeDocument/2006/relationships" ref="M623" r:id="rId2277"/>
    <hyperlink xmlns:r="http://schemas.openxmlformats.org/officeDocument/2006/relationships" ref="N623" r:id="rId2278"/>
    <hyperlink xmlns:r="http://schemas.openxmlformats.org/officeDocument/2006/relationships" ref="O623" r:id="rId2279"/>
    <hyperlink xmlns:r="http://schemas.openxmlformats.org/officeDocument/2006/relationships" ref="P623" r:id="rId2280"/>
    <hyperlink xmlns:r="http://schemas.openxmlformats.org/officeDocument/2006/relationships" ref="M624" r:id="rId2281"/>
    <hyperlink xmlns:r="http://schemas.openxmlformats.org/officeDocument/2006/relationships" ref="N624" r:id="rId2282"/>
    <hyperlink xmlns:r="http://schemas.openxmlformats.org/officeDocument/2006/relationships" ref="O624" r:id="rId2283"/>
    <hyperlink xmlns:r="http://schemas.openxmlformats.org/officeDocument/2006/relationships" ref="P624" r:id="rId2284"/>
    <hyperlink xmlns:r="http://schemas.openxmlformats.org/officeDocument/2006/relationships" ref="M625" r:id="rId2285"/>
    <hyperlink xmlns:r="http://schemas.openxmlformats.org/officeDocument/2006/relationships" ref="N625" r:id="rId2286"/>
    <hyperlink xmlns:r="http://schemas.openxmlformats.org/officeDocument/2006/relationships" ref="O625" r:id="rId2287"/>
    <hyperlink xmlns:r="http://schemas.openxmlformats.org/officeDocument/2006/relationships" ref="P625" r:id="rId2288"/>
    <hyperlink xmlns:r="http://schemas.openxmlformats.org/officeDocument/2006/relationships" ref="M626" r:id="rId2289"/>
    <hyperlink xmlns:r="http://schemas.openxmlformats.org/officeDocument/2006/relationships" ref="N626" r:id="rId2290"/>
    <hyperlink xmlns:r="http://schemas.openxmlformats.org/officeDocument/2006/relationships" ref="O626" r:id="rId2291"/>
    <hyperlink xmlns:r="http://schemas.openxmlformats.org/officeDocument/2006/relationships" ref="P626" r:id="rId2292"/>
    <hyperlink xmlns:r="http://schemas.openxmlformats.org/officeDocument/2006/relationships" ref="M627" r:id="rId2293"/>
    <hyperlink xmlns:r="http://schemas.openxmlformats.org/officeDocument/2006/relationships" ref="N627" r:id="rId2294"/>
    <hyperlink xmlns:r="http://schemas.openxmlformats.org/officeDocument/2006/relationships" ref="O627" r:id="rId2295"/>
    <hyperlink xmlns:r="http://schemas.openxmlformats.org/officeDocument/2006/relationships" ref="P627" r:id="rId2296"/>
    <hyperlink xmlns:r="http://schemas.openxmlformats.org/officeDocument/2006/relationships" ref="M628" r:id="rId2297"/>
    <hyperlink xmlns:r="http://schemas.openxmlformats.org/officeDocument/2006/relationships" ref="N628" r:id="rId2298"/>
    <hyperlink xmlns:r="http://schemas.openxmlformats.org/officeDocument/2006/relationships" ref="O628" r:id="rId2299"/>
    <hyperlink xmlns:r="http://schemas.openxmlformats.org/officeDocument/2006/relationships" ref="P628" r:id="rId2300"/>
    <hyperlink xmlns:r="http://schemas.openxmlformats.org/officeDocument/2006/relationships" ref="M629" r:id="rId2301"/>
    <hyperlink xmlns:r="http://schemas.openxmlformats.org/officeDocument/2006/relationships" ref="N629" r:id="rId2302"/>
    <hyperlink xmlns:r="http://schemas.openxmlformats.org/officeDocument/2006/relationships" ref="O629" r:id="rId2303"/>
    <hyperlink xmlns:r="http://schemas.openxmlformats.org/officeDocument/2006/relationships" ref="P629" r:id="rId2304"/>
    <hyperlink xmlns:r="http://schemas.openxmlformats.org/officeDocument/2006/relationships" ref="M630" r:id="rId2305"/>
    <hyperlink xmlns:r="http://schemas.openxmlformats.org/officeDocument/2006/relationships" ref="N630" r:id="rId2306"/>
    <hyperlink xmlns:r="http://schemas.openxmlformats.org/officeDocument/2006/relationships" ref="O630" r:id="rId2307"/>
    <hyperlink xmlns:r="http://schemas.openxmlformats.org/officeDocument/2006/relationships" ref="P630" r:id="rId2308"/>
    <hyperlink xmlns:r="http://schemas.openxmlformats.org/officeDocument/2006/relationships" ref="M631" r:id="rId2309"/>
    <hyperlink xmlns:r="http://schemas.openxmlformats.org/officeDocument/2006/relationships" ref="N631" r:id="rId2310"/>
    <hyperlink xmlns:r="http://schemas.openxmlformats.org/officeDocument/2006/relationships" ref="P631" r:id="rId2311"/>
    <hyperlink xmlns:r="http://schemas.openxmlformats.org/officeDocument/2006/relationships" ref="M632" r:id="rId2312"/>
    <hyperlink xmlns:r="http://schemas.openxmlformats.org/officeDocument/2006/relationships" ref="N632" r:id="rId2313"/>
    <hyperlink xmlns:r="http://schemas.openxmlformats.org/officeDocument/2006/relationships" ref="P632" r:id="rId2314"/>
    <hyperlink xmlns:r="http://schemas.openxmlformats.org/officeDocument/2006/relationships" ref="M633" r:id="rId2315"/>
    <hyperlink xmlns:r="http://schemas.openxmlformats.org/officeDocument/2006/relationships" ref="N633" r:id="rId2316"/>
    <hyperlink xmlns:r="http://schemas.openxmlformats.org/officeDocument/2006/relationships" ref="P633" r:id="rId2317"/>
    <hyperlink xmlns:r="http://schemas.openxmlformats.org/officeDocument/2006/relationships" ref="M634" r:id="rId2318"/>
    <hyperlink xmlns:r="http://schemas.openxmlformats.org/officeDocument/2006/relationships" ref="N634" r:id="rId2319"/>
    <hyperlink xmlns:r="http://schemas.openxmlformats.org/officeDocument/2006/relationships" ref="O634" r:id="rId2320"/>
    <hyperlink xmlns:r="http://schemas.openxmlformats.org/officeDocument/2006/relationships" ref="P634" r:id="rId2321"/>
    <hyperlink xmlns:r="http://schemas.openxmlformats.org/officeDocument/2006/relationships" ref="M635" r:id="rId2322"/>
    <hyperlink xmlns:r="http://schemas.openxmlformats.org/officeDocument/2006/relationships" ref="N635" r:id="rId2323"/>
    <hyperlink xmlns:r="http://schemas.openxmlformats.org/officeDocument/2006/relationships" ref="O635" r:id="rId2324"/>
    <hyperlink xmlns:r="http://schemas.openxmlformats.org/officeDocument/2006/relationships" ref="P635" r:id="rId2325"/>
    <hyperlink xmlns:r="http://schemas.openxmlformats.org/officeDocument/2006/relationships" ref="M636" r:id="rId2326"/>
    <hyperlink xmlns:r="http://schemas.openxmlformats.org/officeDocument/2006/relationships" ref="N636" r:id="rId2327"/>
    <hyperlink xmlns:r="http://schemas.openxmlformats.org/officeDocument/2006/relationships" ref="O636" r:id="rId2328"/>
    <hyperlink xmlns:r="http://schemas.openxmlformats.org/officeDocument/2006/relationships" ref="P636" r:id="rId2329"/>
    <hyperlink xmlns:r="http://schemas.openxmlformats.org/officeDocument/2006/relationships" ref="M637" r:id="rId2330"/>
    <hyperlink xmlns:r="http://schemas.openxmlformats.org/officeDocument/2006/relationships" ref="N637" r:id="rId2331"/>
    <hyperlink xmlns:r="http://schemas.openxmlformats.org/officeDocument/2006/relationships" ref="P637" r:id="rId2332"/>
    <hyperlink xmlns:r="http://schemas.openxmlformats.org/officeDocument/2006/relationships" ref="M638" r:id="rId2333"/>
    <hyperlink xmlns:r="http://schemas.openxmlformats.org/officeDocument/2006/relationships" ref="N638" r:id="rId2334"/>
    <hyperlink xmlns:r="http://schemas.openxmlformats.org/officeDocument/2006/relationships" ref="P638" r:id="rId2335"/>
    <hyperlink xmlns:r="http://schemas.openxmlformats.org/officeDocument/2006/relationships" ref="M639" r:id="rId2336"/>
    <hyperlink xmlns:r="http://schemas.openxmlformats.org/officeDocument/2006/relationships" ref="N639" r:id="rId2337"/>
    <hyperlink xmlns:r="http://schemas.openxmlformats.org/officeDocument/2006/relationships" ref="O639" r:id="rId2338"/>
    <hyperlink xmlns:r="http://schemas.openxmlformats.org/officeDocument/2006/relationships" ref="P639" r:id="rId2339"/>
    <hyperlink xmlns:r="http://schemas.openxmlformats.org/officeDocument/2006/relationships" ref="M640" r:id="rId2340"/>
    <hyperlink xmlns:r="http://schemas.openxmlformats.org/officeDocument/2006/relationships" ref="N640" r:id="rId2341"/>
    <hyperlink xmlns:r="http://schemas.openxmlformats.org/officeDocument/2006/relationships" ref="O640" r:id="rId2342"/>
    <hyperlink xmlns:r="http://schemas.openxmlformats.org/officeDocument/2006/relationships" ref="P640" r:id="rId2343"/>
    <hyperlink xmlns:r="http://schemas.openxmlformats.org/officeDocument/2006/relationships" ref="M641" r:id="rId2344"/>
    <hyperlink xmlns:r="http://schemas.openxmlformats.org/officeDocument/2006/relationships" ref="N641" r:id="rId2345"/>
    <hyperlink xmlns:r="http://schemas.openxmlformats.org/officeDocument/2006/relationships" ref="P641" r:id="rId2346"/>
    <hyperlink xmlns:r="http://schemas.openxmlformats.org/officeDocument/2006/relationships" ref="M642" r:id="rId2347"/>
    <hyperlink xmlns:r="http://schemas.openxmlformats.org/officeDocument/2006/relationships" ref="N642" r:id="rId2348"/>
    <hyperlink xmlns:r="http://schemas.openxmlformats.org/officeDocument/2006/relationships" ref="O642" r:id="rId2349"/>
    <hyperlink xmlns:r="http://schemas.openxmlformats.org/officeDocument/2006/relationships" ref="P642" r:id="rId2350"/>
    <hyperlink xmlns:r="http://schemas.openxmlformats.org/officeDocument/2006/relationships" ref="M643" r:id="rId2351"/>
    <hyperlink xmlns:r="http://schemas.openxmlformats.org/officeDocument/2006/relationships" ref="N643" r:id="rId2352"/>
    <hyperlink xmlns:r="http://schemas.openxmlformats.org/officeDocument/2006/relationships" ref="O643" r:id="rId2353"/>
    <hyperlink xmlns:r="http://schemas.openxmlformats.org/officeDocument/2006/relationships" ref="P643" r:id="rId2354"/>
    <hyperlink xmlns:r="http://schemas.openxmlformats.org/officeDocument/2006/relationships" ref="M644" r:id="rId2355"/>
    <hyperlink xmlns:r="http://schemas.openxmlformats.org/officeDocument/2006/relationships" ref="N644" r:id="rId2356"/>
    <hyperlink xmlns:r="http://schemas.openxmlformats.org/officeDocument/2006/relationships" ref="O644" r:id="rId2357"/>
    <hyperlink xmlns:r="http://schemas.openxmlformats.org/officeDocument/2006/relationships" ref="P644" r:id="rId2358"/>
    <hyperlink xmlns:r="http://schemas.openxmlformats.org/officeDocument/2006/relationships" ref="M645" r:id="rId2359"/>
    <hyperlink xmlns:r="http://schemas.openxmlformats.org/officeDocument/2006/relationships" ref="N645" r:id="rId2360"/>
    <hyperlink xmlns:r="http://schemas.openxmlformats.org/officeDocument/2006/relationships" ref="O645" r:id="rId2361"/>
    <hyperlink xmlns:r="http://schemas.openxmlformats.org/officeDocument/2006/relationships" ref="P645" r:id="rId2362"/>
    <hyperlink xmlns:r="http://schemas.openxmlformats.org/officeDocument/2006/relationships" ref="M646" r:id="rId2363"/>
    <hyperlink xmlns:r="http://schemas.openxmlformats.org/officeDocument/2006/relationships" ref="N646" r:id="rId2364"/>
    <hyperlink xmlns:r="http://schemas.openxmlformats.org/officeDocument/2006/relationships" ref="O646" r:id="rId2365"/>
    <hyperlink xmlns:r="http://schemas.openxmlformats.org/officeDocument/2006/relationships" ref="P646" r:id="rId2366"/>
    <hyperlink xmlns:r="http://schemas.openxmlformats.org/officeDocument/2006/relationships" ref="M647" r:id="rId2367"/>
    <hyperlink xmlns:r="http://schemas.openxmlformats.org/officeDocument/2006/relationships" ref="N647" r:id="rId2368"/>
    <hyperlink xmlns:r="http://schemas.openxmlformats.org/officeDocument/2006/relationships" ref="O647" r:id="rId2369"/>
    <hyperlink xmlns:r="http://schemas.openxmlformats.org/officeDocument/2006/relationships" ref="P647" r:id="rId2370"/>
    <hyperlink xmlns:r="http://schemas.openxmlformats.org/officeDocument/2006/relationships" ref="M648" r:id="rId2371"/>
    <hyperlink xmlns:r="http://schemas.openxmlformats.org/officeDocument/2006/relationships" ref="N648" r:id="rId2372"/>
    <hyperlink xmlns:r="http://schemas.openxmlformats.org/officeDocument/2006/relationships" ref="O648" r:id="rId2373"/>
    <hyperlink xmlns:r="http://schemas.openxmlformats.org/officeDocument/2006/relationships" ref="P648" r:id="rId2374"/>
    <hyperlink xmlns:r="http://schemas.openxmlformats.org/officeDocument/2006/relationships" ref="M649" r:id="rId2375"/>
    <hyperlink xmlns:r="http://schemas.openxmlformats.org/officeDocument/2006/relationships" ref="N649" r:id="rId2376"/>
    <hyperlink xmlns:r="http://schemas.openxmlformats.org/officeDocument/2006/relationships" ref="O649" r:id="rId2377"/>
    <hyperlink xmlns:r="http://schemas.openxmlformats.org/officeDocument/2006/relationships" ref="P649" r:id="rId2378"/>
    <hyperlink xmlns:r="http://schemas.openxmlformats.org/officeDocument/2006/relationships" ref="M650" r:id="rId2379"/>
    <hyperlink xmlns:r="http://schemas.openxmlformats.org/officeDocument/2006/relationships" ref="N650" r:id="rId2380"/>
    <hyperlink xmlns:r="http://schemas.openxmlformats.org/officeDocument/2006/relationships" ref="O650" r:id="rId2381"/>
    <hyperlink xmlns:r="http://schemas.openxmlformats.org/officeDocument/2006/relationships" ref="P650" r:id="rId2382"/>
    <hyperlink xmlns:r="http://schemas.openxmlformats.org/officeDocument/2006/relationships" ref="M651" r:id="rId2383"/>
    <hyperlink xmlns:r="http://schemas.openxmlformats.org/officeDocument/2006/relationships" ref="N651" r:id="rId2384"/>
    <hyperlink xmlns:r="http://schemas.openxmlformats.org/officeDocument/2006/relationships" ref="O651" r:id="rId2385"/>
    <hyperlink xmlns:r="http://schemas.openxmlformats.org/officeDocument/2006/relationships" ref="P651" r:id="rId2386"/>
    <hyperlink xmlns:r="http://schemas.openxmlformats.org/officeDocument/2006/relationships" ref="M652" r:id="rId2387"/>
    <hyperlink xmlns:r="http://schemas.openxmlformats.org/officeDocument/2006/relationships" ref="N652" r:id="rId2388"/>
    <hyperlink xmlns:r="http://schemas.openxmlformats.org/officeDocument/2006/relationships" ref="O652" r:id="rId2389"/>
    <hyperlink xmlns:r="http://schemas.openxmlformats.org/officeDocument/2006/relationships" ref="P652" r:id="rId2390"/>
    <hyperlink xmlns:r="http://schemas.openxmlformats.org/officeDocument/2006/relationships" ref="M653" r:id="rId2391"/>
    <hyperlink xmlns:r="http://schemas.openxmlformats.org/officeDocument/2006/relationships" ref="N653" r:id="rId2392"/>
    <hyperlink xmlns:r="http://schemas.openxmlformats.org/officeDocument/2006/relationships" ref="O653" r:id="rId2393"/>
    <hyperlink xmlns:r="http://schemas.openxmlformats.org/officeDocument/2006/relationships" ref="P653" r:id="rId2394"/>
    <hyperlink xmlns:r="http://schemas.openxmlformats.org/officeDocument/2006/relationships" ref="M654" r:id="rId2395"/>
    <hyperlink xmlns:r="http://schemas.openxmlformats.org/officeDocument/2006/relationships" ref="N654" r:id="rId2396"/>
    <hyperlink xmlns:r="http://schemas.openxmlformats.org/officeDocument/2006/relationships" ref="P654" r:id="rId2397"/>
    <hyperlink xmlns:r="http://schemas.openxmlformats.org/officeDocument/2006/relationships" ref="M655" r:id="rId2398"/>
    <hyperlink xmlns:r="http://schemas.openxmlformats.org/officeDocument/2006/relationships" ref="N655" r:id="rId2399"/>
    <hyperlink xmlns:r="http://schemas.openxmlformats.org/officeDocument/2006/relationships" ref="O655" r:id="rId2400"/>
    <hyperlink xmlns:r="http://schemas.openxmlformats.org/officeDocument/2006/relationships" ref="P655" r:id="rId2401"/>
    <hyperlink xmlns:r="http://schemas.openxmlformats.org/officeDocument/2006/relationships" ref="M656" r:id="rId2402"/>
    <hyperlink xmlns:r="http://schemas.openxmlformats.org/officeDocument/2006/relationships" ref="N656" r:id="rId2403"/>
    <hyperlink xmlns:r="http://schemas.openxmlformats.org/officeDocument/2006/relationships" ref="O656" r:id="rId2404"/>
    <hyperlink xmlns:r="http://schemas.openxmlformats.org/officeDocument/2006/relationships" ref="P656" r:id="rId2405"/>
    <hyperlink xmlns:r="http://schemas.openxmlformats.org/officeDocument/2006/relationships" ref="M657" r:id="rId2406"/>
    <hyperlink xmlns:r="http://schemas.openxmlformats.org/officeDocument/2006/relationships" ref="N657" r:id="rId2407"/>
    <hyperlink xmlns:r="http://schemas.openxmlformats.org/officeDocument/2006/relationships" ref="O657" r:id="rId2408"/>
    <hyperlink xmlns:r="http://schemas.openxmlformats.org/officeDocument/2006/relationships" ref="P657" r:id="rId2409"/>
    <hyperlink xmlns:r="http://schemas.openxmlformats.org/officeDocument/2006/relationships" ref="M658" r:id="rId2410"/>
    <hyperlink xmlns:r="http://schemas.openxmlformats.org/officeDocument/2006/relationships" ref="N658" r:id="rId2411"/>
    <hyperlink xmlns:r="http://schemas.openxmlformats.org/officeDocument/2006/relationships" ref="O658" r:id="rId2412"/>
    <hyperlink xmlns:r="http://schemas.openxmlformats.org/officeDocument/2006/relationships" ref="P658" r:id="rId2413"/>
    <hyperlink xmlns:r="http://schemas.openxmlformats.org/officeDocument/2006/relationships" ref="M659" r:id="rId2414"/>
    <hyperlink xmlns:r="http://schemas.openxmlformats.org/officeDocument/2006/relationships" ref="N659" r:id="rId2415"/>
    <hyperlink xmlns:r="http://schemas.openxmlformats.org/officeDocument/2006/relationships" ref="P659" r:id="rId2416"/>
    <hyperlink xmlns:r="http://schemas.openxmlformats.org/officeDocument/2006/relationships" ref="M660" r:id="rId2417"/>
    <hyperlink xmlns:r="http://schemas.openxmlformats.org/officeDocument/2006/relationships" ref="N660" r:id="rId2418"/>
    <hyperlink xmlns:r="http://schemas.openxmlformats.org/officeDocument/2006/relationships" ref="O660" r:id="rId2419"/>
    <hyperlink xmlns:r="http://schemas.openxmlformats.org/officeDocument/2006/relationships" ref="P660" r:id="rId2420"/>
    <hyperlink xmlns:r="http://schemas.openxmlformats.org/officeDocument/2006/relationships" ref="M661" r:id="rId2421"/>
    <hyperlink xmlns:r="http://schemas.openxmlformats.org/officeDocument/2006/relationships" ref="N661" r:id="rId2422"/>
    <hyperlink xmlns:r="http://schemas.openxmlformats.org/officeDocument/2006/relationships" ref="O661" r:id="rId2423"/>
    <hyperlink xmlns:r="http://schemas.openxmlformats.org/officeDocument/2006/relationships" ref="P661" r:id="rId2424"/>
    <hyperlink xmlns:r="http://schemas.openxmlformats.org/officeDocument/2006/relationships" ref="M662" r:id="rId2425"/>
    <hyperlink xmlns:r="http://schemas.openxmlformats.org/officeDocument/2006/relationships" ref="N662" r:id="rId2426"/>
    <hyperlink xmlns:r="http://schemas.openxmlformats.org/officeDocument/2006/relationships" ref="O662" r:id="rId2427"/>
    <hyperlink xmlns:r="http://schemas.openxmlformats.org/officeDocument/2006/relationships" ref="P662" r:id="rId2428"/>
    <hyperlink xmlns:r="http://schemas.openxmlformats.org/officeDocument/2006/relationships" ref="M663" r:id="rId2429"/>
    <hyperlink xmlns:r="http://schemas.openxmlformats.org/officeDocument/2006/relationships" ref="N663" r:id="rId2430"/>
    <hyperlink xmlns:r="http://schemas.openxmlformats.org/officeDocument/2006/relationships" ref="O663" r:id="rId2431"/>
    <hyperlink xmlns:r="http://schemas.openxmlformats.org/officeDocument/2006/relationships" ref="P663" r:id="rId2432"/>
    <hyperlink xmlns:r="http://schemas.openxmlformats.org/officeDocument/2006/relationships" ref="M664" r:id="rId2433"/>
    <hyperlink xmlns:r="http://schemas.openxmlformats.org/officeDocument/2006/relationships" ref="N664" r:id="rId2434"/>
    <hyperlink xmlns:r="http://schemas.openxmlformats.org/officeDocument/2006/relationships" ref="P664" r:id="rId2435"/>
    <hyperlink xmlns:r="http://schemas.openxmlformats.org/officeDocument/2006/relationships" ref="M665" r:id="rId2436"/>
    <hyperlink xmlns:r="http://schemas.openxmlformats.org/officeDocument/2006/relationships" ref="N665" r:id="rId2437"/>
    <hyperlink xmlns:r="http://schemas.openxmlformats.org/officeDocument/2006/relationships" ref="O665" r:id="rId2438"/>
    <hyperlink xmlns:r="http://schemas.openxmlformats.org/officeDocument/2006/relationships" ref="P665" r:id="rId2439"/>
    <hyperlink xmlns:r="http://schemas.openxmlformats.org/officeDocument/2006/relationships" ref="M666" r:id="rId2440"/>
    <hyperlink xmlns:r="http://schemas.openxmlformats.org/officeDocument/2006/relationships" ref="N666" r:id="rId2441"/>
    <hyperlink xmlns:r="http://schemas.openxmlformats.org/officeDocument/2006/relationships" ref="O666" r:id="rId2442"/>
    <hyperlink xmlns:r="http://schemas.openxmlformats.org/officeDocument/2006/relationships" ref="P666" r:id="rId2443"/>
    <hyperlink xmlns:r="http://schemas.openxmlformats.org/officeDocument/2006/relationships" ref="M667" r:id="rId2444"/>
    <hyperlink xmlns:r="http://schemas.openxmlformats.org/officeDocument/2006/relationships" ref="N667" r:id="rId2445"/>
    <hyperlink xmlns:r="http://schemas.openxmlformats.org/officeDocument/2006/relationships" ref="O667" r:id="rId2446"/>
    <hyperlink xmlns:r="http://schemas.openxmlformats.org/officeDocument/2006/relationships" ref="P667" r:id="rId2447"/>
    <hyperlink xmlns:r="http://schemas.openxmlformats.org/officeDocument/2006/relationships" ref="M668" r:id="rId2448"/>
    <hyperlink xmlns:r="http://schemas.openxmlformats.org/officeDocument/2006/relationships" ref="N668" r:id="rId2449"/>
    <hyperlink xmlns:r="http://schemas.openxmlformats.org/officeDocument/2006/relationships" ref="O668" r:id="rId2450"/>
    <hyperlink xmlns:r="http://schemas.openxmlformats.org/officeDocument/2006/relationships" ref="P668" r:id="rId2451"/>
    <hyperlink xmlns:r="http://schemas.openxmlformats.org/officeDocument/2006/relationships" ref="M669" r:id="rId2452"/>
    <hyperlink xmlns:r="http://schemas.openxmlformats.org/officeDocument/2006/relationships" ref="N669" r:id="rId2453"/>
    <hyperlink xmlns:r="http://schemas.openxmlformats.org/officeDocument/2006/relationships" ref="O669" r:id="rId2454"/>
    <hyperlink xmlns:r="http://schemas.openxmlformats.org/officeDocument/2006/relationships" ref="P669" r:id="rId2455"/>
    <hyperlink xmlns:r="http://schemas.openxmlformats.org/officeDocument/2006/relationships" ref="M670" r:id="rId2456"/>
    <hyperlink xmlns:r="http://schemas.openxmlformats.org/officeDocument/2006/relationships" ref="N670" r:id="rId2457"/>
    <hyperlink xmlns:r="http://schemas.openxmlformats.org/officeDocument/2006/relationships" ref="O670" r:id="rId2458"/>
    <hyperlink xmlns:r="http://schemas.openxmlformats.org/officeDocument/2006/relationships" ref="P670" r:id="rId2459"/>
    <hyperlink xmlns:r="http://schemas.openxmlformats.org/officeDocument/2006/relationships" ref="M671" r:id="rId2460"/>
    <hyperlink xmlns:r="http://schemas.openxmlformats.org/officeDocument/2006/relationships" ref="N671" r:id="rId2461"/>
    <hyperlink xmlns:r="http://schemas.openxmlformats.org/officeDocument/2006/relationships" ref="O671" r:id="rId2462"/>
    <hyperlink xmlns:r="http://schemas.openxmlformats.org/officeDocument/2006/relationships" ref="P671" r:id="rId2463"/>
    <hyperlink xmlns:r="http://schemas.openxmlformats.org/officeDocument/2006/relationships" ref="M672" r:id="rId2464"/>
    <hyperlink xmlns:r="http://schemas.openxmlformats.org/officeDocument/2006/relationships" ref="N672" r:id="rId2465"/>
    <hyperlink xmlns:r="http://schemas.openxmlformats.org/officeDocument/2006/relationships" ref="O672" r:id="rId2466"/>
    <hyperlink xmlns:r="http://schemas.openxmlformats.org/officeDocument/2006/relationships" ref="P672" r:id="rId2467"/>
    <hyperlink xmlns:r="http://schemas.openxmlformats.org/officeDocument/2006/relationships" ref="M673" r:id="rId2468"/>
    <hyperlink xmlns:r="http://schemas.openxmlformats.org/officeDocument/2006/relationships" ref="N673" r:id="rId2469"/>
    <hyperlink xmlns:r="http://schemas.openxmlformats.org/officeDocument/2006/relationships" ref="O673" r:id="rId2470"/>
    <hyperlink xmlns:r="http://schemas.openxmlformats.org/officeDocument/2006/relationships" ref="P673" r:id="rId2471"/>
    <hyperlink xmlns:r="http://schemas.openxmlformats.org/officeDocument/2006/relationships" ref="M674" r:id="rId2472"/>
    <hyperlink xmlns:r="http://schemas.openxmlformats.org/officeDocument/2006/relationships" ref="N674" r:id="rId2473"/>
    <hyperlink xmlns:r="http://schemas.openxmlformats.org/officeDocument/2006/relationships" ref="P674" r:id="rId2474"/>
    <hyperlink xmlns:r="http://schemas.openxmlformats.org/officeDocument/2006/relationships" ref="M675" r:id="rId2475"/>
    <hyperlink xmlns:r="http://schemas.openxmlformats.org/officeDocument/2006/relationships" ref="N675" r:id="rId2476"/>
    <hyperlink xmlns:r="http://schemas.openxmlformats.org/officeDocument/2006/relationships" ref="O675" r:id="rId2477"/>
    <hyperlink xmlns:r="http://schemas.openxmlformats.org/officeDocument/2006/relationships" ref="P675" r:id="rId2478"/>
    <hyperlink xmlns:r="http://schemas.openxmlformats.org/officeDocument/2006/relationships" ref="M676" r:id="rId2479"/>
    <hyperlink xmlns:r="http://schemas.openxmlformats.org/officeDocument/2006/relationships" ref="N676" r:id="rId2480"/>
    <hyperlink xmlns:r="http://schemas.openxmlformats.org/officeDocument/2006/relationships" ref="P676" r:id="rId2481"/>
    <hyperlink xmlns:r="http://schemas.openxmlformats.org/officeDocument/2006/relationships" ref="M677" r:id="rId2482"/>
    <hyperlink xmlns:r="http://schemas.openxmlformats.org/officeDocument/2006/relationships" ref="N677" r:id="rId2483"/>
    <hyperlink xmlns:r="http://schemas.openxmlformats.org/officeDocument/2006/relationships" ref="O677" r:id="rId2484"/>
    <hyperlink xmlns:r="http://schemas.openxmlformats.org/officeDocument/2006/relationships" ref="P677" r:id="rId2485"/>
    <hyperlink xmlns:r="http://schemas.openxmlformats.org/officeDocument/2006/relationships" ref="M678" r:id="rId2486"/>
    <hyperlink xmlns:r="http://schemas.openxmlformats.org/officeDocument/2006/relationships" ref="N678" r:id="rId2487"/>
    <hyperlink xmlns:r="http://schemas.openxmlformats.org/officeDocument/2006/relationships" ref="O678" r:id="rId2488"/>
    <hyperlink xmlns:r="http://schemas.openxmlformats.org/officeDocument/2006/relationships" ref="P678" r:id="rId2489"/>
    <hyperlink xmlns:r="http://schemas.openxmlformats.org/officeDocument/2006/relationships" ref="M679" r:id="rId2490"/>
    <hyperlink xmlns:r="http://schemas.openxmlformats.org/officeDocument/2006/relationships" ref="N679" r:id="rId2491"/>
    <hyperlink xmlns:r="http://schemas.openxmlformats.org/officeDocument/2006/relationships" ref="P679" r:id="rId2492"/>
    <hyperlink xmlns:r="http://schemas.openxmlformats.org/officeDocument/2006/relationships" ref="M680" r:id="rId2493"/>
    <hyperlink xmlns:r="http://schemas.openxmlformats.org/officeDocument/2006/relationships" ref="N680" r:id="rId2494"/>
    <hyperlink xmlns:r="http://schemas.openxmlformats.org/officeDocument/2006/relationships" ref="O680" r:id="rId2495"/>
    <hyperlink xmlns:r="http://schemas.openxmlformats.org/officeDocument/2006/relationships" ref="P680" r:id="rId2496"/>
    <hyperlink xmlns:r="http://schemas.openxmlformats.org/officeDocument/2006/relationships" ref="M681" r:id="rId2497"/>
    <hyperlink xmlns:r="http://schemas.openxmlformats.org/officeDocument/2006/relationships" ref="N681" r:id="rId2498"/>
    <hyperlink xmlns:r="http://schemas.openxmlformats.org/officeDocument/2006/relationships" ref="P681" r:id="rId2499"/>
    <hyperlink xmlns:r="http://schemas.openxmlformats.org/officeDocument/2006/relationships" ref="M682" r:id="rId2500"/>
    <hyperlink xmlns:r="http://schemas.openxmlformats.org/officeDocument/2006/relationships" ref="N682" r:id="rId2501"/>
    <hyperlink xmlns:r="http://schemas.openxmlformats.org/officeDocument/2006/relationships" ref="O682" r:id="rId2502"/>
    <hyperlink xmlns:r="http://schemas.openxmlformats.org/officeDocument/2006/relationships" ref="P682" r:id="rId2503"/>
    <hyperlink xmlns:r="http://schemas.openxmlformats.org/officeDocument/2006/relationships" ref="M683" r:id="rId2504"/>
    <hyperlink xmlns:r="http://schemas.openxmlformats.org/officeDocument/2006/relationships" ref="N683" r:id="rId2505"/>
    <hyperlink xmlns:r="http://schemas.openxmlformats.org/officeDocument/2006/relationships" ref="O683" r:id="rId2506"/>
    <hyperlink xmlns:r="http://schemas.openxmlformats.org/officeDocument/2006/relationships" ref="P683" r:id="rId2507"/>
    <hyperlink xmlns:r="http://schemas.openxmlformats.org/officeDocument/2006/relationships" ref="M684" r:id="rId2508"/>
    <hyperlink xmlns:r="http://schemas.openxmlformats.org/officeDocument/2006/relationships" ref="N684" r:id="rId2509"/>
    <hyperlink xmlns:r="http://schemas.openxmlformats.org/officeDocument/2006/relationships" ref="O684" r:id="rId2510"/>
    <hyperlink xmlns:r="http://schemas.openxmlformats.org/officeDocument/2006/relationships" ref="P684" r:id="rId2511"/>
    <hyperlink xmlns:r="http://schemas.openxmlformats.org/officeDocument/2006/relationships" ref="M685" r:id="rId2512"/>
    <hyperlink xmlns:r="http://schemas.openxmlformats.org/officeDocument/2006/relationships" ref="N685" r:id="rId2513"/>
    <hyperlink xmlns:r="http://schemas.openxmlformats.org/officeDocument/2006/relationships" ref="O685" r:id="rId2514"/>
    <hyperlink xmlns:r="http://schemas.openxmlformats.org/officeDocument/2006/relationships" ref="P685" r:id="rId2515"/>
    <hyperlink xmlns:r="http://schemas.openxmlformats.org/officeDocument/2006/relationships" ref="M686" r:id="rId2516"/>
    <hyperlink xmlns:r="http://schemas.openxmlformats.org/officeDocument/2006/relationships" ref="N686" r:id="rId2517"/>
    <hyperlink xmlns:r="http://schemas.openxmlformats.org/officeDocument/2006/relationships" ref="O686" r:id="rId2518"/>
    <hyperlink xmlns:r="http://schemas.openxmlformats.org/officeDocument/2006/relationships" ref="P686" r:id="rId2519"/>
    <hyperlink xmlns:r="http://schemas.openxmlformats.org/officeDocument/2006/relationships" ref="M687" r:id="rId2520"/>
    <hyperlink xmlns:r="http://schemas.openxmlformats.org/officeDocument/2006/relationships" ref="N687" r:id="rId2521"/>
    <hyperlink xmlns:r="http://schemas.openxmlformats.org/officeDocument/2006/relationships" ref="P687" r:id="rId2522"/>
    <hyperlink xmlns:r="http://schemas.openxmlformats.org/officeDocument/2006/relationships" ref="M688" r:id="rId2523"/>
    <hyperlink xmlns:r="http://schemas.openxmlformats.org/officeDocument/2006/relationships" ref="N688" r:id="rId2524"/>
    <hyperlink xmlns:r="http://schemas.openxmlformats.org/officeDocument/2006/relationships" ref="P688" r:id="rId2525"/>
    <hyperlink xmlns:r="http://schemas.openxmlformats.org/officeDocument/2006/relationships" ref="M689" r:id="rId2526"/>
    <hyperlink xmlns:r="http://schemas.openxmlformats.org/officeDocument/2006/relationships" ref="N689" r:id="rId2527"/>
    <hyperlink xmlns:r="http://schemas.openxmlformats.org/officeDocument/2006/relationships" ref="O689" r:id="rId2528"/>
    <hyperlink xmlns:r="http://schemas.openxmlformats.org/officeDocument/2006/relationships" ref="P689" r:id="rId2529"/>
    <hyperlink xmlns:r="http://schemas.openxmlformats.org/officeDocument/2006/relationships" ref="M690" r:id="rId2530"/>
    <hyperlink xmlns:r="http://schemas.openxmlformats.org/officeDocument/2006/relationships" ref="N690" r:id="rId2531"/>
    <hyperlink xmlns:r="http://schemas.openxmlformats.org/officeDocument/2006/relationships" ref="O690" r:id="rId2532"/>
    <hyperlink xmlns:r="http://schemas.openxmlformats.org/officeDocument/2006/relationships" ref="P690" r:id="rId2533"/>
    <hyperlink xmlns:r="http://schemas.openxmlformats.org/officeDocument/2006/relationships" ref="M691" r:id="rId2534"/>
    <hyperlink xmlns:r="http://schemas.openxmlformats.org/officeDocument/2006/relationships" ref="N691" r:id="rId2535"/>
    <hyperlink xmlns:r="http://schemas.openxmlformats.org/officeDocument/2006/relationships" ref="O691" r:id="rId2536"/>
    <hyperlink xmlns:r="http://schemas.openxmlformats.org/officeDocument/2006/relationships" ref="P691" r:id="rId2537"/>
    <hyperlink xmlns:r="http://schemas.openxmlformats.org/officeDocument/2006/relationships" ref="M692" r:id="rId2538"/>
    <hyperlink xmlns:r="http://schemas.openxmlformats.org/officeDocument/2006/relationships" ref="N692" r:id="rId2539"/>
    <hyperlink xmlns:r="http://schemas.openxmlformats.org/officeDocument/2006/relationships" ref="O692" r:id="rId2540"/>
    <hyperlink xmlns:r="http://schemas.openxmlformats.org/officeDocument/2006/relationships" ref="P692" r:id="rId2541"/>
    <hyperlink xmlns:r="http://schemas.openxmlformats.org/officeDocument/2006/relationships" ref="M693" r:id="rId2542"/>
    <hyperlink xmlns:r="http://schemas.openxmlformats.org/officeDocument/2006/relationships" ref="N693" r:id="rId2543"/>
    <hyperlink xmlns:r="http://schemas.openxmlformats.org/officeDocument/2006/relationships" ref="P693" r:id="rId2544"/>
    <hyperlink xmlns:r="http://schemas.openxmlformats.org/officeDocument/2006/relationships" ref="M694" r:id="rId2545"/>
    <hyperlink xmlns:r="http://schemas.openxmlformats.org/officeDocument/2006/relationships" ref="N694" r:id="rId2546"/>
    <hyperlink xmlns:r="http://schemas.openxmlformats.org/officeDocument/2006/relationships" ref="O694" r:id="rId2547"/>
    <hyperlink xmlns:r="http://schemas.openxmlformats.org/officeDocument/2006/relationships" ref="P694" r:id="rId2548"/>
    <hyperlink xmlns:r="http://schemas.openxmlformats.org/officeDocument/2006/relationships" ref="M695" r:id="rId2549"/>
    <hyperlink xmlns:r="http://schemas.openxmlformats.org/officeDocument/2006/relationships" ref="N695" r:id="rId2550"/>
    <hyperlink xmlns:r="http://schemas.openxmlformats.org/officeDocument/2006/relationships" ref="O695" r:id="rId2551"/>
    <hyperlink xmlns:r="http://schemas.openxmlformats.org/officeDocument/2006/relationships" ref="P695" r:id="rId2552"/>
    <hyperlink xmlns:r="http://schemas.openxmlformats.org/officeDocument/2006/relationships" ref="M696" r:id="rId2553"/>
    <hyperlink xmlns:r="http://schemas.openxmlformats.org/officeDocument/2006/relationships" ref="N696" r:id="rId2554"/>
    <hyperlink xmlns:r="http://schemas.openxmlformats.org/officeDocument/2006/relationships" ref="O696" r:id="rId2555"/>
    <hyperlink xmlns:r="http://schemas.openxmlformats.org/officeDocument/2006/relationships" ref="P696" r:id="rId2556"/>
    <hyperlink xmlns:r="http://schemas.openxmlformats.org/officeDocument/2006/relationships" ref="M697" r:id="rId2557"/>
    <hyperlink xmlns:r="http://schemas.openxmlformats.org/officeDocument/2006/relationships" ref="N697" r:id="rId2558"/>
    <hyperlink xmlns:r="http://schemas.openxmlformats.org/officeDocument/2006/relationships" ref="P697" r:id="rId2559"/>
    <hyperlink xmlns:r="http://schemas.openxmlformats.org/officeDocument/2006/relationships" ref="M698" r:id="rId2560"/>
    <hyperlink xmlns:r="http://schemas.openxmlformats.org/officeDocument/2006/relationships" ref="N698" r:id="rId2561"/>
    <hyperlink xmlns:r="http://schemas.openxmlformats.org/officeDocument/2006/relationships" ref="O698" r:id="rId2562"/>
    <hyperlink xmlns:r="http://schemas.openxmlformats.org/officeDocument/2006/relationships" ref="P698" r:id="rId2563"/>
    <hyperlink xmlns:r="http://schemas.openxmlformats.org/officeDocument/2006/relationships" ref="M699" r:id="rId2564"/>
    <hyperlink xmlns:r="http://schemas.openxmlformats.org/officeDocument/2006/relationships" ref="N699" r:id="rId2565"/>
    <hyperlink xmlns:r="http://schemas.openxmlformats.org/officeDocument/2006/relationships" ref="O699" r:id="rId2566"/>
    <hyperlink xmlns:r="http://schemas.openxmlformats.org/officeDocument/2006/relationships" ref="P699" r:id="rId2567"/>
    <hyperlink xmlns:r="http://schemas.openxmlformats.org/officeDocument/2006/relationships" ref="M700" r:id="rId2568"/>
    <hyperlink xmlns:r="http://schemas.openxmlformats.org/officeDocument/2006/relationships" ref="N700" r:id="rId2569"/>
    <hyperlink xmlns:r="http://schemas.openxmlformats.org/officeDocument/2006/relationships" ref="O700" r:id="rId2570"/>
    <hyperlink xmlns:r="http://schemas.openxmlformats.org/officeDocument/2006/relationships" ref="P700" r:id="rId2571"/>
    <hyperlink xmlns:r="http://schemas.openxmlformats.org/officeDocument/2006/relationships" ref="M701" r:id="rId2572"/>
    <hyperlink xmlns:r="http://schemas.openxmlformats.org/officeDocument/2006/relationships" ref="N701" r:id="rId2573"/>
    <hyperlink xmlns:r="http://schemas.openxmlformats.org/officeDocument/2006/relationships" ref="O701" r:id="rId2574"/>
    <hyperlink xmlns:r="http://schemas.openxmlformats.org/officeDocument/2006/relationships" ref="P701" r:id="rId2575"/>
    <hyperlink xmlns:r="http://schemas.openxmlformats.org/officeDocument/2006/relationships" ref="M702" r:id="rId2576"/>
    <hyperlink xmlns:r="http://schemas.openxmlformats.org/officeDocument/2006/relationships" ref="N702" r:id="rId2577"/>
    <hyperlink xmlns:r="http://schemas.openxmlformats.org/officeDocument/2006/relationships" ref="P702" r:id="rId2578"/>
    <hyperlink xmlns:r="http://schemas.openxmlformats.org/officeDocument/2006/relationships" ref="M703" r:id="rId2579"/>
    <hyperlink xmlns:r="http://schemas.openxmlformats.org/officeDocument/2006/relationships" ref="N703" r:id="rId2580"/>
    <hyperlink xmlns:r="http://schemas.openxmlformats.org/officeDocument/2006/relationships" ref="O703" r:id="rId2581"/>
    <hyperlink xmlns:r="http://schemas.openxmlformats.org/officeDocument/2006/relationships" ref="P703" r:id="rId2582"/>
    <hyperlink xmlns:r="http://schemas.openxmlformats.org/officeDocument/2006/relationships" ref="M704" r:id="rId2583"/>
    <hyperlink xmlns:r="http://schemas.openxmlformats.org/officeDocument/2006/relationships" ref="N704" r:id="rId2584"/>
    <hyperlink xmlns:r="http://schemas.openxmlformats.org/officeDocument/2006/relationships" ref="O704" r:id="rId2585"/>
    <hyperlink xmlns:r="http://schemas.openxmlformats.org/officeDocument/2006/relationships" ref="P704" r:id="rId2586"/>
    <hyperlink xmlns:r="http://schemas.openxmlformats.org/officeDocument/2006/relationships" ref="M705" r:id="rId2587"/>
    <hyperlink xmlns:r="http://schemas.openxmlformats.org/officeDocument/2006/relationships" ref="N705" r:id="rId2588"/>
    <hyperlink xmlns:r="http://schemas.openxmlformats.org/officeDocument/2006/relationships" ref="O705" r:id="rId2589"/>
    <hyperlink xmlns:r="http://schemas.openxmlformats.org/officeDocument/2006/relationships" ref="P705" r:id="rId2590"/>
    <hyperlink xmlns:r="http://schemas.openxmlformats.org/officeDocument/2006/relationships" ref="M706" r:id="rId2591"/>
    <hyperlink xmlns:r="http://schemas.openxmlformats.org/officeDocument/2006/relationships" ref="N706" r:id="rId2592"/>
    <hyperlink xmlns:r="http://schemas.openxmlformats.org/officeDocument/2006/relationships" ref="P706" r:id="rId2593"/>
    <hyperlink xmlns:r="http://schemas.openxmlformats.org/officeDocument/2006/relationships" ref="M707" r:id="rId2594"/>
    <hyperlink xmlns:r="http://schemas.openxmlformats.org/officeDocument/2006/relationships" ref="N707" r:id="rId2595"/>
    <hyperlink xmlns:r="http://schemas.openxmlformats.org/officeDocument/2006/relationships" ref="P707" r:id="rId2596"/>
    <hyperlink xmlns:r="http://schemas.openxmlformats.org/officeDocument/2006/relationships" ref="M708" r:id="rId2597"/>
    <hyperlink xmlns:r="http://schemas.openxmlformats.org/officeDocument/2006/relationships" ref="N708" r:id="rId2598"/>
    <hyperlink xmlns:r="http://schemas.openxmlformats.org/officeDocument/2006/relationships" ref="O708" r:id="rId2599"/>
    <hyperlink xmlns:r="http://schemas.openxmlformats.org/officeDocument/2006/relationships" ref="P708" r:id="rId2600"/>
    <hyperlink xmlns:r="http://schemas.openxmlformats.org/officeDocument/2006/relationships" ref="M709" r:id="rId2601"/>
    <hyperlink xmlns:r="http://schemas.openxmlformats.org/officeDocument/2006/relationships" ref="N709" r:id="rId2602"/>
    <hyperlink xmlns:r="http://schemas.openxmlformats.org/officeDocument/2006/relationships" ref="O709" r:id="rId2603"/>
    <hyperlink xmlns:r="http://schemas.openxmlformats.org/officeDocument/2006/relationships" ref="P709" r:id="rId2604"/>
    <hyperlink xmlns:r="http://schemas.openxmlformats.org/officeDocument/2006/relationships" ref="M710" r:id="rId2605"/>
    <hyperlink xmlns:r="http://schemas.openxmlformats.org/officeDocument/2006/relationships" ref="N710" r:id="rId2606"/>
    <hyperlink xmlns:r="http://schemas.openxmlformats.org/officeDocument/2006/relationships" ref="O710" r:id="rId2607"/>
    <hyperlink xmlns:r="http://schemas.openxmlformats.org/officeDocument/2006/relationships" ref="P710" r:id="rId2608"/>
    <hyperlink xmlns:r="http://schemas.openxmlformats.org/officeDocument/2006/relationships" ref="M711" r:id="rId2609"/>
    <hyperlink xmlns:r="http://schemas.openxmlformats.org/officeDocument/2006/relationships" ref="N711" r:id="rId2610"/>
    <hyperlink xmlns:r="http://schemas.openxmlformats.org/officeDocument/2006/relationships" ref="O711" r:id="rId2611"/>
    <hyperlink xmlns:r="http://schemas.openxmlformats.org/officeDocument/2006/relationships" ref="P711" r:id="rId2612"/>
    <hyperlink xmlns:r="http://schemas.openxmlformats.org/officeDocument/2006/relationships" ref="M712" r:id="rId2613"/>
    <hyperlink xmlns:r="http://schemas.openxmlformats.org/officeDocument/2006/relationships" ref="N712" r:id="rId2614"/>
    <hyperlink xmlns:r="http://schemas.openxmlformats.org/officeDocument/2006/relationships" ref="O712" r:id="rId2615"/>
    <hyperlink xmlns:r="http://schemas.openxmlformats.org/officeDocument/2006/relationships" ref="P712" r:id="rId2616"/>
    <hyperlink xmlns:r="http://schemas.openxmlformats.org/officeDocument/2006/relationships" ref="M713" r:id="rId2617"/>
    <hyperlink xmlns:r="http://schemas.openxmlformats.org/officeDocument/2006/relationships" ref="N713" r:id="rId2618"/>
    <hyperlink xmlns:r="http://schemas.openxmlformats.org/officeDocument/2006/relationships" ref="O713" r:id="rId2619"/>
    <hyperlink xmlns:r="http://schemas.openxmlformats.org/officeDocument/2006/relationships" ref="P713" r:id="rId2620"/>
    <hyperlink xmlns:r="http://schemas.openxmlformats.org/officeDocument/2006/relationships" ref="M714" r:id="rId2621"/>
    <hyperlink xmlns:r="http://schemas.openxmlformats.org/officeDocument/2006/relationships" ref="N714" r:id="rId2622"/>
    <hyperlink xmlns:r="http://schemas.openxmlformats.org/officeDocument/2006/relationships" ref="O714" r:id="rId2623"/>
    <hyperlink xmlns:r="http://schemas.openxmlformats.org/officeDocument/2006/relationships" ref="P714" r:id="rId2624"/>
    <hyperlink xmlns:r="http://schemas.openxmlformats.org/officeDocument/2006/relationships" ref="M715" r:id="rId2625"/>
    <hyperlink xmlns:r="http://schemas.openxmlformats.org/officeDocument/2006/relationships" ref="N715" r:id="rId2626"/>
    <hyperlink xmlns:r="http://schemas.openxmlformats.org/officeDocument/2006/relationships" ref="O715" r:id="rId2627"/>
    <hyperlink xmlns:r="http://schemas.openxmlformats.org/officeDocument/2006/relationships" ref="P715" r:id="rId2628"/>
    <hyperlink xmlns:r="http://schemas.openxmlformats.org/officeDocument/2006/relationships" ref="M716" r:id="rId2629"/>
    <hyperlink xmlns:r="http://schemas.openxmlformats.org/officeDocument/2006/relationships" ref="N716" r:id="rId2630"/>
    <hyperlink xmlns:r="http://schemas.openxmlformats.org/officeDocument/2006/relationships" ref="O716" r:id="rId2631"/>
    <hyperlink xmlns:r="http://schemas.openxmlformats.org/officeDocument/2006/relationships" ref="P716" r:id="rId2632"/>
    <hyperlink xmlns:r="http://schemas.openxmlformats.org/officeDocument/2006/relationships" ref="M717" r:id="rId2633"/>
    <hyperlink xmlns:r="http://schemas.openxmlformats.org/officeDocument/2006/relationships" ref="N717" r:id="rId2634"/>
    <hyperlink xmlns:r="http://schemas.openxmlformats.org/officeDocument/2006/relationships" ref="P717" r:id="rId2635"/>
    <hyperlink xmlns:r="http://schemas.openxmlformats.org/officeDocument/2006/relationships" ref="M718" r:id="rId2636"/>
    <hyperlink xmlns:r="http://schemas.openxmlformats.org/officeDocument/2006/relationships" ref="N718" r:id="rId2637"/>
    <hyperlink xmlns:r="http://schemas.openxmlformats.org/officeDocument/2006/relationships" ref="P718" r:id="rId2638"/>
    <hyperlink xmlns:r="http://schemas.openxmlformats.org/officeDocument/2006/relationships" ref="M719" r:id="rId2639"/>
    <hyperlink xmlns:r="http://schemas.openxmlformats.org/officeDocument/2006/relationships" ref="N719" r:id="rId2640"/>
    <hyperlink xmlns:r="http://schemas.openxmlformats.org/officeDocument/2006/relationships" ref="O719" r:id="rId2641"/>
    <hyperlink xmlns:r="http://schemas.openxmlformats.org/officeDocument/2006/relationships" ref="P719" r:id="rId2642"/>
    <hyperlink xmlns:r="http://schemas.openxmlformats.org/officeDocument/2006/relationships" ref="M720" r:id="rId2643"/>
    <hyperlink xmlns:r="http://schemas.openxmlformats.org/officeDocument/2006/relationships" ref="N720" r:id="rId2644"/>
    <hyperlink xmlns:r="http://schemas.openxmlformats.org/officeDocument/2006/relationships" ref="O720" r:id="rId2645"/>
    <hyperlink xmlns:r="http://schemas.openxmlformats.org/officeDocument/2006/relationships" ref="P720" r:id="rId2646"/>
    <hyperlink xmlns:r="http://schemas.openxmlformats.org/officeDocument/2006/relationships" ref="M721" r:id="rId2647"/>
    <hyperlink xmlns:r="http://schemas.openxmlformats.org/officeDocument/2006/relationships" ref="N721" r:id="rId2648"/>
    <hyperlink xmlns:r="http://schemas.openxmlformats.org/officeDocument/2006/relationships" ref="O721" r:id="rId2649"/>
    <hyperlink xmlns:r="http://schemas.openxmlformats.org/officeDocument/2006/relationships" ref="P721" r:id="rId2650"/>
    <hyperlink xmlns:r="http://schemas.openxmlformats.org/officeDocument/2006/relationships" ref="M722" r:id="rId2651"/>
    <hyperlink xmlns:r="http://schemas.openxmlformats.org/officeDocument/2006/relationships" ref="N722" r:id="rId2652"/>
    <hyperlink xmlns:r="http://schemas.openxmlformats.org/officeDocument/2006/relationships" ref="P722" r:id="rId2653"/>
    <hyperlink xmlns:r="http://schemas.openxmlformats.org/officeDocument/2006/relationships" ref="M723" r:id="rId2654"/>
    <hyperlink xmlns:r="http://schemas.openxmlformats.org/officeDocument/2006/relationships" ref="N723" r:id="rId2655"/>
    <hyperlink xmlns:r="http://schemas.openxmlformats.org/officeDocument/2006/relationships" ref="P723" r:id="rId2656"/>
    <hyperlink xmlns:r="http://schemas.openxmlformats.org/officeDocument/2006/relationships" ref="M724" r:id="rId2657"/>
    <hyperlink xmlns:r="http://schemas.openxmlformats.org/officeDocument/2006/relationships" ref="N724" r:id="rId2658"/>
    <hyperlink xmlns:r="http://schemas.openxmlformats.org/officeDocument/2006/relationships" ref="O724" r:id="rId2659"/>
    <hyperlink xmlns:r="http://schemas.openxmlformats.org/officeDocument/2006/relationships" ref="P724" r:id="rId2660"/>
    <hyperlink xmlns:r="http://schemas.openxmlformats.org/officeDocument/2006/relationships" ref="M725" r:id="rId2661"/>
    <hyperlink xmlns:r="http://schemas.openxmlformats.org/officeDocument/2006/relationships" ref="N725" r:id="rId2662"/>
    <hyperlink xmlns:r="http://schemas.openxmlformats.org/officeDocument/2006/relationships" ref="P725" r:id="rId2663"/>
    <hyperlink xmlns:r="http://schemas.openxmlformats.org/officeDocument/2006/relationships" ref="M726" r:id="rId2664"/>
    <hyperlink xmlns:r="http://schemas.openxmlformats.org/officeDocument/2006/relationships" ref="N726" r:id="rId2665"/>
    <hyperlink xmlns:r="http://schemas.openxmlformats.org/officeDocument/2006/relationships" ref="P726" r:id="rId2666"/>
    <hyperlink xmlns:r="http://schemas.openxmlformats.org/officeDocument/2006/relationships" ref="M727" r:id="rId2667"/>
    <hyperlink xmlns:r="http://schemas.openxmlformats.org/officeDocument/2006/relationships" ref="N727" r:id="rId2668"/>
    <hyperlink xmlns:r="http://schemas.openxmlformats.org/officeDocument/2006/relationships" ref="O727" r:id="rId2669"/>
    <hyperlink xmlns:r="http://schemas.openxmlformats.org/officeDocument/2006/relationships" ref="P727" r:id="rId2670"/>
    <hyperlink xmlns:r="http://schemas.openxmlformats.org/officeDocument/2006/relationships" ref="M728" r:id="rId2671"/>
    <hyperlink xmlns:r="http://schemas.openxmlformats.org/officeDocument/2006/relationships" ref="N728" r:id="rId2672"/>
    <hyperlink xmlns:r="http://schemas.openxmlformats.org/officeDocument/2006/relationships" ref="P728" r:id="rId2673"/>
    <hyperlink xmlns:r="http://schemas.openxmlformats.org/officeDocument/2006/relationships" ref="M729" r:id="rId2674"/>
    <hyperlink xmlns:r="http://schemas.openxmlformats.org/officeDocument/2006/relationships" ref="N729" r:id="rId2675"/>
    <hyperlink xmlns:r="http://schemas.openxmlformats.org/officeDocument/2006/relationships" ref="O729" r:id="rId2676"/>
    <hyperlink xmlns:r="http://schemas.openxmlformats.org/officeDocument/2006/relationships" ref="P729" r:id="rId2677"/>
    <hyperlink xmlns:r="http://schemas.openxmlformats.org/officeDocument/2006/relationships" ref="M730" r:id="rId2678"/>
    <hyperlink xmlns:r="http://schemas.openxmlformats.org/officeDocument/2006/relationships" ref="N730" r:id="rId2679"/>
    <hyperlink xmlns:r="http://schemas.openxmlformats.org/officeDocument/2006/relationships" ref="P730" r:id="rId2680"/>
    <hyperlink xmlns:r="http://schemas.openxmlformats.org/officeDocument/2006/relationships" ref="M731" r:id="rId2681"/>
    <hyperlink xmlns:r="http://schemas.openxmlformats.org/officeDocument/2006/relationships" ref="N731" r:id="rId2682"/>
    <hyperlink xmlns:r="http://schemas.openxmlformats.org/officeDocument/2006/relationships" ref="P731" r:id="rId2683"/>
    <hyperlink xmlns:r="http://schemas.openxmlformats.org/officeDocument/2006/relationships" ref="M732" r:id="rId2684"/>
    <hyperlink xmlns:r="http://schemas.openxmlformats.org/officeDocument/2006/relationships" ref="N732" r:id="rId2685"/>
    <hyperlink xmlns:r="http://schemas.openxmlformats.org/officeDocument/2006/relationships" ref="O732" r:id="rId2686"/>
    <hyperlink xmlns:r="http://schemas.openxmlformats.org/officeDocument/2006/relationships" ref="P732" r:id="rId2687"/>
    <hyperlink xmlns:r="http://schemas.openxmlformats.org/officeDocument/2006/relationships" ref="M733" r:id="rId2688"/>
    <hyperlink xmlns:r="http://schemas.openxmlformats.org/officeDocument/2006/relationships" ref="N733" r:id="rId2689"/>
    <hyperlink xmlns:r="http://schemas.openxmlformats.org/officeDocument/2006/relationships" ref="O733" r:id="rId2690"/>
    <hyperlink xmlns:r="http://schemas.openxmlformats.org/officeDocument/2006/relationships" ref="P733" r:id="rId2691"/>
    <hyperlink xmlns:r="http://schemas.openxmlformats.org/officeDocument/2006/relationships" ref="M734" r:id="rId2692"/>
    <hyperlink xmlns:r="http://schemas.openxmlformats.org/officeDocument/2006/relationships" ref="N734" r:id="rId2693"/>
    <hyperlink xmlns:r="http://schemas.openxmlformats.org/officeDocument/2006/relationships" ref="O734" r:id="rId2694"/>
    <hyperlink xmlns:r="http://schemas.openxmlformats.org/officeDocument/2006/relationships" ref="P734" r:id="rId2695"/>
    <hyperlink xmlns:r="http://schemas.openxmlformats.org/officeDocument/2006/relationships" ref="M735" r:id="rId2696"/>
    <hyperlink xmlns:r="http://schemas.openxmlformats.org/officeDocument/2006/relationships" ref="N735" r:id="rId2697"/>
    <hyperlink xmlns:r="http://schemas.openxmlformats.org/officeDocument/2006/relationships" ref="O735" r:id="rId2698"/>
    <hyperlink xmlns:r="http://schemas.openxmlformats.org/officeDocument/2006/relationships" ref="P735" r:id="rId2699"/>
    <hyperlink xmlns:r="http://schemas.openxmlformats.org/officeDocument/2006/relationships" ref="M736" r:id="rId2700"/>
    <hyperlink xmlns:r="http://schemas.openxmlformats.org/officeDocument/2006/relationships" ref="N736" r:id="rId2701"/>
    <hyperlink xmlns:r="http://schemas.openxmlformats.org/officeDocument/2006/relationships" ref="O736" r:id="rId2702"/>
    <hyperlink xmlns:r="http://schemas.openxmlformats.org/officeDocument/2006/relationships" ref="P736" r:id="rId2703"/>
    <hyperlink xmlns:r="http://schemas.openxmlformats.org/officeDocument/2006/relationships" ref="M737" r:id="rId2704"/>
    <hyperlink xmlns:r="http://schemas.openxmlformats.org/officeDocument/2006/relationships" ref="N737" r:id="rId2705"/>
    <hyperlink xmlns:r="http://schemas.openxmlformats.org/officeDocument/2006/relationships" ref="P737" r:id="rId2706"/>
    <hyperlink xmlns:r="http://schemas.openxmlformats.org/officeDocument/2006/relationships" ref="M738" r:id="rId2707"/>
    <hyperlink xmlns:r="http://schemas.openxmlformats.org/officeDocument/2006/relationships" ref="N738" r:id="rId2708"/>
    <hyperlink xmlns:r="http://schemas.openxmlformats.org/officeDocument/2006/relationships" ref="P738" r:id="rId2709"/>
    <hyperlink xmlns:r="http://schemas.openxmlformats.org/officeDocument/2006/relationships" ref="M739" r:id="rId2710"/>
    <hyperlink xmlns:r="http://schemas.openxmlformats.org/officeDocument/2006/relationships" ref="N739" r:id="rId2711"/>
    <hyperlink xmlns:r="http://schemas.openxmlformats.org/officeDocument/2006/relationships" ref="O739" r:id="rId2712"/>
    <hyperlink xmlns:r="http://schemas.openxmlformats.org/officeDocument/2006/relationships" ref="P739" r:id="rId2713"/>
    <hyperlink xmlns:r="http://schemas.openxmlformats.org/officeDocument/2006/relationships" ref="M740" r:id="rId2714"/>
    <hyperlink xmlns:r="http://schemas.openxmlformats.org/officeDocument/2006/relationships" ref="N740" r:id="rId2715"/>
    <hyperlink xmlns:r="http://schemas.openxmlformats.org/officeDocument/2006/relationships" ref="P740" r:id="rId2716"/>
    <hyperlink xmlns:r="http://schemas.openxmlformats.org/officeDocument/2006/relationships" ref="M741" r:id="rId2717"/>
    <hyperlink xmlns:r="http://schemas.openxmlformats.org/officeDocument/2006/relationships" ref="N741" r:id="rId2718"/>
    <hyperlink xmlns:r="http://schemas.openxmlformats.org/officeDocument/2006/relationships" ref="O741" r:id="rId2719"/>
    <hyperlink xmlns:r="http://schemas.openxmlformats.org/officeDocument/2006/relationships" ref="P741" r:id="rId2720"/>
    <hyperlink xmlns:r="http://schemas.openxmlformats.org/officeDocument/2006/relationships" ref="M742" r:id="rId2721"/>
    <hyperlink xmlns:r="http://schemas.openxmlformats.org/officeDocument/2006/relationships" ref="N742" r:id="rId2722"/>
    <hyperlink xmlns:r="http://schemas.openxmlformats.org/officeDocument/2006/relationships" ref="O742" r:id="rId2723"/>
    <hyperlink xmlns:r="http://schemas.openxmlformats.org/officeDocument/2006/relationships" ref="P742" r:id="rId2724"/>
    <hyperlink xmlns:r="http://schemas.openxmlformats.org/officeDocument/2006/relationships" ref="M743" r:id="rId2725"/>
    <hyperlink xmlns:r="http://schemas.openxmlformats.org/officeDocument/2006/relationships" ref="N743" r:id="rId2726"/>
    <hyperlink xmlns:r="http://schemas.openxmlformats.org/officeDocument/2006/relationships" ref="O743" r:id="rId2727"/>
    <hyperlink xmlns:r="http://schemas.openxmlformats.org/officeDocument/2006/relationships" ref="P743" r:id="rId2728"/>
    <hyperlink xmlns:r="http://schemas.openxmlformats.org/officeDocument/2006/relationships" ref="M744" r:id="rId2729"/>
    <hyperlink xmlns:r="http://schemas.openxmlformats.org/officeDocument/2006/relationships" ref="N744" r:id="rId2730"/>
    <hyperlink xmlns:r="http://schemas.openxmlformats.org/officeDocument/2006/relationships" ref="O744" r:id="rId2731"/>
    <hyperlink xmlns:r="http://schemas.openxmlformats.org/officeDocument/2006/relationships" ref="P744" r:id="rId2732"/>
    <hyperlink xmlns:r="http://schemas.openxmlformats.org/officeDocument/2006/relationships" ref="M745" r:id="rId2733"/>
    <hyperlink xmlns:r="http://schemas.openxmlformats.org/officeDocument/2006/relationships" ref="N745" r:id="rId2734"/>
    <hyperlink xmlns:r="http://schemas.openxmlformats.org/officeDocument/2006/relationships" ref="O745" r:id="rId2735"/>
    <hyperlink xmlns:r="http://schemas.openxmlformats.org/officeDocument/2006/relationships" ref="P745" r:id="rId2736"/>
    <hyperlink xmlns:r="http://schemas.openxmlformats.org/officeDocument/2006/relationships" ref="M746" r:id="rId2737"/>
    <hyperlink xmlns:r="http://schemas.openxmlformats.org/officeDocument/2006/relationships" ref="N746" r:id="rId2738"/>
    <hyperlink xmlns:r="http://schemas.openxmlformats.org/officeDocument/2006/relationships" ref="P746" r:id="rId2739"/>
    <hyperlink xmlns:r="http://schemas.openxmlformats.org/officeDocument/2006/relationships" ref="M747" r:id="rId2740"/>
    <hyperlink xmlns:r="http://schemas.openxmlformats.org/officeDocument/2006/relationships" ref="N747" r:id="rId2741"/>
    <hyperlink xmlns:r="http://schemas.openxmlformats.org/officeDocument/2006/relationships" ref="O747" r:id="rId2742"/>
    <hyperlink xmlns:r="http://schemas.openxmlformats.org/officeDocument/2006/relationships" ref="P747" r:id="rId2743"/>
    <hyperlink xmlns:r="http://schemas.openxmlformats.org/officeDocument/2006/relationships" ref="M749" r:id="rId2744"/>
    <hyperlink xmlns:r="http://schemas.openxmlformats.org/officeDocument/2006/relationships" ref="N749" r:id="rId2745"/>
    <hyperlink xmlns:r="http://schemas.openxmlformats.org/officeDocument/2006/relationships" ref="O749" r:id="rId2746"/>
    <hyperlink xmlns:r="http://schemas.openxmlformats.org/officeDocument/2006/relationships" ref="P749" r:id="rId2747"/>
    <hyperlink xmlns:r="http://schemas.openxmlformats.org/officeDocument/2006/relationships" ref="M750" r:id="rId2748"/>
    <hyperlink xmlns:r="http://schemas.openxmlformats.org/officeDocument/2006/relationships" ref="N750" r:id="rId2749"/>
    <hyperlink xmlns:r="http://schemas.openxmlformats.org/officeDocument/2006/relationships" ref="O750" r:id="rId2750"/>
    <hyperlink xmlns:r="http://schemas.openxmlformats.org/officeDocument/2006/relationships" ref="P750" r:id="rId2751"/>
    <hyperlink xmlns:r="http://schemas.openxmlformats.org/officeDocument/2006/relationships" ref="M751" r:id="rId2752"/>
    <hyperlink xmlns:r="http://schemas.openxmlformats.org/officeDocument/2006/relationships" ref="N751" r:id="rId2753"/>
    <hyperlink xmlns:r="http://schemas.openxmlformats.org/officeDocument/2006/relationships" ref="O751" r:id="rId2754"/>
    <hyperlink xmlns:r="http://schemas.openxmlformats.org/officeDocument/2006/relationships" ref="P751" r:id="rId2755"/>
    <hyperlink xmlns:r="http://schemas.openxmlformats.org/officeDocument/2006/relationships" ref="M752" r:id="rId2756"/>
    <hyperlink xmlns:r="http://schemas.openxmlformats.org/officeDocument/2006/relationships" ref="N752" r:id="rId2757"/>
    <hyperlink xmlns:r="http://schemas.openxmlformats.org/officeDocument/2006/relationships" ref="O752" r:id="rId2758"/>
    <hyperlink xmlns:r="http://schemas.openxmlformats.org/officeDocument/2006/relationships" ref="P752" r:id="rId2759"/>
    <hyperlink xmlns:r="http://schemas.openxmlformats.org/officeDocument/2006/relationships" ref="M753" r:id="rId2760"/>
    <hyperlink xmlns:r="http://schemas.openxmlformats.org/officeDocument/2006/relationships" ref="N753" r:id="rId2761"/>
    <hyperlink xmlns:r="http://schemas.openxmlformats.org/officeDocument/2006/relationships" ref="O753" r:id="rId2762"/>
    <hyperlink xmlns:r="http://schemas.openxmlformats.org/officeDocument/2006/relationships" ref="P753" r:id="rId2763"/>
    <hyperlink xmlns:r="http://schemas.openxmlformats.org/officeDocument/2006/relationships" ref="M754" r:id="rId2764"/>
    <hyperlink xmlns:r="http://schemas.openxmlformats.org/officeDocument/2006/relationships" ref="N754" r:id="rId2765"/>
    <hyperlink xmlns:r="http://schemas.openxmlformats.org/officeDocument/2006/relationships" ref="O754" r:id="rId2766"/>
    <hyperlink xmlns:r="http://schemas.openxmlformats.org/officeDocument/2006/relationships" ref="P754" r:id="rId2767"/>
    <hyperlink xmlns:r="http://schemas.openxmlformats.org/officeDocument/2006/relationships" ref="M755" r:id="rId2768"/>
    <hyperlink xmlns:r="http://schemas.openxmlformats.org/officeDocument/2006/relationships" ref="N755" r:id="rId2769"/>
    <hyperlink xmlns:r="http://schemas.openxmlformats.org/officeDocument/2006/relationships" ref="O755" r:id="rId2770"/>
    <hyperlink xmlns:r="http://schemas.openxmlformats.org/officeDocument/2006/relationships" ref="P755" r:id="rId2771"/>
    <hyperlink xmlns:r="http://schemas.openxmlformats.org/officeDocument/2006/relationships" ref="M756" r:id="rId2772"/>
    <hyperlink xmlns:r="http://schemas.openxmlformats.org/officeDocument/2006/relationships" ref="N756" r:id="rId2773"/>
    <hyperlink xmlns:r="http://schemas.openxmlformats.org/officeDocument/2006/relationships" ref="P756" r:id="rId2774"/>
    <hyperlink xmlns:r="http://schemas.openxmlformats.org/officeDocument/2006/relationships" ref="M757" r:id="rId2775"/>
    <hyperlink xmlns:r="http://schemas.openxmlformats.org/officeDocument/2006/relationships" ref="N757" r:id="rId2776"/>
    <hyperlink xmlns:r="http://schemas.openxmlformats.org/officeDocument/2006/relationships" ref="O757" r:id="rId2777"/>
    <hyperlink xmlns:r="http://schemas.openxmlformats.org/officeDocument/2006/relationships" ref="P757" r:id="rId2778"/>
    <hyperlink xmlns:r="http://schemas.openxmlformats.org/officeDocument/2006/relationships" ref="M758" r:id="rId2779"/>
    <hyperlink xmlns:r="http://schemas.openxmlformats.org/officeDocument/2006/relationships" ref="N758" r:id="rId2780"/>
    <hyperlink xmlns:r="http://schemas.openxmlformats.org/officeDocument/2006/relationships" ref="P758" r:id="rId2781"/>
    <hyperlink xmlns:r="http://schemas.openxmlformats.org/officeDocument/2006/relationships" ref="M759" r:id="rId2782"/>
    <hyperlink xmlns:r="http://schemas.openxmlformats.org/officeDocument/2006/relationships" ref="N759" r:id="rId2783"/>
    <hyperlink xmlns:r="http://schemas.openxmlformats.org/officeDocument/2006/relationships" ref="P759" r:id="rId2784"/>
    <hyperlink xmlns:r="http://schemas.openxmlformats.org/officeDocument/2006/relationships" ref="M760" r:id="rId2785"/>
    <hyperlink xmlns:r="http://schemas.openxmlformats.org/officeDocument/2006/relationships" ref="N760" r:id="rId2786"/>
    <hyperlink xmlns:r="http://schemas.openxmlformats.org/officeDocument/2006/relationships" ref="P760" r:id="rId2787"/>
    <hyperlink xmlns:r="http://schemas.openxmlformats.org/officeDocument/2006/relationships" ref="M761" r:id="rId2788"/>
    <hyperlink xmlns:r="http://schemas.openxmlformats.org/officeDocument/2006/relationships" ref="N761" r:id="rId2789"/>
    <hyperlink xmlns:r="http://schemas.openxmlformats.org/officeDocument/2006/relationships" ref="O761" r:id="rId2790"/>
    <hyperlink xmlns:r="http://schemas.openxmlformats.org/officeDocument/2006/relationships" ref="P761" r:id="rId2791"/>
    <hyperlink xmlns:r="http://schemas.openxmlformats.org/officeDocument/2006/relationships" ref="M762" r:id="rId2792"/>
    <hyperlink xmlns:r="http://schemas.openxmlformats.org/officeDocument/2006/relationships" ref="N762" r:id="rId2793"/>
    <hyperlink xmlns:r="http://schemas.openxmlformats.org/officeDocument/2006/relationships" ref="O762" r:id="rId2794"/>
    <hyperlink xmlns:r="http://schemas.openxmlformats.org/officeDocument/2006/relationships" ref="P762" r:id="rId2795"/>
    <hyperlink xmlns:r="http://schemas.openxmlformats.org/officeDocument/2006/relationships" ref="M763" r:id="rId2796"/>
    <hyperlink xmlns:r="http://schemas.openxmlformats.org/officeDocument/2006/relationships" ref="N763" r:id="rId2797"/>
    <hyperlink xmlns:r="http://schemas.openxmlformats.org/officeDocument/2006/relationships" ref="O763" r:id="rId2798"/>
    <hyperlink xmlns:r="http://schemas.openxmlformats.org/officeDocument/2006/relationships" ref="P763" r:id="rId2799"/>
    <hyperlink xmlns:r="http://schemas.openxmlformats.org/officeDocument/2006/relationships" ref="M764" r:id="rId2800"/>
    <hyperlink xmlns:r="http://schemas.openxmlformats.org/officeDocument/2006/relationships" ref="N764" r:id="rId2801"/>
    <hyperlink xmlns:r="http://schemas.openxmlformats.org/officeDocument/2006/relationships" ref="O764" r:id="rId2802"/>
    <hyperlink xmlns:r="http://schemas.openxmlformats.org/officeDocument/2006/relationships" ref="P764" r:id="rId2803"/>
    <hyperlink xmlns:r="http://schemas.openxmlformats.org/officeDocument/2006/relationships" ref="M765" r:id="rId2804"/>
    <hyperlink xmlns:r="http://schemas.openxmlformats.org/officeDocument/2006/relationships" ref="N765" r:id="rId2805"/>
    <hyperlink xmlns:r="http://schemas.openxmlformats.org/officeDocument/2006/relationships" ref="O765" r:id="rId2806"/>
    <hyperlink xmlns:r="http://schemas.openxmlformats.org/officeDocument/2006/relationships" ref="P765" r:id="rId2807"/>
    <hyperlink xmlns:r="http://schemas.openxmlformats.org/officeDocument/2006/relationships" ref="M766" r:id="rId2808"/>
    <hyperlink xmlns:r="http://schemas.openxmlformats.org/officeDocument/2006/relationships" ref="N766" r:id="rId2809"/>
    <hyperlink xmlns:r="http://schemas.openxmlformats.org/officeDocument/2006/relationships" ref="O766" r:id="rId2810"/>
    <hyperlink xmlns:r="http://schemas.openxmlformats.org/officeDocument/2006/relationships" ref="P766" r:id="rId2811"/>
    <hyperlink xmlns:r="http://schemas.openxmlformats.org/officeDocument/2006/relationships" ref="M767" r:id="rId2812"/>
    <hyperlink xmlns:r="http://schemas.openxmlformats.org/officeDocument/2006/relationships" ref="N767" r:id="rId2813"/>
    <hyperlink xmlns:r="http://schemas.openxmlformats.org/officeDocument/2006/relationships" ref="P767" r:id="rId2814"/>
    <hyperlink xmlns:r="http://schemas.openxmlformats.org/officeDocument/2006/relationships" ref="M768" r:id="rId2815"/>
    <hyperlink xmlns:r="http://schemas.openxmlformats.org/officeDocument/2006/relationships" ref="N768" r:id="rId2816"/>
    <hyperlink xmlns:r="http://schemas.openxmlformats.org/officeDocument/2006/relationships" ref="O768" r:id="rId2817"/>
    <hyperlink xmlns:r="http://schemas.openxmlformats.org/officeDocument/2006/relationships" ref="P768" r:id="rId2818"/>
    <hyperlink xmlns:r="http://schemas.openxmlformats.org/officeDocument/2006/relationships" ref="M769" r:id="rId2819"/>
    <hyperlink xmlns:r="http://schemas.openxmlformats.org/officeDocument/2006/relationships" ref="N769" r:id="rId2820"/>
    <hyperlink xmlns:r="http://schemas.openxmlformats.org/officeDocument/2006/relationships" ref="O769" r:id="rId2821"/>
    <hyperlink xmlns:r="http://schemas.openxmlformats.org/officeDocument/2006/relationships" ref="P769" r:id="rId2822"/>
    <hyperlink xmlns:r="http://schemas.openxmlformats.org/officeDocument/2006/relationships" ref="M770" r:id="rId2823"/>
    <hyperlink xmlns:r="http://schemas.openxmlformats.org/officeDocument/2006/relationships" ref="N770" r:id="rId2824"/>
    <hyperlink xmlns:r="http://schemas.openxmlformats.org/officeDocument/2006/relationships" ref="P770" r:id="rId2825"/>
    <hyperlink xmlns:r="http://schemas.openxmlformats.org/officeDocument/2006/relationships" ref="M771" r:id="rId2826"/>
    <hyperlink xmlns:r="http://schemas.openxmlformats.org/officeDocument/2006/relationships" ref="N771" r:id="rId2827"/>
    <hyperlink xmlns:r="http://schemas.openxmlformats.org/officeDocument/2006/relationships" ref="O771" r:id="rId2828"/>
    <hyperlink xmlns:r="http://schemas.openxmlformats.org/officeDocument/2006/relationships" ref="P771" r:id="rId2829"/>
    <hyperlink xmlns:r="http://schemas.openxmlformats.org/officeDocument/2006/relationships" ref="M772" r:id="rId2830"/>
    <hyperlink xmlns:r="http://schemas.openxmlformats.org/officeDocument/2006/relationships" ref="N772" r:id="rId2831"/>
    <hyperlink xmlns:r="http://schemas.openxmlformats.org/officeDocument/2006/relationships" ref="O772" r:id="rId2832"/>
    <hyperlink xmlns:r="http://schemas.openxmlformats.org/officeDocument/2006/relationships" ref="P772" r:id="rId2833"/>
    <hyperlink xmlns:r="http://schemas.openxmlformats.org/officeDocument/2006/relationships" ref="M773" r:id="rId2834"/>
    <hyperlink xmlns:r="http://schemas.openxmlformats.org/officeDocument/2006/relationships" ref="N773" r:id="rId2835"/>
    <hyperlink xmlns:r="http://schemas.openxmlformats.org/officeDocument/2006/relationships" ref="O773" r:id="rId2836"/>
    <hyperlink xmlns:r="http://schemas.openxmlformats.org/officeDocument/2006/relationships" ref="P773" r:id="rId2837"/>
    <hyperlink xmlns:r="http://schemas.openxmlformats.org/officeDocument/2006/relationships" ref="M774" r:id="rId2838"/>
    <hyperlink xmlns:r="http://schemas.openxmlformats.org/officeDocument/2006/relationships" ref="N774" r:id="rId2839"/>
    <hyperlink xmlns:r="http://schemas.openxmlformats.org/officeDocument/2006/relationships" ref="O774" r:id="rId2840"/>
    <hyperlink xmlns:r="http://schemas.openxmlformats.org/officeDocument/2006/relationships" ref="P774" r:id="rId2841"/>
    <hyperlink xmlns:r="http://schemas.openxmlformats.org/officeDocument/2006/relationships" ref="M775" r:id="rId2842"/>
    <hyperlink xmlns:r="http://schemas.openxmlformats.org/officeDocument/2006/relationships" ref="N775" r:id="rId2843"/>
    <hyperlink xmlns:r="http://schemas.openxmlformats.org/officeDocument/2006/relationships" ref="P775" r:id="rId2844"/>
    <hyperlink xmlns:r="http://schemas.openxmlformats.org/officeDocument/2006/relationships" ref="M776" r:id="rId2845"/>
    <hyperlink xmlns:r="http://schemas.openxmlformats.org/officeDocument/2006/relationships" ref="N776" r:id="rId2846"/>
    <hyperlink xmlns:r="http://schemas.openxmlformats.org/officeDocument/2006/relationships" ref="O776" r:id="rId2847"/>
    <hyperlink xmlns:r="http://schemas.openxmlformats.org/officeDocument/2006/relationships" ref="P776" r:id="rId2848"/>
    <hyperlink xmlns:r="http://schemas.openxmlformats.org/officeDocument/2006/relationships" ref="M777" r:id="rId2849"/>
    <hyperlink xmlns:r="http://schemas.openxmlformats.org/officeDocument/2006/relationships" ref="N777" r:id="rId2850"/>
    <hyperlink xmlns:r="http://schemas.openxmlformats.org/officeDocument/2006/relationships" ref="O777" r:id="rId2851"/>
    <hyperlink xmlns:r="http://schemas.openxmlformats.org/officeDocument/2006/relationships" ref="P777" r:id="rId2852"/>
    <hyperlink xmlns:r="http://schemas.openxmlformats.org/officeDocument/2006/relationships" ref="M778" r:id="rId2853"/>
    <hyperlink xmlns:r="http://schemas.openxmlformats.org/officeDocument/2006/relationships" ref="N778" r:id="rId2854"/>
    <hyperlink xmlns:r="http://schemas.openxmlformats.org/officeDocument/2006/relationships" ref="O778" r:id="rId2855"/>
    <hyperlink xmlns:r="http://schemas.openxmlformats.org/officeDocument/2006/relationships" ref="P778" r:id="rId2856"/>
    <hyperlink xmlns:r="http://schemas.openxmlformats.org/officeDocument/2006/relationships" ref="M779" r:id="rId2857"/>
    <hyperlink xmlns:r="http://schemas.openxmlformats.org/officeDocument/2006/relationships" ref="N779" r:id="rId2858"/>
    <hyperlink xmlns:r="http://schemas.openxmlformats.org/officeDocument/2006/relationships" ref="O779" r:id="rId2859"/>
    <hyperlink xmlns:r="http://schemas.openxmlformats.org/officeDocument/2006/relationships" ref="P779" r:id="rId2860"/>
    <hyperlink xmlns:r="http://schemas.openxmlformats.org/officeDocument/2006/relationships" ref="M780" r:id="rId2861"/>
    <hyperlink xmlns:r="http://schemas.openxmlformats.org/officeDocument/2006/relationships" ref="N780" r:id="rId2862"/>
    <hyperlink xmlns:r="http://schemas.openxmlformats.org/officeDocument/2006/relationships" ref="O780" r:id="rId2863"/>
    <hyperlink xmlns:r="http://schemas.openxmlformats.org/officeDocument/2006/relationships" ref="P780" r:id="rId2864"/>
    <hyperlink xmlns:r="http://schemas.openxmlformats.org/officeDocument/2006/relationships" ref="M781" r:id="rId2865"/>
    <hyperlink xmlns:r="http://schemas.openxmlformats.org/officeDocument/2006/relationships" ref="N781" r:id="rId2866"/>
    <hyperlink xmlns:r="http://schemas.openxmlformats.org/officeDocument/2006/relationships" ref="O781" r:id="rId2867"/>
    <hyperlink xmlns:r="http://schemas.openxmlformats.org/officeDocument/2006/relationships" ref="P781" r:id="rId2868"/>
    <hyperlink xmlns:r="http://schemas.openxmlformats.org/officeDocument/2006/relationships" ref="M782" r:id="rId2869"/>
    <hyperlink xmlns:r="http://schemas.openxmlformats.org/officeDocument/2006/relationships" ref="N782" r:id="rId2870"/>
    <hyperlink xmlns:r="http://schemas.openxmlformats.org/officeDocument/2006/relationships" ref="P782" r:id="rId2871"/>
    <hyperlink xmlns:r="http://schemas.openxmlformats.org/officeDocument/2006/relationships" ref="M783" r:id="rId2872"/>
    <hyperlink xmlns:r="http://schemas.openxmlformats.org/officeDocument/2006/relationships" ref="N783" r:id="rId2873"/>
    <hyperlink xmlns:r="http://schemas.openxmlformats.org/officeDocument/2006/relationships" ref="O783" r:id="rId2874"/>
    <hyperlink xmlns:r="http://schemas.openxmlformats.org/officeDocument/2006/relationships" ref="P783" r:id="rId2875"/>
    <hyperlink xmlns:r="http://schemas.openxmlformats.org/officeDocument/2006/relationships" ref="M784" r:id="rId2876"/>
    <hyperlink xmlns:r="http://schemas.openxmlformats.org/officeDocument/2006/relationships" ref="N784" r:id="rId2877"/>
    <hyperlink xmlns:r="http://schemas.openxmlformats.org/officeDocument/2006/relationships" ref="O784" r:id="rId2878"/>
    <hyperlink xmlns:r="http://schemas.openxmlformats.org/officeDocument/2006/relationships" ref="P784" r:id="rId2879"/>
    <hyperlink xmlns:r="http://schemas.openxmlformats.org/officeDocument/2006/relationships" ref="M785" r:id="rId2880"/>
    <hyperlink xmlns:r="http://schemas.openxmlformats.org/officeDocument/2006/relationships" ref="N785" r:id="rId2881"/>
    <hyperlink xmlns:r="http://schemas.openxmlformats.org/officeDocument/2006/relationships" ref="O785" r:id="rId2882"/>
    <hyperlink xmlns:r="http://schemas.openxmlformats.org/officeDocument/2006/relationships" ref="P785" r:id="rId2883"/>
    <hyperlink xmlns:r="http://schemas.openxmlformats.org/officeDocument/2006/relationships" ref="M786" r:id="rId2884"/>
    <hyperlink xmlns:r="http://schemas.openxmlformats.org/officeDocument/2006/relationships" ref="N786" r:id="rId2885"/>
    <hyperlink xmlns:r="http://schemas.openxmlformats.org/officeDocument/2006/relationships" ref="O786" r:id="rId2886"/>
    <hyperlink xmlns:r="http://schemas.openxmlformats.org/officeDocument/2006/relationships" ref="P786" r:id="rId2887"/>
    <hyperlink xmlns:r="http://schemas.openxmlformats.org/officeDocument/2006/relationships" ref="M787" r:id="rId2888"/>
    <hyperlink xmlns:r="http://schemas.openxmlformats.org/officeDocument/2006/relationships" ref="N787" r:id="rId2889"/>
    <hyperlink xmlns:r="http://schemas.openxmlformats.org/officeDocument/2006/relationships" ref="O787" r:id="rId2890"/>
    <hyperlink xmlns:r="http://schemas.openxmlformats.org/officeDocument/2006/relationships" ref="P787" r:id="rId2891"/>
    <hyperlink xmlns:r="http://schemas.openxmlformats.org/officeDocument/2006/relationships" ref="M788" r:id="rId2892"/>
    <hyperlink xmlns:r="http://schemas.openxmlformats.org/officeDocument/2006/relationships" ref="N788" r:id="rId2893"/>
    <hyperlink xmlns:r="http://schemas.openxmlformats.org/officeDocument/2006/relationships" ref="P788" r:id="rId2894"/>
    <hyperlink xmlns:r="http://schemas.openxmlformats.org/officeDocument/2006/relationships" ref="M789" r:id="rId2895"/>
    <hyperlink xmlns:r="http://schemas.openxmlformats.org/officeDocument/2006/relationships" ref="N789" r:id="rId2896"/>
    <hyperlink xmlns:r="http://schemas.openxmlformats.org/officeDocument/2006/relationships" ref="P789" r:id="rId2897"/>
    <hyperlink xmlns:r="http://schemas.openxmlformats.org/officeDocument/2006/relationships" ref="M790" r:id="rId2898"/>
    <hyperlink xmlns:r="http://schemas.openxmlformats.org/officeDocument/2006/relationships" ref="N790" r:id="rId2899"/>
    <hyperlink xmlns:r="http://schemas.openxmlformats.org/officeDocument/2006/relationships" ref="O790" r:id="rId2900"/>
    <hyperlink xmlns:r="http://schemas.openxmlformats.org/officeDocument/2006/relationships" ref="P790" r:id="rId2901"/>
    <hyperlink xmlns:r="http://schemas.openxmlformats.org/officeDocument/2006/relationships" ref="M791" r:id="rId2902"/>
    <hyperlink xmlns:r="http://schemas.openxmlformats.org/officeDocument/2006/relationships" ref="N791" r:id="rId2903"/>
    <hyperlink xmlns:r="http://schemas.openxmlformats.org/officeDocument/2006/relationships" ref="P791" r:id="rId2904"/>
    <hyperlink xmlns:r="http://schemas.openxmlformats.org/officeDocument/2006/relationships" ref="M792" r:id="rId2905"/>
    <hyperlink xmlns:r="http://schemas.openxmlformats.org/officeDocument/2006/relationships" ref="N792" r:id="rId2906"/>
    <hyperlink xmlns:r="http://schemas.openxmlformats.org/officeDocument/2006/relationships" ref="O792" r:id="rId2907"/>
    <hyperlink xmlns:r="http://schemas.openxmlformats.org/officeDocument/2006/relationships" ref="P792" r:id="rId2908"/>
    <hyperlink xmlns:r="http://schemas.openxmlformats.org/officeDocument/2006/relationships" ref="M793" r:id="rId2909"/>
    <hyperlink xmlns:r="http://schemas.openxmlformats.org/officeDocument/2006/relationships" ref="N793" r:id="rId2910"/>
    <hyperlink xmlns:r="http://schemas.openxmlformats.org/officeDocument/2006/relationships" ref="O793" r:id="rId2911"/>
    <hyperlink xmlns:r="http://schemas.openxmlformats.org/officeDocument/2006/relationships" ref="P793" r:id="rId2912"/>
    <hyperlink xmlns:r="http://schemas.openxmlformats.org/officeDocument/2006/relationships" ref="M794" r:id="rId2913"/>
    <hyperlink xmlns:r="http://schemas.openxmlformats.org/officeDocument/2006/relationships" ref="N794" r:id="rId2914"/>
    <hyperlink xmlns:r="http://schemas.openxmlformats.org/officeDocument/2006/relationships" ref="P794" r:id="rId2915"/>
    <hyperlink xmlns:r="http://schemas.openxmlformats.org/officeDocument/2006/relationships" ref="M795" r:id="rId2916"/>
    <hyperlink xmlns:r="http://schemas.openxmlformats.org/officeDocument/2006/relationships" ref="N795" r:id="rId2917"/>
    <hyperlink xmlns:r="http://schemas.openxmlformats.org/officeDocument/2006/relationships" ref="P795" r:id="rId2918"/>
    <hyperlink xmlns:r="http://schemas.openxmlformats.org/officeDocument/2006/relationships" ref="M796" r:id="rId2919"/>
    <hyperlink xmlns:r="http://schemas.openxmlformats.org/officeDocument/2006/relationships" ref="N796" r:id="rId2920"/>
    <hyperlink xmlns:r="http://schemas.openxmlformats.org/officeDocument/2006/relationships" ref="P796" r:id="rId2921"/>
    <hyperlink xmlns:r="http://schemas.openxmlformats.org/officeDocument/2006/relationships" ref="M797" r:id="rId2922"/>
    <hyperlink xmlns:r="http://schemas.openxmlformats.org/officeDocument/2006/relationships" ref="N797" r:id="rId2923"/>
    <hyperlink xmlns:r="http://schemas.openxmlformats.org/officeDocument/2006/relationships" ref="P797" r:id="rId2924"/>
    <hyperlink xmlns:r="http://schemas.openxmlformats.org/officeDocument/2006/relationships" ref="M798" r:id="rId2925"/>
    <hyperlink xmlns:r="http://schemas.openxmlformats.org/officeDocument/2006/relationships" ref="N798" r:id="rId2926"/>
    <hyperlink xmlns:r="http://schemas.openxmlformats.org/officeDocument/2006/relationships" ref="O798" r:id="rId2927"/>
    <hyperlink xmlns:r="http://schemas.openxmlformats.org/officeDocument/2006/relationships" ref="P798" r:id="rId2928"/>
    <hyperlink xmlns:r="http://schemas.openxmlformats.org/officeDocument/2006/relationships" ref="M799" r:id="rId2929"/>
    <hyperlink xmlns:r="http://schemas.openxmlformats.org/officeDocument/2006/relationships" ref="N799" r:id="rId2930"/>
    <hyperlink xmlns:r="http://schemas.openxmlformats.org/officeDocument/2006/relationships" ref="O799" r:id="rId2931"/>
    <hyperlink xmlns:r="http://schemas.openxmlformats.org/officeDocument/2006/relationships" ref="P799" r:id="rId2932"/>
    <hyperlink xmlns:r="http://schemas.openxmlformats.org/officeDocument/2006/relationships" ref="M800" r:id="rId2933"/>
    <hyperlink xmlns:r="http://schemas.openxmlformats.org/officeDocument/2006/relationships" ref="N800" r:id="rId2934"/>
    <hyperlink xmlns:r="http://schemas.openxmlformats.org/officeDocument/2006/relationships" ref="O800" r:id="rId2935"/>
    <hyperlink xmlns:r="http://schemas.openxmlformats.org/officeDocument/2006/relationships" ref="P800" r:id="rId2936"/>
    <hyperlink xmlns:r="http://schemas.openxmlformats.org/officeDocument/2006/relationships" ref="M801" r:id="rId2937"/>
    <hyperlink xmlns:r="http://schemas.openxmlformats.org/officeDocument/2006/relationships" ref="N801" r:id="rId2938"/>
    <hyperlink xmlns:r="http://schemas.openxmlformats.org/officeDocument/2006/relationships" ref="O801" r:id="rId2939"/>
    <hyperlink xmlns:r="http://schemas.openxmlformats.org/officeDocument/2006/relationships" ref="P801" r:id="rId2940"/>
    <hyperlink xmlns:r="http://schemas.openxmlformats.org/officeDocument/2006/relationships" ref="M802" r:id="rId2941"/>
    <hyperlink xmlns:r="http://schemas.openxmlformats.org/officeDocument/2006/relationships" ref="N802" r:id="rId2942"/>
    <hyperlink xmlns:r="http://schemas.openxmlformats.org/officeDocument/2006/relationships" ref="O802" r:id="rId2943"/>
    <hyperlink xmlns:r="http://schemas.openxmlformats.org/officeDocument/2006/relationships" ref="P802" r:id="rId2944"/>
    <hyperlink xmlns:r="http://schemas.openxmlformats.org/officeDocument/2006/relationships" ref="M803" r:id="rId2945"/>
    <hyperlink xmlns:r="http://schemas.openxmlformats.org/officeDocument/2006/relationships" ref="N803" r:id="rId2946"/>
    <hyperlink xmlns:r="http://schemas.openxmlformats.org/officeDocument/2006/relationships" ref="O803" r:id="rId2947"/>
    <hyperlink xmlns:r="http://schemas.openxmlformats.org/officeDocument/2006/relationships" ref="P803" r:id="rId2948"/>
    <hyperlink xmlns:r="http://schemas.openxmlformats.org/officeDocument/2006/relationships" ref="M804" r:id="rId2949"/>
    <hyperlink xmlns:r="http://schemas.openxmlformats.org/officeDocument/2006/relationships" ref="N804" r:id="rId2950"/>
    <hyperlink xmlns:r="http://schemas.openxmlformats.org/officeDocument/2006/relationships" ref="O804" r:id="rId2951"/>
    <hyperlink xmlns:r="http://schemas.openxmlformats.org/officeDocument/2006/relationships" ref="P804" r:id="rId2952"/>
    <hyperlink xmlns:r="http://schemas.openxmlformats.org/officeDocument/2006/relationships" ref="M805" r:id="rId2953"/>
    <hyperlink xmlns:r="http://schemas.openxmlformats.org/officeDocument/2006/relationships" ref="N805" r:id="rId2954"/>
    <hyperlink xmlns:r="http://schemas.openxmlformats.org/officeDocument/2006/relationships" ref="O805" r:id="rId2955"/>
    <hyperlink xmlns:r="http://schemas.openxmlformats.org/officeDocument/2006/relationships" ref="P805" r:id="rId2956"/>
    <hyperlink xmlns:r="http://schemas.openxmlformats.org/officeDocument/2006/relationships" ref="M806" r:id="rId2957"/>
    <hyperlink xmlns:r="http://schemas.openxmlformats.org/officeDocument/2006/relationships" ref="N806" r:id="rId2958"/>
    <hyperlink xmlns:r="http://schemas.openxmlformats.org/officeDocument/2006/relationships" ref="P806" r:id="rId2959"/>
    <hyperlink xmlns:r="http://schemas.openxmlformats.org/officeDocument/2006/relationships" ref="M807" r:id="rId2960"/>
    <hyperlink xmlns:r="http://schemas.openxmlformats.org/officeDocument/2006/relationships" ref="N807" r:id="rId2961"/>
    <hyperlink xmlns:r="http://schemas.openxmlformats.org/officeDocument/2006/relationships" ref="O807" r:id="rId2962"/>
    <hyperlink xmlns:r="http://schemas.openxmlformats.org/officeDocument/2006/relationships" ref="P807" r:id="rId2963"/>
    <hyperlink xmlns:r="http://schemas.openxmlformats.org/officeDocument/2006/relationships" ref="M808" r:id="rId2964"/>
    <hyperlink xmlns:r="http://schemas.openxmlformats.org/officeDocument/2006/relationships" ref="N808" r:id="rId2965"/>
    <hyperlink xmlns:r="http://schemas.openxmlformats.org/officeDocument/2006/relationships" ref="P808" r:id="rId2966"/>
    <hyperlink xmlns:r="http://schemas.openxmlformats.org/officeDocument/2006/relationships" ref="M809" r:id="rId2967"/>
    <hyperlink xmlns:r="http://schemas.openxmlformats.org/officeDocument/2006/relationships" ref="N809" r:id="rId2968"/>
    <hyperlink xmlns:r="http://schemas.openxmlformats.org/officeDocument/2006/relationships" ref="P809" r:id="rId2969"/>
    <hyperlink xmlns:r="http://schemas.openxmlformats.org/officeDocument/2006/relationships" ref="M810" r:id="rId2970"/>
    <hyperlink xmlns:r="http://schemas.openxmlformats.org/officeDocument/2006/relationships" ref="N810" r:id="rId2971"/>
    <hyperlink xmlns:r="http://schemas.openxmlformats.org/officeDocument/2006/relationships" ref="O810" r:id="rId2972"/>
    <hyperlink xmlns:r="http://schemas.openxmlformats.org/officeDocument/2006/relationships" ref="P810" r:id="rId2973"/>
    <hyperlink xmlns:r="http://schemas.openxmlformats.org/officeDocument/2006/relationships" ref="M811" r:id="rId2974"/>
    <hyperlink xmlns:r="http://schemas.openxmlformats.org/officeDocument/2006/relationships" ref="N811" r:id="rId2975"/>
    <hyperlink xmlns:r="http://schemas.openxmlformats.org/officeDocument/2006/relationships" ref="O811" r:id="rId2976"/>
    <hyperlink xmlns:r="http://schemas.openxmlformats.org/officeDocument/2006/relationships" ref="P811" r:id="rId2977"/>
    <hyperlink xmlns:r="http://schemas.openxmlformats.org/officeDocument/2006/relationships" ref="M812" r:id="rId2978"/>
    <hyperlink xmlns:r="http://schemas.openxmlformats.org/officeDocument/2006/relationships" ref="N812" r:id="rId2979"/>
    <hyperlink xmlns:r="http://schemas.openxmlformats.org/officeDocument/2006/relationships" ref="O812" r:id="rId2980"/>
    <hyperlink xmlns:r="http://schemas.openxmlformats.org/officeDocument/2006/relationships" ref="P812" r:id="rId2981"/>
    <hyperlink xmlns:r="http://schemas.openxmlformats.org/officeDocument/2006/relationships" ref="M813" r:id="rId2982"/>
    <hyperlink xmlns:r="http://schemas.openxmlformats.org/officeDocument/2006/relationships" ref="N813" r:id="rId2983"/>
    <hyperlink xmlns:r="http://schemas.openxmlformats.org/officeDocument/2006/relationships" ref="O813" r:id="rId2984"/>
    <hyperlink xmlns:r="http://schemas.openxmlformats.org/officeDocument/2006/relationships" ref="P813" r:id="rId2985"/>
    <hyperlink xmlns:r="http://schemas.openxmlformats.org/officeDocument/2006/relationships" ref="M814" r:id="rId2986"/>
    <hyperlink xmlns:r="http://schemas.openxmlformats.org/officeDocument/2006/relationships" ref="N814" r:id="rId2987"/>
    <hyperlink xmlns:r="http://schemas.openxmlformats.org/officeDocument/2006/relationships" ref="O814" r:id="rId2988"/>
    <hyperlink xmlns:r="http://schemas.openxmlformats.org/officeDocument/2006/relationships" ref="P814" r:id="rId2989"/>
    <hyperlink xmlns:r="http://schemas.openxmlformats.org/officeDocument/2006/relationships" ref="M815" r:id="rId2990"/>
    <hyperlink xmlns:r="http://schemas.openxmlformats.org/officeDocument/2006/relationships" ref="N815" r:id="rId2991"/>
    <hyperlink xmlns:r="http://schemas.openxmlformats.org/officeDocument/2006/relationships" ref="P815" r:id="rId2992"/>
    <hyperlink xmlns:r="http://schemas.openxmlformats.org/officeDocument/2006/relationships" ref="M816" r:id="rId2993"/>
    <hyperlink xmlns:r="http://schemas.openxmlformats.org/officeDocument/2006/relationships" ref="N816" r:id="rId2994"/>
    <hyperlink xmlns:r="http://schemas.openxmlformats.org/officeDocument/2006/relationships" ref="P816" r:id="rId2995"/>
    <hyperlink xmlns:r="http://schemas.openxmlformats.org/officeDocument/2006/relationships" ref="M817" r:id="rId2996"/>
    <hyperlink xmlns:r="http://schemas.openxmlformats.org/officeDocument/2006/relationships" ref="N817" r:id="rId2997"/>
    <hyperlink xmlns:r="http://schemas.openxmlformats.org/officeDocument/2006/relationships" ref="P817" r:id="rId2998"/>
    <hyperlink xmlns:r="http://schemas.openxmlformats.org/officeDocument/2006/relationships" ref="M818" r:id="rId2999"/>
    <hyperlink xmlns:r="http://schemas.openxmlformats.org/officeDocument/2006/relationships" ref="N818" r:id="rId3000"/>
    <hyperlink xmlns:r="http://schemas.openxmlformats.org/officeDocument/2006/relationships" ref="P818" r:id="rId3001"/>
    <hyperlink xmlns:r="http://schemas.openxmlformats.org/officeDocument/2006/relationships" ref="M819" r:id="rId3002"/>
    <hyperlink xmlns:r="http://schemas.openxmlformats.org/officeDocument/2006/relationships" ref="N819" r:id="rId3003"/>
    <hyperlink xmlns:r="http://schemas.openxmlformats.org/officeDocument/2006/relationships" ref="O819" r:id="rId3004"/>
    <hyperlink xmlns:r="http://schemas.openxmlformats.org/officeDocument/2006/relationships" ref="P819" r:id="rId3005"/>
    <hyperlink xmlns:r="http://schemas.openxmlformats.org/officeDocument/2006/relationships" ref="M820" r:id="rId3006"/>
    <hyperlink xmlns:r="http://schemas.openxmlformats.org/officeDocument/2006/relationships" ref="N820" r:id="rId3007"/>
    <hyperlink xmlns:r="http://schemas.openxmlformats.org/officeDocument/2006/relationships" ref="P820" r:id="rId3008"/>
    <hyperlink xmlns:r="http://schemas.openxmlformats.org/officeDocument/2006/relationships" ref="M821" r:id="rId3009"/>
    <hyperlink xmlns:r="http://schemas.openxmlformats.org/officeDocument/2006/relationships" ref="N821" r:id="rId3010"/>
    <hyperlink xmlns:r="http://schemas.openxmlformats.org/officeDocument/2006/relationships" ref="O821" r:id="rId3011"/>
    <hyperlink xmlns:r="http://schemas.openxmlformats.org/officeDocument/2006/relationships" ref="P821" r:id="rId3012"/>
    <hyperlink xmlns:r="http://schemas.openxmlformats.org/officeDocument/2006/relationships" ref="M822" r:id="rId3013"/>
    <hyperlink xmlns:r="http://schemas.openxmlformats.org/officeDocument/2006/relationships" ref="N822" r:id="rId3014"/>
    <hyperlink xmlns:r="http://schemas.openxmlformats.org/officeDocument/2006/relationships" ref="P822" r:id="rId3015"/>
    <hyperlink xmlns:r="http://schemas.openxmlformats.org/officeDocument/2006/relationships" ref="M823" r:id="rId3016"/>
    <hyperlink xmlns:r="http://schemas.openxmlformats.org/officeDocument/2006/relationships" ref="N823" r:id="rId3017"/>
    <hyperlink xmlns:r="http://schemas.openxmlformats.org/officeDocument/2006/relationships" ref="P823" r:id="rId3018"/>
    <hyperlink xmlns:r="http://schemas.openxmlformats.org/officeDocument/2006/relationships" ref="M824" r:id="rId3019"/>
    <hyperlink xmlns:r="http://schemas.openxmlformats.org/officeDocument/2006/relationships" ref="N824" r:id="rId3020"/>
    <hyperlink xmlns:r="http://schemas.openxmlformats.org/officeDocument/2006/relationships" ref="O824" r:id="rId3021"/>
    <hyperlink xmlns:r="http://schemas.openxmlformats.org/officeDocument/2006/relationships" ref="P824" r:id="rId3022"/>
    <hyperlink xmlns:r="http://schemas.openxmlformats.org/officeDocument/2006/relationships" ref="M825" r:id="rId3023"/>
    <hyperlink xmlns:r="http://schemas.openxmlformats.org/officeDocument/2006/relationships" ref="N825" r:id="rId3024"/>
    <hyperlink xmlns:r="http://schemas.openxmlformats.org/officeDocument/2006/relationships" ref="O825" r:id="rId3025"/>
    <hyperlink xmlns:r="http://schemas.openxmlformats.org/officeDocument/2006/relationships" ref="P825" r:id="rId3026"/>
    <hyperlink xmlns:r="http://schemas.openxmlformats.org/officeDocument/2006/relationships" ref="M826" r:id="rId3027"/>
    <hyperlink xmlns:r="http://schemas.openxmlformats.org/officeDocument/2006/relationships" ref="N826" r:id="rId3028"/>
    <hyperlink xmlns:r="http://schemas.openxmlformats.org/officeDocument/2006/relationships" ref="O826" r:id="rId3029"/>
    <hyperlink xmlns:r="http://schemas.openxmlformats.org/officeDocument/2006/relationships" ref="P826" r:id="rId3030"/>
    <hyperlink xmlns:r="http://schemas.openxmlformats.org/officeDocument/2006/relationships" ref="M827" r:id="rId3031"/>
    <hyperlink xmlns:r="http://schemas.openxmlformats.org/officeDocument/2006/relationships" ref="N827" r:id="rId3032"/>
    <hyperlink xmlns:r="http://schemas.openxmlformats.org/officeDocument/2006/relationships" ref="O827" r:id="rId3033"/>
    <hyperlink xmlns:r="http://schemas.openxmlformats.org/officeDocument/2006/relationships" ref="P827" r:id="rId3034"/>
    <hyperlink xmlns:r="http://schemas.openxmlformats.org/officeDocument/2006/relationships" ref="M828" r:id="rId3035"/>
    <hyperlink xmlns:r="http://schemas.openxmlformats.org/officeDocument/2006/relationships" ref="N828" r:id="rId3036"/>
    <hyperlink xmlns:r="http://schemas.openxmlformats.org/officeDocument/2006/relationships" ref="O828" r:id="rId3037"/>
    <hyperlink xmlns:r="http://schemas.openxmlformats.org/officeDocument/2006/relationships" ref="P828" r:id="rId3038"/>
    <hyperlink xmlns:r="http://schemas.openxmlformats.org/officeDocument/2006/relationships" ref="M829" r:id="rId3039"/>
    <hyperlink xmlns:r="http://schemas.openxmlformats.org/officeDocument/2006/relationships" ref="N829" r:id="rId3040"/>
    <hyperlink xmlns:r="http://schemas.openxmlformats.org/officeDocument/2006/relationships" ref="O829" r:id="rId3041"/>
    <hyperlink xmlns:r="http://schemas.openxmlformats.org/officeDocument/2006/relationships" ref="P829" r:id="rId3042"/>
    <hyperlink xmlns:r="http://schemas.openxmlformats.org/officeDocument/2006/relationships" ref="M830" r:id="rId3043"/>
    <hyperlink xmlns:r="http://schemas.openxmlformats.org/officeDocument/2006/relationships" ref="N830" r:id="rId3044"/>
    <hyperlink xmlns:r="http://schemas.openxmlformats.org/officeDocument/2006/relationships" ref="O830" r:id="rId3045"/>
    <hyperlink xmlns:r="http://schemas.openxmlformats.org/officeDocument/2006/relationships" ref="P830" r:id="rId3046"/>
    <hyperlink xmlns:r="http://schemas.openxmlformats.org/officeDocument/2006/relationships" ref="M831" r:id="rId3047"/>
    <hyperlink xmlns:r="http://schemas.openxmlformats.org/officeDocument/2006/relationships" ref="N831" r:id="rId3048"/>
    <hyperlink xmlns:r="http://schemas.openxmlformats.org/officeDocument/2006/relationships" ref="O831" r:id="rId3049"/>
    <hyperlink xmlns:r="http://schemas.openxmlformats.org/officeDocument/2006/relationships" ref="P831" r:id="rId3050"/>
    <hyperlink xmlns:r="http://schemas.openxmlformats.org/officeDocument/2006/relationships" ref="M832" r:id="rId3051"/>
    <hyperlink xmlns:r="http://schemas.openxmlformats.org/officeDocument/2006/relationships" ref="N832" r:id="rId3052"/>
    <hyperlink xmlns:r="http://schemas.openxmlformats.org/officeDocument/2006/relationships" ref="P832" r:id="rId3053"/>
    <hyperlink xmlns:r="http://schemas.openxmlformats.org/officeDocument/2006/relationships" ref="M833" r:id="rId3054"/>
    <hyperlink xmlns:r="http://schemas.openxmlformats.org/officeDocument/2006/relationships" ref="N833" r:id="rId3055"/>
    <hyperlink xmlns:r="http://schemas.openxmlformats.org/officeDocument/2006/relationships" ref="P833" r:id="rId3056"/>
    <hyperlink xmlns:r="http://schemas.openxmlformats.org/officeDocument/2006/relationships" ref="M834" r:id="rId3057"/>
    <hyperlink xmlns:r="http://schemas.openxmlformats.org/officeDocument/2006/relationships" ref="N834" r:id="rId3058"/>
    <hyperlink xmlns:r="http://schemas.openxmlformats.org/officeDocument/2006/relationships" ref="P834" r:id="rId3059"/>
    <hyperlink xmlns:r="http://schemas.openxmlformats.org/officeDocument/2006/relationships" ref="M835" r:id="rId3060"/>
    <hyperlink xmlns:r="http://schemas.openxmlformats.org/officeDocument/2006/relationships" ref="N835" r:id="rId3061"/>
    <hyperlink xmlns:r="http://schemas.openxmlformats.org/officeDocument/2006/relationships" ref="P835" r:id="rId3062"/>
    <hyperlink xmlns:r="http://schemas.openxmlformats.org/officeDocument/2006/relationships" ref="M836" r:id="rId3063"/>
    <hyperlink xmlns:r="http://schemas.openxmlformats.org/officeDocument/2006/relationships" ref="N836" r:id="rId3064"/>
    <hyperlink xmlns:r="http://schemas.openxmlformats.org/officeDocument/2006/relationships" ref="O836" r:id="rId3065"/>
    <hyperlink xmlns:r="http://schemas.openxmlformats.org/officeDocument/2006/relationships" ref="P836" r:id="rId3066"/>
    <hyperlink xmlns:r="http://schemas.openxmlformats.org/officeDocument/2006/relationships" ref="M837" r:id="rId3067"/>
    <hyperlink xmlns:r="http://schemas.openxmlformats.org/officeDocument/2006/relationships" ref="N837" r:id="rId3068"/>
    <hyperlink xmlns:r="http://schemas.openxmlformats.org/officeDocument/2006/relationships" ref="O837" r:id="rId3069"/>
    <hyperlink xmlns:r="http://schemas.openxmlformats.org/officeDocument/2006/relationships" ref="P837" r:id="rId3070"/>
    <hyperlink xmlns:r="http://schemas.openxmlformats.org/officeDocument/2006/relationships" ref="M838" r:id="rId3071"/>
    <hyperlink xmlns:r="http://schemas.openxmlformats.org/officeDocument/2006/relationships" ref="N838" r:id="rId3072"/>
    <hyperlink xmlns:r="http://schemas.openxmlformats.org/officeDocument/2006/relationships" ref="P838" r:id="rId3073"/>
    <hyperlink xmlns:r="http://schemas.openxmlformats.org/officeDocument/2006/relationships" ref="M839" r:id="rId3074"/>
    <hyperlink xmlns:r="http://schemas.openxmlformats.org/officeDocument/2006/relationships" ref="N839" r:id="rId3075"/>
    <hyperlink xmlns:r="http://schemas.openxmlformats.org/officeDocument/2006/relationships" ref="O839" r:id="rId3076"/>
    <hyperlink xmlns:r="http://schemas.openxmlformats.org/officeDocument/2006/relationships" ref="P839" r:id="rId3077"/>
    <hyperlink xmlns:r="http://schemas.openxmlformats.org/officeDocument/2006/relationships" ref="M840" r:id="rId3078"/>
    <hyperlink xmlns:r="http://schemas.openxmlformats.org/officeDocument/2006/relationships" ref="N840" r:id="rId3079"/>
    <hyperlink xmlns:r="http://schemas.openxmlformats.org/officeDocument/2006/relationships" ref="O840" r:id="rId3080"/>
    <hyperlink xmlns:r="http://schemas.openxmlformats.org/officeDocument/2006/relationships" ref="P840" r:id="rId3081"/>
    <hyperlink xmlns:r="http://schemas.openxmlformats.org/officeDocument/2006/relationships" ref="M841" r:id="rId3082"/>
    <hyperlink xmlns:r="http://schemas.openxmlformats.org/officeDocument/2006/relationships" ref="N841" r:id="rId3083"/>
    <hyperlink xmlns:r="http://schemas.openxmlformats.org/officeDocument/2006/relationships" ref="O841" r:id="rId3084"/>
    <hyperlink xmlns:r="http://schemas.openxmlformats.org/officeDocument/2006/relationships" ref="P841" r:id="rId3085"/>
    <hyperlink xmlns:r="http://schemas.openxmlformats.org/officeDocument/2006/relationships" ref="M842" r:id="rId3086"/>
    <hyperlink xmlns:r="http://schemas.openxmlformats.org/officeDocument/2006/relationships" ref="N842" r:id="rId3087"/>
    <hyperlink xmlns:r="http://schemas.openxmlformats.org/officeDocument/2006/relationships" ref="P842" r:id="rId3088"/>
    <hyperlink xmlns:r="http://schemas.openxmlformats.org/officeDocument/2006/relationships" ref="M843" r:id="rId3089"/>
    <hyperlink xmlns:r="http://schemas.openxmlformats.org/officeDocument/2006/relationships" ref="N843" r:id="rId3090"/>
    <hyperlink xmlns:r="http://schemas.openxmlformats.org/officeDocument/2006/relationships" ref="P843" r:id="rId3091"/>
    <hyperlink xmlns:r="http://schemas.openxmlformats.org/officeDocument/2006/relationships" ref="M844" r:id="rId3092"/>
    <hyperlink xmlns:r="http://schemas.openxmlformats.org/officeDocument/2006/relationships" ref="N844" r:id="rId3093"/>
    <hyperlink xmlns:r="http://schemas.openxmlformats.org/officeDocument/2006/relationships" ref="O844" r:id="rId3094"/>
    <hyperlink xmlns:r="http://schemas.openxmlformats.org/officeDocument/2006/relationships" ref="P844" r:id="rId3095"/>
    <hyperlink xmlns:r="http://schemas.openxmlformats.org/officeDocument/2006/relationships" ref="M845" r:id="rId3096"/>
    <hyperlink xmlns:r="http://schemas.openxmlformats.org/officeDocument/2006/relationships" ref="N845" r:id="rId3097"/>
    <hyperlink xmlns:r="http://schemas.openxmlformats.org/officeDocument/2006/relationships" ref="O845" r:id="rId3098"/>
    <hyperlink xmlns:r="http://schemas.openxmlformats.org/officeDocument/2006/relationships" ref="P845" r:id="rId3099"/>
    <hyperlink xmlns:r="http://schemas.openxmlformats.org/officeDocument/2006/relationships" ref="M846" r:id="rId3100"/>
    <hyperlink xmlns:r="http://schemas.openxmlformats.org/officeDocument/2006/relationships" ref="N846" r:id="rId3101"/>
    <hyperlink xmlns:r="http://schemas.openxmlformats.org/officeDocument/2006/relationships" ref="P846" r:id="rId3102"/>
    <hyperlink xmlns:r="http://schemas.openxmlformats.org/officeDocument/2006/relationships" ref="M847" r:id="rId3103"/>
    <hyperlink xmlns:r="http://schemas.openxmlformats.org/officeDocument/2006/relationships" ref="N847" r:id="rId3104"/>
    <hyperlink xmlns:r="http://schemas.openxmlformats.org/officeDocument/2006/relationships" ref="O847" r:id="rId3105"/>
    <hyperlink xmlns:r="http://schemas.openxmlformats.org/officeDocument/2006/relationships" ref="P847" r:id="rId3106"/>
    <hyperlink xmlns:r="http://schemas.openxmlformats.org/officeDocument/2006/relationships" ref="M848" r:id="rId3107"/>
    <hyperlink xmlns:r="http://schemas.openxmlformats.org/officeDocument/2006/relationships" ref="N848" r:id="rId3108"/>
    <hyperlink xmlns:r="http://schemas.openxmlformats.org/officeDocument/2006/relationships" ref="O848" r:id="rId3109"/>
    <hyperlink xmlns:r="http://schemas.openxmlformats.org/officeDocument/2006/relationships" ref="P848" r:id="rId3110"/>
    <hyperlink xmlns:r="http://schemas.openxmlformats.org/officeDocument/2006/relationships" ref="M849" r:id="rId3111"/>
    <hyperlink xmlns:r="http://schemas.openxmlformats.org/officeDocument/2006/relationships" ref="N849" r:id="rId3112"/>
    <hyperlink xmlns:r="http://schemas.openxmlformats.org/officeDocument/2006/relationships" ref="O849" r:id="rId3113"/>
    <hyperlink xmlns:r="http://schemas.openxmlformats.org/officeDocument/2006/relationships" ref="P849" r:id="rId3114"/>
    <hyperlink xmlns:r="http://schemas.openxmlformats.org/officeDocument/2006/relationships" ref="M850" r:id="rId3115"/>
    <hyperlink xmlns:r="http://schemas.openxmlformats.org/officeDocument/2006/relationships" ref="N850" r:id="rId3116"/>
    <hyperlink xmlns:r="http://schemas.openxmlformats.org/officeDocument/2006/relationships" ref="O850" r:id="rId3117"/>
    <hyperlink xmlns:r="http://schemas.openxmlformats.org/officeDocument/2006/relationships" ref="P850" r:id="rId3118"/>
    <hyperlink xmlns:r="http://schemas.openxmlformats.org/officeDocument/2006/relationships" ref="M851" r:id="rId3119"/>
    <hyperlink xmlns:r="http://schemas.openxmlformats.org/officeDocument/2006/relationships" ref="N851" r:id="rId3120"/>
    <hyperlink xmlns:r="http://schemas.openxmlformats.org/officeDocument/2006/relationships" ref="P851" r:id="rId3121"/>
    <hyperlink xmlns:r="http://schemas.openxmlformats.org/officeDocument/2006/relationships" ref="M852" r:id="rId3122"/>
    <hyperlink xmlns:r="http://schemas.openxmlformats.org/officeDocument/2006/relationships" ref="N852" r:id="rId3123"/>
    <hyperlink xmlns:r="http://schemas.openxmlformats.org/officeDocument/2006/relationships" ref="O852" r:id="rId3124"/>
    <hyperlink xmlns:r="http://schemas.openxmlformats.org/officeDocument/2006/relationships" ref="P852" r:id="rId3125"/>
    <hyperlink xmlns:r="http://schemas.openxmlformats.org/officeDocument/2006/relationships" ref="M853" r:id="rId3126"/>
    <hyperlink xmlns:r="http://schemas.openxmlformats.org/officeDocument/2006/relationships" ref="N853" r:id="rId3127"/>
    <hyperlink xmlns:r="http://schemas.openxmlformats.org/officeDocument/2006/relationships" ref="O853" r:id="rId3128"/>
    <hyperlink xmlns:r="http://schemas.openxmlformats.org/officeDocument/2006/relationships" ref="P853" r:id="rId3129"/>
    <hyperlink xmlns:r="http://schemas.openxmlformats.org/officeDocument/2006/relationships" ref="M854" r:id="rId3130"/>
    <hyperlink xmlns:r="http://schemas.openxmlformats.org/officeDocument/2006/relationships" ref="N854" r:id="rId3131"/>
    <hyperlink xmlns:r="http://schemas.openxmlformats.org/officeDocument/2006/relationships" ref="O854" r:id="rId3132"/>
    <hyperlink xmlns:r="http://schemas.openxmlformats.org/officeDocument/2006/relationships" ref="P854" r:id="rId3133"/>
    <hyperlink xmlns:r="http://schemas.openxmlformats.org/officeDocument/2006/relationships" ref="M855" r:id="rId3134"/>
    <hyperlink xmlns:r="http://schemas.openxmlformats.org/officeDocument/2006/relationships" ref="N855" r:id="rId3135"/>
    <hyperlink xmlns:r="http://schemas.openxmlformats.org/officeDocument/2006/relationships" ref="O855" r:id="rId3136"/>
    <hyperlink xmlns:r="http://schemas.openxmlformats.org/officeDocument/2006/relationships" ref="P855" r:id="rId3137"/>
    <hyperlink xmlns:r="http://schemas.openxmlformats.org/officeDocument/2006/relationships" ref="M856" r:id="rId3138"/>
    <hyperlink xmlns:r="http://schemas.openxmlformats.org/officeDocument/2006/relationships" ref="N856" r:id="rId3139"/>
    <hyperlink xmlns:r="http://schemas.openxmlformats.org/officeDocument/2006/relationships" ref="O856" r:id="rId3140"/>
    <hyperlink xmlns:r="http://schemas.openxmlformats.org/officeDocument/2006/relationships" ref="P856" r:id="rId3141"/>
    <hyperlink xmlns:r="http://schemas.openxmlformats.org/officeDocument/2006/relationships" ref="M857" r:id="rId3142"/>
    <hyperlink xmlns:r="http://schemas.openxmlformats.org/officeDocument/2006/relationships" ref="N857" r:id="rId3143"/>
    <hyperlink xmlns:r="http://schemas.openxmlformats.org/officeDocument/2006/relationships" ref="P857" r:id="rId3144"/>
    <hyperlink xmlns:r="http://schemas.openxmlformats.org/officeDocument/2006/relationships" ref="M858" r:id="rId3145"/>
    <hyperlink xmlns:r="http://schemas.openxmlformats.org/officeDocument/2006/relationships" ref="N858" r:id="rId3146"/>
    <hyperlink xmlns:r="http://schemas.openxmlformats.org/officeDocument/2006/relationships" ref="P858" r:id="rId3147"/>
    <hyperlink xmlns:r="http://schemas.openxmlformats.org/officeDocument/2006/relationships" ref="M859" r:id="rId3148"/>
    <hyperlink xmlns:r="http://schemas.openxmlformats.org/officeDocument/2006/relationships" ref="N859" r:id="rId3149"/>
    <hyperlink xmlns:r="http://schemas.openxmlformats.org/officeDocument/2006/relationships" ref="P859" r:id="rId3150"/>
    <hyperlink xmlns:r="http://schemas.openxmlformats.org/officeDocument/2006/relationships" ref="M860" r:id="rId3151"/>
    <hyperlink xmlns:r="http://schemas.openxmlformats.org/officeDocument/2006/relationships" ref="N860" r:id="rId3152"/>
    <hyperlink xmlns:r="http://schemas.openxmlformats.org/officeDocument/2006/relationships" ref="P860" r:id="rId3153"/>
    <hyperlink xmlns:r="http://schemas.openxmlformats.org/officeDocument/2006/relationships" ref="M861" r:id="rId3154"/>
    <hyperlink xmlns:r="http://schemas.openxmlformats.org/officeDocument/2006/relationships" ref="N861" r:id="rId3155"/>
    <hyperlink xmlns:r="http://schemas.openxmlformats.org/officeDocument/2006/relationships" ref="O861" r:id="rId3156"/>
    <hyperlink xmlns:r="http://schemas.openxmlformats.org/officeDocument/2006/relationships" ref="P861" r:id="rId3157"/>
    <hyperlink xmlns:r="http://schemas.openxmlformats.org/officeDocument/2006/relationships" ref="M862" r:id="rId3158"/>
    <hyperlink xmlns:r="http://schemas.openxmlformats.org/officeDocument/2006/relationships" ref="N862" r:id="rId3159"/>
    <hyperlink xmlns:r="http://schemas.openxmlformats.org/officeDocument/2006/relationships" ref="O862" r:id="rId3160"/>
    <hyperlink xmlns:r="http://schemas.openxmlformats.org/officeDocument/2006/relationships" ref="P862" r:id="rId3161"/>
    <hyperlink xmlns:r="http://schemas.openxmlformats.org/officeDocument/2006/relationships" ref="M863" r:id="rId3162"/>
    <hyperlink xmlns:r="http://schemas.openxmlformats.org/officeDocument/2006/relationships" ref="N863" r:id="rId3163"/>
    <hyperlink xmlns:r="http://schemas.openxmlformats.org/officeDocument/2006/relationships" ref="O863" r:id="rId3164"/>
    <hyperlink xmlns:r="http://schemas.openxmlformats.org/officeDocument/2006/relationships" ref="P863" r:id="rId3165"/>
    <hyperlink xmlns:r="http://schemas.openxmlformats.org/officeDocument/2006/relationships" ref="M864" r:id="rId3166"/>
    <hyperlink xmlns:r="http://schemas.openxmlformats.org/officeDocument/2006/relationships" ref="N864" r:id="rId3167"/>
    <hyperlink xmlns:r="http://schemas.openxmlformats.org/officeDocument/2006/relationships" ref="P864" r:id="rId3168"/>
    <hyperlink xmlns:r="http://schemas.openxmlformats.org/officeDocument/2006/relationships" ref="M865" r:id="rId3169"/>
    <hyperlink xmlns:r="http://schemas.openxmlformats.org/officeDocument/2006/relationships" ref="N865" r:id="rId3170"/>
    <hyperlink xmlns:r="http://schemas.openxmlformats.org/officeDocument/2006/relationships" ref="O865" r:id="rId3171"/>
    <hyperlink xmlns:r="http://schemas.openxmlformats.org/officeDocument/2006/relationships" ref="P865" r:id="rId3172"/>
    <hyperlink xmlns:r="http://schemas.openxmlformats.org/officeDocument/2006/relationships" ref="M866" r:id="rId3173"/>
    <hyperlink xmlns:r="http://schemas.openxmlformats.org/officeDocument/2006/relationships" ref="N866" r:id="rId3174"/>
    <hyperlink xmlns:r="http://schemas.openxmlformats.org/officeDocument/2006/relationships" ref="O866" r:id="rId3175"/>
    <hyperlink xmlns:r="http://schemas.openxmlformats.org/officeDocument/2006/relationships" ref="P866" r:id="rId3176"/>
    <hyperlink xmlns:r="http://schemas.openxmlformats.org/officeDocument/2006/relationships" ref="M867" r:id="rId3177"/>
    <hyperlink xmlns:r="http://schemas.openxmlformats.org/officeDocument/2006/relationships" ref="N867" r:id="rId3178"/>
    <hyperlink xmlns:r="http://schemas.openxmlformats.org/officeDocument/2006/relationships" ref="P867" r:id="rId3179"/>
    <hyperlink xmlns:r="http://schemas.openxmlformats.org/officeDocument/2006/relationships" ref="M868" r:id="rId3180"/>
    <hyperlink xmlns:r="http://schemas.openxmlformats.org/officeDocument/2006/relationships" ref="N868" r:id="rId3181"/>
    <hyperlink xmlns:r="http://schemas.openxmlformats.org/officeDocument/2006/relationships" ref="P868" r:id="rId3182"/>
    <hyperlink xmlns:r="http://schemas.openxmlformats.org/officeDocument/2006/relationships" ref="M869" r:id="rId3183"/>
    <hyperlink xmlns:r="http://schemas.openxmlformats.org/officeDocument/2006/relationships" ref="N869" r:id="rId3184"/>
    <hyperlink xmlns:r="http://schemas.openxmlformats.org/officeDocument/2006/relationships" ref="O869" r:id="rId3185"/>
    <hyperlink xmlns:r="http://schemas.openxmlformats.org/officeDocument/2006/relationships" ref="P869" r:id="rId3186"/>
    <hyperlink xmlns:r="http://schemas.openxmlformats.org/officeDocument/2006/relationships" ref="M870" r:id="rId3187"/>
    <hyperlink xmlns:r="http://schemas.openxmlformats.org/officeDocument/2006/relationships" ref="N870" r:id="rId3188"/>
    <hyperlink xmlns:r="http://schemas.openxmlformats.org/officeDocument/2006/relationships" ref="P870" r:id="rId3189"/>
    <hyperlink xmlns:r="http://schemas.openxmlformats.org/officeDocument/2006/relationships" ref="M871" r:id="rId3190"/>
    <hyperlink xmlns:r="http://schemas.openxmlformats.org/officeDocument/2006/relationships" ref="N871" r:id="rId3191"/>
    <hyperlink xmlns:r="http://schemas.openxmlformats.org/officeDocument/2006/relationships" ref="P871" r:id="rId3192"/>
    <hyperlink xmlns:r="http://schemas.openxmlformats.org/officeDocument/2006/relationships" ref="M872" r:id="rId3193"/>
    <hyperlink xmlns:r="http://schemas.openxmlformats.org/officeDocument/2006/relationships" ref="N872" r:id="rId3194"/>
    <hyperlink xmlns:r="http://schemas.openxmlformats.org/officeDocument/2006/relationships" ref="P872" r:id="rId3195"/>
    <hyperlink xmlns:r="http://schemas.openxmlformats.org/officeDocument/2006/relationships" ref="M873" r:id="rId3196"/>
    <hyperlink xmlns:r="http://schemas.openxmlformats.org/officeDocument/2006/relationships" ref="N873" r:id="rId3197"/>
    <hyperlink xmlns:r="http://schemas.openxmlformats.org/officeDocument/2006/relationships" ref="O873" r:id="rId3198"/>
    <hyperlink xmlns:r="http://schemas.openxmlformats.org/officeDocument/2006/relationships" ref="P873" r:id="rId3199"/>
    <hyperlink xmlns:r="http://schemas.openxmlformats.org/officeDocument/2006/relationships" ref="M874" r:id="rId3200"/>
    <hyperlink xmlns:r="http://schemas.openxmlformats.org/officeDocument/2006/relationships" ref="N874" r:id="rId3201"/>
    <hyperlink xmlns:r="http://schemas.openxmlformats.org/officeDocument/2006/relationships" ref="O874" r:id="rId3202"/>
    <hyperlink xmlns:r="http://schemas.openxmlformats.org/officeDocument/2006/relationships" ref="P874" r:id="rId3203"/>
    <hyperlink xmlns:r="http://schemas.openxmlformats.org/officeDocument/2006/relationships" ref="M875" r:id="rId3204"/>
    <hyperlink xmlns:r="http://schemas.openxmlformats.org/officeDocument/2006/relationships" ref="N875" r:id="rId3205"/>
    <hyperlink xmlns:r="http://schemas.openxmlformats.org/officeDocument/2006/relationships" ref="O875" r:id="rId3206"/>
    <hyperlink xmlns:r="http://schemas.openxmlformats.org/officeDocument/2006/relationships" ref="P875" r:id="rId3207"/>
    <hyperlink xmlns:r="http://schemas.openxmlformats.org/officeDocument/2006/relationships" ref="M876" r:id="rId3208"/>
    <hyperlink xmlns:r="http://schemas.openxmlformats.org/officeDocument/2006/relationships" ref="N876" r:id="rId3209"/>
    <hyperlink xmlns:r="http://schemas.openxmlformats.org/officeDocument/2006/relationships" ref="O876" r:id="rId3210"/>
    <hyperlink xmlns:r="http://schemas.openxmlformats.org/officeDocument/2006/relationships" ref="P876" r:id="rId3211"/>
    <hyperlink xmlns:r="http://schemas.openxmlformats.org/officeDocument/2006/relationships" ref="M877" r:id="rId3212"/>
    <hyperlink xmlns:r="http://schemas.openxmlformats.org/officeDocument/2006/relationships" ref="N877" r:id="rId3213"/>
    <hyperlink xmlns:r="http://schemas.openxmlformats.org/officeDocument/2006/relationships" ref="O877" r:id="rId3214"/>
    <hyperlink xmlns:r="http://schemas.openxmlformats.org/officeDocument/2006/relationships" ref="P877" r:id="rId3215"/>
    <hyperlink xmlns:r="http://schemas.openxmlformats.org/officeDocument/2006/relationships" ref="M878" r:id="rId3216"/>
    <hyperlink xmlns:r="http://schemas.openxmlformats.org/officeDocument/2006/relationships" ref="N878" r:id="rId3217"/>
    <hyperlink xmlns:r="http://schemas.openxmlformats.org/officeDocument/2006/relationships" ref="P878" r:id="rId3218"/>
    <hyperlink xmlns:r="http://schemas.openxmlformats.org/officeDocument/2006/relationships" ref="M879" r:id="rId3219"/>
    <hyperlink xmlns:r="http://schemas.openxmlformats.org/officeDocument/2006/relationships" ref="N879" r:id="rId3220"/>
    <hyperlink xmlns:r="http://schemas.openxmlformats.org/officeDocument/2006/relationships" ref="O879" r:id="rId3221"/>
    <hyperlink xmlns:r="http://schemas.openxmlformats.org/officeDocument/2006/relationships" ref="P879" r:id="rId3222"/>
    <hyperlink xmlns:r="http://schemas.openxmlformats.org/officeDocument/2006/relationships" ref="M880" r:id="rId3223"/>
    <hyperlink xmlns:r="http://schemas.openxmlformats.org/officeDocument/2006/relationships" ref="N880" r:id="rId3224"/>
    <hyperlink xmlns:r="http://schemas.openxmlformats.org/officeDocument/2006/relationships" ref="O880" r:id="rId3225"/>
    <hyperlink xmlns:r="http://schemas.openxmlformats.org/officeDocument/2006/relationships" ref="P880" r:id="rId3226"/>
    <hyperlink xmlns:r="http://schemas.openxmlformats.org/officeDocument/2006/relationships" ref="M881" r:id="rId3227"/>
    <hyperlink xmlns:r="http://schemas.openxmlformats.org/officeDocument/2006/relationships" ref="N881" r:id="rId3228"/>
    <hyperlink xmlns:r="http://schemas.openxmlformats.org/officeDocument/2006/relationships" ref="O881" r:id="rId3229"/>
    <hyperlink xmlns:r="http://schemas.openxmlformats.org/officeDocument/2006/relationships" ref="P881" r:id="rId3230"/>
    <hyperlink xmlns:r="http://schemas.openxmlformats.org/officeDocument/2006/relationships" ref="M882" r:id="rId3231"/>
    <hyperlink xmlns:r="http://schemas.openxmlformats.org/officeDocument/2006/relationships" ref="N882" r:id="rId3232"/>
    <hyperlink xmlns:r="http://schemas.openxmlformats.org/officeDocument/2006/relationships" ref="P882" r:id="rId3233"/>
    <hyperlink xmlns:r="http://schemas.openxmlformats.org/officeDocument/2006/relationships" ref="M883" r:id="rId3234"/>
    <hyperlink xmlns:r="http://schemas.openxmlformats.org/officeDocument/2006/relationships" ref="N883" r:id="rId3235"/>
    <hyperlink xmlns:r="http://schemas.openxmlformats.org/officeDocument/2006/relationships" ref="P883" r:id="rId3236"/>
    <hyperlink xmlns:r="http://schemas.openxmlformats.org/officeDocument/2006/relationships" ref="M884" r:id="rId3237"/>
    <hyperlink xmlns:r="http://schemas.openxmlformats.org/officeDocument/2006/relationships" ref="N884" r:id="rId3238"/>
    <hyperlink xmlns:r="http://schemas.openxmlformats.org/officeDocument/2006/relationships" ref="P884" r:id="rId3239"/>
    <hyperlink xmlns:r="http://schemas.openxmlformats.org/officeDocument/2006/relationships" ref="M885" r:id="rId3240"/>
    <hyperlink xmlns:r="http://schemas.openxmlformats.org/officeDocument/2006/relationships" ref="N885" r:id="rId3241"/>
    <hyperlink xmlns:r="http://schemas.openxmlformats.org/officeDocument/2006/relationships" ref="O885" r:id="rId3242"/>
    <hyperlink xmlns:r="http://schemas.openxmlformats.org/officeDocument/2006/relationships" ref="P885" r:id="rId3243"/>
    <hyperlink xmlns:r="http://schemas.openxmlformats.org/officeDocument/2006/relationships" ref="M886" r:id="rId3244"/>
    <hyperlink xmlns:r="http://schemas.openxmlformats.org/officeDocument/2006/relationships" ref="N886" r:id="rId3245"/>
    <hyperlink xmlns:r="http://schemas.openxmlformats.org/officeDocument/2006/relationships" ref="P886" r:id="rId3246"/>
    <hyperlink xmlns:r="http://schemas.openxmlformats.org/officeDocument/2006/relationships" ref="M887" r:id="rId3247"/>
    <hyperlink xmlns:r="http://schemas.openxmlformats.org/officeDocument/2006/relationships" ref="N887" r:id="rId3248"/>
    <hyperlink xmlns:r="http://schemas.openxmlformats.org/officeDocument/2006/relationships" ref="O887" r:id="rId3249"/>
    <hyperlink xmlns:r="http://schemas.openxmlformats.org/officeDocument/2006/relationships" ref="P887" r:id="rId3250"/>
    <hyperlink xmlns:r="http://schemas.openxmlformats.org/officeDocument/2006/relationships" ref="M888" r:id="rId3251"/>
    <hyperlink xmlns:r="http://schemas.openxmlformats.org/officeDocument/2006/relationships" ref="N888" r:id="rId3252"/>
    <hyperlink xmlns:r="http://schemas.openxmlformats.org/officeDocument/2006/relationships" ref="O888" r:id="rId3253"/>
    <hyperlink xmlns:r="http://schemas.openxmlformats.org/officeDocument/2006/relationships" ref="P888" r:id="rId3254"/>
    <hyperlink xmlns:r="http://schemas.openxmlformats.org/officeDocument/2006/relationships" ref="M889" r:id="rId3255"/>
    <hyperlink xmlns:r="http://schemas.openxmlformats.org/officeDocument/2006/relationships" ref="N889" r:id="rId3256"/>
    <hyperlink xmlns:r="http://schemas.openxmlformats.org/officeDocument/2006/relationships" ref="P889" r:id="rId3257"/>
    <hyperlink xmlns:r="http://schemas.openxmlformats.org/officeDocument/2006/relationships" ref="M890" r:id="rId3258"/>
    <hyperlink xmlns:r="http://schemas.openxmlformats.org/officeDocument/2006/relationships" ref="N890" r:id="rId3259"/>
    <hyperlink xmlns:r="http://schemas.openxmlformats.org/officeDocument/2006/relationships" ref="O890" r:id="rId3260"/>
    <hyperlink xmlns:r="http://schemas.openxmlformats.org/officeDocument/2006/relationships" ref="P890" r:id="rId3261"/>
    <hyperlink xmlns:r="http://schemas.openxmlformats.org/officeDocument/2006/relationships" ref="M891" r:id="rId3262"/>
    <hyperlink xmlns:r="http://schemas.openxmlformats.org/officeDocument/2006/relationships" ref="N891" r:id="rId3263"/>
    <hyperlink xmlns:r="http://schemas.openxmlformats.org/officeDocument/2006/relationships" ref="O891" r:id="rId3264"/>
    <hyperlink xmlns:r="http://schemas.openxmlformats.org/officeDocument/2006/relationships" ref="P891" r:id="rId3265"/>
    <hyperlink xmlns:r="http://schemas.openxmlformats.org/officeDocument/2006/relationships" ref="M892" r:id="rId3266"/>
    <hyperlink xmlns:r="http://schemas.openxmlformats.org/officeDocument/2006/relationships" ref="N892" r:id="rId3267"/>
    <hyperlink xmlns:r="http://schemas.openxmlformats.org/officeDocument/2006/relationships" ref="O892" r:id="rId3268"/>
    <hyperlink xmlns:r="http://schemas.openxmlformats.org/officeDocument/2006/relationships" ref="P892" r:id="rId3269"/>
    <hyperlink xmlns:r="http://schemas.openxmlformats.org/officeDocument/2006/relationships" ref="M893" r:id="rId3270"/>
    <hyperlink xmlns:r="http://schemas.openxmlformats.org/officeDocument/2006/relationships" ref="N893" r:id="rId3271"/>
    <hyperlink xmlns:r="http://schemas.openxmlformats.org/officeDocument/2006/relationships" ref="O893" r:id="rId3272"/>
    <hyperlink xmlns:r="http://schemas.openxmlformats.org/officeDocument/2006/relationships" ref="P893" r:id="rId3273"/>
    <hyperlink xmlns:r="http://schemas.openxmlformats.org/officeDocument/2006/relationships" ref="M894" r:id="rId3274"/>
    <hyperlink xmlns:r="http://schemas.openxmlformats.org/officeDocument/2006/relationships" ref="N894" r:id="rId3275"/>
    <hyperlink xmlns:r="http://schemas.openxmlformats.org/officeDocument/2006/relationships" ref="O894" r:id="rId3276"/>
    <hyperlink xmlns:r="http://schemas.openxmlformats.org/officeDocument/2006/relationships" ref="P894" r:id="rId3277"/>
    <hyperlink xmlns:r="http://schemas.openxmlformats.org/officeDocument/2006/relationships" ref="M895" r:id="rId3278"/>
    <hyperlink xmlns:r="http://schemas.openxmlformats.org/officeDocument/2006/relationships" ref="N895" r:id="rId3279"/>
    <hyperlink xmlns:r="http://schemas.openxmlformats.org/officeDocument/2006/relationships" ref="P895" r:id="rId3280"/>
    <hyperlink xmlns:r="http://schemas.openxmlformats.org/officeDocument/2006/relationships" ref="M896" r:id="rId3281"/>
    <hyperlink xmlns:r="http://schemas.openxmlformats.org/officeDocument/2006/relationships" ref="N896" r:id="rId3282"/>
    <hyperlink xmlns:r="http://schemas.openxmlformats.org/officeDocument/2006/relationships" ref="O896" r:id="rId3283"/>
    <hyperlink xmlns:r="http://schemas.openxmlformats.org/officeDocument/2006/relationships" ref="P896" r:id="rId3284"/>
    <hyperlink xmlns:r="http://schemas.openxmlformats.org/officeDocument/2006/relationships" ref="M897" r:id="rId3285"/>
    <hyperlink xmlns:r="http://schemas.openxmlformats.org/officeDocument/2006/relationships" ref="N897" r:id="rId3286"/>
    <hyperlink xmlns:r="http://schemas.openxmlformats.org/officeDocument/2006/relationships" ref="O897" r:id="rId3287"/>
    <hyperlink xmlns:r="http://schemas.openxmlformats.org/officeDocument/2006/relationships" ref="P897" r:id="rId3288"/>
    <hyperlink xmlns:r="http://schemas.openxmlformats.org/officeDocument/2006/relationships" ref="M898" r:id="rId3289"/>
    <hyperlink xmlns:r="http://schemas.openxmlformats.org/officeDocument/2006/relationships" ref="N898" r:id="rId3290"/>
    <hyperlink xmlns:r="http://schemas.openxmlformats.org/officeDocument/2006/relationships" ref="O898" r:id="rId3291"/>
    <hyperlink xmlns:r="http://schemas.openxmlformats.org/officeDocument/2006/relationships" ref="P898" r:id="rId3292"/>
    <hyperlink xmlns:r="http://schemas.openxmlformats.org/officeDocument/2006/relationships" ref="M899" r:id="rId3293"/>
    <hyperlink xmlns:r="http://schemas.openxmlformats.org/officeDocument/2006/relationships" ref="N899" r:id="rId3294"/>
    <hyperlink xmlns:r="http://schemas.openxmlformats.org/officeDocument/2006/relationships" ref="P899" r:id="rId3295"/>
    <hyperlink xmlns:r="http://schemas.openxmlformats.org/officeDocument/2006/relationships" ref="M900" r:id="rId3296"/>
    <hyperlink xmlns:r="http://schemas.openxmlformats.org/officeDocument/2006/relationships" ref="N900" r:id="rId3297"/>
    <hyperlink xmlns:r="http://schemas.openxmlformats.org/officeDocument/2006/relationships" ref="O900" r:id="rId3298"/>
    <hyperlink xmlns:r="http://schemas.openxmlformats.org/officeDocument/2006/relationships" ref="P900" r:id="rId3299"/>
    <hyperlink xmlns:r="http://schemas.openxmlformats.org/officeDocument/2006/relationships" ref="M901" r:id="rId3300"/>
    <hyperlink xmlns:r="http://schemas.openxmlformats.org/officeDocument/2006/relationships" ref="N901" r:id="rId3301"/>
    <hyperlink xmlns:r="http://schemas.openxmlformats.org/officeDocument/2006/relationships" ref="O901" r:id="rId3302"/>
    <hyperlink xmlns:r="http://schemas.openxmlformats.org/officeDocument/2006/relationships" ref="P901" r:id="rId3303"/>
    <hyperlink xmlns:r="http://schemas.openxmlformats.org/officeDocument/2006/relationships" ref="M902" r:id="rId3304"/>
    <hyperlink xmlns:r="http://schemas.openxmlformats.org/officeDocument/2006/relationships" ref="N902" r:id="rId3305"/>
    <hyperlink xmlns:r="http://schemas.openxmlformats.org/officeDocument/2006/relationships" ref="O902" r:id="rId3306"/>
    <hyperlink xmlns:r="http://schemas.openxmlformats.org/officeDocument/2006/relationships" ref="P902" r:id="rId3307"/>
    <hyperlink xmlns:r="http://schemas.openxmlformats.org/officeDocument/2006/relationships" ref="M903" r:id="rId3308"/>
    <hyperlink xmlns:r="http://schemas.openxmlformats.org/officeDocument/2006/relationships" ref="N903" r:id="rId3309"/>
    <hyperlink xmlns:r="http://schemas.openxmlformats.org/officeDocument/2006/relationships" ref="O903" r:id="rId3310"/>
    <hyperlink xmlns:r="http://schemas.openxmlformats.org/officeDocument/2006/relationships" ref="P903" r:id="rId3311"/>
    <hyperlink xmlns:r="http://schemas.openxmlformats.org/officeDocument/2006/relationships" ref="M904" r:id="rId3312"/>
    <hyperlink xmlns:r="http://schemas.openxmlformats.org/officeDocument/2006/relationships" ref="N904" r:id="rId3313"/>
    <hyperlink xmlns:r="http://schemas.openxmlformats.org/officeDocument/2006/relationships" ref="O904" r:id="rId3314"/>
    <hyperlink xmlns:r="http://schemas.openxmlformats.org/officeDocument/2006/relationships" ref="P904" r:id="rId3315"/>
    <hyperlink xmlns:r="http://schemas.openxmlformats.org/officeDocument/2006/relationships" ref="M905" r:id="rId3316"/>
    <hyperlink xmlns:r="http://schemas.openxmlformats.org/officeDocument/2006/relationships" ref="N905" r:id="rId3317"/>
    <hyperlink xmlns:r="http://schemas.openxmlformats.org/officeDocument/2006/relationships" ref="O905" r:id="rId3318"/>
    <hyperlink xmlns:r="http://schemas.openxmlformats.org/officeDocument/2006/relationships" ref="P905" r:id="rId3319"/>
    <hyperlink xmlns:r="http://schemas.openxmlformats.org/officeDocument/2006/relationships" ref="M906" r:id="rId3320"/>
    <hyperlink xmlns:r="http://schemas.openxmlformats.org/officeDocument/2006/relationships" ref="N906" r:id="rId3321"/>
    <hyperlink xmlns:r="http://schemas.openxmlformats.org/officeDocument/2006/relationships" ref="P906" r:id="rId3322"/>
    <hyperlink xmlns:r="http://schemas.openxmlformats.org/officeDocument/2006/relationships" ref="M907" r:id="rId3323"/>
    <hyperlink xmlns:r="http://schemas.openxmlformats.org/officeDocument/2006/relationships" ref="N907" r:id="rId3324"/>
    <hyperlink xmlns:r="http://schemas.openxmlformats.org/officeDocument/2006/relationships" ref="O907" r:id="rId3325"/>
    <hyperlink xmlns:r="http://schemas.openxmlformats.org/officeDocument/2006/relationships" ref="P907" r:id="rId3326"/>
    <hyperlink xmlns:r="http://schemas.openxmlformats.org/officeDocument/2006/relationships" ref="M908" r:id="rId3327"/>
    <hyperlink xmlns:r="http://schemas.openxmlformats.org/officeDocument/2006/relationships" ref="N908" r:id="rId3328"/>
    <hyperlink xmlns:r="http://schemas.openxmlformats.org/officeDocument/2006/relationships" ref="O908" r:id="rId3329"/>
    <hyperlink xmlns:r="http://schemas.openxmlformats.org/officeDocument/2006/relationships" ref="P908" r:id="rId3330"/>
    <hyperlink xmlns:r="http://schemas.openxmlformats.org/officeDocument/2006/relationships" ref="M909" r:id="rId3331"/>
    <hyperlink xmlns:r="http://schemas.openxmlformats.org/officeDocument/2006/relationships" ref="N909" r:id="rId3332"/>
    <hyperlink xmlns:r="http://schemas.openxmlformats.org/officeDocument/2006/relationships" ref="O909" r:id="rId3333"/>
    <hyperlink xmlns:r="http://schemas.openxmlformats.org/officeDocument/2006/relationships" ref="P909" r:id="rId3334"/>
    <hyperlink xmlns:r="http://schemas.openxmlformats.org/officeDocument/2006/relationships" ref="M910" r:id="rId3335"/>
    <hyperlink xmlns:r="http://schemas.openxmlformats.org/officeDocument/2006/relationships" ref="N910" r:id="rId3336"/>
    <hyperlink xmlns:r="http://schemas.openxmlformats.org/officeDocument/2006/relationships" ref="O910" r:id="rId3337"/>
    <hyperlink xmlns:r="http://schemas.openxmlformats.org/officeDocument/2006/relationships" ref="P910" r:id="rId3338"/>
    <hyperlink xmlns:r="http://schemas.openxmlformats.org/officeDocument/2006/relationships" ref="M911" r:id="rId3339"/>
    <hyperlink xmlns:r="http://schemas.openxmlformats.org/officeDocument/2006/relationships" ref="N911" r:id="rId3340"/>
    <hyperlink xmlns:r="http://schemas.openxmlformats.org/officeDocument/2006/relationships" ref="O911" r:id="rId3341"/>
    <hyperlink xmlns:r="http://schemas.openxmlformats.org/officeDocument/2006/relationships" ref="P911" r:id="rId3342"/>
    <hyperlink xmlns:r="http://schemas.openxmlformats.org/officeDocument/2006/relationships" ref="M912" r:id="rId3343"/>
    <hyperlink xmlns:r="http://schemas.openxmlformats.org/officeDocument/2006/relationships" ref="N912" r:id="rId3344"/>
    <hyperlink xmlns:r="http://schemas.openxmlformats.org/officeDocument/2006/relationships" ref="O912" r:id="rId3345"/>
    <hyperlink xmlns:r="http://schemas.openxmlformats.org/officeDocument/2006/relationships" ref="P912" r:id="rId3346"/>
    <hyperlink xmlns:r="http://schemas.openxmlformats.org/officeDocument/2006/relationships" ref="M913" r:id="rId3347"/>
    <hyperlink xmlns:r="http://schemas.openxmlformats.org/officeDocument/2006/relationships" ref="N913" r:id="rId3348"/>
    <hyperlink xmlns:r="http://schemas.openxmlformats.org/officeDocument/2006/relationships" ref="O913" r:id="rId3349"/>
    <hyperlink xmlns:r="http://schemas.openxmlformats.org/officeDocument/2006/relationships" ref="P913" r:id="rId3350"/>
    <hyperlink xmlns:r="http://schemas.openxmlformats.org/officeDocument/2006/relationships" ref="M914" r:id="rId3351"/>
    <hyperlink xmlns:r="http://schemas.openxmlformats.org/officeDocument/2006/relationships" ref="N914" r:id="rId3352"/>
    <hyperlink xmlns:r="http://schemas.openxmlformats.org/officeDocument/2006/relationships" ref="P914" r:id="rId3353"/>
    <hyperlink xmlns:r="http://schemas.openxmlformats.org/officeDocument/2006/relationships" ref="M915" r:id="rId3354"/>
    <hyperlink xmlns:r="http://schemas.openxmlformats.org/officeDocument/2006/relationships" ref="N915" r:id="rId3355"/>
    <hyperlink xmlns:r="http://schemas.openxmlformats.org/officeDocument/2006/relationships" ref="O915" r:id="rId3356"/>
    <hyperlink xmlns:r="http://schemas.openxmlformats.org/officeDocument/2006/relationships" ref="P915" r:id="rId3357"/>
    <hyperlink xmlns:r="http://schemas.openxmlformats.org/officeDocument/2006/relationships" ref="M916" r:id="rId3358"/>
    <hyperlink xmlns:r="http://schemas.openxmlformats.org/officeDocument/2006/relationships" ref="N916" r:id="rId3359"/>
    <hyperlink xmlns:r="http://schemas.openxmlformats.org/officeDocument/2006/relationships" ref="O916" r:id="rId3360"/>
    <hyperlink xmlns:r="http://schemas.openxmlformats.org/officeDocument/2006/relationships" ref="P916" r:id="rId3361"/>
    <hyperlink xmlns:r="http://schemas.openxmlformats.org/officeDocument/2006/relationships" ref="M917" r:id="rId3362"/>
    <hyperlink xmlns:r="http://schemas.openxmlformats.org/officeDocument/2006/relationships" ref="N917" r:id="rId3363"/>
    <hyperlink xmlns:r="http://schemas.openxmlformats.org/officeDocument/2006/relationships" ref="P917" r:id="rId3364"/>
    <hyperlink xmlns:r="http://schemas.openxmlformats.org/officeDocument/2006/relationships" ref="M918" r:id="rId3365"/>
    <hyperlink xmlns:r="http://schemas.openxmlformats.org/officeDocument/2006/relationships" ref="N918" r:id="rId3366"/>
    <hyperlink xmlns:r="http://schemas.openxmlformats.org/officeDocument/2006/relationships" ref="P918" r:id="rId3367"/>
    <hyperlink xmlns:r="http://schemas.openxmlformats.org/officeDocument/2006/relationships" ref="M919" r:id="rId3368"/>
    <hyperlink xmlns:r="http://schemas.openxmlformats.org/officeDocument/2006/relationships" ref="N919" r:id="rId3369"/>
    <hyperlink xmlns:r="http://schemas.openxmlformats.org/officeDocument/2006/relationships" ref="O919" r:id="rId3370"/>
    <hyperlink xmlns:r="http://schemas.openxmlformats.org/officeDocument/2006/relationships" ref="P919" r:id="rId3371"/>
    <hyperlink xmlns:r="http://schemas.openxmlformats.org/officeDocument/2006/relationships" ref="M920" r:id="rId3372"/>
    <hyperlink xmlns:r="http://schemas.openxmlformats.org/officeDocument/2006/relationships" ref="N920" r:id="rId3373"/>
    <hyperlink xmlns:r="http://schemas.openxmlformats.org/officeDocument/2006/relationships" ref="O920" r:id="rId3374"/>
    <hyperlink xmlns:r="http://schemas.openxmlformats.org/officeDocument/2006/relationships" ref="P920" r:id="rId3375"/>
    <hyperlink xmlns:r="http://schemas.openxmlformats.org/officeDocument/2006/relationships" ref="M921" r:id="rId3376"/>
    <hyperlink xmlns:r="http://schemas.openxmlformats.org/officeDocument/2006/relationships" ref="N921" r:id="rId3377"/>
    <hyperlink xmlns:r="http://schemas.openxmlformats.org/officeDocument/2006/relationships" ref="P921" r:id="rId3378"/>
    <hyperlink xmlns:r="http://schemas.openxmlformats.org/officeDocument/2006/relationships" ref="M922" r:id="rId3379"/>
    <hyperlink xmlns:r="http://schemas.openxmlformats.org/officeDocument/2006/relationships" ref="N922" r:id="rId3380"/>
    <hyperlink xmlns:r="http://schemas.openxmlformats.org/officeDocument/2006/relationships" ref="O922" r:id="rId3381"/>
    <hyperlink xmlns:r="http://schemas.openxmlformats.org/officeDocument/2006/relationships" ref="P922" r:id="rId3382"/>
    <hyperlink xmlns:r="http://schemas.openxmlformats.org/officeDocument/2006/relationships" ref="M923" r:id="rId3383"/>
    <hyperlink xmlns:r="http://schemas.openxmlformats.org/officeDocument/2006/relationships" ref="N923" r:id="rId3384"/>
    <hyperlink xmlns:r="http://schemas.openxmlformats.org/officeDocument/2006/relationships" ref="O923" r:id="rId3385"/>
    <hyperlink xmlns:r="http://schemas.openxmlformats.org/officeDocument/2006/relationships" ref="P923" r:id="rId3386"/>
    <hyperlink xmlns:r="http://schemas.openxmlformats.org/officeDocument/2006/relationships" ref="M924" r:id="rId3387"/>
    <hyperlink xmlns:r="http://schemas.openxmlformats.org/officeDocument/2006/relationships" ref="N924" r:id="rId3388"/>
    <hyperlink xmlns:r="http://schemas.openxmlformats.org/officeDocument/2006/relationships" ref="O924" r:id="rId3389"/>
    <hyperlink xmlns:r="http://schemas.openxmlformats.org/officeDocument/2006/relationships" ref="P924" r:id="rId3390"/>
    <hyperlink xmlns:r="http://schemas.openxmlformats.org/officeDocument/2006/relationships" ref="M925" r:id="rId3391"/>
    <hyperlink xmlns:r="http://schemas.openxmlformats.org/officeDocument/2006/relationships" ref="N925" r:id="rId3392"/>
    <hyperlink xmlns:r="http://schemas.openxmlformats.org/officeDocument/2006/relationships" ref="O925" r:id="rId3393"/>
    <hyperlink xmlns:r="http://schemas.openxmlformats.org/officeDocument/2006/relationships" ref="P925" r:id="rId3394"/>
    <hyperlink xmlns:r="http://schemas.openxmlformats.org/officeDocument/2006/relationships" ref="M926" r:id="rId3395"/>
    <hyperlink xmlns:r="http://schemas.openxmlformats.org/officeDocument/2006/relationships" ref="N926" r:id="rId3396"/>
    <hyperlink xmlns:r="http://schemas.openxmlformats.org/officeDocument/2006/relationships" ref="O926" r:id="rId3397"/>
    <hyperlink xmlns:r="http://schemas.openxmlformats.org/officeDocument/2006/relationships" ref="P926" r:id="rId3398"/>
    <hyperlink xmlns:r="http://schemas.openxmlformats.org/officeDocument/2006/relationships" ref="M927" r:id="rId3399"/>
    <hyperlink xmlns:r="http://schemas.openxmlformats.org/officeDocument/2006/relationships" ref="N927" r:id="rId3400"/>
    <hyperlink xmlns:r="http://schemas.openxmlformats.org/officeDocument/2006/relationships" ref="O927" r:id="rId3401"/>
    <hyperlink xmlns:r="http://schemas.openxmlformats.org/officeDocument/2006/relationships" ref="P927" r:id="rId3402"/>
    <hyperlink xmlns:r="http://schemas.openxmlformats.org/officeDocument/2006/relationships" ref="M928" r:id="rId3403"/>
    <hyperlink xmlns:r="http://schemas.openxmlformats.org/officeDocument/2006/relationships" ref="N928" r:id="rId3404"/>
    <hyperlink xmlns:r="http://schemas.openxmlformats.org/officeDocument/2006/relationships" ref="O928" r:id="rId3405"/>
    <hyperlink xmlns:r="http://schemas.openxmlformats.org/officeDocument/2006/relationships" ref="P928" r:id="rId3406"/>
    <hyperlink xmlns:r="http://schemas.openxmlformats.org/officeDocument/2006/relationships" ref="M929" r:id="rId3407"/>
    <hyperlink xmlns:r="http://schemas.openxmlformats.org/officeDocument/2006/relationships" ref="N929" r:id="rId3408"/>
    <hyperlink xmlns:r="http://schemas.openxmlformats.org/officeDocument/2006/relationships" ref="O929" r:id="rId3409"/>
    <hyperlink xmlns:r="http://schemas.openxmlformats.org/officeDocument/2006/relationships" ref="P929" r:id="rId3410"/>
    <hyperlink xmlns:r="http://schemas.openxmlformats.org/officeDocument/2006/relationships" ref="M930" r:id="rId3411"/>
    <hyperlink xmlns:r="http://schemas.openxmlformats.org/officeDocument/2006/relationships" ref="N930" r:id="rId3412"/>
    <hyperlink xmlns:r="http://schemas.openxmlformats.org/officeDocument/2006/relationships" ref="O930" r:id="rId3413"/>
    <hyperlink xmlns:r="http://schemas.openxmlformats.org/officeDocument/2006/relationships" ref="P930" r:id="rId3414"/>
    <hyperlink xmlns:r="http://schemas.openxmlformats.org/officeDocument/2006/relationships" ref="M931" r:id="rId3415"/>
    <hyperlink xmlns:r="http://schemas.openxmlformats.org/officeDocument/2006/relationships" ref="N931" r:id="rId3416"/>
    <hyperlink xmlns:r="http://schemas.openxmlformats.org/officeDocument/2006/relationships" ref="O931" r:id="rId3417"/>
    <hyperlink xmlns:r="http://schemas.openxmlformats.org/officeDocument/2006/relationships" ref="P931" r:id="rId3418"/>
    <hyperlink xmlns:r="http://schemas.openxmlformats.org/officeDocument/2006/relationships" ref="M932" r:id="rId3419"/>
    <hyperlink xmlns:r="http://schemas.openxmlformats.org/officeDocument/2006/relationships" ref="N932" r:id="rId3420"/>
    <hyperlink xmlns:r="http://schemas.openxmlformats.org/officeDocument/2006/relationships" ref="O932" r:id="rId3421"/>
    <hyperlink xmlns:r="http://schemas.openxmlformats.org/officeDocument/2006/relationships" ref="P932" r:id="rId3422"/>
    <hyperlink xmlns:r="http://schemas.openxmlformats.org/officeDocument/2006/relationships" ref="M933" r:id="rId3423"/>
    <hyperlink xmlns:r="http://schemas.openxmlformats.org/officeDocument/2006/relationships" ref="N933" r:id="rId3424"/>
    <hyperlink xmlns:r="http://schemas.openxmlformats.org/officeDocument/2006/relationships" ref="O933" r:id="rId3425"/>
    <hyperlink xmlns:r="http://schemas.openxmlformats.org/officeDocument/2006/relationships" ref="P933" r:id="rId3426"/>
    <hyperlink xmlns:r="http://schemas.openxmlformats.org/officeDocument/2006/relationships" ref="M934" r:id="rId3427"/>
    <hyperlink xmlns:r="http://schemas.openxmlformats.org/officeDocument/2006/relationships" ref="N934" r:id="rId3428"/>
    <hyperlink xmlns:r="http://schemas.openxmlformats.org/officeDocument/2006/relationships" ref="O934" r:id="rId3429"/>
    <hyperlink xmlns:r="http://schemas.openxmlformats.org/officeDocument/2006/relationships" ref="P934" r:id="rId3430"/>
    <hyperlink xmlns:r="http://schemas.openxmlformats.org/officeDocument/2006/relationships" ref="M935" r:id="rId3431"/>
    <hyperlink xmlns:r="http://schemas.openxmlformats.org/officeDocument/2006/relationships" ref="N935" r:id="rId3432"/>
    <hyperlink xmlns:r="http://schemas.openxmlformats.org/officeDocument/2006/relationships" ref="O935" r:id="rId3433"/>
    <hyperlink xmlns:r="http://schemas.openxmlformats.org/officeDocument/2006/relationships" ref="P935" r:id="rId3434"/>
    <hyperlink xmlns:r="http://schemas.openxmlformats.org/officeDocument/2006/relationships" ref="M936" r:id="rId3435"/>
    <hyperlink xmlns:r="http://schemas.openxmlformats.org/officeDocument/2006/relationships" ref="N936" r:id="rId3436"/>
    <hyperlink xmlns:r="http://schemas.openxmlformats.org/officeDocument/2006/relationships" ref="P936" r:id="rId3437"/>
    <hyperlink xmlns:r="http://schemas.openxmlformats.org/officeDocument/2006/relationships" ref="M937" r:id="rId3438"/>
    <hyperlink xmlns:r="http://schemas.openxmlformats.org/officeDocument/2006/relationships" ref="N937" r:id="rId3439"/>
    <hyperlink xmlns:r="http://schemas.openxmlformats.org/officeDocument/2006/relationships" ref="O937" r:id="rId3440"/>
    <hyperlink xmlns:r="http://schemas.openxmlformats.org/officeDocument/2006/relationships" ref="P937" r:id="rId3441"/>
    <hyperlink xmlns:r="http://schemas.openxmlformats.org/officeDocument/2006/relationships" ref="M938" r:id="rId3442"/>
    <hyperlink xmlns:r="http://schemas.openxmlformats.org/officeDocument/2006/relationships" ref="N938" r:id="rId3443"/>
    <hyperlink xmlns:r="http://schemas.openxmlformats.org/officeDocument/2006/relationships" ref="P938" r:id="rId3444"/>
    <hyperlink xmlns:r="http://schemas.openxmlformats.org/officeDocument/2006/relationships" ref="M939" r:id="rId3445"/>
    <hyperlink xmlns:r="http://schemas.openxmlformats.org/officeDocument/2006/relationships" ref="N939" r:id="rId3446"/>
    <hyperlink xmlns:r="http://schemas.openxmlformats.org/officeDocument/2006/relationships" ref="O939" r:id="rId3447"/>
    <hyperlink xmlns:r="http://schemas.openxmlformats.org/officeDocument/2006/relationships" ref="P939" r:id="rId3448"/>
    <hyperlink xmlns:r="http://schemas.openxmlformats.org/officeDocument/2006/relationships" ref="M940" r:id="rId3449"/>
    <hyperlink xmlns:r="http://schemas.openxmlformats.org/officeDocument/2006/relationships" ref="N940" r:id="rId3450"/>
    <hyperlink xmlns:r="http://schemas.openxmlformats.org/officeDocument/2006/relationships" ref="O940" r:id="rId3451"/>
    <hyperlink xmlns:r="http://schemas.openxmlformats.org/officeDocument/2006/relationships" ref="P940" r:id="rId3452"/>
    <hyperlink xmlns:r="http://schemas.openxmlformats.org/officeDocument/2006/relationships" ref="M941" r:id="rId3453"/>
    <hyperlink xmlns:r="http://schemas.openxmlformats.org/officeDocument/2006/relationships" ref="N941" r:id="rId3454"/>
    <hyperlink xmlns:r="http://schemas.openxmlformats.org/officeDocument/2006/relationships" ref="O941" r:id="rId3455"/>
    <hyperlink xmlns:r="http://schemas.openxmlformats.org/officeDocument/2006/relationships" ref="P941" r:id="rId3456"/>
    <hyperlink xmlns:r="http://schemas.openxmlformats.org/officeDocument/2006/relationships" ref="M942" r:id="rId3457"/>
    <hyperlink xmlns:r="http://schemas.openxmlformats.org/officeDocument/2006/relationships" ref="N942" r:id="rId3458"/>
    <hyperlink xmlns:r="http://schemas.openxmlformats.org/officeDocument/2006/relationships" ref="O942" r:id="rId3459"/>
    <hyperlink xmlns:r="http://schemas.openxmlformats.org/officeDocument/2006/relationships" ref="P942" r:id="rId3460"/>
    <hyperlink xmlns:r="http://schemas.openxmlformats.org/officeDocument/2006/relationships" ref="M943" r:id="rId3461"/>
    <hyperlink xmlns:r="http://schemas.openxmlformats.org/officeDocument/2006/relationships" ref="N943" r:id="rId3462"/>
    <hyperlink xmlns:r="http://schemas.openxmlformats.org/officeDocument/2006/relationships" ref="O943" r:id="rId3463"/>
    <hyperlink xmlns:r="http://schemas.openxmlformats.org/officeDocument/2006/relationships" ref="P943" r:id="rId3464"/>
    <hyperlink xmlns:r="http://schemas.openxmlformats.org/officeDocument/2006/relationships" ref="M944" r:id="rId3465"/>
    <hyperlink xmlns:r="http://schemas.openxmlformats.org/officeDocument/2006/relationships" ref="N944" r:id="rId3466"/>
    <hyperlink xmlns:r="http://schemas.openxmlformats.org/officeDocument/2006/relationships" ref="P944" r:id="rId3467"/>
    <hyperlink xmlns:r="http://schemas.openxmlformats.org/officeDocument/2006/relationships" ref="M945" r:id="rId3468"/>
    <hyperlink xmlns:r="http://schemas.openxmlformats.org/officeDocument/2006/relationships" ref="N945" r:id="rId3469"/>
    <hyperlink xmlns:r="http://schemas.openxmlformats.org/officeDocument/2006/relationships" ref="O945" r:id="rId3470"/>
    <hyperlink xmlns:r="http://schemas.openxmlformats.org/officeDocument/2006/relationships" ref="P945" r:id="rId3471"/>
    <hyperlink xmlns:r="http://schemas.openxmlformats.org/officeDocument/2006/relationships" ref="M946" r:id="rId3472"/>
    <hyperlink xmlns:r="http://schemas.openxmlformats.org/officeDocument/2006/relationships" ref="N946" r:id="rId3473"/>
    <hyperlink xmlns:r="http://schemas.openxmlformats.org/officeDocument/2006/relationships" ref="P946" r:id="rId3474"/>
    <hyperlink xmlns:r="http://schemas.openxmlformats.org/officeDocument/2006/relationships" ref="M947" r:id="rId3475"/>
    <hyperlink xmlns:r="http://schemas.openxmlformats.org/officeDocument/2006/relationships" ref="N947" r:id="rId3476"/>
    <hyperlink xmlns:r="http://schemas.openxmlformats.org/officeDocument/2006/relationships" ref="P947" r:id="rId3477"/>
    <hyperlink xmlns:r="http://schemas.openxmlformats.org/officeDocument/2006/relationships" ref="M948" r:id="rId3478"/>
    <hyperlink xmlns:r="http://schemas.openxmlformats.org/officeDocument/2006/relationships" ref="N948" r:id="rId3479"/>
    <hyperlink xmlns:r="http://schemas.openxmlformats.org/officeDocument/2006/relationships" ref="O948" r:id="rId3480"/>
    <hyperlink xmlns:r="http://schemas.openxmlformats.org/officeDocument/2006/relationships" ref="P948" r:id="rId3481"/>
    <hyperlink xmlns:r="http://schemas.openxmlformats.org/officeDocument/2006/relationships" ref="M949" r:id="rId3482"/>
    <hyperlink xmlns:r="http://schemas.openxmlformats.org/officeDocument/2006/relationships" ref="N949" r:id="rId3483"/>
    <hyperlink xmlns:r="http://schemas.openxmlformats.org/officeDocument/2006/relationships" ref="O949" r:id="rId3484"/>
    <hyperlink xmlns:r="http://schemas.openxmlformats.org/officeDocument/2006/relationships" ref="P949" r:id="rId3485"/>
    <hyperlink xmlns:r="http://schemas.openxmlformats.org/officeDocument/2006/relationships" ref="M950" r:id="rId3486"/>
    <hyperlink xmlns:r="http://schemas.openxmlformats.org/officeDocument/2006/relationships" ref="N950" r:id="rId3487"/>
    <hyperlink xmlns:r="http://schemas.openxmlformats.org/officeDocument/2006/relationships" ref="O950" r:id="rId3488"/>
    <hyperlink xmlns:r="http://schemas.openxmlformats.org/officeDocument/2006/relationships" ref="P950" r:id="rId3489"/>
    <hyperlink xmlns:r="http://schemas.openxmlformats.org/officeDocument/2006/relationships" ref="M951" r:id="rId3490"/>
    <hyperlink xmlns:r="http://schemas.openxmlformats.org/officeDocument/2006/relationships" ref="N951" r:id="rId3491"/>
    <hyperlink xmlns:r="http://schemas.openxmlformats.org/officeDocument/2006/relationships" ref="O951" r:id="rId3492"/>
    <hyperlink xmlns:r="http://schemas.openxmlformats.org/officeDocument/2006/relationships" ref="P951" r:id="rId3493"/>
    <hyperlink xmlns:r="http://schemas.openxmlformats.org/officeDocument/2006/relationships" ref="M952" r:id="rId3494"/>
    <hyperlink xmlns:r="http://schemas.openxmlformats.org/officeDocument/2006/relationships" ref="N952" r:id="rId3495"/>
    <hyperlink xmlns:r="http://schemas.openxmlformats.org/officeDocument/2006/relationships" ref="O952" r:id="rId3496"/>
    <hyperlink xmlns:r="http://schemas.openxmlformats.org/officeDocument/2006/relationships" ref="P952" r:id="rId3497"/>
    <hyperlink xmlns:r="http://schemas.openxmlformats.org/officeDocument/2006/relationships" ref="M953" r:id="rId3498"/>
    <hyperlink xmlns:r="http://schemas.openxmlformats.org/officeDocument/2006/relationships" ref="N953" r:id="rId3499"/>
    <hyperlink xmlns:r="http://schemas.openxmlformats.org/officeDocument/2006/relationships" ref="O953" r:id="rId3500"/>
    <hyperlink xmlns:r="http://schemas.openxmlformats.org/officeDocument/2006/relationships" ref="P953" r:id="rId3501"/>
    <hyperlink xmlns:r="http://schemas.openxmlformats.org/officeDocument/2006/relationships" ref="M954" r:id="rId3502"/>
    <hyperlink xmlns:r="http://schemas.openxmlformats.org/officeDocument/2006/relationships" ref="N954" r:id="rId3503"/>
    <hyperlink xmlns:r="http://schemas.openxmlformats.org/officeDocument/2006/relationships" ref="O954" r:id="rId3504"/>
    <hyperlink xmlns:r="http://schemas.openxmlformats.org/officeDocument/2006/relationships" ref="P954" r:id="rId3505"/>
    <hyperlink xmlns:r="http://schemas.openxmlformats.org/officeDocument/2006/relationships" ref="M955" r:id="rId3506"/>
    <hyperlink xmlns:r="http://schemas.openxmlformats.org/officeDocument/2006/relationships" ref="N955" r:id="rId3507"/>
    <hyperlink xmlns:r="http://schemas.openxmlformats.org/officeDocument/2006/relationships" ref="O955" r:id="rId3508"/>
    <hyperlink xmlns:r="http://schemas.openxmlformats.org/officeDocument/2006/relationships" ref="P955" r:id="rId3509"/>
    <hyperlink xmlns:r="http://schemas.openxmlformats.org/officeDocument/2006/relationships" ref="M956" r:id="rId3510"/>
    <hyperlink xmlns:r="http://schemas.openxmlformats.org/officeDocument/2006/relationships" ref="N956" r:id="rId3511"/>
    <hyperlink xmlns:r="http://schemas.openxmlformats.org/officeDocument/2006/relationships" ref="O956" r:id="rId3512"/>
    <hyperlink xmlns:r="http://schemas.openxmlformats.org/officeDocument/2006/relationships" ref="P956" r:id="rId3513"/>
    <hyperlink xmlns:r="http://schemas.openxmlformats.org/officeDocument/2006/relationships" ref="M958" r:id="rId3514"/>
    <hyperlink xmlns:r="http://schemas.openxmlformats.org/officeDocument/2006/relationships" ref="N958" r:id="rId3515"/>
    <hyperlink xmlns:r="http://schemas.openxmlformats.org/officeDocument/2006/relationships" ref="O958" r:id="rId3516"/>
    <hyperlink xmlns:r="http://schemas.openxmlformats.org/officeDocument/2006/relationships" ref="P958" r:id="rId3517"/>
    <hyperlink xmlns:r="http://schemas.openxmlformats.org/officeDocument/2006/relationships" ref="M959" r:id="rId3518"/>
    <hyperlink xmlns:r="http://schemas.openxmlformats.org/officeDocument/2006/relationships" ref="N959" r:id="rId3519"/>
    <hyperlink xmlns:r="http://schemas.openxmlformats.org/officeDocument/2006/relationships" ref="O959" r:id="rId3520"/>
    <hyperlink xmlns:r="http://schemas.openxmlformats.org/officeDocument/2006/relationships" ref="P959" r:id="rId3521"/>
    <hyperlink xmlns:r="http://schemas.openxmlformats.org/officeDocument/2006/relationships" ref="M960" r:id="rId3522"/>
    <hyperlink xmlns:r="http://schemas.openxmlformats.org/officeDocument/2006/relationships" ref="N960" r:id="rId3523"/>
    <hyperlink xmlns:r="http://schemas.openxmlformats.org/officeDocument/2006/relationships" ref="O960" r:id="rId3524"/>
    <hyperlink xmlns:r="http://schemas.openxmlformats.org/officeDocument/2006/relationships" ref="P960" r:id="rId3525"/>
    <hyperlink xmlns:r="http://schemas.openxmlformats.org/officeDocument/2006/relationships" ref="M961" r:id="rId3526"/>
    <hyperlink xmlns:r="http://schemas.openxmlformats.org/officeDocument/2006/relationships" ref="N961" r:id="rId3527"/>
    <hyperlink xmlns:r="http://schemas.openxmlformats.org/officeDocument/2006/relationships" ref="O961" r:id="rId3528"/>
    <hyperlink xmlns:r="http://schemas.openxmlformats.org/officeDocument/2006/relationships" ref="P961" r:id="rId3529"/>
    <hyperlink xmlns:r="http://schemas.openxmlformats.org/officeDocument/2006/relationships" ref="M962" r:id="rId3530"/>
    <hyperlink xmlns:r="http://schemas.openxmlformats.org/officeDocument/2006/relationships" ref="N962" r:id="rId3531"/>
    <hyperlink xmlns:r="http://schemas.openxmlformats.org/officeDocument/2006/relationships" ref="O962" r:id="rId3532"/>
    <hyperlink xmlns:r="http://schemas.openxmlformats.org/officeDocument/2006/relationships" ref="P962" r:id="rId3533"/>
    <hyperlink xmlns:r="http://schemas.openxmlformats.org/officeDocument/2006/relationships" ref="M963" r:id="rId3534"/>
    <hyperlink xmlns:r="http://schemas.openxmlformats.org/officeDocument/2006/relationships" ref="N963" r:id="rId3535"/>
    <hyperlink xmlns:r="http://schemas.openxmlformats.org/officeDocument/2006/relationships" ref="O963" r:id="rId3536"/>
    <hyperlink xmlns:r="http://schemas.openxmlformats.org/officeDocument/2006/relationships" ref="P963" r:id="rId3537"/>
    <hyperlink xmlns:r="http://schemas.openxmlformats.org/officeDocument/2006/relationships" ref="M964" r:id="rId3538"/>
    <hyperlink xmlns:r="http://schemas.openxmlformats.org/officeDocument/2006/relationships" ref="N964" r:id="rId3539"/>
    <hyperlink xmlns:r="http://schemas.openxmlformats.org/officeDocument/2006/relationships" ref="O964" r:id="rId3540"/>
    <hyperlink xmlns:r="http://schemas.openxmlformats.org/officeDocument/2006/relationships" ref="P964" r:id="rId3541"/>
    <hyperlink xmlns:r="http://schemas.openxmlformats.org/officeDocument/2006/relationships" ref="M965" r:id="rId3542"/>
    <hyperlink xmlns:r="http://schemas.openxmlformats.org/officeDocument/2006/relationships" ref="N965" r:id="rId3543"/>
    <hyperlink xmlns:r="http://schemas.openxmlformats.org/officeDocument/2006/relationships" ref="O965" r:id="rId3544"/>
    <hyperlink xmlns:r="http://schemas.openxmlformats.org/officeDocument/2006/relationships" ref="P965" r:id="rId3545"/>
    <hyperlink xmlns:r="http://schemas.openxmlformats.org/officeDocument/2006/relationships" ref="M966" r:id="rId3546"/>
    <hyperlink xmlns:r="http://schemas.openxmlformats.org/officeDocument/2006/relationships" ref="N966" r:id="rId3547"/>
    <hyperlink xmlns:r="http://schemas.openxmlformats.org/officeDocument/2006/relationships" ref="O966" r:id="rId3548"/>
    <hyperlink xmlns:r="http://schemas.openxmlformats.org/officeDocument/2006/relationships" ref="P966" r:id="rId3549"/>
    <hyperlink xmlns:r="http://schemas.openxmlformats.org/officeDocument/2006/relationships" ref="M967" r:id="rId3550"/>
    <hyperlink xmlns:r="http://schemas.openxmlformats.org/officeDocument/2006/relationships" ref="N967" r:id="rId3551"/>
    <hyperlink xmlns:r="http://schemas.openxmlformats.org/officeDocument/2006/relationships" ref="P967" r:id="rId3552"/>
    <hyperlink xmlns:r="http://schemas.openxmlformats.org/officeDocument/2006/relationships" ref="M968" r:id="rId3553"/>
    <hyperlink xmlns:r="http://schemas.openxmlformats.org/officeDocument/2006/relationships" ref="N968" r:id="rId3554"/>
    <hyperlink xmlns:r="http://schemas.openxmlformats.org/officeDocument/2006/relationships" ref="P968" r:id="rId3555"/>
    <hyperlink xmlns:r="http://schemas.openxmlformats.org/officeDocument/2006/relationships" ref="M969" r:id="rId3556"/>
    <hyperlink xmlns:r="http://schemas.openxmlformats.org/officeDocument/2006/relationships" ref="N969" r:id="rId3557"/>
    <hyperlink xmlns:r="http://schemas.openxmlformats.org/officeDocument/2006/relationships" ref="P969" r:id="rId3558"/>
    <hyperlink xmlns:r="http://schemas.openxmlformats.org/officeDocument/2006/relationships" ref="M970" r:id="rId3559"/>
    <hyperlink xmlns:r="http://schemas.openxmlformats.org/officeDocument/2006/relationships" ref="N970" r:id="rId3560"/>
    <hyperlink xmlns:r="http://schemas.openxmlformats.org/officeDocument/2006/relationships" ref="O970" r:id="rId3561"/>
    <hyperlink xmlns:r="http://schemas.openxmlformats.org/officeDocument/2006/relationships" ref="P970" r:id="rId3562"/>
    <hyperlink xmlns:r="http://schemas.openxmlformats.org/officeDocument/2006/relationships" ref="M971" r:id="rId3563"/>
    <hyperlink xmlns:r="http://schemas.openxmlformats.org/officeDocument/2006/relationships" ref="N971" r:id="rId3564"/>
    <hyperlink xmlns:r="http://schemas.openxmlformats.org/officeDocument/2006/relationships" ref="P971" r:id="rId3565"/>
    <hyperlink xmlns:r="http://schemas.openxmlformats.org/officeDocument/2006/relationships" ref="M972" r:id="rId3566"/>
    <hyperlink xmlns:r="http://schemas.openxmlformats.org/officeDocument/2006/relationships" ref="N972" r:id="rId3567"/>
    <hyperlink xmlns:r="http://schemas.openxmlformats.org/officeDocument/2006/relationships" ref="O972" r:id="rId3568"/>
    <hyperlink xmlns:r="http://schemas.openxmlformats.org/officeDocument/2006/relationships" ref="P972" r:id="rId3569"/>
    <hyperlink xmlns:r="http://schemas.openxmlformats.org/officeDocument/2006/relationships" ref="M973" r:id="rId3570"/>
    <hyperlink xmlns:r="http://schemas.openxmlformats.org/officeDocument/2006/relationships" ref="N973" r:id="rId3571"/>
    <hyperlink xmlns:r="http://schemas.openxmlformats.org/officeDocument/2006/relationships" ref="O973" r:id="rId3572"/>
    <hyperlink xmlns:r="http://schemas.openxmlformats.org/officeDocument/2006/relationships" ref="P973" r:id="rId3573"/>
    <hyperlink xmlns:r="http://schemas.openxmlformats.org/officeDocument/2006/relationships" ref="M974" r:id="rId3574"/>
    <hyperlink xmlns:r="http://schemas.openxmlformats.org/officeDocument/2006/relationships" ref="N974" r:id="rId3575"/>
    <hyperlink xmlns:r="http://schemas.openxmlformats.org/officeDocument/2006/relationships" ref="O974" r:id="rId3576"/>
    <hyperlink xmlns:r="http://schemas.openxmlformats.org/officeDocument/2006/relationships" ref="P974" r:id="rId3577"/>
    <hyperlink xmlns:r="http://schemas.openxmlformats.org/officeDocument/2006/relationships" ref="M975" r:id="rId3578"/>
    <hyperlink xmlns:r="http://schemas.openxmlformats.org/officeDocument/2006/relationships" ref="N975" r:id="rId3579"/>
    <hyperlink xmlns:r="http://schemas.openxmlformats.org/officeDocument/2006/relationships" ref="O975" r:id="rId3580"/>
    <hyperlink xmlns:r="http://schemas.openxmlformats.org/officeDocument/2006/relationships" ref="P975" r:id="rId3581"/>
    <hyperlink xmlns:r="http://schemas.openxmlformats.org/officeDocument/2006/relationships" ref="M976" r:id="rId3582"/>
    <hyperlink xmlns:r="http://schemas.openxmlformats.org/officeDocument/2006/relationships" ref="N976" r:id="rId3583"/>
    <hyperlink xmlns:r="http://schemas.openxmlformats.org/officeDocument/2006/relationships" ref="P976" r:id="rId3584"/>
    <hyperlink xmlns:r="http://schemas.openxmlformats.org/officeDocument/2006/relationships" ref="M977" r:id="rId3585"/>
    <hyperlink xmlns:r="http://schemas.openxmlformats.org/officeDocument/2006/relationships" ref="N977" r:id="rId3586"/>
    <hyperlink xmlns:r="http://schemas.openxmlformats.org/officeDocument/2006/relationships" ref="O977" r:id="rId3587"/>
    <hyperlink xmlns:r="http://schemas.openxmlformats.org/officeDocument/2006/relationships" ref="P977" r:id="rId3588"/>
    <hyperlink xmlns:r="http://schemas.openxmlformats.org/officeDocument/2006/relationships" ref="M978" r:id="rId3589"/>
    <hyperlink xmlns:r="http://schemas.openxmlformats.org/officeDocument/2006/relationships" ref="N978" r:id="rId3590"/>
    <hyperlink xmlns:r="http://schemas.openxmlformats.org/officeDocument/2006/relationships" ref="O978" r:id="rId3591"/>
    <hyperlink xmlns:r="http://schemas.openxmlformats.org/officeDocument/2006/relationships" ref="P978" r:id="rId3592"/>
    <hyperlink xmlns:r="http://schemas.openxmlformats.org/officeDocument/2006/relationships" ref="M979" r:id="rId3593"/>
    <hyperlink xmlns:r="http://schemas.openxmlformats.org/officeDocument/2006/relationships" ref="N979" r:id="rId3594"/>
    <hyperlink xmlns:r="http://schemas.openxmlformats.org/officeDocument/2006/relationships" ref="P979" r:id="rId3595"/>
    <hyperlink xmlns:r="http://schemas.openxmlformats.org/officeDocument/2006/relationships" ref="M980" r:id="rId3596"/>
    <hyperlink xmlns:r="http://schemas.openxmlformats.org/officeDocument/2006/relationships" ref="N980" r:id="rId3597"/>
    <hyperlink xmlns:r="http://schemas.openxmlformats.org/officeDocument/2006/relationships" ref="O980" r:id="rId3598"/>
    <hyperlink xmlns:r="http://schemas.openxmlformats.org/officeDocument/2006/relationships" ref="P980" r:id="rId3599"/>
    <hyperlink xmlns:r="http://schemas.openxmlformats.org/officeDocument/2006/relationships" ref="M981" r:id="rId3600"/>
    <hyperlink xmlns:r="http://schemas.openxmlformats.org/officeDocument/2006/relationships" ref="N981" r:id="rId3601"/>
    <hyperlink xmlns:r="http://schemas.openxmlformats.org/officeDocument/2006/relationships" ref="O981" r:id="rId3602"/>
    <hyperlink xmlns:r="http://schemas.openxmlformats.org/officeDocument/2006/relationships" ref="P981" r:id="rId3603"/>
    <hyperlink xmlns:r="http://schemas.openxmlformats.org/officeDocument/2006/relationships" ref="M982" r:id="rId3604"/>
    <hyperlink xmlns:r="http://schemas.openxmlformats.org/officeDocument/2006/relationships" ref="N982" r:id="rId3605"/>
    <hyperlink xmlns:r="http://schemas.openxmlformats.org/officeDocument/2006/relationships" ref="P982" r:id="rId3606"/>
    <hyperlink xmlns:r="http://schemas.openxmlformats.org/officeDocument/2006/relationships" ref="M983" r:id="rId3607"/>
    <hyperlink xmlns:r="http://schemas.openxmlformats.org/officeDocument/2006/relationships" ref="N983" r:id="rId3608"/>
    <hyperlink xmlns:r="http://schemas.openxmlformats.org/officeDocument/2006/relationships" ref="O983" r:id="rId3609"/>
    <hyperlink xmlns:r="http://schemas.openxmlformats.org/officeDocument/2006/relationships" ref="P983" r:id="rId3610"/>
    <hyperlink xmlns:r="http://schemas.openxmlformats.org/officeDocument/2006/relationships" ref="M984" r:id="rId3611"/>
    <hyperlink xmlns:r="http://schemas.openxmlformats.org/officeDocument/2006/relationships" ref="N984" r:id="rId3612"/>
    <hyperlink xmlns:r="http://schemas.openxmlformats.org/officeDocument/2006/relationships" ref="O984" r:id="rId3613"/>
    <hyperlink xmlns:r="http://schemas.openxmlformats.org/officeDocument/2006/relationships" ref="P984" r:id="rId3614"/>
    <hyperlink xmlns:r="http://schemas.openxmlformats.org/officeDocument/2006/relationships" ref="M985" r:id="rId3615"/>
    <hyperlink xmlns:r="http://schemas.openxmlformats.org/officeDocument/2006/relationships" ref="N985" r:id="rId3616"/>
    <hyperlink xmlns:r="http://schemas.openxmlformats.org/officeDocument/2006/relationships" ref="O985" r:id="rId3617"/>
    <hyperlink xmlns:r="http://schemas.openxmlformats.org/officeDocument/2006/relationships" ref="P985" r:id="rId3618"/>
    <hyperlink xmlns:r="http://schemas.openxmlformats.org/officeDocument/2006/relationships" ref="M986" r:id="rId3619"/>
    <hyperlink xmlns:r="http://schemas.openxmlformats.org/officeDocument/2006/relationships" ref="N986" r:id="rId3620"/>
    <hyperlink xmlns:r="http://schemas.openxmlformats.org/officeDocument/2006/relationships" ref="O986" r:id="rId3621"/>
    <hyperlink xmlns:r="http://schemas.openxmlformats.org/officeDocument/2006/relationships" ref="P986" r:id="rId3622"/>
    <hyperlink xmlns:r="http://schemas.openxmlformats.org/officeDocument/2006/relationships" ref="M987" r:id="rId3623"/>
    <hyperlink xmlns:r="http://schemas.openxmlformats.org/officeDocument/2006/relationships" ref="N987" r:id="rId3624"/>
    <hyperlink xmlns:r="http://schemas.openxmlformats.org/officeDocument/2006/relationships" ref="O987" r:id="rId3625"/>
    <hyperlink xmlns:r="http://schemas.openxmlformats.org/officeDocument/2006/relationships" ref="P987" r:id="rId3626"/>
    <hyperlink xmlns:r="http://schemas.openxmlformats.org/officeDocument/2006/relationships" ref="P988" r:id="rId3627"/>
    <hyperlink xmlns:r="http://schemas.openxmlformats.org/officeDocument/2006/relationships" ref="M989" r:id="rId3628"/>
    <hyperlink xmlns:r="http://schemas.openxmlformats.org/officeDocument/2006/relationships" ref="N989" r:id="rId3629"/>
    <hyperlink xmlns:r="http://schemas.openxmlformats.org/officeDocument/2006/relationships" ref="O989" r:id="rId3630"/>
    <hyperlink xmlns:r="http://schemas.openxmlformats.org/officeDocument/2006/relationships" ref="P989" r:id="rId3631"/>
    <hyperlink xmlns:r="http://schemas.openxmlformats.org/officeDocument/2006/relationships" ref="M990" r:id="rId3632"/>
    <hyperlink xmlns:r="http://schemas.openxmlformats.org/officeDocument/2006/relationships" ref="P990" r:id="rId36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12" customWidth="1" min="3" max="3"/>
    <col width="11" customWidth="1" min="4" max="4"/>
    <col width="22" customWidth="1" min="5" max="5"/>
    <col width="26" customWidth="1" min="6" max="6"/>
    <col width="11" customWidth="1" min="7" max="7"/>
    <col width="10" customWidth="1" min="8" max="8"/>
    <col width="38" customWidth="1" min="9" max="9"/>
    <col width="11" customWidth="1" min="10" max="10"/>
    <col width="26" customWidth="1" min="11" max="11"/>
    <col width="18" customWidth="1" min="12" max="12"/>
    <col width="34" customWidth="1" min="13" max="13"/>
    <col width="34" customWidth="1" min="14" max="14"/>
    <col width="30" customWidth="1" min="15" max="15"/>
    <col width="30" customWidth="1" min="16" max="16"/>
    <col width="26" customWidth="1" min="17" max="17"/>
    <col width="18" customWidth="1" min="18" max="18"/>
    <col width="22" customWidth="1" min="19" max="19"/>
    <col width="40" customWidth="1" min="20" max="20"/>
  </cols>
  <sheetData>
    <row r="1" ht="32" customHeight="1">
      <c r="A1" s="1" t="inlineStr">
        <is>
          <t>Nom</t>
        </is>
      </c>
      <c r="B1" s="1" t="inlineStr">
        <is>
          <t>Type</t>
        </is>
      </c>
      <c r="C1" s="1" t="inlineStr">
        <is>
          <t>SIREN</t>
        </is>
      </c>
      <c r="D1" s="1" t="inlineStr">
        <is>
          <t>Code département</t>
        </is>
      </c>
      <c r="E1" s="1" t="inlineStr">
        <is>
          <t>Département</t>
        </is>
      </c>
      <c r="F1" s="1" t="inlineStr">
        <is>
          <t>Région</t>
        </is>
      </c>
      <c r="G1" s="1" t="inlineStr">
        <is>
          <t>Population</t>
        </is>
      </c>
      <c r="H1" s="1" t="inlineStr">
        <is>
          <t>Communes</t>
        </is>
      </c>
      <c r="I1" s="1" t="inlineStr">
        <is>
          <t>Adresse</t>
        </is>
      </c>
      <c r="J1" s="1" t="inlineStr">
        <is>
          <t>Code postal</t>
        </is>
      </c>
      <c r="K1" s="1" t="inlineStr">
        <is>
          <t>Commune</t>
        </is>
      </c>
      <c r="L1" s="1" t="inlineStr">
        <is>
          <t>Téléphone</t>
        </is>
      </c>
      <c r="M1" s="1" t="inlineStr">
        <is>
          <t>Courriel</t>
        </is>
      </c>
      <c r="N1" s="1" t="inlineStr">
        <is>
          <t>Site web</t>
        </is>
      </c>
      <c r="O1" s="1" t="inlineStr">
        <is>
          <t>Formulaire de contact</t>
        </is>
      </c>
      <c r="P1" s="1" t="inlineStr">
        <is>
          <t>Fiche Service-public.fr</t>
        </is>
      </c>
      <c r="Q1" s="1" t="inlineStr">
        <is>
          <t>Source des coordonnées</t>
        </is>
      </c>
      <c r="R1" s="2" t="inlineStr">
        <is>
          <t>Statut prospection</t>
        </is>
      </c>
      <c r="S1" s="2" t="inlineStr">
        <is>
          <t>Interlocuteur</t>
        </is>
      </c>
      <c r="T1" s="2" t="inlineStr">
        <is>
          <t>Notes</t>
        </is>
      </c>
    </row>
    <row r="2">
      <c r="A2" t="inlineStr">
        <is>
          <t>CA Haut-Bugey Agglomération</t>
        </is>
      </c>
      <c r="B2" t="inlineStr">
        <is>
          <t>Communauté d’agglomération</t>
        </is>
      </c>
      <c r="C2" t="inlineStr">
        <is>
          <t>200042935</t>
        </is>
      </c>
      <c r="D2" t="inlineStr">
        <is>
          <t>01</t>
        </is>
      </c>
      <c r="E2" t="inlineStr">
        <is>
          <t>Ain</t>
        </is>
      </c>
      <c r="F2" t="inlineStr">
        <is>
          <t>Auvergne-Rhône-Alpes</t>
        </is>
      </c>
      <c r="G2" s="3" t="n">
        <v>63653</v>
      </c>
      <c r="H2" t="n">
        <v>42</v>
      </c>
      <c r="I2" t="inlineStr">
        <is>
          <t>57 rue René-Nicod, CS 80502</t>
        </is>
      </c>
      <c r="J2" t="inlineStr">
        <is>
          <t>01117</t>
        </is>
      </c>
      <c r="K2" t="inlineStr">
        <is>
          <t>Oyonnax Cedex</t>
        </is>
      </c>
      <c r="L2" t="inlineStr">
        <is>
          <t>04 74 81 23 70</t>
        </is>
      </c>
      <c r="M2" s="4" t="inlineStr">
        <is>
          <t>contact@hautbugey-agglomeration.fr</t>
        </is>
      </c>
      <c r="N2" s="4" t="inlineStr">
        <is>
          <t>https://www.hautbugey-agglomeration.fr/</t>
        </is>
      </c>
      <c r="O2" s="4" t="inlineStr">
        <is>
          <t>https://www.hautbugey-agglomeration.fr/contact/</t>
        </is>
      </c>
      <c r="P2" s="4" t="inlineStr">
        <is>
          <t>https://lannuaire.service-public.gouv.fr/auvergne-rhone-alpes/ain/962e7b55-0ddf-4a4f-a60a-ca707ad1b57f</t>
        </is>
      </c>
      <c r="Q2" t="inlineStr">
        <is>
          <t>Annuaire Service-public.fr</t>
        </is>
      </c>
      <c r="R2" t="inlineStr"/>
      <c r="S2" t="inlineStr"/>
      <c r="T2" t="inlineStr"/>
    </row>
    <row r="3">
      <c r="A3" t="inlineStr">
        <is>
          <t>CA Mâconnais Beaujolais Agglomération</t>
        </is>
      </c>
      <c r="B3" t="inlineStr">
        <is>
          <t>Communauté d’agglomération</t>
        </is>
      </c>
      <c r="C3" t="inlineStr">
        <is>
          <t>200070308</t>
        </is>
      </c>
      <c r="D3" t="inlineStr">
        <is>
          <t>01, 71</t>
        </is>
      </c>
      <c r="E3" t="inlineStr">
        <is>
          <t>Ain, Saône-et-Loire</t>
        </is>
      </c>
      <c r="F3" t="inlineStr">
        <is>
          <t>Bourgogne-Franche-Comté, Auvergne-Rhône-Alpes</t>
        </is>
      </c>
      <c r="G3" s="3" t="n">
        <v>79589</v>
      </c>
      <c r="H3" t="n">
        <v>39</v>
      </c>
      <c r="I3" t="inlineStr">
        <is>
          <t>67 esplanade du Breuil, CS 20811</t>
        </is>
      </c>
      <c r="J3" t="inlineStr">
        <is>
          <t>71011</t>
        </is>
      </c>
      <c r="K3" t="inlineStr">
        <is>
          <t>Mâcon Cedex</t>
        </is>
      </c>
      <c r="L3" t="inlineStr">
        <is>
          <t>03 85 21 07 70</t>
        </is>
      </c>
      <c r="M3" s="4" t="inlineStr">
        <is>
          <t>accueil@mb-agglo.com</t>
        </is>
      </c>
      <c r="N3" s="4" t="inlineStr">
        <is>
          <t>https://www.mb-agglo.com/</t>
        </is>
      </c>
      <c r="O3" s="4" t="inlineStr">
        <is>
          <t>https://www.mb-agglo.com/contactez-nous/</t>
        </is>
      </c>
      <c r="P3" s="4" t="inlineStr">
        <is>
          <t>https://lannuaire.service-public.gouv.fr/bourgogne-franche-comte/saone-et-loire/d3196a02-46c9-4f45-a8b9-903c09238373</t>
        </is>
      </c>
      <c r="Q3" t="inlineStr">
        <is>
          <t>Annuaire Service-public.fr</t>
        </is>
      </c>
      <c r="R3" t="inlineStr"/>
      <c r="S3" t="inlineStr"/>
      <c r="T3" t="inlineStr"/>
    </row>
    <row r="4">
      <c r="A4" t="inlineStr">
        <is>
          <t>CA Villefranche Beaujolais Saône</t>
        </is>
      </c>
      <c r="B4" t="inlineStr">
        <is>
          <t>Communauté d’agglomération</t>
        </is>
      </c>
      <c r="C4" t="inlineStr">
        <is>
          <t>200040590</t>
        </is>
      </c>
      <c r="D4" t="inlineStr">
        <is>
          <t>01, 69</t>
        </is>
      </c>
      <c r="E4" t="inlineStr">
        <is>
          <t>Ain, Rhône</t>
        </is>
      </c>
      <c r="F4" t="inlineStr">
        <is>
          <t>Auvergne-Rhône-Alpes</t>
        </is>
      </c>
      <c r="G4" s="3" t="n">
        <v>73717</v>
      </c>
      <c r="H4" t="n">
        <v>18</v>
      </c>
      <c r="I4" t="inlineStr">
        <is>
          <t>115 rue Paul-Bert</t>
        </is>
      </c>
      <c r="J4" t="inlineStr">
        <is>
          <t>69400</t>
        </is>
      </c>
      <c r="K4" t="inlineStr">
        <is>
          <t>Villefranche-sur-Saône</t>
        </is>
      </c>
      <c r="L4" t="inlineStr">
        <is>
          <t>04 74 68 23 08</t>
        </is>
      </c>
      <c r="M4" s="4" t="inlineStr">
        <is>
          <t>contact@agglo-villefranche.fr</t>
        </is>
      </c>
      <c r="N4" s="4" t="inlineStr">
        <is>
          <t>https://www.agglo-villefranche.fr/</t>
        </is>
      </c>
      <c r="O4" s="4" t="inlineStr">
        <is>
          <t>https://www.agglo-villefranche.fr/contact.html</t>
        </is>
      </c>
      <c r="P4" s="4" t="inlineStr">
        <is>
          <t>https://lannuaire.service-public.gouv.fr/auvergne-rhone-alpes/rhone/f1576417-82b5-4259-84ee-024d195afb6a</t>
        </is>
      </c>
      <c r="Q4" t="inlineStr">
        <is>
          <t>Annuaire Service-public.fr</t>
        </is>
      </c>
      <c r="R4" t="inlineStr"/>
      <c r="S4" t="inlineStr"/>
      <c r="T4" t="inlineStr"/>
    </row>
    <row r="5">
      <c r="A5" t="inlineStr">
        <is>
          <t>CA du Bassin de Bourg-en-Bresse</t>
        </is>
      </c>
      <c r="B5" t="inlineStr">
        <is>
          <t>Communauté d’agglomération</t>
        </is>
      </c>
      <c r="C5" t="inlineStr">
        <is>
          <t>200071751</t>
        </is>
      </c>
      <c r="D5" t="inlineStr">
        <is>
          <t>01</t>
        </is>
      </c>
      <c r="E5" t="inlineStr">
        <is>
          <t>Ain</t>
        </is>
      </c>
      <c r="F5" t="inlineStr">
        <is>
          <t>Auvergne-Rhône-Alpes</t>
        </is>
      </c>
      <c r="G5" s="3" t="n">
        <v>135794</v>
      </c>
      <c r="H5" t="n">
        <v>74</v>
      </c>
      <c r="I5" t="inlineStr">
        <is>
          <t>3 avenue Arsène-d'Arsonval</t>
        </is>
      </c>
      <c r="J5" t="inlineStr">
        <is>
          <t>01000</t>
        </is>
      </c>
      <c r="K5" t="inlineStr">
        <is>
          <t>Bourg-en-Bresse</t>
        </is>
      </c>
      <c r="L5" t="inlineStr">
        <is>
          <t>04 74 24 75 15</t>
        </is>
      </c>
      <c r="M5" s="4" t="inlineStr">
        <is>
          <t>courrier@grandbourg.fr</t>
        </is>
      </c>
      <c r="N5" s="4" t="inlineStr">
        <is>
          <t>https://www.grandbourg.fr/index.php</t>
        </is>
      </c>
      <c r="O5" s="4" t="inlineStr">
        <is>
          <t>https://www.grandbourg.fr/13-contact.htm</t>
        </is>
      </c>
      <c r="P5" s="4" t="inlineStr">
        <is>
          <t>https://lannuaire.service-public.gouv.fr/auvergne-rhone-alpes/ain/fc74a1a8-3b7f-42c3-8417-12b50fe31600</t>
        </is>
      </c>
      <c r="Q5" t="inlineStr">
        <is>
          <t>Annuaire Service-public.fr</t>
        </is>
      </c>
      <c r="R5" t="inlineStr"/>
      <c r="S5" t="inlineStr"/>
      <c r="T5" t="inlineStr"/>
    </row>
    <row r="6">
      <c r="A6" t="inlineStr">
        <is>
          <t>CA du Pays de Gex</t>
        </is>
      </c>
      <c r="B6" t="inlineStr">
        <is>
          <t>Communauté d’agglomération</t>
        </is>
      </c>
      <c r="C6" t="inlineStr">
        <is>
          <t>240100750</t>
        </is>
      </c>
      <c r="D6" t="inlineStr">
        <is>
          <t>01</t>
        </is>
      </c>
      <c r="E6" t="inlineStr">
        <is>
          <t>Ain</t>
        </is>
      </c>
      <c r="F6" t="inlineStr">
        <is>
          <t>Auvergne-Rhône-Alpes</t>
        </is>
      </c>
      <c r="G6" s="3" t="n">
        <v>104770</v>
      </c>
      <c r="H6" t="n">
        <v>27</v>
      </c>
      <c r="I6" t="inlineStr">
        <is>
          <t>135 rue de Genève</t>
        </is>
      </c>
      <c r="J6" t="inlineStr">
        <is>
          <t>01170</t>
        </is>
      </c>
      <c r="K6" t="inlineStr">
        <is>
          <t>Gex</t>
        </is>
      </c>
      <c r="L6" t="inlineStr">
        <is>
          <t>04 50 42 65 00</t>
        </is>
      </c>
      <c r="M6" s="4" t="inlineStr">
        <is>
          <t>info@paysdegexagglo.fr</t>
        </is>
      </c>
      <c r="N6" s="4" t="inlineStr">
        <is>
          <t>https://www.paysdegexagglo.fr/</t>
        </is>
      </c>
      <c r="O6" s="4" t="inlineStr">
        <is>
          <t>https://www.facebook.com/PaysdeGexagglo/</t>
        </is>
      </c>
      <c r="P6" s="4" t="inlineStr">
        <is>
          <t>https://lannuaire.service-public.gouv.fr/auvergne-rhone-alpes/ain/e585f86a-f226-409d-88fc-094773ba33fa</t>
        </is>
      </c>
      <c r="Q6" t="inlineStr">
        <is>
          <t>Annuaire Service-public.fr</t>
        </is>
      </c>
      <c r="R6" t="inlineStr"/>
      <c r="S6" t="inlineStr"/>
      <c r="T6" t="inlineStr"/>
    </row>
    <row r="7">
      <c r="A7" t="inlineStr">
        <is>
          <t>CA Chauny Tergnier La Fère</t>
        </is>
      </c>
      <c r="B7" t="inlineStr">
        <is>
          <t>Communauté d’agglomération</t>
        </is>
      </c>
      <c r="C7" t="inlineStr">
        <is>
          <t>200071785</t>
        </is>
      </c>
      <c r="D7" t="inlineStr">
        <is>
          <t>02</t>
        </is>
      </c>
      <c r="E7" t="inlineStr">
        <is>
          <t>Aisne</t>
        </is>
      </c>
      <c r="F7" t="inlineStr">
        <is>
          <t>Hauts-de-France</t>
        </is>
      </c>
      <c r="G7" s="3" t="n">
        <v>54316</v>
      </c>
      <c r="H7" t="n">
        <v>48</v>
      </c>
      <c r="I7" t="inlineStr">
        <is>
          <t>57 boulevard Gambetta</t>
        </is>
      </c>
      <c r="J7" t="inlineStr">
        <is>
          <t>02300</t>
        </is>
      </c>
      <c r="K7" t="inlineStr">
        <is>
          <t>Chauny</t>
        </is>
      </c>
      <c r="L7" t="inlineStr">
        <is>
          <t>03 23 39 94 94</t>
        </is>
      </c>
      <c r="M7" s="4" t="inlineStr">
        <is>
          <t>accueil@ctlf.fr</t>
        </is>
      </c>
      <c r="N7" s="4" t="inlineStr">
        <is>
          <t>https://ctlf.fr/</t>
        </is>
      </c>
      <c r="O7" t="inlineStr"/>
      <c r="P7" s="4" t="inlineStr">
        <is>
          <t>https://lannuaire.service-public.gouv.fr/hauts-de-france/aisne/c727e91b-1c70-40e2-becd-6749aa7bcd40</t>
        </is>
      </c>
      <c r="Q7" t="inlineStr">
        <is>
          <t>Annuaire Service-public.fr</t>
        </is>
      </c>
      <c r="R7" t="inlineStr"/>
      <c r="S7" t="inlineStr"/>
      <c r="T7" t="inlineStr"/>
    </row>
    <row r="8">
      <c r="A8" t="inlineStr">
        <is>
          <t>CA GrandSoissons Agglomération</t>
        </is>
      </c>
      <c r="B8" t="inlineStr">
        <is>
          <t>Communauté d’agglomération</t>
        </is>
      </c>
      <c r="C8" t="inlineStr">
        <is>
          <t>240200477</t>
        </is>
      </c>
      <c r="D8" t="inlineStr">
        <is>
          <t>02</t>
        </is>
      </c>
      <c r="E8" t="inlineStr">
        <is>
          <t>Aisne</t>
        </is>
      </c>
      <c r="F8" t="inlineStr">
        <is>
          <t>Hauts-de-France</t>
        </is>
      </c>
      <c r="G8" s="3" t="n">
        <v>52447</v>
      </c>
      <c r="H8" t="n">
        <v>27</v>
      </c>
      <c r="I8" t="inlineStr">
        <is>
          <t>11 avenue François-Mitterand</t>
        </is>
      </c>
      <c r="J8" t="inlineStr">
        <is>
          <t>02880</t>
        </is>
      </c>
      <c r="K8" t="inlineStr">
        <is>
          <t>Cuffies</t>
        </is>
      </c>
      <c r="L8" t="inlineStr">
        <is>
          <t>03 23 53 88 40</t>
        </is>
      </c>
      <c r="M8" s="4" t="inlineStr">
        <is>
          <t>accueilagglo@agglo-soissonnais.com</t>
        </is>
      </c>
      <c r="N8" s="4" t="inlineStr">
        <is>
          <t>https://www.grandsoissons.com/</t>
        </is>
      </c>
      <c r="O8" s="4" t="inlineStr">
        <is>
          <t>https://www.grandsoissons.com/contact-1/</t>
        </is>
      </c>
      <c r="P8" s="4" t="inlineStr">
        <is>
          <t>https://lannuaire.service-public.gouv.fr/hauts-de-france/aisne/c96ebd66-bf83-481a-ab48-1d6e4821cf09</t>
        </is>
      </c>
      <c r="Q8" t="inlineStr">
        <is>
          <t>Annuaire Service-public.fr</t>
        </is>
      </c>
      <c r="R8" t="inlineStr"/>
      <c r="S8" t="inlineStr"/>
      <c r="T8" t="inlineStr"/>
    </row>
    <row r="9">
      <c r="A9" t="inlineStr">
        <is>
          <t>CA de la Région de Château-Thierry</t>
        </is>
      </c>
      <c r="B9" t="inlineStr">
        <is>
          <t>Communauté d’agglomération</t>
        </is>
      </c>
      <c r="C9" t="inlineStr">
        <is>
          <t>200072031</t>
        </is>
      </c>
      <c r="D9" t="inlineStr">
        <is>
          <t>02</t>
        </is>
      </c>
      <c r="E9" t="inlineStr">
        <is>
          <t>Aisne</t>
        </is>
      </c>
      <c r="F9" t="inlineStr">
        <is>
          <t>Hauts-de-France</t>
        </is>
      </c>
      <c r="G9" s="3" t="n">
        <v>54077</v>
      </c>
      <c r="H9" t="n">
        <v>87</v>
      </c>
      <c r="I9" t="inlineStr">
        <is>
          <t>2 avenue Ernest-Couvrecelle, LAiguillage</t>
        </is>
      </c>
      <c r="J9" t="inlineStr">
        <is>
          <t>02400</t>
        </is>
      </c>
      <c r="K9" t="inlineStr">
        <is>
          <t>Étampes-sur-Marne</t>
        </is>
      </c>
      <c r="L9" t="inlineStr">
        <is>
          <t>03 23 69 75 41</t>
        </is>
      </c>
      <c r="M9" s="4" t="inlineStr">
        <is>
          <t>contact@carct.fr</t>
        </is>
      </c>
      <c r="N9" s="4" t="inlineStr">
        <is>
          <t>https://www.carct.fr/</t>
        </is>
      </c>
      <c r="O9" s="4" t="inlineStr">
        <is>
          <t>https://www.carct.fr/contact</t>
        </is>
      </c>
      <c r="P9" s="4" t="inlineStr">
        <is>
          <t>https://lannuaire.service-public.gouv.fr/hauts-de-france/aisne/6838c422-6b33-4d95-9982-99d5fadf3cca</t>
        </is>
      </c>
      <c r="Q9" t="inlineStr">
        <is>
          <t>Annuaire Service-public.fr</t>
        </is>
      </c>
      <c r="R9" t="inlineStr"/>
      <c r="S9" t="inlineStr"/>
      <c r="T9" t="inlineStr"/>
    </row>
    <row r="10">
      <c r="A10" t="inlineStr">
        <is>
          <t>CA du Pays de Laon</t>
        </is>
      </c>
      <c r="B10" t="inlineStr">
        <is>
          <t>Communauté d’agglomération</t>
        </is>
      </c>
      <c r="C10" t="inlineStr">
        <is>
          <t>200043495</t>
        </is>
      </c>
      <c r="D10" t="inlineStr">
        <is>
          <t>02</t>
        </is>
      </c>
      <c r="E10" t="inlineStr">
        <is>
          <t>Aisne</t>
        </is>
      </c>
      <c r="F10" t="inlineStr">
        <is>
          <t>Hauts-de-France</t>
        </is>
      </c>
      <c r="G10" s="3" t="n">
        <v>41771</v>
      </c>
      <c r="H10" t="n">
        <v>38</v>
      </c>
      <c r="I10" t="inlineStr">
        <is>
          <t>60 rue de Chambry</t>
        </is>
      </c>
      <c r="J10" t="inlineStr">
        <is>
          <t>02000</t>
        </is>
      </c>
      <c r="K10" t="inlineStr">
        <is>
          <t>Aulnois-sous-Laon</t>
        </is>
      </c>
      <c r="L10" t="inlineStr">
        <is>
          <t>03 23 22 31 00</t>
        </is>
      </c>
      <c r="M10" s="4" t="inlineStr">
        <is>
          <t>contact@ca-paysdelaon.fr</t>
        </is>
      </c>
      <c r="N10" s="4" t="inlineStr">
        <is>
          <t>https://www.ca-paysdelaon.fr/</t>
        </is>
      </c>
      <c r="O10" s="4" t="inlineStr">
        <is>
          <t>https://www.ca-paysdelaon.fr/contact/</t>
        </is>
      </c>
      <c r="P10" s="4" t="inlineStr">
        <is>
          <t>https://lannuaire.service-public.gouv.fr/hauts-de-france/aisne/c5c1d88b-fb06-4679-89d2-11fd865af4de</t>
        </is>
      </c>
      <c r="Q10" t="inlineStr">
        <is>
          <t>Annuaire Service-public.fr</t>
        </is>
      </c>
      <c r="R10" t="inlineStr"/>
      <c r="S10" t="inlineStr"/>
      <c r="T10" t="inlineStr"/>
    </row>
    <row r="11">
      <c r="A11" t="inlineStr">
        <is>
          <t>CA du Saint-Quentinois</t>
        </is>
      </c>
      <c r="B11" t="inlineStr">
        <is>
          <t>Communauté d’agglomération</t>
        </is>
      </c>
      <c r="C11" t="inlineStr">
        <is>
          <t>200071892</t>
        </is>
      </c>
      <c r="D11" t="inlineStr">
        <is>
          <t>02</t>
        </is>
      </c>
      <c r="E11" t="inlineStr">
        <is>
          <t>Aisne</t>
        </is>
      </c>
      <c r="F11" t="inlineStr">
        <is>
          <t>Hauts-de-France</t>
        </is>
      </c>
      <c r="G11" s="3" t="n">
        <v>79327</v>
      </c>
      <c r="H11" t="n">
        <v>39</v>
      </c>
      <c r="I11" t="inlineStr">
        <is>
          <t>58 boulevard Victor-Hugo</t>
        </is>
      </c>
      <c r="J11" t="inlineStr">
        <is>
          <t>02108</t>
        </is>
      </c>
      <c r="K11" t="inlineStr">
        <is>
          <t>Saint-Quentin</t>
        </is>
      </c>
      <c r="L11" t="inlineStr">
        <is>
          <t>03 23 06 30 06</t>
        </is>
      </c>
      <c r="M11" s="4" t="inlineStr">
        <is>
          <t>agglojecoute@casq.fr</t>
        </is>
      </c>
      <c r="N11" s="4" t="inlineStr">
        <is>
          <t>https://www.agglo-saintquentinois.fr/</t>
        </is>
      </c>
      <c r="O11" s="4" t="inlineStr">
        <is>
          <t>https://www.agglo-saintquentinois.fr/formulaires/contactez-nous-9.html</t>
        </is>
      </c>
      <c r="P11" s="4" t="inlineStr">
        <is>
          <t>https://lannuaire.service-public.gouv.fr/hauts-de-france/aisne/66d47899-ac77-4a53-8a68-19569c321150</t>
        </is>
      </c>
      <c r="Q11" t="inlineStr">
        <is>
          <t>Annuaire Service-public.fr</t>
        </is>
      </c>
      <c r="R11" t="inlineStr"/>
      <c r="S11" t="inlineStr"/>
      <c r="T11" t="inlineStr"/>
    </row>
    <row r="12">
      <c r="A12" t="inlineStr">
        <is>
          <t>CA Montluçon Communauté</t>
        </is>
      </c>
      <c r="B12" t="inlineStr">
        <is>
          <t>Communauté d’agglomération</t>
        </is>
      </c>
      <c r="C12" t="inlineStr">
        <is>
          <t>200071082</t>
        </is>
      </c>
      <c r="D12" t="inlineStr">
        <is>
          <t>03</t>
        </is>
      </c>
      <c r="E12" t="inlineStr">
        <is>
          <t>Allier</t>
        </is>
      </c>
      <c r="F12" t="inlineStr">
        <is>
          <t>Auvergne-Rhône-Alpes</t>
        </is>
      </c>
      <c r="G12" s="3" t="n">
        <v>59380</v>
      </c>
      <c r="H12" t="n">
        <v>21</v>
      </c>
      <c r="I12" t="inlineStr">
        <is>
          <t>Cité administrative, 1 rue des Conches</t>
        </is>
      </c>
      <c r="J12" t="inlineStr">
        <is>
          <t>03100</t>
        </is>
      </c>
      <c r="K12" t="inlineStr">
        <is>
          <t>Montluçon</t>
        </is>
      </c>
      <c r="L12" t="inlineStr">
        <is>
          <t>04 70 02 55 00</t>
        </is>
      </c>
      <c r="M12" s="4" t="inlineStr">
        <is>
          <t>contact@agglo-montlucon.fr</t>
        </is>
      </c>
      <c r="N12" s="4" t="inlineStr">
        <is>
          <t>https://www.montlucon-communaute.com/</t>
        </is>
      </c>
      <c r="O12" s="4" t="inlineStr">
        <is>
          <t>https://www.montlucon-communaute.com/divers/contactez-nous/</t>
        </is>
      </c>
      <c r="P12" s="4" t="inlineStr">
        <is>
          <t>https://lannuaire.service-public.gouv.fr/auvergne-rhone-alpes/allier/421d109f-86fe-4f13-81d0-181a17eb15f0</t>
        </is>
      </c>
      <c r="Q12" t="inlineStr">
        <is>
          <t>Annuaire Service-public.fr</t>
        </is>
      </c>
      <c r="R12" t="inlineStr"/>
      <c r="S12" t="inlineStr"/>
      <c r="T12" t="inlineStr"/>
    </row>
    <row r="13">
      <c r="A13" t="inlineStr">
        <is>
          <t>CA Moulins Communauté</t>
        </is>
      </c>
      <c r="B13" t="inlineStr">
        <is>
          <t>Communauté d’agglomération</t>
        </is>
      </c>
      <c r="C13" t="inlineStr">
        <is>
          <t>200071140</t>
        </is>
      </c>
      <c r="D13" t="inlineStr">
        <is>
          <t>03, 58</t>
        </is>
      </c>
      <c r="E13" t="inlineStr">
        <is>
          <t>Allier, Nièvre</t>
        </is>
      </c>
      <c r="F13" t="inlineStr">
        <is>
          <t>Bourgogne-Franche-Comté, Auvergne-Rhône-Alpes</t>
        </is>
      </c>
      <c r="G13" s="3" t="n">
        <v>64246</v>
      </c>
      <c r="H13" t="n">
        <v>44</v>
      </c>
      <c r="I13" t="inlineStr">
        <is>
          <t>8 place du Maréchal-de-Lattre-de-Tassigny</t>
        </is>
      </c>
      <c r="J13" t="inlineStr">
        <is>
          <t>03000</t>
        </is>
      </c>
      <c r="K13" t="inlineStr">
        <is>
          <t>Moulins</t>
        </is>
      </c>
      <c r="L13" t="inlineStr">
        <is>
          <t>04 70 48 54 54</t>
        </is>
      </c>
      <c r="M13" s="4" t="inlineStr">
        <is>
          <t>contact.agglo@agglo-moulins.fr</t>
        </is>
      </c>
      <c r="N13" s="4" t="inlineStr">
        <is>
          <t>https://www.agglo-moulins.fr/</t>
        </is>
      </c>
      <c r="O13" s="4" t="inlineStr">
        <is>
          <t>https://www.agglo-moulins.fr/contact.html</t>
        </is>
      </c>
      <c r="P13" s="4" t="inlineStr">
        <is>
          <t>https://lannuaire.service-public.gouv.fr/auvergne-rhone-alpes/allier/7c1ae671-e9af-4b4b-b4fb-cc80ad8fa9df</t>
        </is>
      </c>
      <c r="Q13" t="inlineStr">
        <is>
          <t>Annuaire Service-public.fr</t>
        </is>
      </c>
      <c r="R13" t="inlineStr"/>
      <c r="S13" t="inlineStr"/>
      <c r="T13" t="inlineStr"/>
    </row>
    <row r="14">
      <c r="A14" t="inlineStr">
        <is>
          <t>CA Vichy Communauté</t>
        </is>
      </c>
      <c r="B14" t="inlineStr">
        <is>
          <t>Communauté d’agglomération</t>
        </is>
      </c>
      <c r="C14" t="inlineStr">
        <is>
          <t>200071363</t>
        </is>
      </c>
      <c r="D14" t="inlineStr">
        <is>
          <t>03</t>
        </is>
      </c>
      <c r="E14" t="inlineStr">
        <is>
          <t>Allier</t>
        </is>
      </c>
      <c r="F14" t="inlineStr">
        <is>
          <t>Auvergne-Rhône-Alpes</t>
        </is>
      </c>
      <c r="G14" s="3" t="n">
        <v>84566</v>
      </c>
      <c r="H14" t="n">
        <v>39</v>
      </c>
      <c r="I14" t="inlineStr">
        <is>
          <t>9 place Charles-de-Gaulle</t>
        </is>
      </c>
      <c r="J14" t="inlineStr">
        <is>
          <t>03200</t>
        </is>
      </c>
      <c r="K14" t="inlineStr">
        <is>
          <t>Vichy</t>
        </is>
      </c>
      <c r="L14" t="inlineStr">
        <is>
          <t>04 70 96 57 00</t>
        </is>
      </c>
      <c r="M14" s="4" t="inlineStr">
        <is>
          <t>accueil@vichy-communaute.fr</t>
        </is>
      </c>
      <c r="N14" s="4" t="inlineStr">
        <is>
          <t>https://www.vichy-communaute.fr/</t>
        </is>
      </c>
      <c r="O14" s="4" t="inlineStr">
        <is>
          <t>https://www.vichy-communaute.fr/contact/</t>
        </is>
      </c>
      <c r="P14" s="4" t="inlineStr">
        <is>
          <t>https://lannuaire.service-public.gouv.fr/auvergne-rhone-alpes/allier/bd0f190a-8582-44ca-9210-e1de5a9aeed6</t>
        </is>
      </c>
      <c r="Q14" t="inlineStr">
        <is>
          <t>Annuaire Service-public.fr</t>
        </is>
      </c>
      <c r="R14" t="inlineStr"/>
      <c r="S14" t="inlineStr"/>
      <c r="T14" t="inlineStr"/>
    </row>
    <row r="15">
      <c r="A15" t="inlineStr">
        <is>
          <t>CA Durance-Lubéron-Verdon Agglomération</t>
        </is>
      </c>
      <c r="B15" t="inlineStr">
        <is>
          <t>Communauté d’agglomération</t>
        </is>
      </c>
      <c r="C15" t="inlineStr">
        <is>
          <t>200034700</t>
        </is>
      </c>
      <c r="D15" t="inlineStr">
        <is>
          <t>04, 83</t>
        </is>
      </c>
      <c r="E15" t="inlineStr">
        <is>
          <t>Alpes-de-Haute-Provence, Var</t>
        </is>
      </c>
      <c r="F15" t="inlineStr">
        <is>
          <t>Provence-Alpes-Côte d'Azur</t>
        </is>
      </c>
      <c r="G15" s="3" t="n">
        <v>63654</v>
      </c>
      <c r="H15" t="n">
        <v>25</v>
      </c>
      <c r="I15" t="inlineStr">
        <is>
          <t>Place de l'Hôtel-de-Ville</t>
        </is>
      </c>
      <c r="J15" t="inlineStr">
        <is>
          <t>04100</t>
        </is>
      </c>
      <c r="K15" t="inlineStr">
        <is>
          <t>Manosque</t>
        </is>
      </c>
      <c r="L15" t="inlineStr">
        <is>
          <t>04 92 70 34 00</t>
        </is>
      </c>
      <c r="M15" s="4" t="inlineStr">
        <is>
          <t>accueil@dlva.fr</t>
        </is>
      </c>
      <c r="N15" s="4" t="inlineStr">
        <is>
          <t>https://www.dlva.fr/</t>
        </is>
      </c>
      <c r="O15" s="4" t="inlineStr">
        <is>
          <t>https://www.dlva.fr/nous-contacter/</t>
        </is>
      </c>
      <c r="P15" s="4" t="inlineStr">
        <is>
          <t>https://lannuaire.service-public.gouv.fr/provence-alpes-cote-d-azur/alpes-de-haute-provence/35dfb8cf-2695-4b64-94a9-eb9006a9d480</t>
        </is>
      </c>
      <c r="Q15" t="inlineStr">
        <is>
          <t>Annuaire Service-public.fr</t>
        </is>
      </c>
      <c r="R15" t="inlineStr"/>
      <c r="S15" t="inlineStr"/>
      <c r="T15" t="inlineStr"/>
    </row>
    <row r="16">
      <c r="A16" t="inlineStr">
        <is>
          <t>CA Gap-Tallard-Durance</t>
        </is>
      </c>
      <c r="B16" t="inlineStr">
        <is>
          <t>Communauté d’agglomération</t>
        </is>
      </c>
      <c r="C16" t="inlineStr">
        <is>
          <t>200067825</t>
        </is>
      </c>
      <c r="D16" t="inlineStr">
        <is>
          <t>04, 05</t>
        </is>
      </c>
      <c r="E16" t="inlineStr">
        <is>
          <t>Alpes-de-Haute-Provence, Hautes-Alpes</t>
        </is>
      </c>
      <c r="F16" t="inlineStr">
        <is>
          <t>Provence-Alpes-Côte d'Azur</t>
        </is>
      </c>
      <c r="G16" s="3" t="n">
        <v>50743</v>
      </c>
      <c r="H16" t="n">
        <v>17</v>
      </c>
      <c r="I16" t="inlineStr">
        <is>
          <t>2 ancienne route de Veynes, Campus des Trois Fontaines, BP 92</t>
        </is>
      </c>
      <c r="J16" t="inlineStr">
        <is>
          <t>05007</t>
        </is>
      </c>
      <c r="K16" t="inlineStr">
        <is>
          <t>Gap Cedex</t>
        </is>
      </c>
      <c r="L16" t="inlineStr">
        <is>
          <t>04 92 53 24 24</t>
        </is>
      </c>
      <c r="M16" s="4" t="inlineStr">
        <is>
          <t>contact@agglo-gap.fr</t>
        </is>
      </c>
      <c r="N16" s="4" t="inlineStr">
        <is>
          <t>https://www.gap-tallard-durance.fr/</t>
        </is>
      </c>
      <c r="O16" t="inlineStr"/>
      <c r="P16" s="4" t="inlineStr">
        <is>
          <t>https://lannuaire.service-public.gouv.fr/provence-alpes-cote-d-azur/hautes-alpes/076f405f-c409-4f65-bf5b-e706237ecec5</t>
        </is>
      </c>
      <c r="Q16" t="inlineStr">
        <is>
          <t>Annuaire Service-public.fr</t>
        </is>
      </c>
      <c r="R16" t="inlineStr"/>
      <c r="S16" t="inlineStr"/>
      <c r="T16" t="inlineStr"/>
    </row>
    <row r="17">
      <c r="A17" t="inlineStr">
        <is>
          <t>CA Provence-Alpes-Agglomération</t>
        </is>
      </c>
      <c r="B17" t="inlineStr">
        <is>
          <t>Communauté d’agglomération</t>
        </is>
      </c>
      <c r="C17" t="inlineStr">
        <is>
          <t>200067437</t>
        </is>
      </c>
      <c r="D17" t="inlineStr">
        <is>
          <t>04</t>
        </is>
      </c>
      <c r="E17" t="inlineStr">
        <is>
          <t>Alpes-de-Haute-Provence</t>
        </is>
      </c>
      <c r="F17" t="inlineStr">
        <is>
          <t>Provence-Alpes-Côte d'Azur</t>
        </is>
      </c>
      <c r="G17" s="3" t="n">
        <v>48726</v>
      </c>
      <c r="H17" t="n">
        <v>46</v>
      </c>
      <c r="I17" t="inlineStr">
        <is>
          <t>4 rue Klein</t>
        </is>
      </c>
      <c r="J17" t="inlineStr">
        <is>
          <t>04990</t>
        </is>
      </c>
      <c r="K17" t="inlineStr">
        <is>
          <t>Digne-les-Bains</t>
        </is>
      </c>
      <c r="L17" t="inlineStr">
        <is>
          <t>04 92 32 05 05</t>
        </is>
      </c>
      <c r="M17" s="4" t="inlineStr">
        <is>
          <t>contact@provencealpesagglo.fr</t>
        </is>
      </c>
      <c r="N17" s="4" t="inlineStr">
        <is>
          <t>https://www.provencealpesagglo.fr/</t>
        </is>
      </c>
      <c r="O17" s="4" t="inlineStr">
        <is>
          <t>https://www.provencealpesagglo.fr/contact/</t>
        </is>
      </c>
      <c r="P17" s="4" t="inlineStr">
        <is>
          <t>https://lannuaire.service-public.gouv.fr/provence-alpes-cote-d-azur/alpes-de-haute-provence/3c4382b9-0937-4bd4-9c1d-b64700b28f16</t>
        </is>
      </c>
      <c r="Q17" t="inlineStr">
        <is>
          <t>Annuaire Service-public.fr</t>
        </is>
      </c>
      <c r="R17" t="inlineStr"/>
      <c r="S17" t="inlineStr"/>
      <c r="T17" t="inlineStr"/>
    </row>
    <row r="18">
      <c r="A18" t="inlineStr">
        <is>
          <t>CA Cannes Pays de Lérins</t>
        </is>
      </c>
      <c r="B18" t="inlineStr">
        <is>
          <t>Communauté d’agglomération</t>
        </is>
      </c>
      <c r="C18" t="inlineStr">
        <is>
          <t>200039915</t>
        </is>
      </c>
      <c r="D18" t="inlineStr">
        <is>
          <t>06</t>
        </is>
      </c>
      <c r="E18" t="inlineStr">
        <is>
          <t>Alpes-Maritimes</t>
        </is>
      </c>
      <c r="F18" t="inlineStr">
        <is>
          <t>Provence-Alpes-Côte d'Azur</t>
        </is>
      </c>
      <c r="G18" s="3" t="n">
        <v>156338</v>
      </c>
      <c r="H18" t="n">
        <v>5</v>
      </c>
      <c r="I18" t="inlineStr">
        <is>
          <t>Place Bernard-Cornut-Gentille</t>
        </is>
      </c>
      <c r="J18" t="inlineStr">
        <is>
          <t>06414</t>
        </is>
      </c>
      <c r="K18" t="inlineStr">
        <is>
          <t>Cannes</t>
        </is>
      </c>
      <c r="L18" t="inlineStr">
        <is>
          <t>04 89 82 27 00</t>
        </is>
      </c>
      <c r="M18" s="4" t="inlineStr">
        <is>
          <t>contact@cannespaysdelerins.fr</t>
        </is>
      </c>
      <c r="N18" s="4" t="inlineStr">
        <is>
          <t>https://cannespaysdelerins.fr/</t>
        </is>
      </c>
      <c r="O18" s="4" t="inlineStr">
        <is>
          <t>https://cannespaysdelerins.fr/index.php/contact/</t>
        </is>
      </c>
      <c r="P18" s="4" t="inlineStr">
        <is>
          <t>https://lannuaire.service-public.gouv.fr/provence-alpes-cote-d-azur/alpes-maritimes/c1c44a0d-3f55-4b32-ab49-63f0bcb62eba</t>
        </is>
      </c>
      <c r="Q18" t="inlineStr">
        <is>
          <t>Annuaire Service-public.fr</t>
        </is>
      </c>
      <c r="R18" t="inlineStr"/>
      <c r="S18" t="inlineStr"/>
      <c r="T18" t="inlineStr"/>
    </row>
    <row r="19">
      <c r="A19" t="inlineStr">
        <is>
          <t>CA de Sophia Antipolis</t>
        </is>
      </c>
      <c r="B19" t="inlineStr">
        <is>
          <t>Communauté d’agglomération</t>
        </is>
      </c>
      <c r="C19" t="inlineStr">
        <is>
          <t>240600585</t>
        </is>
      </c>
      <c r="D19" t="inlineStr">
        <is>
          <t>06</t>
        </is>
      </c>
      <c r="E19" t="inlineStr">
        <is>
          <t>Alpes-Maritimes</t>
        </is>
      </c>
      <c r="F19" t="inlineStr">
        <is>
          <t>Provence-Alpes-Côte d'Azur</t>
        </is>
      </c>
      <c r="G19" s="3" t="n">
        <v>183991</v>
      </c>
      <c r="H19" t="n">
        <v>24</v>
      </c>
      <c r="I19" t="inlineStr">
        <is>
          <t>Cours Masséna</t>
        </is>
      </c>
      <c r="J19" t="inlineStr">
        <is>
          <t>06606</t>
        </is>
      </c>
      <c r="K19" t="inlineStr">
        <is>
          <t>Antibes Cedex</t>
        </is>
      </c>
      <c r="L19" t="inlineStr">
        <is>
          <t>04 89 87 70 00</t>
        </is>
      </c>
      <c r="M19" s="4" t="inlineStr">
        <is>
          <t>info@agglo-casa.fr</t>
        </is>
      </c>
      <c r="N19" s="4" t="inlineStr">
        <is>
          <t>https://casa-infos.fr/</t>
        </is>
      </c>
      <c r="O19" s="4" t="inlineStr">
        <is>
          <t>https://casa-infos.fr/contact/</t>
        </is>
      </c>
      <c r="P19" s="4" t="inlineStr">
        <is>
          <t>https://lannuaire.service-public.gouv.fr/provence-alpes-cote-d-azur/alpes-maritimes/de9d08f3-a6b4-4a2f-adf3-da96975e07ae</t>
        </is>
      </c>
      <c r="Q19" t="inlineStr">
        <is>
          <t>Annuaire Service-public.fr</t>
        </is>
      </c>
      <c r="R19" t="inlineStr"/>
      <c r="S19" t="inlineStr"/>
      <c r="T19" t="inlineStr"/>
    </row>
    <row r="20">
      <c r="A20" t="inlineStr">
        <is>
          <t>CA de la Riviera Française</t>
        </is>
      </c>
      <c r="B20" t="inlineStr">
        <is>
          <t>Communauté d’agglomération</t>
        </is>
      </c>
      <c r="C20" t="inlineStr">
        <is>
          <t>240600551</t>
        </is>
      </c>
      <c r="D20" t="inlineStr">
        <is>
          <t>06</t>
        </is>
      </c>
      <c r="E20" t="inlineStr">
        <is>
          <t>Alpes-Maritimes</t>
        </is>
      </c>
      <c r="F20" t="inlineStr">
        <is>
          <t>Provence-Alpes-Côte d'Azur</t>
        </is>
      </c>
      <c r="G20" s="3" t="n">
        <v>72316</v>
      </c>
      <c r="H20" t="n">
        <v>15</v>
      </c>
      <c r="I20" t="inlineStr">
        <is>
          <t>16 rue Villarey</t>
        </is>
      </c>
      <c r="J20" t="inlineStr">
        <is>
          <t>06500</t>
        </is>
      </c>
      <c r="K20" t="inlineStr">
        <is>
          <t>Menton</t>
        </is>
      </c>
      <c r="L20" t="inlineStr">
        <is>
          <t>04 92 41 80 30</t>
        </is>
      </c>
      <c r="M20" s="4" t="inlineStr">
        <is>
          <t>direction.generale@carf.fr</t>
        </is>
      </c>
      <c r="N20" s="4" t="inlineStr">
        <is>
          <t>https://www.riviera-francaise.fr/</t>
        </is>
      </c>
      <c r="O20" t="inlineStr"/>
      <c r="P20" s="4" t="inlineStr">
        <is>
          <t>https://lannuaire.service-public.gouv.fr/provence-alpes-cote-d-azur/alpes-maritimes/43576eda-b638-4dc1-90ad-1f029e1645ee</t>
        </is>
      </c>
      <c r="Q20" t="inlineStr">
        <is>
          <t>Annuaire Service-public.fr</t>
        </is>
      </c>
      <c r="R20" t="inlineStr"/>
      <c r="S20" t="inlineStr"/>
      <c r="T20" t="inlineStr"/>
    </row>
    <row r="21">
      <c r="A21" t="inlineStr">
        <is>
          <t>CA du Pays de Grasse</t>
        </is>
      </c>
      <c r="B21" t="inlineStr">
        <is>
          <t>Communauté d’agglomération</t>
        </is>
      </c>
      <c r="C21" t="inlineStr">
        <is>
          <t>200039857</t>
        </is>
      </c>
      <c r="D21" t="inlineStr">
        <is>
          <t>06</t>
        </is>
      </c>
      <c r="E21" t="inlineStr">
        <is>
          <t>Alpes-Maritimes</t>
        </is>
      </c>
      <c r="F21" t="inlineStr">
        <is>
          <t>Provence-Alpes-Côte d'Azur</t>
        </is>
      </c>
      <c r="G21" s="3" t="n">
        <v>101897</v>
      </c>
      <c r="H21" t="n">
        <v>23</v>
      </c>
      <c r="I21" t="inlineStr">
        <is>
          <t>57 avenue Pierre-Semard</t>
        </is>
      </c>
      <c r="J21" t="inlineStr">
        <is>
          <t>06130</t>
        </is>
      </c>
      <c r="K21" t="inlineStr">
        <is>
          <t>Grasse</t>
        </is>
      </c>
      <c r="L21" t="inlineStr">
        <is>
          <t>04 97 05 22 00</t>
        </is>
      </c>
      <c r="M21" s="4" t="inlineStr">
        <is>
          <t>contact@paysdegrasse.fr</t>
        </is>
      </c>
      <c r="N21" s="4" t="inlineStr">
        <is>
          <t>http://www.paysdegrasse.fr</t>
        </is>
      </c>
      <c r="O21" t="inlineStr"/>
      <c r="P21" s="4" t="inlineStr">
        <is>
          <t>https://lannuaire.service-public.gouv.fr/provence-alpes-cote-d-azur/alpes-maritimes/17b17e6d-00a6-4796-87a9-9d35182bbea2</t>
        </is>
      </c>
      <c r="Q21" t="inlineStr">
        <is>
          <t>Annuaire Service-public.fr</t>
        </is>
      </c>
      <c r="R21" t="inlineStr"/>
      <c r="S21" t="inlineStr"/>
      <c r="T21" t="inlineStr"/>
    </row>
    <row r="22">
      <c r="A22" t="inlineStr">
        <is>
          <t>Métropole Nice Côte d'Azur</t>
        </is>
      </c>
      <c r="B22" t="inlineStr">
        <is>
          <t>Métropole</t>
        </is>
      </c>
      <c r="C22" t="inlineStr">
        <is>
          <t>200030195</t>
        </is>
      </c>
      <c r="D22" t="inlineStr">
        <is>
          <t>06</t>
        </is>
      </c>
      <c r="E22" t="inlineStr">
        <is>
          <t>Alpes-Maritimes</t>
        </is>
      </c>
      <c r="F22" t="inlineStr">
        <is>
          <t>Provence-Alpes-Côte d'Azur</t>
        </is>
      </c>
      <c r="G22" s="3" t="n">
        <v>568596</v>
      </c>
      <c r="H22" t="n">
        <v>51</v>
      </c>
      <c r="I22" t="inlineStr">
        <is>
          <t>5 rue de l'Hôtel-de-Ville</t>
        </is>
      </c>
      <c r="J22" t="inlineStr">
        <is>
          <t>06300</t>
        </is>
      </c>
      <c r="K22" t="inlineStr">
        <is>
          <t>Nice</t>
        </is>
      </c>
      <c r="L22" t="inlineStr">
        <is>
          <t>04 89 98 10 00 / 39 06</t>
        </is>
      </c>
      <c r="M22" t="inlineStr"/>
      <c r="N22" s="4" t="inlineStr">
        <is>
          <t>https://www.nicecotedazur.org/</t>
        </is>
      </c>
      <c r="O22" s="4" t="inlineStr">
        <is>
          <t>https://www.nicecotedazur.org/contact/</t>
        </is>
      </c>
      <c r="P22" s="4" t="inlineStr">
        <is>
          <t>https://lannuaire.service-public.gouv.fr/provence-alpes-cote-d-azur/alpes-maritimes/ebf3793d-85cb-431c-bd02-b62a44a49e38</t>
        </is>
      </c>
      <c r="Q22" t="inlineStr">
        <is>
          <t>Annuaire Service-public.fr</t>
        </is>
      </c>
      <c r="R22" t="inlineStr"/>
      <c r="S22" t="inlineStr"/>
      <c r="T22" t="inlineStr"/>
    </row>
    <row r="23">
      <c r="A23" t="inlineStr">
        <is>
          <t>CA Annonay Rhône Agglo</t>
        </is>
      </c>
      <c r="B23" t="inlineStr">
        <is>
          <t>Communauté d’agglomération</t>
        </is>
      </c>
      <c r="C23" t="inlineStr">
        <is>
          <t>200072015</t>
        </is>
      </c>
      <c r="D23" t="inlineStr">
        <is>
          <t>07</t>
        </is>
      </c>
      <c r="E23" t="inlineStr">
        <is>
          <t>Ardèche</t>
        </is>
      </c>
      <c r="F23" t="inlineStr">
        <is>
          <t>Auvergne-Rhône-Alpes</t>
        </is>
      </c>
      <c r="G23" s="3" t="n">
        <v>50326</v>
      </c>
      <c r="H23" t="n">
        <v>29</v>
      </c>
      <c r="I23" t="inlineStr">
        <is>
          <t>Rue de la Lombardière, Château de la Lombardière, BP 8</t>
        </is>
      </c>
      <c r="J23" t="inlineStr">
        <is>
          <t>07430</t>
        </is>
      </c>
      <c r="K23" t="inlineStr">
        <is>
          <t>Davézieux</t>
        </is>
      </c>
      <c r="L23" t="inlineStr">
        <is>
          <t>04 75 67 55 57</t>
        </is>
      </c>
      <c r="M23" s="4" t="inlineStr">
        <is>
          <t>courrier.agglo@annonayrhoneagglo.fr</t>
        </is>
      </c>
      <c r="N23" s="4" t="inlineStr">
        <is>
          <t>https://www.annonayrhoneagglo.fr/</t>
        </is>
      </c>
      <c r="O23" s="4" t="inlineStr">
        <is>
          <t>https://www.annonayrhoneagglo.fr/contact</t>
        </is>
      </c>
      <c r="P23" s="4" t="inlineStr">
        <is>
          <t>https://lannuaire.service-public.gouv.fr/auvergne-rhone-alpes/ardeche/32e8b582-9501-4d7c-98c9-92acafbcddc5</t>
        </is>
      </c>
      <c r="Q23" t="inlineStr">
        <is>
          <t>Annuaire Service-public.fr</t>
        </is>
      </c>
      <c r="R23" t="inlineStr"/>
      <c r="S23" t="inlineStr"/>
      <c r="T23" t="inlineStr"/>
    </row>
    <row r="24">
      <c r="A24" t="inlineStr">
        <is>
          <t>CA Arche Agglo</t>
        </is>
      </c>
      <c r="B24" t="inlineStr">
        <is>
          <t>Communauté d’agglomération</t>
        </is>
      </c>
      <c r="C24" t="inlineStr">
        <is>
          <t>200073096</t>
        </is>
      </c>
      <c r="D24" t="inlineStr">
        <is>
          <t>07, 26</t>
        </is>
      </c>
      <c r="E24" t="inlineStr">
        <is>
          <t>Ardèche, Drôme</t>
        </is>
      </c>
      <c r="F24" t="inlineStr">
        <is>
          <t>Auvergne-Rhône-Alpes</t>
        </is>
      </c>
      <c r="G24" s="3" t="n">
        <v>59079</v>
      </c>
      <c r="H24" t="n">
        <v>41</v>
      </c>
      <c r="I24" t="inlineStr">
        <is>
          <t>3 rue des Condamines</t>
        </is>
      </c>
      <c r="J24" t="inlineStr">
        <is>
          <t>07300</t>
        </is>
      </c>
      <c r="K24" t="inlineStr">
        <is>
          <t>Mauves</t>
        </is>
      </c>
      <c r="L24" t="inlineStr">
        <is>
          <t>04 26 78 78 78</t>
        </is>
      </c>
      <c r="M24" s="4" t="inlineStr">
        <is>
          <t>accueil@archeagglo.fr</t>
        </is>
      </c>
      <c r="N24" s="4" t="inlineStr">
        <is>
          <t>https://www.archeagglo.fr/</t>
        </is>
      </c>
      <c r="O24" s="4" t="inlineStr">
        <is>
          <t>https://www.archeagglo.fr/contact/</t>
        </is>
      </c>
      <c r="P24" s="4" t="inlineStr">
        <is>
          <t>https://lannuaire.service-public.gouv.fr/auvergne-rhone-alpes/ardeche/6d735793-e336-4a73-b68a-7a28983fd534</t>
        </is>
      </c>
      <c r="Q24" t="inlineStr">
        <is>
          <t>Annuaire Service-public.fr</t>
        </is>
      </c>
      <c r="R24" t="inlineStr"/>
      <c r="S24" t="inlineStr"/>
      <c r="T24" t="inlineStr"/>
    </row>
    <row r="25">
      <c r="A25" t="inlineStr">
        <is>
          <t>CA Privas Centre Ardèche</t>
        </is>
      </c>
      <c r="B25" t="inlineStr">
        <is>
          <t>Communauté d’agglomération</t>
        </is>
      </c>
      <c r="C25" t="inlineStr">
        <is>
          <t>200071413</t>
        </is>
      </c>
      <c r="D25" t="inlineStr">
        <is>
          <t>07</t>
        </is>
      </c>
      <c r="E25" t="inlineStr">
        <is>
          <t>Ardèche</t>
        </is>
      </c>
      <c r="F25" t="inlineStr">
        <is>
          <t>Auvergne-Rhône-Alpes</t>
        </is>
      </c>
      <c r="G25" s="3" t="n">
        <v>44163</v>
      </c>
      <c r="H25" t="n">
        <v>42</v>
      </c>
      <c r="I25" t="inlineStr">
        <is>
          <t>1 rue Serre-du-Serret</t>
        </is>
      </c>
      <c r="J25" t="inlineStr">
        <is>
          <t>07003</t>
        </is>
      </c>
      <c r="K25" t="inlineStr">
        <is>
          <t>Privas</t>
        </is>
      </c>
      <c r="L25" t="inlineStr">
        <is>
          <t>04 75 64 07 07</t>
        </is>
      </c>
      <c r="M25" s="4" t="inlineStr">
        <is>
          <t>agglo@privas-centre-ardeche.fr</t>
        </is>
      </c>
      <c r="N25" s="4" t="inlineStr">
        <is>
          <t>https://www.privas-centre-ardeche.fr/</t>
        </is>
      </c>
      <c r="O25" s="4" t="inlineStr">
        <is>
          <t>https://www.privas-centre-ardeche.fr/contact/</t>
        </is>
      </c>
      <c r="P25" s="4" t="inlineStr">
        <is>
          <t>https://lannuaire.service-public.gouv.fr/auvergne-rhone-alpes/ardeche/f4c58669-23f8-4896-a814-5d48286ce7e5</t>
        </is>
      </c>
      <c r="Q25" t="inlineStr">
        <is>
          <t>Annuaire Service-public.fr</t>
        </is>
      </c>
      <c r="R25" t="inlineStr"/>
      <c r="S25" t="inlineStr"/>
      <c r="T25" t="inlineStr"/>
    </row>
    <row r="26">
      <c r="A26" t="inlineStr">
        <is>
          <t>CA Ardenne Métropole</t>
        </is>
      </c>
      <c r="B26" t="inlineStr">
        <is>
          <t>Communauté d’agglomération</t>
        </is>
      </c>
      <c r="C26" t="inlineStr">
        <is>
          <t>200041630</t>
        </is>
      </c>
      <c r="D26" t="inlineStr">
        <is>
          <t>08</t>
        </is>
      </c>
      <c r="E26" t="inlineStr">
        <is>
          <t>Ardennes</t>
        </is>
      </c>
      <c r="F26" t="inlineStr">
        <is>
          <t>Grand Est</t>
        </is>
      </c>
      <c r="G26" s="3" t="n">
        <v>120380</v>
      </c>
      <c r="H26" t="n">
        <v>57</v>
      </c>
      <c r="I26" t="inlineStr">
        <is>
          <t>49 avenue Léon-Bourgeois</t>
        </is>
      </c>
      <c r="J26" t="inlineStr">
        <is>
          <t>08000</t>
        </is>
      </c>
      <c r="K26" t="inlineStr">
        <is>
          <t>Charleville-Mézières</t>
        </is>
      </c>
      <c r="L26" t="inlineStr">
        <is>
          <t>03 24 57 83 00</t>
        </is>
      </c>
      <c r="M26" s="4" t="inlineStr">
        <is>
          <t>accueil@ardenne-metropole.fr</t>
        </is>
      </c>
      <c r="N26" s="4" t="inlineStr">
        <is>
          <t>https://ardenne-metropole.fr/</t>
        </is>
      </c>
      <c r="O26" s="4" t="inlineStr">
        <is>
          <t>https://ardenne-metropole.fr/contact/</t>
        </is>
      </c>
      <c r="P26" s="4" t="inlineStr">
        <is>
          <t>https://lannuaire.service-public.gouv.fr/grand-est/ardennes/7c8fe83d-2f74-464a-8782-0d1c781a33a7</t>
        </is>
      </c>
      <c r="Q26" t="inlineStr">
        <is>
          <t>Annuaire Service-public.fr</t>
        </is>
      </c>
      <c r="R26" t="inlineStr"/>
      <c r="S26" t="inlineStr"/>
      <c r="T26" t="inlineStr"/>
    </row>
    <row r="27">
      <c r="A27" t="inlineStr">
        <is>
          <t>CA L'Agglo Foix-Varilhes</t>
        </is>
      </c>
      <c r="B27" t="inlineStr">
        <is>
          <t>Communauté d’agglomération</t>
        </is>
      </c>
      <c r="C27" t="inlineStr">
        <is>
          <t>200067791</t>
        </is>
      </c>
      <c r="D27" t="inlineStr">
        <is>
          <t>09</t>
        </is>
      </c>
      <c r="E27" t="inlineStr">
        <is>
          <t>Ariège</t>
        </is>
      </c>
      <c r="F27" t="inlineStr">
        <is>
          <t>Occitanie</t>
        </is>
      </c>
      <c r="G27" s="3" t="n">
        <v>32542</v>
      </c>
      <c r="H27" t="n">
        <v>42</v>
      </c>
      <c r="I27" t="inlineStr">
        <is>
          <t>1 A avenue du Général-de-Gaulle</t>
        </is>
      </c>
      <c r="J27" t="inlineStr">
        <is>
          <t>09000</t>
        </is>
      </c>
      <c r="K27" t="inlineStr">
        <is>
          <t>Foix</t>
        </is>
      </c>
      <c r="L27" t="inlineStr">
        <is>
          <t>05 34 09 09 30</t>
        </is>
      </c>
      <c r="M27" s="4" t="inlineStr">
        <is>
          <t>accueil@agglo-pfv.fr</t>
        </is>
      </c>
      <c r="N27" s="4" t="inlineStr">
        <is>
          <t>https://www.agglo-foix-varilhes.fr/</t>
        </is>
      </c>
      <c r="O27" s="4" t="inlineStr">
        <is>
          <t>https://www.agglo-foix-varilhes.fr/Contact/97/</t>
        </is>
      </c>
      <c r="P27" s="4" t="inlineStr">
        <is>
          <t>https://lannuaire.service-public.gouv.fr/occitanie/ariege/6fca2413-38c3-40ae-9ab8-08030aee6555</t>
        </is>
      </c>
      <c r="Q27" t="inlineStr">
        <is>
          <t>Annuaire Service-public.fr</t>
        </is>
      </c>
      <c r="R27" t="inlineStr"/>
      <c r="S27" t="inlineStr"/>
      <c r="T27" t="inlineStr"/>
    </row>
    <row r="28">
      <c r="A28" t="inlineStr">
        <is>
          <t>CA Troyes Champagne Métropole</t>
        </is>
      </c>
      <c r="B28" t="inlineStr">
        <is>
          <t>Communauté d’agglomération</t>
        </is>
      </c>
      <c r="C28" t="inlineStr">
        <is>
          <t>200069250</t>
        </is>
      </c>
      <c r="D28" t="inlineStr">
        <is>
          <t>10</t>
        </is>
      </c>
      <c r="E28" t="inlineStr">
        <is>
          <t>Aube</t>
        </is>
      </c>
      <c r="F28" t="inlineStr">
        <is>
          <t>Grand Est</t>
        </is>
      </c>
      <c r="G28" s="3" t="n">
        <v>175540</v>
      </c>
      <c r="H28" t="n">
        <v>81</v>
      </c>
      <c r="I28" t="inlineStr">
        <is>
          <t>1 place Robert-Galley</t>
        </is>
      </c>
      <c r="J28" t="inlineStr">
        <is>
          <t>10000</t>
        </is>
      </c>
      <c r="K28" t="inlineStr">
        <is>
          <t>Troyes</t>
        </is>
      </c>
      <c r="L28" t="inlineStr">
        <is>
          <t>03 25 45 27 27</t>
        </is>
      </c>
      <c r="M28" s="4" t="inlineStr">
        <is>
          <t>accueil.tcm@troyes-cm.fr</t>
        </is>
      </c>
      <c r="N28" s="4" t="inlineStr">
        <is>
          <t>https://troyes-champagne-metropole.fr/</t>
        </is>
      </c>
      <c r="O28" t="inlineStr"/>
      <c r="P28" s="4" t="inlineStr">
        <is>
          <t>https://lannuaire.service-public.gouv.fr/grand-est/aube/455d4194-6c9b-4b17-89a3-f2e19132a15d</t>
        </is>
      </c>
      <c r="Q28" t="inlineStr">
        <is>
          <t>Annuaire Service-public.fr</t>
        </is>
      </c>
      <c r="R28" t="inlineStr"/>
      <c r="S28" t="inlineStr"/>
      <c r="T28" t="inlineStr"/>
    </row>
    <row r="29">
      <c r="A29" t="inlineStr">
        <is>
          <t>CA Carcassonne Agglo</t>
        </is>
      </c>
      <c r="B29" t="inlineStr">
        <is>
          <t>Communauté d’agglomération</t>
        </is>
      </c>
      <c r="C29" t="inlineStr">
        <is>
          <t>200035715</t>
        </is>
      </c>
      <c r="D29" t="inlineStr">
        <is>
          <t>11</t>
        </is>
      </c>
      <c r="E29" t="inlineStr">
        <is>
          <t>Aude</t>
        </is>
      </c>
      <c r="F29" t="inlineStr">
        <is>
          <t>Occitanie</t>
        </is>
      </c>
      <c r="G29" s="3" t="n">
        <v>114411</v>
      </c>
      <c r="H29" t="n">
        <v>83</v>
      </c>
      <c r="I29" t="inlineStr">
        <is>
          <t>1 rue Pierre-Germain</t>
        </is>
      </c>
      <c r="J29" t="inlineStr">
        <is>
          <t>11890</t>
        </is>
      </c>
      <c r="K29" t="inlineStr">
        <is>
          <t>Carcassonne</t>
        </is>
      </c>
      <c r="L29" t="inlineStr">
        <is>
          <t>04 68 10 56 00</t>
        </is>
      </c>
      <c r="M29" s="4" t="inlineStr">
        <is>
          <t>cabinet@carcassone-agglo.fr</t>
        </is>
      </c>
      <c r="N29" s="4" t="inlineStr">
        <is>
          <t>https://www.carcassonne-agglo.fr</t>
        </is>
      </c>
      <c r="O29" s="4" t="inlineStr">
        <is>
          <t>https://www.carcassonne-agglo.fr/fr/contact.html</t>
        </is>
      </c>
      <c r="P29" s="4" t="inlineStr">
        <is>
          <t>https://lannuaire.service-public.gouv.fr/occitanie/aude/03ad4bc6-785f-4857-a955-6417151d37f2</t>
        </is>
      </c>
      <c r="Q29" t="inlineStr">
        <is>
          <t>Annuaire Service-public.fr</t>
        </is>
      </c>
      <c r="R29" t="inlineStr"/>
      <c r="S29" t="inlineStr"/>
      <c r="T29" t="inlineStr"/>
    </row>
    <row r="30">
      <c r="A30" t="inlineStr">
        <is>
          <t>CA Le Grand Narbonne</t>
        </is>
      </c>
      <c r="B30" t="inlineStr">
        <is>
          <t>Communauté d’agglomération</t>
        </is>
      </c>
      <c r="C30" t="inlineStr">
        <is>
          <t>241100593</t>
        </is>
      </c>
      <c r="D30" t="inlineStr">
        <is>
          <t>11</t>
        </is>
      </c>
      <c r="E30" t="inlineStr">
        <is>
          <t>Aude</t>
        </is>
      </c>
      <c r="F30" t="inlineStr">
        <is>
          <t>Occitanie</t>
        </is>
      </c>
      <c r="G30" s="3" t="n">
        <v>133006</v>
      </c>
      <c r="H30" t="n">
        <v>37</v>
      </c>
      <c r="I30" t="inlineStr">
        <is>
          <t>12 boulevard Frédéric-Mistral</t>
        </is>
      </c>
      <c r="J30" t="inlineStr">
        <is>
          <t>11100</t>
        </is>
      </c>
      <c r="K30" t="inlineStr">
        <is>
          <t>Narbonne</t>
        </is>
      </c>
      <c r="L30" t="inlineStr">
        <is>
          <t>04 68 58 14 58</t>
        </is>
      </c>
      <c r="M30" s="4" t="inlineStr">
        <is>
          <t>contact@legrandnarbonne.com</t>
        </is>
      </c>
      <c r="N30" s="4" t="inlineStr">
        <is>
          <t>https://www.legrandnarbonne.com/</t>
        </is>
      </c>
      <c r="O30" s="4" t="inlineStr">
        <is>
          <t>https://www.legrandnarbonne.com/contact</t>
        </is>
      </c>
      <c r="P30" s="4" t="inlineStr">
        <is>
          <t>https://lannuaire.service-public.gouv.fr/occitanie/aude/6e6204c9-67dc-4f94-bb06-454971b76038</t>
        </is>
      </c>
      <c r="Q30" t="inlineStr">
        <is>
          <t>Annuaire Service-public.fr</t>
        </is>
      </c>
      <c r="R30" t="inlineStr"/>
      <c r="S30" t="inlineStr"/>
      <c r="T30" t="inlineStr"/>
    </row>
    <row r="31">
      <c r="A31" t="inlineStr">
        <is>
          <t>CA Rodez Agglomération</t>
        </is>
      </c>
      <c r="B31" t="inlineStr">
        <is>
          <t>Communauté d’agglomération</t>
        </is>
      </c>
      <c r="C31" t="inlineStr">
        <is>
          <t>241200187</t>
        </is>
      </c>
      <c r="D31" t="inlineStr">
        <is>
          <t>12</t>
        </is>
      </c>
      <c r="E31" t="inlineStr">
        <is>
          <t>Aveyron</t>
        </is>
      </c>
      <c r="F31" t="inlineStr">
        <is>
          <t>Occitanie</t>
        </is>
      </c>
      <c r="G31" s="3" t="n">
        <v>56303</v>
      </c>
      <c r="H31" t="n">
        <v>8</v>
      </c>
      <c r="I31" t="inlineStr">
        <is>
          <t>17 rue Aristide-Briand</t>
        </is>
      </c>
      <c r="J31" t="inlineStr">
        <is>
          <t>12035</t>
        </is>
      </c>
      <c r="K31" t="inlineStr">
        <is>
          <t>Rodez</t>
        </is>
      </c>
      <c r="L31" t="inlineStr">
        <is>
          <t>05 65 73 83 00</t>
        </is>
      </c>
      <c r="M31" s="4" t="inlineStr">
        <is>
          <t>rodezagglomeration@rodezagglo.fr</t>
        </is>
      </c>
      <c r="N31" s="4" t="inlineStr">
        <is>
          <t>https://www.rodezagglo.fr</t>
        </is>
      </c>
      <c r="O31" s="4" t="inlineStr">
        <is>
          <t>https://www.rodezagglo.fr/contact/</t>
        </is>
      </c>
      <c r="P31" s="4" t="inlineStr">
        <is>
          <t>https://lannuaire.service-public.gouv.fr/occitanie/aveyron/577968cc-400a-46b5-804c-f0d6db15efb6</t>
        </is>
      </c>
      <c r="Q31" t="inlineStr">
        <is>
          <t>Annuaire Service-public.fr</t>
        </is>
      </c>
      <c r="R31" t="inlineStr"/>
      <c r="S31" t="inlineStr"/>
      <c r="T31" t="inlineStr"/>
    </row>
    <row r="32">
      <c r="A32" t="inlineStr">
        <is>
          <t>CA Terre de Provence</t>
        </is>
      </c>
      <c r="B32" t="inlineStr">
        <is>
          <t>Communauté d’agglomération</t>
        </is>
      </c>
      <c r="C32" t="inlineStr">
        <is>
          <t>200035087</t>
        </is>
      </c>
      <c r="D32" t="inlineStr">
        <is>
          <t>13</t>
        </is>
      </c>
      <c r="E32" t="inlineStr">
        <is>
          <t>Bouches-du-Rhône</t>
        </is>
      </c>
      <c r="F32" t="inlineStr">
        <is>
          <t>Provence-Alpes-Côte d'Azur</t>
        </is>
      </c>
      <c r="G32" s="3" t="n">
        <v>60440</v>
      </c>
      <c r="H32" t="n">
        <v>13</v>
      </c>
      <c r="I32" t="inlineStr">
        <is>
          <t>5 place du Docteur-Marius-Chabrand</t>
        </is>
      </c>
      <c r="J32" t="inlineStr">
        <is>
          <t>13630</t>
        </is>
      </c>
      <c r="K32" t="inlineStr">
        <is>
          <t>Eyragues</t>
        </is>
      </c>
      <c r="L32" t="inlineStr">
        <is>
          <t>04 32 61 96 30</t>
        </is>
      </c>
      <c r="M32" s="4" t="inlineStr">
        <is>
          <t>accueil@terredeprovence-agglo.com</t>
        </is>
      </c>
      <c r="N32" s="4" t="inlineStr">
        <is>
          <t>https://www.terredeprovence-agglo.com/page/eyragues</t>
        </is>
      </c>
      <c r="O32" s="4" t="inlineStr">
        <is>
          <t>https://www.terredeprovence-agglo.com/contact</t>
        </is>
      </c>
      <c r="P32" s="4" t="inlineStr">
        <is>
          <t>https://lannuaire.service-public.gouv.fr/provence-alpes-cote-d-azur/bouches-du-rhone/21bdaedc-c696-4757-a8b1-ee99a085d33f</t>
        </is>
      </c>
      <c r="Q32" t="inlineStr">
        <is>
          <t>Annuaire Service-public.fr</t>
        </is>
      </c>
      <c r="R32" t="inlineStr"/>
      <c r="S32" t="inlineStr"/>
      <c r="T32" t="inlineStr"/>
    </row>
    <row r="33">
      <c r="A33" t="inlineStr">
        <is>
          <t>CA d'Arles-Crau-Camargue-Montagnette</t>
        </is>
      </c>
      <c r="B33" t="inlineStr">
        <is>
          <t>Communauté d’agglomération</t>
        </is>
      </c>
      <c r="C33" t="inlineStr">
        <is>
          <t>241300417</t>
        </is>
      </c>
      <c r="D33" t="inlineStr">
        <is>
          <t>13</t>
        </is>
      </c>
      <c r="E33" t="inlineStr">
        <is>
          <t>Bouches-du-Rhône</t>
        </is>
      </c>
      <c r="F33" t="inlineStr">
        <is>
          <t>Provence-Alpes-Côte d'Azur</t>
        </is>
      </c>
      <c r="G33" s="3" t="n">
        <v>84680</v>
      </c>
      <c r="H33" t="n">
        <v>6</v>
      </c>
      <c r="I33" t="inlineStr">
        <is>
          <t>5 rue Yvan-Audouard, Cité Yvan-Audouard</t>
        </is>
      </c>
      <c r="J33" t="inlineStr">
        <is>
          <t>13200</t>
        </is>
      </c>
      <c r="K33" t="inlineStr">
        <is>
          <t>Arles</t>
        </is>
      </c>
      <c r="L33" t="inlineStr">
        <is>
          <t>04 86 52 60 00</t>
        </is>
      </c>
      <c r="M33" s="4" t="inlineStr">
        <is>
          <t>lepresident@agglo-accm.fr</t>
        </is>
      </c>
      <c r="N33" s="4" t="inlineStr">
        <is>
          <t>https://www.agglo-accm.fr/</t>
        </is>
      </c>
      <c r="O33" t="inlineStr"/>
      <c r="P33" s="4" t="inlineStr">
        <is>
          <t>https://lannuaire.service-public.gouv.fr/provence-alpes-cote-d-azur/bouches-du-rhone/a77a7333-9766-4581-afad-684d31aa67b5</t>
        </is>
      </c>
      <c r="Q33" t="inlineStr">
        <is>
          <t>Annuaire Service-public.fr</t>
        </is>
      </c>
      <c r="R33" t="inlineStr"/>
      <c r="S33" t="inlineStr"/>
      <c r="T33" t="inlineStr"/>
    </row>
    <row r="34">
      <c r="A34" t="inlineStr">
        <is>
          <t>Métropole d'Aix-Marseille-Provence</t>
        </is>
      </c>
      <c r="B34" t="inlineStr">
        <is>
          <t>Métropole</t>
        </is>
      </c>
      <c r="C34" t="inlineStr">
        <is>
          <t>200054807</t>
        </is>
      </c>
      <c r="D34" t="inlineStr">
        <is>
          <t>13, 83, 84</t>
        </is>
      </c>
      <c r="E34" t="inlineStr">
        <is>
          <t>Bouches-du-Rhône, Var, Vaucluse</t>
        </is>
      </c>
      <c r="F34" t="inlineStr">
        <is>
          <t>Provence-Alpes-Côte d'Azur</t>
        </is>
      </c>
      <c r="G34" s="3" t="n">
        <v>1922626</v>
      </c>
      <c r="H34" t="n">
        <v>92</v>
      </c>
      <c r="I34" t="inlineStr">
        <is>
          <t>2 bis quai d'Arenc, Tour La Marseillaise</t>
        </is>
      </c>
      <c r="J34" t="inlineStr">
        <is>
          <t>13002</t>
        </is>
      </c>
      <c r="K34" t="inlineStr">
        <is>
          <t>Marseille</t>
        </is>
      </c>
      <c r="L34" t="inlineStr">
        <is>
          <t>04 91 99 99 00</t>
        </is>
      </c>
      <c r="M34" t="inlineStr"/>
      <c r="N34" s="4" t="inlineStr">
        <is>
          <t>https://ampmetropole.fr/</t>
        </is>
      </c>
      <c r="O34" s="4" t="inlineStr">
        <is>
          <t>https://ampmetropole.fr/nous-contacter/</t>
        </is>
      </c>
      <c r="P34" s="4" t="inlineStr">
        <is>
          <t>https://lannuaire.service-public.gouv.fr/provence-alpes-cote-d-azur/bouches-du-rhone/b1334731-396e-456d-8f9d-2e3868d6c688</t>
        </is>
      </c>
      <c r="Q34" t="inlineStr">
        <is>
          <t>Annuaire Service-public.fr</t>
        </is>
      </c>
      <c r="R34" t="inlineStr"/>
      <c r="S34" t="inlineStr"/>
      <c r="T34" t="inlineStr"/>
    </row>
    <row r="35">
      <c r="A35" t="inlineStr">
        <is>
          <t>CA Lisieux Normandie</t>
        </is>
      </c>
      <c r="B35" t="inlineStr">
        <is>
          <t>Communauté d’agglomération</t>
        </is>
      </c>
      <c r="C35" t="inlineStr">
        <is>
          <t>200069532</t>
        </is>
      </c>
      <c r="D35" t="inlineStr">
        <is>
          <t>14</t>
        </is>
      </c>
      <c r="E35" t="inlineStr">
        <is>
          <t>Calvados</t>
        </is>
      </c>
      <c r="F35" t="inlineStr">
        <is>
          <t>Normandie</t>
        </is>
      </c>
      <c r="G35" s="3" t="n">
        <v>72683</v>
      </c>
      <c r="H35" t="n">
        <v>53</v>
      </c>
      <c r="I35" t="inlineStr">
        <is>
          <t>11 place François-Mitterrand</t>
        </is>
      </c>
      <c r="J35" t="inlineStr">
        <is>
          <t>14100</t>
        </is>
      </c>
      <c r="K35" t="inlineStr">
        <is>
          <t>Lisieux</t>
        </is>
      </c>
      <c r="L35" t="inlineStr">
        <is>
          <t>02 31 61 66 00</t>
        </is>
      </c>
      <c r="M35" s="4" t="inlineStr">
        <is>
          <t>secretariat@agglo-lisieux.fr</t>
        </is>
      </c>
      <c r="N35" s="4" t="inlineStr">
        <is>
          <t>https://lisieux-normandie.fr/</t>
        </is>
      </c>
      <c r="O35" s="4" t="inlineStr">
        <is>
          <t>https://lisieux-normandie.fr/contact/</t>
        </is>
      </c>
      <c r="P35" s="4" t="inlineStr">
        <is>
          <t>https://lannuaire.service-public.gouv.fr/normandie/calvados/d340c45c-a8c3-452a-9dd2-fcbbe77ad842</t>
        </is>
      </c>
      <c r="Q35" t="inlineStr">
        <is>
          <t>Annuaire Service-public.fr</t>
        </is>
      </c>
      <c r="R35" t="inlineStr"/>
      <c r="S35" t="inlineStr"/>
      <c r="T35" t="inlineStr"/>
    </row>
    <row r="36">
      <c r="A36" t="inlineStr">
        <is>
          <t>CU Caen la Mer</t>
        </is>
      </c>
      <c r="B36" t="inlineStr">
        <is>
          <t>Communauté urbaine</t>
        </is>
      </c>
      <c r="C36" t="inlineStr">
        <is>
          <t>200065597</t>
        </is>
      </c>
      <c r="D36" t="inlineStr">
        <is>
          <t>14</t>
        </is>
      </c>
      <c r="E36" t="inlineStr">
        <is>
          <t>Calvados</t>
        </is>
      </c>
      <c r="F36" t="inlineStr">
        <is>
          <t>Normandie</t>
        </is>
      </c>
      <c r="G36" s="3" t="n">
        <v>277248</v>
      </c>
      <c r="H36" t="n">
        <v>48</v>
      </c>
      <c r="I36" t="inlineStr">
        <is>
          <t>16 rue Rosa-Parks, CS 52700</t>
        </is>
      </c>
      <c r="J36" t="inlineStr">
        <is>
          <t>14027</t>
        </is>
      </c>
      <c r="K36" t="inlineStr">
        <is>
          <t>Caen Cedex 9</t>
        </is>
      </c>
      <c r="L36" t="inlineStr">
        <is>
          <t>02 31 39 40 00</t>
        </is>
      </c>
      <c r="M36" s="4" t="inlineStr">
        <is>
          <t>caenlamer@caenlamer.fr</t>
        </is>
      </c>
      <c r="N36" s="4" t="inlineStr">
        <is>
          <t>https://caenlamer.fr/</t>
        </is>
      </c>
      <c r="O36" s="4" t="inlineStr">
        <is>
          <t>https://caenlamer.fr/formulaire/contact</t>
        </is>
      </c>
      <c r="P36" s="4" t="inlineStr">
        <is>
          <t>https://lannuaire.service-public.gouv.fr/normandie/calvados/95128487-1958-49c5-a4ca-3cacf3cd0a05</t>
        </is>
      </c>
      <c r="Q36" t="inlineStr">
        <is>
          <t>Annuaire Service-public.fr</t>
        </is>
      </c>
      <c r="R36" t="inlineStr"/>
      <c r="S36" t="inlineStr"/>
      <c r="T36" t="inlineStr"/>
    </row>
    <row r="37">
      <c r="A37" t="inlineStr">
        <is>
          <t>CA du Bassin d'Aurillac</t>
        </is>
      </c>
      <c r="B37" t="inlineStr">
        <is>
          <t>Communauté d’agglomération</t>
        </is>
      </c>
      <c r="C37" t="inlineStr">
        <is>
          <t>241500230</t>
        </is>
      </c>
      <c r="D37" t="inlineStr">
        <is>
          <t>15</t>
        </is>
      </c>
      <c r="E37" t="inlineStr">
        <is>
          <t>Cantal</t>
        </is>
      </c>
      <c r="F37" t="inlineStr">
        <is>
          <t>Auvergne-Rhône-Alpes</t>
        </is>
      </c>
      <c r="G37" s="3" t="n">
        <v>54226</v>
      </c>
      <c r="H37" t="n">
        <v>25</v>
      </c>
      <c r="I37" t="inlineStr">
        <is>
          <t>3 place des Carmes</t>
        </is>
      </c>
      <c r="J37" t="inlineStr">
        <is>
          <t>15000</t>
        </is>
      </c>
      <c r="K37" t="inlineStr">
        <is>
          <t>Aurillac</t>
        </is>
      </c>
      <c r="L37" t="inlineStr">
        <is>
          <t>04 71 46 86 30</t>
        </is>
      </c>
      <c r="M37" s="4" t="inlineStr">
        <is>
          <t>contact@caba.fr</t>
        </is>
      </c>
      <c r="N37" s="4" t="inlineStr">
        <is>
          <t>https://www.caba.fr/fr/</t>
        </is>
      </c>
      <c r="O37" s="4" t="inlineStr">
        <is>
          <t>https://www.caba.fr/fr/contact/</t>
        </is>
      </c>
      <c r="P37" s="4" t="inlineStr">
        <is>
          <t>https://lannuaire.service-public.gouv.fr/auvergne-rhone-alpes/cantal/043db1ce-a865-4d71-b1ac-c188793066d5</t>
        </is>
      </c>
      <c r="Q37" t="inlineStr">
        <is>
          <t>Annuaire Service-public.fr</t>
        </is>
      </c>
      <c r="R37" t="inlineStr"/>
      <c r="S37" t="inlineStr"/>
      <c r="T37" t="inlineStr"/>
    </row>
    <row r="38">
      <c r="A38" t="inlineStr">
        <is>
          <t>CA du Grand Angoulême</t>
        </is>
      </c>
      <c r="B38" t="inlineStr">
        <is>
          <t>Communauté d’agglomération</t>
        </is>
      </c>
      <c r="C38" t="inlineStr">
        <is>
          <t>200071827</t>
        </is>
      </c>
      <c r="D38" t="inlineStr">
        <is>
          <t>16</t>
        </is>
      </c>
      <c r="E38" t="inlineStr">
        <is>
          <t>Charente</t>
        </is>
      </c>
      <c r="F38" t="inlineStr">
        <is>
          <t>Nouvelle-Aquitaine</t>
        </is>
      </c>
      <c r="G38" s="3" t="n">
        <v>142458</v>
      </c>
      <c r="H38" t="n">
        <v>38</v>
      </c>
      <c r="I38" t="inlineStr">
        <is>
          <t>25 boulevard Besson-Bey</t>
        </is>
      </c>
      <c r="J38" t="inlineStr">
        <is>
          <t>16023</t>
        </is>
      </c>
      <c r="K38" t="inlineStr">
        <is>
          <t>Angoulême</t>
        </is>
      </c>
      <c r="L38" t="inlineStr">
        <is>
          <t>05 45 38 60 60</t>
        </is>
      </c>
      <c r="M38" s="4" t="inlineStr">
        <is>
          <t>contact@grandangouleme.fr</t>
        </is>
      </c>
      <c r="N38" s="4" t="inlineStr">
        <is>
          <t>https://www.grandangouleme.fr/</t>
        </is>
      </c>
      <c r="O38" t="inlineStr"/>
      <c r="P38" s="4" t="inlineStr">
        <is>
          <t>https://lannuaire.service-public.gouv.fr/nouvelle-aquitaine/charente/3f329b4f-5e24-4ce7-b2c5-05616ee62307</t>
        </is>
      </c>
      <c r="Q38" t="inlineStr">
        <is>
          <t>Annuaire Service-public.fr</t>
        </is>
      </c>
      <c r="R38" t="inlineStr"/>
      <c r="S38" t="inlineStr"/>
      <c r="T38" t="inlineStr"/>
    </row>
    <row r="39">
      <c r="A39" t="inlineStr">
        <is>
          <t>CA du Grand Cognac</t>
        </is>
      </c>
      <c r="B39" t="inlineStr">
        <is>
          <t>Communauté d’agglomération</t>
        </is>
      </c>
      <c r="C39" t="inlineStr">
        <is>
          <t>200070514</t>
        </is>
      </c>
      <c r="D39" t="inlineStr">
        <is>
          <t>16</t>
        </is>
      </c>
      <c r="E39" t="inlineStr">
        <is>
          <t>Charente</t>
        </is>
      </c>
      <c r="F39" t="inlineStr">
        <is>
          <t>Nouvelle-Aquitaine</t>
        </is>
      </c>
      <c r="G39" s="3" t="n">
        <v>69065</v>
      </c>
      <c r="H39" t="n">
        <v>54</v>
      </c>
      <c r="I39" t="inlineStr">
        <is>
          <t>6 rue de Valdepenas, CS 10216</t>
        </is>
      </c>
      <c r="J39" t="inlineStr">
        <is>
          <t>16111</t>
        </is>
      </c>
      <c r="K39" t="inlineStr">
        <is>
          <t>Cognac Cedex</t>
        </is>
      </c>
      <c r="L39" t="inlineStr">
        <is>
          <t>05 45 36 64 30</t>
        </is>
      </c>
      <c r="M39" s="4" t="inlineStr">
        <is>
          <t>contact@grand-cognac.fr</t>
        </is>
      </c>
      <c r="N39" s="4" t="inlineStr">
        <is>
          <t>https://www.grand-cognac.fr/</t>
        </is>
      </c>
      <c r="O39" s="4" t="inlineStr">
        <is>
          <t>https://www.grand-cognac.fr/nous-contacter</t>
        </is>
      </c>
      <c r="P39" s="4" t="inlineStr">
        <is>
          <t>https://lannuaire.service-public.gouv.fr/nouvelle-aquitaine/charente/eabefdf6-c8ff-45a6-9e99-0cb25ee7ec56</t>
        </is>
      </c>
      <c r="Q39" t="inlineStr">
        <is>
          <t>Annuaire Service-public.fr</t>
        </is>
      </c>
      <c r="R39" t="inlineStr"/>
      <c r="S39" t="inlineStr"/>
      <c r="T39" t="inlineStr"/>
    </row>
    <row r="40">
      <c r="A40" t="inlineStr">
        <is>
          <t>CA "Saintes - Grandes Rives - L'Agglo"</t>
        </is>
      </c>
      <c r="B40" t="inlineStr">
        <is>
          <t>Communauté d’agglomération</t>
        </is>
      </c>
      <c r="C40" t="inlineStr">
        <is>
          <t>200036473</t>
        </is>
      </c>
      <c r="D40" t="inlineStr">
        <is>
          <t>17</t>
        </is>
      </c>
      <c r="E40" t="inlineStr">
        <is>
          <t>Charente-Maritime</t>
        </is>
      </c>
      <c r="F40" t="inlineStr">
        <is>
          <t>Nouvelle-Aquitaine</t>
        </is>
      </c>
      <c r="G40" s="3" t="n">
        <v>60600</v>
      </c>
      <c r="H40" t="n">
        <v>36</v>
      </c>
      <c r="I40" t="inlineStr">
        <is>
          <t>12 boulevard Guillet Maillet</t>
        </is>
      </c>
      <c r="J40" t="inlineStr">
        <is>
          <t>17100</t>
        </is>
      </c>
      <c r="K40" t="inlineStr">
        <is>
          <t>Saintes</t>
        </is>
      </c>
      <c r="L40" t="inlineStr">
        <is>
          <t>05 46 93 41 50</t>
        </is>
      </c>
      <c r="M40" s="4" t="inlineStr">
        <is>
          <t>info@agglo-saintes.fr</t>
        </is>
      </c>
      <c r="N40" s="4" t="inlineStr">
        <is>
          <t>https://www.agglo-saintes.fr/</t>
        </is>
      </c>
      <c r="O40" t="inlineStr"/>
      <c r="P40" s="4" t="inlineStr">
        <is>
          <t>https://lannuaire.service-public.gouv.fr/nouvelle-aquitaine/charente-maritime/09ef2bb5-de2c-4dfa-8339-40438bc212de</t>
        </is>
      </c>
      <c r="Q40" t="inlineStr">
        <is>
          <t>Annuaire Service-public.fr</t>
        </is>
      </c>
      <c r="R40" t="inlineStr"/>
      <c r="S40" t="inlineStr"/>
      <c r="T40" t="inlineStr"/>
    </row>
    <row r="41">
      <c r="A41" t="inlineStr">
        <is>
          <t>CA Rochefort Océan</t>
        </is>
      </c>
      <c r="B41" t="inlineStr">
        <is>
          <t>Communauté d’agglomération</t>
        </is>
      </c>
      <c r="C41" t="inlineStr">
        <is>
          <t>200041762</t>
        </is>
      </c>
      <c r="D41" t="inlineStr">
        <is>
          <t>17</t>
        </is>
      </c>
      <c r="E41" t="inlineStr">
        <is>
          <t>Charente-Maritime</t>
        </is>
      </c>
      <c r="F41" t="inlineStr">
        <is>
          <t>Nouvelle-Aquitaine</t>
        </is>
      </c>
      <c r="G41" s="3" t="n">
        <v>64956</v>
      </c>
      <c r="H41" t="n">
        <v>25</v>
      </c>
      <c r="I41" t="inlineStr">
        <is>
          <t>Parc des Fourriers, 3 avenue Maurice-Chupin</t>
        </is>
      </c>
      <c r="J41" t="inlineStr">
        <is>
          <t>17300</t>
        </is>
      </c>
      <c r="K41" t="inlineStr">
        <is>
          <t>Rochefort</t>
        </is>
      </c>
      <c r="L41" t="inlineStr">
        <is>
          <t>05 46 82 17 80</t>
        </is>
      </c>
      <c r="M41" s="4" t="inlineStr">
        <is>
          <t>contact@agglo-rochefortocean.fr</t>
        </is>
      </c>
      <c r="N41" s="4" t="inlineStr">
        <is>
          <t>https://www.agglo-rochefortocean.fr/</t>
        </is>
      </c>
      <c r="O41" s="4" t="inlineStr">
        <is>
          <t>https://www.agglo-rochefortocean.fr/contact</t>
        </is>
      </c>
      <c r="P41" s="4" t="inlineStr">
        <is>
          <t>https://lannuaire.service-public.gouv.fr/nouvelle-aquitaine/charente-maritime/8306682f-f64e-4c61-804d-d0fc19b6e8c6</t>
        </is>
      </c>
      <c r="Q41" t="inlineStr">
        <is>
          <t>Annuaire Service-public.fr</t>
        </is>
      </c>
      <c r="R41" t="inlineStr"/>
      <c r="S41" t="inlineStr"/>
      <c r="T41" t="inlineStr"/>
    </row>
    <row r="42">
      <c r="A42" t="inlineStr">
        <is>
          <t>CA Royan Atlantique</t>
        </is>
      </c>
      <c r="B42" t="inlineStr">
        <is>
          <t>Communauté d’agglomération</t>
        </is>
      </c>
      <c r="C42" t="inlineStr">
        <is>
          <t>241700640</t>
        </is>
      </c>
      <c r="D42" t="inlineStr">
        <is>
          <t>17</t>
        </is>
      </c>
      <c r="E42" t="inlineStr">
        <is>
          <t>Charente-Maritime</t>
        </is>
      </c>
      <c r="F42" t="inlineStr">
        <is>
          <t>Nouvelle-Aquitaine</t>
        </is>
      </c>
      <c r="G42" s="3" t="n">
        <v>86221</v>
      </c>
      <c r="H42" t="n">
        <v>33</v>
      </c>
      <c r="I42" t="inlineStr">
        <is>
          <t>107 avenue de Rochefort</t>
        </is>
      </c>
      <c r="J42" t="inlineStr">
        <is>
          <t>17200</t>
        </is>
      </c>
      <c r="K42" t="inlineStr">
        <is>
          <t>Royan</t>
        </is>
      </c>
      <c r="L42" t="inlineStr">
        <is>
          <t>05 46 22 19 20</t>
        </is>
      </c>
      <c r="M42" s="4" t="inlineStr">
        <is>
          <t>contact@agglo-royan.fr</t>
        </is>
      </c>
      <c r="N42" s="4" t="inlineStr">
        <is>
          <t>https://www.agglo-royan.fr/</t>
        </is>
      </c>
      <c r="O42" t="inlineStr"/>
      <c r="P42" s="4" t="inlineStr">
        <is>
          <t>https://lannuaire.service-public.gouv.fr/nouvelle-aquitaine/charente-maritime/dbb8caeb-a95c-4578-a92e-53fbe46d54c8</t>
        </is>
      </c>
      <c r="Q42" t="inlineStr">
        <is>
          <t>Annuaire Service-public.fr</t>
        </is>
      </c>
      <c r="R42" t="inlineStr"/>
      <c r="S42" t="inlineStr"/>
      <c r="T42" t="inlineStr"/>
    </row>
    <row r="43">
      <c r="A43" t="inlineStr">
        <is>
          <t>CA de La Rochelle</t>
        </is>
      </c>
      <c r="B43" t="inlineStr">
        <is>
          <t>Communauté d’agglomération</t>
        </is>
      </c>
      <c r="C43" t="inlineStr">
        <is>
          <t>241700434</t>
        </is>
      </c>
      <c r="D43" t="inlineStr">
        <is>
          <t>17</t>
        </is>
      </c>
      <c r="E43" t="inlineStr">
        <is>
          <t>Charente-Maritime</t>
        </is>
      </c>
      <c r="F43" t="inlineStr">
        <is>
          <t>Nouvelle-Aquitaine</t>
        </is>
      </c>
      <c r="G43" s="3" t="n">
        <v>181057</v>
      </c>
      <c r="H43" t="n">
        <v>28</v>
      </c>
      <c r="I43" t="inlineStr">
        <is>
          <t>6 rue Saint-Michel, CS 41287</t>
        </is>
      </c>
      <c r="J43" t="inlineStr">
        <is>
          <t>17086</t>
        </is>
      </c>
      <c r="K43" t="inlineStr">
        <is>
          <t>La Rochelle Cedex 2</t>
        </is>
      </c>
      <c r="L43" t="inlineStr">
        <is>
          <t>05 46 30 34 00</t>
        </is>
      </c>
      <c r="M43" s="4" t="inlineStr">
        <is>
          <t>accueil@agglo-larochelle.fr</t>
        </is>
      </c>
      <c r="N43" s="4" t="inlineStr">
        <is>
          <t>https://www.agglo-larochelle.fr/</t>
        </is>
      </c>
      <c r="O43" s="4" t="inlineStr">
        <is>
          <t>https://www.agglo-larochelle.fr/contacter-l-agglo</t>
        </is>
      </c>
      <c r="P43" s="4" t="inlineStr">
        <is>
          <t>https://lannuaire.service-public.gouv.fr/nouvelle-aquitaine/charente-maritime/4829690c-ce89-4cd6-8f8c-5aa4eae83f99</t>
        </is>
      </c>
      <c r="Q43" t="inlineStr">
        <is>
          <t>Annuaire Service-public.fr</t>
        </is>
      </c>
      <c r="R43" t="inlineStr"/>
      <c r="S43" t="inlineStr"/>
      <c r="T43" t="inlineStr"/>
    </row>
    <row r="44">
      <c r="A44" t="inlineStr">
        <is>
          <t>CA Bourges Plus</t>
        </is>
      </c>
      <c r="B44" t="inlineStr">
        <is>
          <t>Communauté d’agglomération</t>
        </is>
      </c>
      <c r="C44" t="inlineStr">
        <is>
          <t>241800507</t>
        </is>
      </c>
      <c r="D44" t="inlineStr">
        <is>
          <t>18</t>
        </is>
      </c>
      <c r="E44" t="inlineStr">
        <is>
          <t>Cher</t>
        </is>
      </c>
      <c r="F44" t="inlineStr">
        <is>
          <t>Centre-Val de Loire</t>
        </is>
      </c>
      <c r="G44" s="3" t="n">
        <v>102172</v>
      </c>
      <c r="H44" t="n">
        <v>17</v>
      </c>
      <c r="I44" t="inlineStr">
        <is>
          <t>4 boulevard de l'Avenir</t>
        </is>
      </c>
      <c r="J44" t="inlineStr">
        <is>
          <t>18000</t>
        </is>
      </c>
      <c r="K44" t="inlineStr">
        <is>
          <t>Bourges</t>
        </is>
      </c>
      <c r="L44" t="inlineStr">
        <is>
          <t>08 00 89 77 30</t>
        </is>
      </c>
      <c r="M44" s="4" t="inlineStr">
        <is>
          <t>service.clientele@agglo-bourgesplus.fr</t>
        </is>
      </c>
      <c r="N44" s="4" t="inlineStr">
        <is>
          <t>https://www.agglo-bourgesplus.fr/</t>
        </is>
      </c>
      <c r="O44" t="inlineStr"/>
      <c r="P44" s="4" t="inlineStr">
        <is>
          <t>https://lannuaire.service-public.gouv.fr/centre-val-de-loire/cher/32a6d646-b93b-48d9-8505-06664035e126</t>
        </is>
      </c>
      <c r="Q44" t="inlineStr">
        <is>
          <t>Annuaire Service-public.fr</t>
        </is>
      </c>
      <c r="R44" t="inlineStr"/>
      <c r="S44" t="inlineStr"/>
      <c r="T44" t="inlineStr"/>
    </row>
    <row r="45">
      <c r="A45" t="inlineStr">
        <is>
          <t>CA Tulle Agglo</t>
        </is>
      </c>
      <c r="B45" t="inlineStr">
        <is>
          <t>Communauté d’agglomération</t>
        </is>
      </c>
      <c r="C45" t="inlineStr">
        <is>
          <t>241927201</t>
        </is>
      </c>
      <c r="D45" t="inlineStr">
        <is>
          <t>19</t>
        </is>
      </c>
      <c r="E45" t="inlineStr">
        <is>
          <t>Corrèze</t>
        </is>
      </c>
      <c r="F45" t="inlineStr">
        <is>
          <t>Nouvelle-Aquitaine</t>
        </is>
      </c>
      <c r="G45" s="3" t="n">
        <v>43550</v>
      </c>
      <c r="H45" t="n">
        <v>43</v>
      </c>
      <c r="I45" t="inlineStr">
        <is>
          <t>7 Impasse Sylvain-Combes</t>
        </is>
      </c>
      <c r="J45" t="inlineStr">
        <is>
          <t>19000</t>
        </is>
      </c>
      <c r="K45" t="inlineStr">
        <is>
          <t>Tulle</t>
        </is>
      </c>
      <c r="L45" t="inlineStr">
        <is>
          <t>05 55 20 75 00</t>
        </is>
      </c>
      <c r="M45" s="4" t="inlineStr">
        <is>
          <t>tulleagglo@tulleagglo.fr</t>
        </is>
      </c>
      <c r="N45" s="4" t="inlineStr">
        <is>
          <t>https://www.tulleagglo.fr/</t>
        </is>
      </c>
      <c r="O45" s="4" t="inlineStr">
        <is>
          <t>https://www.tulleagglo.fr/nous-contacter/</t>
        </is>
      </c>
      <c r="P45" s="4" t="inlineStr">
        <is>
          <t>https://lannuaire.service-public.gouv.fr/nouvelle-aquitaine/correze/7ebd3fe4-fde4-472e-85d2-0478f2aaa09d</t>
        </is>
      </c>
      <c r="Q45" t="inlineStr">
        <is>
          <t>Annuaire Service-public.fr</t>
        </is>
      </c>
      <c r="R45" t="inlineStr"/>
      <c r="S45" t="inlineStr"/>
      <c r="T45" t="inlineStr"/>
    </row>
    <row r="46">
      <c r="A46" t="inlineStr">
        <is>
          <t>CA du Bassin de Brive</t>
        </is>
      </c>
      <c r="B46" t="inlineStr">
        <is>
          <t>Communauté d’agglomération</t>
        </is>
      </c>
      <c r="C46" t="inlineStr">
        <is>
          <t>200043172</t>
        </is>
      </c>
      <c r="D46" t="inlineStr">
        <is>
          <t>19</t>
        </is>
      </c>
      <c r="E46" t="inlineStr">
        <is>
          <t>Corrèze</t>
        </is>
      </c>
      <c r="F46" t="inlineStr">
        <is>
          <t>Nouvelle-Aquitaine</t>
        </is>
      </c>
      <c r="G46" s="3" t="n">
        <v>108611</v>
      </c>
      <c r="H46" t="n">
        <v>48</v>
      </c>
      <c r="I46" t="inlineStr">
        <is>
          <t>9 avenue Léo-Lagrange</t>
        </is>
      </c>
      <c r="J46" t="inlineStr">
        <is>
          <t>19103</t>
        </is>
      </c>
      <c r="K46" t="inlineStr">
        <is>
          <t>Brive-la-Gaillarde</t>
        </is>
      </c>
      <c r="L46" t="inlineStr">
        <is>
          <t>05 55 74 10 00</t>
        </is>
      </c>
      <c r="M46" s="4" t="inlineStr">
        <is>
          <t>contact@agglodebrive.fr</t>
        </is>
      </c>
      <c r="N46" s="4" t="inlineStr">
        <is>
          <t>http://www.agglodebrive.fr</t>
        </is>
      </c>
      <c r="O46" s="4" t="inlineStr">
        <is>
          <t>http://www.agglodebrive.fr/contactez-nous/</t>
        </is>
      </c>
      <c r="P46" s="4" t="inlineStr">
        <is>
          <t>https://lannuaire.service-public.gouv.fr/nouvelle-aquitaine/correze/58e78040-18d0-4384-a2ec-482634091e08</t>
        </is>
      </c>
      <c r="Q46" t="inlineStr">
        <is>
          <t>Annuaire Service-public.fr</t>
        </is>
      </c>
      <c r="R46" t="inlineStr"/>
      <c r="S46" t="inlineStr"/>
      <c r="T46" t="inlineStr"/>
    </row>
    <row r="47">
      <c r="A47" t="inlineStr">
        <is>
          <t>CA Beaune, Côte et Sud - Communauté Beaune-Chagny-Nolay</t>
        </is>
      </c>
      <c r="B47" t="inlineStr">
        <is>
          <t>Communauté d’agglomération</t>
        </is>
      </c>
      <c r="C47" t="inlineStr">
        <is>
          <t>200006682</t>
        </is>
      </c>
      <c r="D47" t="inlineStr">
        <is>
          <t>21, 71</t>
        </is>
      </c>
      <c r="E47" t="inlineStr">
        <is>
          <t>Côte-d'Or, Saône-et-Loire</t>
        </is>
      </c>
      <c r="F47" t="inlineStr">
        <is>
          <t>Bourgogne-Franche-Comté</t>
        </is>
      </c>
      <c r="G47" s="3" t="n">
        <v>50592</v>
      </c>
      <c r="H47" t="n">
        <v>53</v>
      </c>
      <c r="I47" t="inlineStr">
        <is>
          <t>14 rue Philippe-Trinquet</t>
        </is>
      </c>
      <c r="J47" t="inlineStr">
        <is>
          <t>21200</t>
        </is>
      </c>
      <c r="K47" t="inlineStr">
        <is>
          <t>Beaune</t>
        </is>
      </c>
      <c r="L47" t="inlineStr">
        <is>
          <t>03 80 24 56 80</t>
        </is>
      </c>
      <c r="M47" s="4" t="inlineStr">
        <is>
          <t>dgs@beaunecoteetsud.com</t>
        </is>
      </c>
      <c r="N47" s="4" t="inlineStr">
        <is>
          <t>https://www.beaunecoteetsud.com/</t>
        </is>
      </c>
      <c r="O47" t="inlineStr"/>
      <c r="P47" s="4" t="inlineStr">
        <is>
          <t>https://lannuaire.service-public.gouv.fr/bourgogne-franche-comte/cote-d-or/2541a6a7-3b3e-461e-bb52-9edfc742f593</t>
        </is>
      </c>
      <c r="Q47" t="inlineStr">
        <is>
          <t>Annuaire Service-public.fr</t>
        </is>
      </c>
      <c r="R47" t="inlineStr"/>
      <c r="S47" t="inlineStr"/>
      <c r="T47" t="inlineStr"/>
    </row>
    <row r="48">
      <c r="A48" t="inlineStr">
        <is>
          <t>Dijon Métropole</t>
        </is>
      </c>
      <c r="B48" t="inlineStr">
        <is>
          <t>Métropole</t>
        </is>
      </c>
      <c r="C48" t="inlineStr">
        <is>
          <t>242100410</t>
        </is>
      </c>
      <c r="D48" t="inlineStr">
        <is>
          <t>21</t>
        </is>
      </c>
      <c r="E48" t="inlineStr">
        <is>
          <t>Côte-d'Or</t>
        </is>
      </c>
      <c r="F48" t="inlineStr">
        <is>
          <t>Bourgogne-Franche-Comté</t>
        </is>
      </c>
      <c r="G48" s="3" t="n">
        <v>258630</v>
      </c>
      <c r="H48" t="n">
        <v>23</v>
      </c>
      <c r="I48" t="inlineStr">
        <is>
          <t>40 avenue du Drapeau</t>
        </is>
      </c>
      <c r="J48" t="inlineStr">
        <is>
          <t>21075</t>
        </is>
      </c>
      <c r="K48" t="inlineStr">
        <is>
          <t>Dijon</t>
        </is>
      </c>
      <c r="L48" t="inlineStr">
        <is>
          <t>03 80 50 35 35</t>
        </is>
      </c>
      <c r="M48" s="4" t="inlineStr">
        <is>
          <t>contact@metropole-dijon.fr</t>
        </is>
      </c>
      <c r="N48" s="4" t="inlineStr">
        <is>
          <t>https://www.dijon-metropole.fr/</t>
        </is>
      </c>
      <c r="O48" s="4" t="inlineStr">
        <is>
          <t>https://www.dijon-metropole.fr/nous-ecrire/</t>
        </is>
      </c>
      <c r="P48" s="4" t="inlineStr">
        <is>
          <t>https://lannuaire.service-public.gouv.fr/bourgogne-franche-comte/cote-d-or/5e1cd4d6-055a-4c7f-a09c-4c18ff3b944a</t>
        </is>
      </c>
      <c r="Q48" t="inlineStr">
        <is>
          <t>Annuaire Service-public.fr</t>
        </is>
      </c>
      <c r="R48" t="inlineStr"/>
      <c r="S48" t="inlineStr"/>
      <c r="T48" t="inlineStr"/>
    </row>
    <row r="49">
      <c r="A49" t="inlineStr">
        <is>
          <t>CA Dinan Agglomération</t>
        </is>
      </c>
      <c r="B49" t="inlineStr">
        <is>
          <t>Communauté d’agglomération</t>
        </is>
      </c>
      <c r="C49" t="inlineStr">
        <is>
          <t>200068989</t>
        </is>
      </c>
      <c r="D49" t="inlineStr">
        <is>
          <t>22</t>
        </is>
      </c>
      <c r="E49" t="inlineStr">
        <is>
          <t>Côtes-d'Armor</t>
        </is>
      </c>
      <c r="F49" t="inlineStr">
        <is>
          <t>Bretagne</t>
        </is>
      </c>
      <c r="G49" s="3" t="n">
        <v>104442</v>
      </c>
      <c r="H49" t="n">
        <v>64</v>
      </c>
      <c r="I49" t="inlineStr">
        <is>
          <t>8 boulevard Simone-Veil</t>
        </is>
      </c>
      <c r="J49" t="inlineStr">
        <is>
          <t>22100</t>
        </is>
      </c>
      <c r="K49" t="inlineStr">
        <is>
          <t>Dinan Cedex</t>
        </is>
      </c>
      <c r="L49" t="inlineStr">
        <is>
          <t>02 96 87 14 14</t>
        </is>
      </c>
      <c r="M49" s="4" t="inlineStr">
        <is>
          <t>contact@dinan-agglomeration.fr</t>
        </is>
      </c>
      <c r="N49" s="4" t="inlineStr">
        <is>
          <t>https://www.dinan-agglomeration.fr/</t>
        </is>
      </c>
      <c r="O49" s="4" t="inlineStr">
        <is>
          <t>https://www.dinan-agglomeration.fr/Nous-contacter</t>
        </is>
      </c>
      <c r="P49" s="4" t="inlineStr">
        <is>
          <t>https://lannuaire.service-public.gouv.fr/bretagne/cotes-d-armor/acf842eb-67f2-474c-8d9f-91a4fdb9122e</t>
        </is>
      </c>
      <c r="Q49" t="inlineStr">
        <is>
          <t>Annuaire Service-public.fr</t>
        </is>
      </c>
      <c r="R49" t="inlineStr"/>
      <c r="S49" t="inlineStr"/>
      <c r="T49" t="inlineStr"/>
    </row>
    <row r="50">
      <c r="A50" t="inlineStr">
        <is>
          <t>CA Guingamp-Paimpol Agglomération de l'Armor à l'Argoat</t>
        </is>
      </c>
      <c r="B50" t="inlineStr">
        <is>
          <t>Communauté d’agglomération</t>
        </is>
      </c>
      <c r="C50" t="inlineStr">
        <is>
          <t>200067981</t>
        </is>
      </c>
      <c r="D50" t="inlineStr">
        <is>
          <t>22</t>
        </is>
      </c>
      <c r="E50" t="inlineStr">
        <is>
          <t>Côtes-d'Armor</t>
        </is>
      </c>
      <c r="F50" t="inlineStr">
        <is>
          <t>Bretagne</t>
        </is>
      </c>
      <c r="G50" s="3" t="n">
        <v>73835</v>
      </c>
      <c r="H50" t="n">
        <v>57</v>
      </c>
      <c r="I50" t="inlineStr">
        <is>
          <t>11 rue de la Trinité</t>
        </is>
      </c>
      <c r="J50" t="inlineStr">
        <is>
          <t>22200</t>
        </is>
      </c>
      <c r="K50" t="inlineStr">
        <is>
          <t>Guingamp</t>
        </is>
      </c>
      <c r="L50" t="inlineStr">
        <is>
          <t>02 96 13 59 59</t>
        </is>
      </c>
      <c r="M50" s="4" t="inlineStr">
        <is>
          <t>contact@guingamp-paimpol.bzh</t>
        </is>
      </c>
      <c r="N50" s="4" t="inlineStr">
        <is>
          <t>https://www.guingamp-paimpol-agglo.bzh/</t>
        </is>
      </c>
      <c r="O50" s="4" t="inlineStr">
        <is>
          <t>https://www.guingamp-paimpol-agglo.bzh/nous-contacter/</t>
        </is>
      </c>
      <c r="P50" s="4" t="inlineStr">
        <is>
          <t>https://lannuaire.service-public.gouv.fr/bretagne/cotes-d-armor/98890f92-fe8f-479f-b7c8-fe9d2e9e8383</t>
        </is>
      </c>
      <c r="Q50" t="inlineStr">
        <is>
          <t>Annuaire Service-public.fr</t>
        </is>
      </c>
      <c r="R50" t="inlineStr"/>
      <c r="S50" t="inlineStr"/>
      <c r="T50" t="inlineStr"/>
    </row>
    <row r="51">
      <c r="A51" t="inlineStr">
        <is>
          <t>CA Lamballe Terre et Mer</t>
        </is>
      </c>
      <c r="B51" t="inlineStr">
        <is>
          <t>Communauté d’agglomération</t>
        </is>
      </c>
      <c r="C51" t="inlineStr">
        <is>
          <t>200069391</t>
        </is>
      </c>
      <c r="D51" t="inlineStr">
        <is>
          <t>22</t>
        </is>
      </c>
      <c r="E51" t="inlineStr">
        <is>
          <t>Côtes-d'Armor</t>
        </is>
      </c>
      <c r="F51" t="inlineStr">
        <is>
          <t>Bretagne</t>
        </is>
      </c>
      <c r="G51" s="3" t="n">
        <v>69087</v>
      </c>
      <c r="H51" t="n">
        <v>38</v>
      </c>
      <c r="I51" t="inlineStr">
        <is>
          <t>41 rue Saint-Martin, CS 83002</t>
        </is>
      </c>
      <c r="J51" t="inlineStr">
        <is>
          <t>22400</t>
        </is>
      </c>
      <c r="K51" t="inlineStr">
        <is>
          <t>Lamballe-Armor</t>
        </is>
      </c>
      <c r="L51" t="inlineStr">
        <is>
          <t>02 96 50 00 30</t>
        </is>
      </c>
      <c r="M51" s="4" t="inlineStr">
        <is>
          <t>contact@lamballe-terre-mer.bzh</t>
        </is>
      </c>
      <c r="N51" s="4" t="inlineStr">
        <is>
          <t>https://www.lamballe-terre-mer.bzh/accueil</t>
        </is>
      </c>
      <c r="O51" t="inlineStr"/>
      <c r="P51" s="4" t="inlineStr">
        <is>
          <t>https://lannuaire.service-public.gouv.fr/bretagne/cotes-d-armor/1fafcb91-af73-4cea-b494-f9c75583ebfd</t>
        </is>
      </c>
      <c r="Q51" t="inlineStr">
        <is>
          <t>Annuaire Service-public.fr</t>
        </is>
      </c>
      <c r="R51" t="inlineStr"/>
      <c r="S51" t="inlineStr"/>
      <c r="T51" t="inlineStr"/>
    </row>
    <row r="52">
      <c r="A52" t="inlineStr">
        <is>
          <t>CA Lannion-Trégor Communauté</t>
        </is>
      </c>
      <c r="B52" t="inlineStr">
        <is>
          <t>Communauté d’agglomération</t>
        </is>
      </c>
      <c r="C52" t="inlineStr">
        <is>
          <t>200065928</t>
        </is>
      </c>
      <c r="D52" t="inlineStr">
        <is>
          <t>22</t>
        </is>
      </c>
      <c r="E52" t="inlineStr">
        <is>
          <t>Côtes-d'Armor</t>
        </is>
      </c>
      <c r="F52" t="inlineStr">
        <is>
          <t>Bretagne</t>
        </is>
      </c>
      <c r="G52" s="3" t="n">
        <v>100877</v>
      </c>
      <c r="H52" t="n">
        <v>57</v>
      </c>
      <c r="I52" t="inlineStr">
        <is>
          <t>1 rue Monge, CS 10761</t>
        </is>
      </c>
      <c r="J52" t="inlineStr">
        <is>
          <t>22307</t>
        </is>
      </c>
      <c r="K52" t="inlineStr">
        <is>
          <t>Lannion Cedex</t>
        </is>
      </c>
      <c r="L52" t="inlineStr">
        <is>
          <t>02 96 05 09 00</t>
        </is>
      </c>
      <c r="M52" s="4" t="inlineStr">
        <is>
          <t>contact@lannion-tregor.com</t>
        </is>
      </c>
      <c r="N52" s="4" t="inlineStr">
        <is>
          <t>https://www.lannion-tregor.com/</t>
        </is>
      </c>
      <c r="O52" s="4" t="inlineStr">
        <is>
          <t>https://www.lannion-tregor.com/fr/contact.html</t>
        </is>
      </c>
      <c r="P52" s="4" t="inlineStr">
        <is>
          <t>https://lannuaire.service-public.gouv.fr/bretagne/cotes-d-armor/bd1eb6f2-93fe-4868-88ac-6678d2b6efde</t>
        </is>
      </c>
      <c r="Q52" t="inlineStr">
        <is>
          <t>Annuaire Service-public.fr</t>
        </is>
      </c>
      <c r="R52" t="inlineStr"/>
      <c r="S52" t="inlineStr"/>
      <c r="T52" t="inlineStr"/>
    </row>
    <row r="53">
      <c r="A53" t="inlineStr">
        <is>
          <t>CA Saint-Brieuc Armor Agglomération</t>
        </is>
      </c>
      <c r="B53" t="inlineStr">
        <is>
          <t>Communauté d’agglomération</t>
        </is>
      </c>
      <c r="C53" t="inlineStr">
        <is>
          <t>200069409</t>
        </is>
      </c>
      <c r="D53" t="inlineStr">
        <is>
          <t>22</t>
        </is>
      </c>
      <c r="E53" t="inlineStr">
        <is>
          <t>Côtes-d'Armor</t>
        </is>
      </c>
      <c r="F53" t="inlineStr">
        <is>
          <t>Bretagne</t>
        </is>
      </c>
      <c r="G53" s="3" t="n">
        <v>154023</v>
      </c>
      <c r="H53" t="n">
        <v>32</v>
      </c>
      <c r="I53" t="inlineStr">
        <is>
          <t>5 rue du 71e-Régiment-d'Infanterie</t>
        </is>
      </c>
      <c r="J53" t="inlineStr">
        <is>
          <t>22000</t>
        </is>
      </c>
      <c r="K53" t="inlineStr">
        <is>
          <t>Saint-Brieuc</t>
        </is>
      </c>
      <c r="L53" t="inlineStr">
        <is>
          <t>02 96 77 20 00</t>
        </is>
      </c>
      <c r="M53" s="4" t="inlineStr">
        <is>
          <t>accueil@sbaa.fr</t>
        </is>
      </c>
      <c r="N53" s="4" t="inlineStr">
        <is>
          <t>https://www.saintbrieuc-armor-agglo.bzh/</t>
        </is>
      </c>
      <c r="O53" s="4" t="inlineStr">
        <is>
          <t>https://www.saintbrieuc-armor-agglo.bzh/pages-pratiques/contact</t>
        </is>
      </c>
      <c r="P53" s="4" t="inlineStr">
        <is>
          <t>https://lannuaire.service-public.gouv.fr/bretagne/cotes-d-armor/72b96b1a-67d0-4700-8e6f-0e5f829d814d</t>
        </is>
      </c>
      <c r="Q53" t="inlineStr">
        <is>
          <t>Annuaire Service-public.fr</t>
        </is>
      </c>
      <c r="R53" t="inlineStr"/>
      <c r="S53" t="inlineStr"/>
      <c r="T53" t="inlineStr"/>
    </row>
    <row r="54">
      <c r="A54" t="inlineStr">
        <is>
          <t>CA du Grand Guéret</t>
        </is>
      </c>
      <c r="B54" t="inlineStr">
        <is>
          <t>Communauté d’agglomération</t>
        </is>
      </c>
      <c r="C54" t="inlineStr">
        <is>
          <t>200034825</t>
        </is>
      </c>
      <c r="D54" t="inlineStr">
        <is>
          <t>23</t>
        </is>
      </c>
      <c r="E54" t="inlineStr">
        <is>
          <t>Creuse</t>
        </is>
      </c>
      <c r="F54" t="inlineStr">
        <is>
          <t>Nouvelle-Aquitaine</t>
        </is>
      </c>
      <c r="G54" s="3" t="n">
        <v>28450</v>
      </c>
      <c r="H54" t="n">
        <v>25</v>
      </c>
      <c r="I54" t="inlineStr">
        <is>
          <t>9 avenue Charles-de-Gaulle, BP 302</t>
        </is>
      </c>
      <c r="J54" t="inlineStr">
        <is>
          <t>23006</t>
        </is>
      </c>
      <c r="K54" t="inlineStr">
        <is>
          <t>Guéret Cedex</t>
        </is>
      </c>
      <c r="L54" t="inlineStr">
        <is>
          <t>05 55 41 04 48</t>
        </is>
      </c>
      <c r="M54" s="4" t="inlineStr">
        <is>
          <t>direction.generale@agglo-grandgueret.fr</t>
        </is>
      </c>
      <c r="N54" s="4" t="inlineStr">
        <is>
          <t>https://www.agglo-grandgueret.fr/</t>
        </is>
      </c>
      <c r="O54" t="inlineStr"/>
      <c r="P54" s="4" t="inlineStr">
        <is>
          <t>https://lannuaire.service-public.gouv.fr/nouvelle-aquitaine/creuse/11b3f616-22c6-4e0d-b593-c83c9da31b31</t>
        </is>
      </c>
      <c r="Q54" t="inlineStr">
        <is>
          <t>Annuaire Service-public.fr</t>
        </is>
      </c>
      <c r="R54" t="inlineStr"/>
      <c r="S54" t="inlineStr"/>
      <c r="T54" t="inlineStr"/>
    </row>
    <row r="55">
      <c r="A55" t="inlineStr">
        <is>
          <t>CA Bergeracoise</t>
        </is>
      </c>
      <c r="B55" t="inlineStr">
        <is>
          <t>Communauté d’agglomération</t>
        </is>
      </c>
      <c r="C55" t="inlineStr">
        <is>
          <t>200070647</t>
        </is>
      </c>
      <c r="D55" t="inlineStr">
        <is>
          <t>24</t>
        </is>
      </c>
      <c r="E55" t="inlineStr">
        <is>
          <t>Dordogne</t>
        </is>
      </c>
      <c r="F55" t="inlineStr">
        <is>
          <t>Nouvelle-Aquitaine</t>
        </is>
      </c>
      <c r="G55" s="3" t="n">
        <v>61551</v>
      </c>
      <c r="H55" t="n">
        <v>38</v>
      </c>
      <c r="I55" t="inlineStr">
        <is>
          <t>Domaine de La Tour, La Tour Est</t>
        </is>
      </c>
      <c r="J55" t="inlineStr">
        <is>
          <t>24112</t>
        </is>
      </c>
      <c r="K55" t="inlineStr">
        <is>
          <t>Bergerac</t>
        </is>
      </c>
      <c r="L55" t="inlineStr">
        <is>
          <t>05 53 23 43 95</t>
        </is>
      </c>
      <c r="M55" s="4" t="inlineStr">
        <is>
          <t>contact@la-cab.fr</t>
        </is>
      </c>
      <c r="N55" s="4" t="inlineStr">
        <is>
          <t>https://www.la-cab.fr/</t>
        </is>
      </c>
      <c r="O55" s="4" t="inlineStr">
        <is>
          <t>https://www.la-cab.fr/contact/</t>
        </is>
      </c>
      <c r="P55" s="4" t="inlineStr">
        <is>
          <t>https://lannuaire.service-public.gouv.fr/nouvelle-aquitaine/dordogne/36e84de1-06cd-44c9-a835-87515b97f146</t>
        </is>
      </c>
      <c r="Q55" t="inlineStr">
        <is>
          <t>Annuaire Service-public.fr</t>
        </is>
      </c>
      <c r="R55" t="inlineStr"/>
      <c r="S55" t="inlineStr"/>
      <c r="T55" t="inlineStr"/>
    </row>
    <row r="56">
      <c r="A56" t="inlineStr">
        <is>
          <t>CA Le Grand Périgueux</t>
        </is>
      </c>
      <c r="B56" t="inlineStr">
        <is>
          <t>Communauté d’agglomération</t>
        </is>
      </c>
      <c r="C56" t="inlineStr">
        <is>
          <t>200040392</t>
        </is>
      </c>
      <c r="D56" t="inlineStr">
        <is>
          <t>24</t>
        </is>
      </c>
      <c r="E56" t="inlineStr">
        <is>
          <t>Dordogne</t>
        </is>
      </c>
      <c r="F56" t="inlineStr">
        <is>
          <t>Nouvelle-Aquitaine</t>
        </is>
      </c>
      <c r="G56" s="3" t="n">
        <v>104933</v>
      </c>
      <c r="H56" t="n">
        <v>43</v>
      </c>
      <c r="I56" t="inlineStr">
        <is>
          <t>1 boulevard Lakanal, BP 70171</t>
        </is>
      </c>
      <c r="J56" t="inlineStr">
        <is>
          <t>24019</t>
        </is>
      </c>
      <c r="K56" t="inlineStr">
        <is>
          <t>Périgueux Cedex</t>
        </is>
      </c>
      <c r="L56" t="inlineStr">
        <is>
          <t>05 53 35 86 00</t>
        </is>
      </c>
      <c r="M56" s="4" t="inlineStr">
        <is>
          <t>contact@grandperigueux.fr</t>
        </is>
      </c>
      <c r="N56" s="4" t="inlineStr">
        <is>
          <t>https://www.grandperigueux.fr/</t>
        </is>
      </c>
      <c r="O56" s="4" t="inlineStr">
        <is>
          <t>https://www.grandperigueux.fr/informations-pratiques/contact</t>
        </is>
      </c>
      <c r="P56" s="4" t="inlineStr">
        <is>
          <t>https://lannuaire.service-public.gouv.fr/nouvelle-aquitaine/dordogne/99794583-62bc-4ea8-861c-51ce457e918f</t>
        </is>
      </c>
      <c r="Q56" t="inlineStr">
        <is>
          <t>Annuaire Service-public.fr</t>
        </is>
      </c>
      <c r="R56" t="inlineStr"/>
      <c r="S56" t="inlineStr"/>
      <c r="T56" t="inlineStr"/>
    </row>
    <row r="57">
      <c r="A57" t="inlineStr">
        <is>
          <t>CA Pays de Montbéliard Agglomération</t>
        </is>
      </c>
      <c r="B57" t="inlineStr">
        <is>
          <t>Communauté d’agglomération</t>
        </is>
      </c>
      <c r="C57" t="inlineStr">
        <is>
          <t>200065647</t>
        </is>
      </c>
      <c r="D57" t="inlineStr">
        <is>
          <t>25</t>
        </is>
      </c>
      <c r="E57" t="inlineStr">
        <is>
          <t>Doubs</t>
        </is>
      </c>
      <c r="F57" t="inlineStr">
        <is>
          <t>Bourgogne-Franche-Comté</t>
        </is>
      </c>
      <c r="G57" s="3" t="n">
        <v>139232</v>
      </c>
      <c r="H57" t="n">
        <v>73</v>
      </c>
      <c r="I57" t="inlineStr">
        <is>
          <t>8 avenue des Alliés</t>
        </is>
      </c>
      <c r="J57" t="inlineStr">
        <is>
          <t>25208</t>
        </is>
      </c>
      <c r="K57" t="inlineStr">
        <is>
          <t>Montbéliard</t>
        </is>
      </c>
      <c r="L57" t="inlineStr">
        <is>
          <t>03 81 31 88 88</t>
        </is>
      </c>
      <c r="M57" t="inlineStr"/>
      <c r="N57" s="4" t="inlineStr">
        <is>
          <t>https://www.agglo-montbeliard.fr/</t>
        </is>
      </c>
      <c r="O57" s="4" t="inlineStr">
        <is>
          <t>https://www.agglo-montbeliard.fr/contact</t>
        </is>
      </c>
      <c r="P57" s="4" t="inlineStr">
        <is>
          <t>https://lannuaire.service-public.gouv.fr/bourgogne-franche-comte/doubs/391918a0-18bb-467f-8c91-d94088efcde8</t>
        </is>
      </c>
      <c r="Q57" t="inlineStr">
        <is>
          <t>Annuaire Service-public.fr</t>
        </is>
      </c>
      <c r="R57" t="inlineStr"/>
      <c r="S57" t="inlineStr"/>
      <c r="T57" t="inlineStr"/>
    </row>
    <row r="58">
      <c r="A58" t="inlineStr">
        <is>
          <t>CU Grand Besançon Métropole</t>
        </is>
      </c>
      <c r="B58" t="inlineStr">
        <is>
          <t>Communauté urbaine</t>
        </is>
      </c>
      <c r="C58" t="inlineStr">
        <is>
          <t>242500361</t>
        </is>
      </c>
      <c r="D58" t="inlineStr">
        <is>
          <t>25</t>
        </is>
      </c>
      <c r="E58" t="inlineStr">
        <is>
          <t>Doubs</t>
        </is>
      </c>
      <c r="F58" t="inlineStr">
        <is>
          <t>Bourgogne-Franche-Comté</t>
        </is>
      </c>
      <c r="G58" s="3" t="n">
        <v>198387</v>
      </c>
      <c r="H58" t="n">
        <v>67</v>
      </c>
      <c r="I58" t="inlineStr">
        <is>
          <t>4 rue Gabriel-Plançon, La City</t>
        </is>
      </c>
      <c r="J58" t="inlineStr">
        <is>
          <t>25043</t>
        </is>
      </c>
      <c r="K58" t="inlineStr">
        <is>
          <t>Besançon Cedex</t>
        </is>
      </c>
      <c r="L58" t="inlineStr">
        <is>
          <t>03 81 87 88 89</t>
        </is>
      </c>
      <c r="M58" s="4" t="inlineStr">
        <is>
          <t>contact.gbm@grandbesancon.fr</t>
        </is>
      </c>
      <c r="N58" s="4" t="inlineStr">
        <is>
          <t>https://www.grandbesancon.fr/</t>
        </is>
      </c>
      <c r="O58" s="4" t="inlineStr">
        <is>
          <t>https://www.grandbesancon.fr/grand-besancon-metropole-nous-contacter/</t>
        </is>
      </c>
      <c r="P58" s="4" t="inlineStr">
        <is>
          <t>https://lannuaire.service-public.gouv.fr/bourgogne-franche-comte/doubs/4a954010-1afe-472b-9d3f-f471cf546500</t>
        </is>
      </c>
      <c r="Q58" t="inlineStr">
        <is>
          <t>Annuaire Service-public.fr</t>
        </is>
      </c>
      <c r="R58" t="inlineStr"/>
      <c r="S58" t="inlineStr"/>
      <c r="T58" t="inlineStr"/>
    </row>
    <row r="59">
      <c r="A59" t="inlineStr">
        <is>
          <t>CA Montélimar Agglomération</t>
        </is>
      </c>
      <c r="B59" t="inlineStr">
        <is>
          <t>Communauté d’agglomération</t>
        </is>
      </c>
      <c r="C59" t="inlineStr">
        <is>
          <t>200040459</t>
        </is>
      </c>
      <c r="D59" t="inlineStr">
        <is>
          <t>26</t>
        </is>
      </c>
      <c r="E59" t="inlineStr">
        <is>
          <t>Drôme</t>
        </is>
      </c>
      <c r="F59" t="inlineStr">
        <is>
          <t>Auvergne-Rhône-Alpes</t>
        </is>
      </c>
      <c r="G59" s="3" t="n">
        <v>68756</v>
      </c>
      <c r="H59" t="n">
        <v>27</v>
      </c>
      <c r="I59" t="inlineStr">
        <is>
          <t>1 avenue Saint-Martin, Maison des services publics</t>
        </is>
      </c>
      <c r="J59" t="inlineStr">
        <is>
          <t>26200</t>
        </is>
      </c>
      <c r="K59" t="inlineStr">
        <is>
          <t>Montélimar</t>
        </is>
      </c>
      <c r="L59" t="inlineStr">
        <is>
          <t>04 75 00 64 41</t>
        </is>
      </c>
      <c r="M59" s="4" t="inlineStr">
        <is>
          <t>contact@montelimar-agglo.fr</t>
        </is>
      </c>
      <c r="N59" s="4" t="inlineStr">
        <is>
          <t>https://www.montelimar-agglo.fr/</t>
        </is>
      </c>
      <c r="O59" s="4" t="inlineStr">
        <is>
          <t>https://www.montelimar-agglo.fr/vie-quotidienne/contact</t>
        </is>
      </c>
      <c r="P59" s="4" t="inlineStr">
        <is>
          <t>https://lannuaire.service-public.gouv.fr/auvergne-rhone-alpes/drome/e3dfe242-624f-4114-b34b-45bca540ccf1</t>
        </is>
      </c>
      <c r="Q59" t="inlineStr">
        <is>
          <t>Annuaire Service-public.fr</t>
        </is>
      </c>
      <c r="R59" t="inlineStr"/>
      <c r="S59" t="inlineStr"/>
      <c r="T59" t="inlineStr"/>
    </row>
    <row r="60">
      <c r="A60" t="inlineStr">
        <is>
          <t>CA Valence Romans Agglo</t>
        </is>
      </c>
      <c r="B60" t="inlineStr">
        <is>
          <t>Communauté d’agglomération</t>
        </is>
      </c>
      <c r="C60" t="inlineStr">
        <is>
          <t>200068781</t>
        </is>
      </c>
      <c r="D60" t="inlineStr">
        <is>
          <t>26</t>
        </is>
      </c>
      <c r="E60" t="inlineStr">
        <is>
          <t>Drôme</t>
        </is>
      </c>
      <c r="F60" t="inlineStr">
        <is>
          <t>Auvergne-Rhône-Alpes</t>
        </is>
      </c>
      <c r="G60" s="3" t="n">
        <v>224841</v>
      </c>
      <c r="H60" t="n">
        <v>54</v>
      </c>
      <c r="I60" t="inlineStr">
        <is>
          <t>1 place Jacques-Brel</t>
        </is>
      </c>
      <c r="J60" t="inlineStr">
        <is>
          <t>26300</t>
        </is>
      </c>
      <c r="K60" t="inlineStr">
        <is>
          <t>Valence</t>
        </is>
      </c>
      <c r="L60" t="inlineStr">
        <is>
          <t>04 75 81 30 30</t>
        </is>
      </c>
      <c r="M60" s="4" t="inlineStr">
        <is>
          <t>accueil@valenceromansagglo.fr</t>
        </is>
      </c>
      <c r="N60" s="4" t="inlineStr">
        <is>
          <t>https://www.valenceromansagglo.fr/fr/index.html</t>
        </is>
      </c>
      <c r="O60" t="inlineStr"/>
      <c r="P60" s="4" t="inlineStr">
        <is>
          <t>https://lannuaire.service-public.gouv.fr/auvergne-rhone-alpes/drome/7f0de546-5ef7-4c28-9831-842f6b78ab78</t>
        </is>
      </c>
      <c r="Q60" t="inlineStr">
        <is>
          <t>Annuaire Service-public.fr</t>
        </is>
      </c>
      <c r="R60" t="inlineStr"/>
      <c r="S60" t="inlineStr"/>
      <c r="T60" t="inlineStr"/>
    </row>
    <row r="61">
      <c r="A61" t="inlineStr">
        <is>
          <t>CA Agglo du Pays de Dreux</t>
        </is>
      </c>
      <c r="B61" t="inlineStr">
        <is>
          <t>Communauté d’agglomération</t>
        </is>
      </c>
      <c r="C61" t="inlineStr">
        <is>
          <t>200040277</t>
        </is>
      </c>
      <c r="D61" t="inlineStr">
        <is>
          <t>27, 28</t>
        </is>
      </c>
      <c r="E61" t="inlineStr">
        <is>
          <t>Eure, Eure-et-Loir</t>
        </is>
      </c>
      <c r="F61" t="inlineStr">
        <is>
          <t>Centre-Val de Loire, Normandie</t>
        </is>
      </c>
      <c r="G61" s="3" t="n">
        <v>116484</v>
      </c>
      <c r="H61" t="n">
        <v>81</v>
      </c>
      <c r="I61" t="inlineStr">
        <is>
          <t>4 rue de Châteaudun</t>
        </is>
      </c>
      <c r="J61" t="inlineStr">
        <is>
          <t>28100</t>
        </is>
      </c>
      <c r="K61" t="inlineStr">
        <is>
          <t>Dreux</t>
        </is>
      </c>
      <c r="L61" t="inlineStr">
        <is>
          <t>02 37 64 82 00</t>
        </is>
      </c>
      <c r="M61" s="4" t="inlineStr">
        <is>
          <t>contact@dreux-agglomeration.fr</t>
        </is>
      </c>
      <c r="N61" s="4" t="inlineStr">
        <is>
          <t>https://www.dreux-agglomeration.fr/</t>
        </is>
      </c>
      <c r="O61" s="4" t="inlineStr">
        <is>
          <t>https://www.dreux-agglomeration.fr/nous-contacter/</t>
        </is>
      </c>
      <c r="P61" s="4" t="inlineStr">
        <is>
          <t>https://lannuaire.service-public.gouv.fr/centre-val-de-loire/eure-et-loir/cd135617-cbf4-49e4-9221-a83f5942243f</t>
        </is>
      </c>
      <c r="Q61" t="inlineStr">
        <is>
          <t>Annuaire Service-public.fr</t>
        </is>
      </c>
      <c r="R61" t="inlineStr"/>
      <c r="S61" t="inlineStr"/>
      <c r="T61" t="inlineStr"/>
    </row>
    <row r="62">
      <c r="A62" t="inlineStr">
        <is>
          <t>CA Evreux Portes de Normandie</t>
        </is>
      </c>
      <c r="B62" t="inlineStr">
        <is>
          <t>Communauté d’agglomération</t>
        </is>
      </c>
      <c r="C62" t="inlineStr">
        <is>
          <t>200071454</t>
        </is>
      </c>
      <c r="D62" t="inlineStr">
        <is>
          <t>27</t>
        </is>
      </c>
      <c r="E62" t="inlineStr">
        <is>
          <t>Eure</t>
        </is>
      </c>
      <c r="F62" t="inlineStr">
        <is>
          <t>Normandie</t>
        </is>
      </c>
      <c r="G62" s="3" t="n">
        <v>112285</v>
      </c>
      <c r="H62" t="n">
        <v>74</v>
      </c>
      <c r="I62" t="inlineStr">
        <is>
          <t>9 rue Voltaire, CS 40423</t>
        </is>
      </c>
      <c r="J62" t="inlineStr">
        <is>
          <t>27004</t>
        </is>
      </c>
      <c r="K62" t="inlineStr">
        <is>
          <t>Évreux Cedex</t>
        </is>
      </c>
      <c r="L62" t="inlineStr">
        <is>
          <t>02 32 31 92 92</t>
        </is>
      </c>
      <c r="M62" s="4" t="inlineStr">
        <is>
          <t>dgs@epn-agglo.fr</t>
        </is>
      </c>
      <c r="N62" s="4" t="inlineStr">
        <is>
          <t>https://evreuxportesdenormandie.fr/</t>
        </is>
      </c>
      <c r="O62" t="inlineStr"/>
      <c r="P62" s="4" t="inlineStr">
        <is>
          <t>https://lannuaire.service-public.gouv.fr/normandie/eure/cff36589-4122-4ced-906f-cae5af481abe</t>
        </is>
      </c>
      <c r="Q62" t="inlineStr">
        <is>
          <t>Annuaire Service-public.fr</t>
        </is>
      </c>
      <c r="R62" t="inlineStr"/>
      <c r="S62" t="inlineStr"/>
      <c r="T62" t="inlineStr"/>
    </row>
    <row r="63">
      <c r="A63" t="inlineStr">
        <is>
          <t>CA Seine Normandie Agglomération</t>
        </is>
      </c>
      <c r="B63" t="inlineStr">
        <is>
          <t>Communauté d’agglomération</t>
        </is>
      </c>
      <c r="C63" t="inlineStr">
        <is>
          <t>200072312</t>
        </is>
      </c>
      <c r="D63" t="inlineStr">
        <is>
          <t>27</t>
        </is>
      </c>
      <c r="E63" t="inlineStr">
        <is>
          <t>Eure</t>
        </is>
      </c>
      <c r="F63" t="inlineStr">
        <is>
          <t>Normandie</t>
        </is>
      </c>
      <c r="G63" s="3" t="n">
        <v>82981</v>
      </c>
      <c r="H63" t="n">
        <v>61</v>
      </c>
      <c r="I63" t="inlineStr">
        <is>
          <t>12 rue de la Mare-à-Jouy</t>
        </is>
      </c>
      <c r="J63" t="inlineStr">
        <is>
          <t>27120</t>
        </is>
      </c>
      <c r="K63" t="inlineStr">
        <is>
          <t>Douains</t>
        </is>
      </c>
      <c r="L63" t="inlineStr">
        <is>
          <t>02 32 53 50 03</t>
        </is>
      </c>
      <c r="M63" s="4" t="inlineStr">
        <is>
          <t>accueil@sna27.fr</t>
        </is>
      </c>
      <c r="N63" s="4" t="inlineStr">
        <is>
          <t>https://www.sna27.fr/</t>
        </is>
      </c>
      <c r="O63" s="4" t="inlineStr">
        <is>
          <t>https://www.sna27.fr/nous-contacter/</t>
        </is>
      </c>
      <c r="P63" s="4" t="inlineStr">
        <is>
          <t>https://lannuaire.service-public.gouv.fr/normandie/eure/b073eb56-dc96-426b-bfda-389f0bf4950c</t>
        </is>
      </c>
      <c r="Q63" t="inlineStr">
        <is>
          <t>Annuaire Service-public.fr</t>
        </is>
      </c>
      <c r="R63" t="inlineStr"/>
      <c r="S63" t="inlineStr"/>
      <c r="T63" t="inlineStr"/>
    </row>
    <row r="64">
      <c r="A64" t="inlineStr">
        <is>
          <t>CA Seine-Eure</t>
        </is>
      </c>
      <c r="B64" t="inlineStr">
        <is>
          <t>Communauté d’agglomération</t>
        </is>
      </c>
      <c r="C64" t="inlineStr">
        <is>
          <t>200089456</t>
        </is>
      </c>
      <c r="D64" t="inlineStr">
        <is>
          <t>27</t>
        </is>
      </c>
      <c r="E64" t="inlineStr">
        <is>
          <t>Eure</t>
        </is>
      </c>
      <c r="F64" t="inlineStr">
        <is>
          <t>Normandie</t>
        </is>
      </c>
      <c r="G64" s="3" t="n">
        <v>102892</v>
      </c>
      <c r="H64" t="n">
        <v>60</v>
      </c>
      <c r="I64" t="inlineStr">
        <is>
          <t>1 place Ernest-Thorel</t>
        </is>
      </c>
      <c r="J64" t="inlineStr">
        <is>
          <t>27405</t>
        </is>
      </c>
      <c r="K64" t="inlineStr">
        <is>
          <t>Louviers</t>
        </is>
      </c>
      <c r="L64" t="inlineStr">
        <is>
          <t>02 32 50 85 50</t>
        </is>
      </c>
      <c r="M64" s="4" t="inlineStr">
        <is>
          <t>agglo@seine-eure.com</t>
        </is>
      </c>
      <c r="N64" s="4" t="inlineStr">
        <is>
          <t>https://www.agglo-seine-eure.fr</t>
        </is>
      </c>
      <c r="O64" s="4" t="inlineStr">
        <is>
          <t>https://formulaires.demarches.seine-eure.fr/contact/contacter-agglomeration-seine-eure/</t>
        </is>
      </c>
      <c r="P64" s="4" t="inlineStr">
        <is>
          <t>https://lannuaire.service-public.gouv.fr/normandie/eure/6bff501d-4cd5-49a7-9151-746c6196eda5</t>
        </is>
      </c>
      <c r="Q64" t="inlineStr">
        <is>
          <t>Annuaire Service-public.fr</t>
        </is>
      </c>
      <c r="R64" t="inlineStr"/>
      <c r="S64" t="inlineStr"/>
      <c r="T64" t="inlineStr"/>
    </row>
    <row r="65">
      <c r="A65" t="inlineStr">
        <is>
          <t>CA Chartres Métropole</t>
        </is>
      </c>
      <c r="B65" t="inlineStr">
        <is>
          <t>Communauté d’agglomération</t>
        </is>
      </c>
      <c r="C65" t="inlineStr">
        <is>
          <t>200033181</t>
        </is>
      </c>
      <c r="D65" t="inlineStr">
        <is>
          <t>28</t>
        </is>
      </c>
      <c r="E65" t="inlineStr">
        <is>
          <t>Eure-et-Loir</t>
        </is>
      </c>
      <c r="F65" t="inlineStr">
        <is>
          <t>Centre-Val de Loire</t>
        </is>
      </c>
      <c r="G65" s="3" t="n">
        <v>136921</v>
      </c>
      <c r="H65" t="n">
        <v>66</v>
      </c>
      <c r="I65" t="inlineStr">
        <is>
          <t>Place des Halles</t>
        </is>
      </c>
      <c r="J65" t="inlineStr">
        <is>
          <t>28000</t>
        </is>
      </c>
      <c r="K65" t="inlineStr">
        <is>
          <t>Chartres</t>
        </is>
      </c>
      <c r="L65" t="inlineStr">
        <is>
          <t>02 37 23 40 00</t>
        </is>
      </c>
      <c r="M65" s="4" t="inlineStr">
        <is>
          <t>contact@agglo-ville.chartres.fr</t>
        </is>
      </c>
      <c r="N65" s="4" t="inlineStr">
        <is>
          <t>https://www.chartres-metropole.fr/</t>
        </is>
      </c>
      <c r="O65" s="4" t="inlineStr">
        <is>
          <t>https://www.chartres-metropole.fr/contacts</t>
        </is>
      </c>
      <c r="P65" s="4" t="inlineStr">
        <is>
          <t>https://lannuaire.service-public.gouv.fr/centre-val-de-loire/eure-et-loir/eb9313cf-a218-4554-aed0-17171be25368</t>
        </is>
      </c>
      <c r="Q65" t="inlineStr">
        <is>
          <t>Annuaire Service-public.fr</t>
        </is>
      </c>
      <c r="R65" t="inlineStr"/>
      <c r="S65" t="inlineStr"/>
      <c r="T65" t="inlineStr"/>
    </row>
    <row r="66">
      <c r="A66" t="inlineStr">
        <is>
          <t>Brest Métropole</t>
        </is>
      </c>
      <c r="B66" t="inlineStr">
        <is>
          <t>Métropole</t>
        </is>
      </c>
      <c r="C66" t="inlineStr">
        <is>
          <t>242900314</t>
        </is>
      </c>
      <c r="D66" t="inlineStr">
        <is>
          <t>29</t>
        </is>
      </c>
      <c r="E66" t="inlineStr">
        <is>
          <t>Finistère</t>
        </is>
      </c>
      <c r="F66" t="inlineStr">
        <is>
          <t>Bretagne</t>
        </is>
      </c>
      <c r="G66" s="3" t="n">
        <v>213403</v>
      </c>
      <c r="H66" t="n">
        <v>8</v>
      </c>
      <c r="I66" t="inlineStr">
        <is>
          <t>24 rue Coat-ar-Guéven</t>
        </is>
      </c>
      <c r="J66" t="inlineStr">
        <is>
          <t>29238</t>
        </is>
      </c>
      <c r="K66" t="inlineStr">
        <is>
          <t>Brest</t>
        </is>
      </c>
      <c r="L66" t="inlineStr">
        <is>
          <t>02 98 33 50 50</t>
        </is>
      </c>
      <c r="M66" s="4" t="inlineStr">
        <is>
          <t>contact@brest-metropole.fr</t>
        </is>
      </c>
      <c r="N66" s="4" t="inlineStr">
        <is>
          <t>https://brest.fr/</t>
        </is>
      </c>
      <c r="O66" s="4" t="inlineStr">
        <is>
          <t>https://brest.fr/contacter-nos-services</t>
        </is>
      </c>
      <c r="P66" s="4" t="inlineStr">
        <is>
          <t>https://lannuaire.service-public.gouv.fr/bretagne/finistere/118a2e23-7918-43f9-a77a-09cf61e56bdf</t>
        </is>
      </c>
      <c r="Q66" t="inlineStr">
        <is>
          <t>Annuaire Service-public.fr</t>
        </is>
      </c>
      <c r="R66" t="inlineStr"/>
      <c r="S66" t="inlineStr"/>
      <c r="T66" t="inlineStr"/>
    </row>
    <row r="67">
      <c r="A67" t="inlineStr">
        <is>
          <t>CA Concarneau Cornouaille Agglomération</t>
        </is>
      </c>
      <c r="B67" t="inlineStr">
        <is>
          <t>Communauté d’agglomération</t>
        </is>
      </c>
      <c r="C67" t="inlineStr">
        <is>
          <t>242900769</t>
        </is>
      </c>
      <c r="D67" t="inlineStr">
        <is>
          <t>29</t>
        </is>
      </c>
      <c r="E67" t="inlineStr">
        <is>
          <t>Finistère</t>
        </is>
      </c>
      <c r="F67" t="inlineStr">
        <is>
          <t>Bretagne</t>
        </is>
      </c>
      <c r="G67" s="3" t="n">
        <v>52012</v>
      </c>
      <c r="H67" t="n">
        <v>9</v>
      </c>
      <c r="I67" t="inlineStr">
        <is>
          <t>1 rue Victor-Schoelcher</t>
        </is>
      </c>
      <c r="J67" t="inlineStr">
        <is>
          <t>29180</t>
        </is>
      </c>
      <c r="K67" t="inlineStr">
        <is>
          <t>Concarneau</t>
        </is>
      </c>
      <c r="L67" t="inlineStr">
        <is>
          <t>02 98 97 71 50</t>
        </is>
      </c>
      <c r="M67" s="4" t="inlineStr">
        <is>
          <t>contact@cca.bzh</t>
        </is>
      </c>
      <c r="N67" s="4" t="inlineStr">
        <is>
          <t>https://www.cca.bzh/</t>
        </is>
      </c>
      <c r="O67" s="4" t="inlineStr">
        <is>
          <t>https://www.cca.bzh/contactez-nous/</t>
        </is>
      </c>
      <c r="P67" s="4" t="inlineStr">
        <is>
          <t>https://lannuaire.service-public.gouv.fr/bretagne/finistere/388f6841-9593-4d2b-96d2-6c42bdc4bb30</t>
        </is>
      </c>
      <c r="Q67" t="inlineStr">
        <is>
          <t>Annuaire Service-public.fr</t>
        </is>
      </c>
      <c r="R67" t="inlineStr"/>
      <c r="S67" t="inlineStr"/>
      <c r="T67" t="inlineStr"/>
    </row>
    <row r="68">
      <c r="A68" t="inlineStr">
        <is>
          <t>CA Morlaix Communauté</t>
        </is>
      </c>
      <c r="B68" t="inlineStr">
        <is>
          <t>Communauté d’agglomération</t>
        </is>
      </c>
      <c r="C68" t="inlineStr">
        <is>
          <t>242900835</t>
        </is>
      </c>
      <c r="D68" t="inlineStr">
        <is>
          <t>29</t>
        </is>
      </c>
      <c r="E68" t="inlineStr">
        <is>
          <t>Finistère</t>
        </is>
      </c>
      <c r="F68" t="inlineStr">
        <is>
          <t>Bretagne</t>
        </is>
      </c>
      <c r="G68" s="3" t="n">
        <v>65507</v>
      </c>
      <c r="H68" t="n">
        <v>26</v>
      </c>
      <c r="I68" t="inlineStr">
        <is>
          <t>2b voie d'accès-au-Port</t>
        </is>
      </c>
      <c r="J68" t="inlineStr">
        <is>
          <t>29600</t>
        </is>
      </c>
      <c r="K68" t="inlineStr">
        <is>
          <t>Morlaix</t>
        </is>
      </c>
      <c r="L68" t="inlineStr">
        <is>
          <t>02 98 15 31 31</t>
        </is>
      </c>
      <c r="M68" s="4" t="inlineStr">
        <is>
          <t>contact@agglo.morlaix.fr</t>
        </is>
      </c>
      <c r="N68" s="4" t="inlineStr">
        <is>
          <t>https://www.morlaix-communaute.bzh/</t>
        </is>
      </c>
      <c r="O68" s="4" t="inlineStr">
        <is>
          <t>https://www.morlaix-communaute.bzh/contact</t>
        </is>
      </c>
      <c r="P68" s="4" t="inlineStr">
        <is>
          <t>https://lannuaire.service-public.gouv.fr/bretagne/finistere/ff97fd39-e15d-4d43-8d8c-0a805d859a72</t>
        </is>
      </c>
      <c r="Q68" t="inlineStr">
        <is>
          <t>Annuaire Service-public.fr</t>
        </is>
      </c>
      <c r="R68" t="inlineStr"/>
      <c r="S68" t="inlineStr"/>
      <c r="T68" t="inlineStr"/>
    </row>
    <row r="69">
      <c r="A69" t="inlineStr">
        <is>
          <t>CA Quimper Bretagne Occidentale</t>
        </is>
      </c>
      <c r="B69" t="inlineStr">
        <is>
          <t>Communauté d’agglomération</t>
        </is>
      </c>
      <c r="C69" t="inlineStr">
        <is>
          <t>200068120</t>
        </is>
      </c>
      <c r="D69" t="inlineStr">
        <is>
          <t>29</t>
        </is>
      </c>
      <c r="E69" t="inlineStr">
        <is>
          <t>Finistère</t>
        </is>
      </c>
      <c r="F69" t="inlineStr">
        <is>
          <t>Bretagne</t>
        </is>
      </c>
      <c r="G69" s="3" t="n">
        <v>102574</v>
      </c>
      <c r="H69" t="n">
        <v>14</v>
      </c>
      <c r="I69" t="inlineStr">
        <is>
          <t>44 place Saint-Corentin, Hôtel de Ville et d'Agglomération, CS 26004</t>
        </is>
      </c>
      <c r="J69" t="inlineStr">
        <is>
          <t>29107</t>
        </is>
      </c>
      <c r="K69" t="inlineStr">
        <is>
          <t>Quimper Cedex</t>
        </is>
      </c>
      <c r="L69" t="inlineStr">
        <is>
          <t>02 98 98 89 89</t>
        </is>
      </c>
      <c r="M69" s="4" t="inlineStr">
        <is>
          <t>contact@quimper.bzh</t>
        </is>
      </c>
      <c r="N69" s="4" t="inlineStr">
        <is>
          <t>https://www.quimper-bretagne-occidentale.bzh/</t>
        </is>
      </c>
      <c r="O69" s="4" t="inlineStr">
        <is>
          <t>https://www.quimper-bretagne-occidentale.bzh/324-contact.htm</t>
        </is>
      </c>
      <c r="P69" s="4" t="inlineStr">
        <is>
          <t>https://lannuaire.service-public.gouv.fr/bretagne/finistere/78d0cdcc-418e-4d60-90cc-df1422330578</t>
        </is>
      </c>
      <c r="Q69" t="inlineStr">
        <is>
          <t>Annuaire Service-public.fr</t>
        </is>
      </c>
      <c r="R69" t="inlineStr"/>
      <c r="S69" t="inlineStr"/>
      <c r="T69" t="inlineStr"/>
    </row>
    <row r="70">
      <c r="A70" t="inlineStr">
        <is>
          <t>CA Quimperlé Communauté</t>
        </is>
      </c>
      <c r="B70" t="inlineStr">
        <is>
          <t>Communauté d’agglomération</t>
        </is>
      </c>
      <c r="C70" t="inlineStr">
        <is>
          <t>242900694</t>
        </is>
      </c>
      <c r="D70" t="inlineStr">
        <is>
          <t>29</t>
        </is>
      </c>
      <c r="E70" t="inlineStr">
        <is>
          <t>Finistère</t>
        </is>
      </c>
      <c r="F70" t="inlineStr">
        <is>
          <t>Bretagne</t>
        </is>
      </c>
      <c r="G70" s="3" t="n">
        <v>56977</v>
      </c>
      <c r="H70" t="n">
        <v>16</v>
      </c>
      <c r="I70" t="inlineStr">
        <is>
          <t>1 rue Andreï-Sakharov, CS 20245</t>
        </is>
      </c>
      <c r="J70" t="inlineStr">
        <is>
          <t>29394</t>
        </is>
      </c>
      <c r="K70" t="inlineStr">
        <is>
          <t>Quimperlé Cedex</t>
        </is>
      </c>
      <c r="L70" t="inlineStr">
        <is>
          <t>02 98 35 09 40</t>
        </is>
      </c>
      <c r="M70" s="4" t="inlineStr">
        <is>
          <t>contact@quimperle-co.bzh</t>
        </is>
      </c>
      <c r="N70" s="4" t="inlineStr">
        <is>
          <t>https://www.quimperle-communaute.bzh/</t>
        </is>
      </c>
      <c r="O70" s="4" t="inlineStr">
        <is>
          <t>https://www.quimperle-communaute.bzh/nous-contacter</t>
        </is>
      </c>
      <c r="P70" s="4" t="inlineStr">
        <is>
          <t>https://lannuaire.service-public.gouv.fr/bretagne/finistere/4a1e25da-8442-4cdf-a6d8-0250aceb67db</t>
        </is>
      </c>
      <c r="Q70" t="inlineStr">
        <is>
          <t>Annuaire Service-public.fr</t>
        </is>
      </c>
      <c r="R70" t="inlineStr"/>
      <c r="S70" t="inlineStr"/>
      <c r="T70" t="inlineStr"/>
    </row>
    <row r="71">
      <c r="A71" t="inlineStr">
        <is>
          <t>CA du Pays de Landerneau-Daoulas</t>
        </is>
      </c>
      <c r="B71" t="inlineStr">
        <is>
          <t>Communauté d’agglomération</t>
        </is>
      </c>
      <c r="C71" t="inlineStr">
        <is>
          <t>242900801</t>
        </is>
      </c>
      <c r="D71" t="inlineStr">
        <is>
          <t>29</t>
        </is>
      </c>
      <c r="E71" t="inlineStr">
        <is>
          <t>Finistère</t>
        </is>
      </c>
      <c r="F71" t="inlineStr">
        <is>
          <t>Bretagne</t>
        </is>
      </c>
      <c r="G71" s="3" t="n">
        <v>49868</v>
      </c>
      <c r="H71" t="n">
        <v>22</v>
      </c>
      <c r="I71" t="inlineStr">
        <is>
          <t>59 rue de Brest, Maison des services publics</t>
        </is>
      </c>
      <c r="J71" t="inlineStr">
        <is>
          <t>29800</t>
        </is>
      </c>
      <c r="K71" t="inlineStr">
        <is>
          <t>Landerneau</t>
        </is>
      </c>
      <c r="L71" t="inlineStr">
        <is>
          <t>02 98 21 37 67</t>
        </is>
      </c>
      <c r="M71" s="4" t="inlineStr">
        <is>
          <t>assemblees@capld.bzh</t>
        </is>
      </c>
      <c r="N71" s="4" t="inlineStr">
        <is>
          <t>https://www.pays-landerneau-daoulas.fr/</t>
        </is>
      </c>
      <c r="O71" s="4" t="inlineStr">
        <is>
          <t>https://www.pays-landerneau-daoulas.fr/systeme/nous-contacter/</t>
        </is>
      </c>
      <c r="P71" s="4" t="inlineStr">
        <is>
          <t>https://lannuaire.service-public.gouv.fr/bretagne/finistere/a2dde166-94fa-4bd3-a957-36c884e81b10</t>
        </is>
      </c>
      <c r="Q71" t="inlineStr">
        <is>
          <t>Annuaire Service-public.fr</t>
        </is>
      </c>
      <c r="R71" t="inlineStr"/>
      <c r="S71" t="inlineStr"/>
      <c r="T71" t="inlineStr"/>
    </row>
    <row r="72">
      <c r="A72" t="inlineStr">
        <is>
          <t>CA du Pays Ajaccien</t>
        </is>
      </c>
      <c r="B72" t="inlineStr">
        <is>
          <t>Communauté d’agglomération</t>
        </is>
      </c>
      <c r="C72" t="inlineStr">
        <is>
          <t>242010056</t>
        </is>
      </c>
      <c r="D72" t="inlineStr">
        <is>
          <t>2A</t>
        </is>
      </c>
      <c r="E72" t="inlineStr">
        <is>
          <t>Corse-du-Sud</t>
        </is>
      </c>
      <c r="F72" t="inlineStr">
        <is>
          <t>Corse</t>
        </is>
      </c>
      <c r="G72" s="3" t="n">
        <v>92766</v>
      </c>
      <c r="H72" t="n">
        <v>10</v>
      </c>
      <c r="I72" t="inlineStr">
        <is>
          <t>18 rue Antoine-Sollacaro, Espace Alban Bât G et H</t>
        </is>
      </c>
      <c r="J72" t="inlineStr">
        <is>
          <t>20000</t>
        </is>
      </c>
      <c r="K72" t="inlineStr">
        <is>
          <t>Ajaccio</t>
        </is>
      </c>
      <c r="L72" t="inlineStr">
        <is>
          <t>04 95 52 95 00</t>
        </is>
      </c>
      <c r="M72" s="4" t="inlineStr">
        <is>
          <t>contact@ca-ajaccien.fr</t>
        </is>
      </c>
      <c r="N72" s="4" t="inlineStr">
        <is>
          <t>https://www.ca-ajaccien.corsica/</t>
        </is>
      </c>
      <c r="O72" t="inlineStr"/>
      <c r="P72" s="4" t="inlineStr">
        <is>
          <t>https://lannuaire.service-public.gouv.fr/corse/corse-du-sud/6aed69f9-1ea4-4b35-8190-fa6bc29f0899</t>
        </is>
      </c>
      <c r="Q72" t="inlineStr">
        <is>
          <t>Annuaire Service-public.fr</t>
        </is>
      </c>
      <c r="R72" t="inlineStr"/>
      <c r="S72" t="inlineStr"/>
      <c r="T72" t="inlineStr"/>
    </row>
    <row r="73">
      <c r="A73" t="inlineStr">
        <is>
          <t>CA de Bastia</t>
        </is>
      </c>
      <c r="B73" t="inlineStr">
        <is>
          <t>Communauté d’agglomération</t>
        </is>
      </c>
      <c r="C73" t="inlineStr">
        <is>
          <t>242000354</t>
        </is>
      </c>
      <c r="D73" t="inlineStr">
        <is>
          <t>2B</t>
        </is>
      </c>
      <c r="E73" t="inlineStr">
        <is>
          <t>Haute-Corse</t>
        </is>
      </c>
      <c r="F73" t="inlineStr">
        <is>
          <t>Corse</t>
        </is>
      </c>
      <c r="G73" s="3" t="n">
        <v>61920</v>
      </c>
      <c r="H73" t="n">
        <v>5</v>
      </c>
      <c r="I73" t="inlineStr">
        <is>
          <t>Port de Toga</t>
        </is>
      </c>
      <c r="J73" t="inlineStr">
        <is>
          <t>20200</t>
        </is>
      </c>
      <c r="K73" t="inlineStr">
        <is>
          <t>Bastia</t>
        </is>
      </c>
      <c r="L73" t="inlineStr">
        <is>
          <t>04 95 55 18 18</t>
        </is>
      </c>
      <c r="M73" s="4" t="inlineStr">
        <is>
          <t>contact@agglo-bastia.corsica</t>
        </is>
      </c>
      <c r="N73" s="4" t="inlineStr">
        <is>
          <t>https://www.bastia-agglomeration.corsica/</t>
        </is>
      </c>
      <c r="O73" s="4" t="inlineStr">
        <is>
          <t>https://www.bastia-agglomeration.corsica/contact/</t>
        </is>
      </c>
      <c r="P73" s="4" t="inlineStr">
        <is>
          <t>https://lannuaire.service-public.gouv.fr/corse/haute-corse/4d2fa6f9-0111-4544-b42d-45fdd7e8e56b</t>
        </is>
      </c>
      <c r="Q73" t="inlineStr">
        <is>
          <t>Annuaire Service-public.fr</t>
        </is>
      </c>
      <c r="R73" t="inlineStr"/>
      <c r="S73" t="inlineStr"/>
      <c r="T73" t="inlineStr"/>
    </row>
    <row r="74">
      <c r="A74" t="inlineStr">
        <is>
          <t>CA Alès Agglomération</t>
        </is>
      </c>
      <c r="B74" t="inlineStr">
        <is>
          <t>Communauté d’agglomération</t>
        </is>
      </c>
      <c r="C74" t="inlineStr">
        <is>
          <t>200066918</t>
        </is>
      </c>
      <c r="D74" t="inlineStr">
        <is>
          <t>30</t>
        </is>
      </c>
      <c r="E74" t="inlineStr">
        <is>
          <t>Gard</t>
        </is>
      </c>
      <c r="F74" t="inlineStr">
        <is>
          <t>Occitanie</t>
        </is>
      </c>
      <c r="G74" s="3" t="n">
        <v>135747</v>
      </c>
      <c r="H74" t="n">
        <v>71</v>
      </c>
      <c r="I74" t="inlineStr">
        <is>
          <t>2 rue Michelet, Bâtiment Atome</t>
        </is>
      </c>
      <c r="J74" t="inlineStr">
        <is>
          <t>30100</t>
        </is>
      </c>
      <c r="K74" t="inlineStr">
        <is>
          <t>Alès</t>
        </is>
      </c>
      <c r="L74" t="inlineStr">
        <is>
          <t>04 66 55 84 00</t>
        </is>
      </c>
      <c r="M74" s="4" t="inlineStr">
        <is>
          <t>accueil.atome@alesagglo.fr</t>
        </is>
      </c>
      <c r="N74" s="4" t="inlineStr">
        <is>
          <t>https://www.ales.fr</t>
        </is>
      </c>
      <c r="O74" s="4" t="inlineStr">
        <is>
          <t>https://www.ales.fr/contact/</t>
        </is>
      </c>
      <c r="P74" s="4" t="inlineStr">
        <is>
          <t>https://lannuaire.service-public.gouv.fr/occitanie/gard/8efdd582-964f-4f45-aae2-43f4c29e0503</t>
        </is>
      </c>
      <c r="Q74" t="inlineStr">
        <is>
          <t>Annuaire Service-public.fr</t>
        </is>
      </c>
      <c r="R74" t="inlineStr"/>
      <c r="S74" t="inlineStr"/>
      <c r="T74" t="inlineStr"/>
    </row>
    <row r="75">
      <c r="A75" t="inlineStr">
        <is>
          <t>CA de Nîmes Métropole</t>
        </is>
      </c>
      <c r="B75" t="inlineStr">
        <is>
          <t>Communauté d’agglomération</t>
        </is>
      </c>
      <c r="C75" t="inlineStr">
        <is>
          <t>243000643</t>
        </is>
      </c>
      <c r="D75" t="inlineStr">
        <is>
          <t>30</t>
        </is>
      </c>
      <c r="E75" t="inlineStr">
        <is>
          <t>Gard</t>
        </is>
      </c>
      <c r="F75" t="inlineStr">
        <is>
          <t>Occitanie</t>
        </is>
      </c>
      <c r="G75" s="3" t="n">
        <v>261624</v>
      </c>
      <c r="H75" t="n">
        <v>39</v>
      </c>
      <c r="I75" t="inlineStr">
        <is>
          <t>3 rue du Colisée</t>
        </is>
      </c>
      <c r="J75" t="inlineStr">
        <is>
          <t>30947</t>
        </is>
      </c>
      <c r="K75" t="inlineStr">
        <is>
          <t>Nîmes</t>
        </is>
      </c>
      <c r="L75" t="inlineStr">
        <is>
          <t>04 66 02 55 55</t>
        </is>
      </c>
      <c r="M75" t="inlineStr"/>
      <c r="N75" s="4" t="inlineStr">
        <is>
          <t>https://www.nimes-metropole.fr/accueil.html</t>
        </is>
      </c>
      <c r="O75" s="4" t="inlineStr">
        <is>
          <t>https://www.nimes-metropole.fr/contact-presse.html</t>
        </is>
      </c>
      <c r="P75" s="4" t="inlineStr">
        <is>
          <t>https://lannuaire.service-public.gouv.fr/occitanie/gard/55f805c7-f216-4d91-854c-3924871f20bf</t>
        </is>
      </c>
      <c r="Q75" t="inlineStr">
        <is>
          <t>Annuaire Service-public.fr</t>
        </is>
      </c>
      <c r="R75" t="inlineStr"/>
      <c r="S75" t="inlineStr"/>
      <c r="T75" t="inlineStr"/>
    </row>
    <row r="76">
      <c r="A76" t="inlineStr">
        <is>
          <t>CA du Gard Rhodanien</t>
        </is>
      </c>
      <c r="B76" t="inlineStr">
        <is>
          <t>Communauté d’agglomération</t>
        </is>
      </c>
      <c r="C76" t="inlineStr">
        <is>
          <t>200034692</t>
        </is>
      </c>
      <c r="D76" t="inlineStr">
        <is>
          <t>30</t>
        </is>
      </c>
      <c r="E76" t="inlineStr">
        <is>
          <t>Gard</t>
        </is>
      </c>
      <c r="F76" t="inlineStr">
        <is>
          <t>Occitanie</t>
        </is>
      </c>
      <c r="G76" s="3" t="n">
        <v>75893</v>
      </c>
      <c r="H76" t="n">
        <v>44</v>
      </c>
      <c r="I76" t="inlineStr">
        <is>
          <t>1717 route d'Avignon</t>
        </is>
      </c>
      <c r="J76" t="inlineStr">
        <is>
          <t>30200</t>
        </is>
      </c>
      <c r="K76" t="inlineStr">
        <is>
          <t>Bagnols-sur-Cèze</t>
        </is>
      </c>
      <c r="L76" t="inlineStr">
        <is>
          <t>04 66 79 01 02</t>
        </is>
      </c>
      <c r="M76" s="4" t="inlineStr">
        <is>
          <t>agglo@gardrhodanien.fr</t>
        </is>
      </c>
      <c r="N76" s="4" t="inlineStr">
        <is>
          <t>https://www.gardrhodanien.fr/</t>
        </is>
      </c>
      <c r="O76" s="4" t="inlineStr">
        <is>
          <t>https://www.gardrhodanien.fr/nous-contacter/</t>
        </is>
      </c>
      <c r="P76" s="4" t="inlineStr">
        <is>
          <t>https://lannuaire.service-public.gouv.fr/occitanie/gard/a235555b-17f3-4de5-811b-344dbc127401</t>
        </is>
      </c>
      <c r="Q76" t="inlineStr">
        <is>
          <t>Annuaire Service-public.fr</t>
        </is>
      </c>
      <c r="R76" t="inlineStr"/>
      <c r="S76" t="inlineStr"/>
      <c r="T76" t="inlineStr"/>
    </row>
    <row r="77">
      <c r="A77" t="inlineStr">
        <is>
          <t>CA du Grand Avignon (COGA)</t>
        </is>
      </c>
      <c r="B77" t="inlineStr">
        <is>
          <t>Communauté d’agglomération</t>
        </is>
      </c>
      <c r="C77" t="inlineStr">
        <is>
          <t>248400251</t>
        </is>
      </c>
      <c r="D77" t="inlineStr">
        <is>
          <t>30, 84</t>
        </is>
      </c>
      <c r="E77" t="inlineStr">
        <is>
          <t>Gard, Vaucluse</t>
        </is>
      </c>
      <c r="F77" t="inlineStr">
        <is>
          <t>Occitanie, Provence-Alpes-Côte d'Azur</t>
        </is>
      </c>
      <c r="G77" s="3" t="n">
        <v>198133</v>
      </c>
      <c r="H77" t="n">
        <v>16</v>
      </c>
      <c r="I77" t="inlineStr">
        <is>
          <t>320 chemin des Meinajariès, Agroparc</t>
        </is>
      </c>
      <c r="J77" t="inlineStr">
        <is>
          <t>84000</t>
        </is>
      </c>
      <c r="K77" t="inlineStr">
        <is>
          <t>Avignon</t>
        </is>
      </c>
      <c r="L77" t="inlineStr">
        <is>
          <t>04 90 84 47 00</t>
        </is>
      </c>
      <c r="M77" s="4" t="inlineStr">
        <is>
          <t>contact@grandavignon.fr</t>
        </is>
      </c>
      <c r="N77" s="4" t="inlineStr">
        <is>
          <t>https://www.grandavignon.fr/fr</t>
        </is>
      </c>
      <c r="O77" s="4" t="inlineStr">
        <is>
          <t>https://www.grandavignon.fr/fr/nous-contacter</t>
        </is>
      </c>
      <c r="P77" s="4" t="inlineStr">
        <is>
          <t>https://lannuaire.service-public.gouv.fr/provence-alpes-cote-d-azur/vaucluse/56b52a62-107f-4d3e-bf21-3b7a899676ef</t>
        </is>
      </c>
      <c r="Q77" t="inlineStr">
        <is>
          <t>Annuaire Service-public.fr</t>
        </is>
      </c>
      <c r="R77" t="inlineStr"/>
      <c r="S77" t="inlineStr"/>
      <c r="T77" t="inlineStr"/>
    </row>
    <row r="78">
      <c r="A78" t="inlineStr">
        <is>
          <t>CA Le Muretain Agglo</t>
        </is>
      </c>
      <c r="B78" t="inlineStr">
        <is>
          <t>Communauté d’agglomération</t>
        </is>
      </c>
      <c r="C78" t="inlineStr">
        <is>
          <t>200068641</t>
        </is>
      </c>
      <c r="D78" t="inlineStr">
        <is>
          <t>31</t>
        </is>
      </c>
      <c r="E78" t="inlineStr">
        <is>
          <t>Haute-Garonne</t>
        </is>
      </c>
      <c r="F78" t="inlineStr">
        <is>
          <t>Occitanie</t>
        </is>
      </c>
      <c r="G78" s="3" t="n">
        <v>129300</v>
      </c>
      <c r="H78" t="n">
        <v>26</v>
      </c>
      <c r="I78" t="inlineStr">
        <is>
          <t>8 bis avenue Vincent-Auriol</t>
        </is>
      </c>
      <c r="J78" t="inlineStr">
        <is>
          <t>31601</t>
        </is>
      </c>
      <c r="K78" t="inlineStr">
        <is>
          <t>Muret</t>
        </is>
      </c>
      <c r="L78" t="inlineStr">
        <is>
          <t>05 34 46 30 30</t>
        </is>
      </c>
      <c r="M78" s="4" t="inlineStr">
        <is>
          <t>accueil@agglo-muretain.fr</t>
        </is>
      </c>
      <c r="N78" s="4" t="inlineStr">
        <is>
          <t>http://www.agglo-muretain.fr</t>
        </is>
      </c>
      <c r="O78" t="inlineStr"/>
      <c r="P78" s="4" t="inlineStr">
        <is>
          <t>https://lannuaire.service-public.gouv.fr/occitanie/haute-garonne/0949e812-0105-46f8-9bee-4e180a8e5098</t>
        </is>
      </c>
      <c r="Q78" t="inlineStr">
        <is>
          <t>Annuaire Service-public.fr</t>
        </is>
      </c>
      <c r="R78" t="inlineStr"/>
      <c r="S78" t="inlineStr"/>
      <c r="T78" t="inlineStr"/>
    </row>
    <row r="79">
      <c r="A79" t="inlineStr">
        <is>
          <t>CA du Sicoval</t>
        </is>
      </c>
      <c r="B79" t="inlineStr">
        <is>
          <t>Communauté d’agglomération</t>
        </is>
      </c>
      <c r="C79" t="inlineStr">
        <is>
          <t>243100633</t>
        </is>
      </c>
      <c r="D79" t="inlineStr">
        <is>
          <t>31</t>
        </is>
      </c>
      <c r="E79" t="inlineStr">
        <is>
          <t>Haute-Garonne</t>
        </is>
      </c>
      <c r="F79" t="inlineStr">
        <is>
          <t>Occitanie</t>
        </is>
      </c>
      <c r="G79" s="3" t="n">
        <v>83758</v>
      </c>
      <c r="H79" t="n">
        <v>36</v>
      </c>
      <c r="I79" t="inlineStr">
        <is>
          <t>110 rue Marco-Polo</t>
        </is>
      </c>
      <c r="J79" t="inlineStr">
        <is>
          <t>31670</t>
        </is>
      </c>
      <c r="K79" t="inlineStr">
        <is>
          <t>Labège</t>
        </is>
      </c>
      <c r="L79" t="inlineStr">
        <is>
          <t>05 62 24 02 02</t>
        </is>
      </c>
      <c r="M79" s="4" t="inlineStr">
        <is>
          <t>info@sicoval.fr</t>
        </is>
      </c>
      <c r="N79" s="4" t="inlineStr">
        <is>
          <t>https://www.sicoval.fr/</t>
        </is>
      </c>
      <c r="O79" s="4" t="inlineStr">
        <is>
          <t>https://www.sicoval.fr/mon-agglo/infos-pratiques/contactez-nous/</t>
        </is>
      </c>
      <c r="P79" s="4" t="inlineStr">
        <is>
          <t>https://lannuaire.service-public.gouv.fr/occitanie/haute-garonne/1b2c5dea-d387-4c1c-b1b2-3edbef4defed</t>
        </is>
      </c>
      <c r="Q79" t="inlineStr">
        <is>
          <t>Annuaire Service-public.fr</t>
        </is>
      </c>
      <c r="R79" t="inlineStr"/>
      <c r="S79" t="inlineStr"/>
      <c r="T79" t="inlineStr"/>
    </row>
    <row r="80">
      <c r="A80" t="inlineStr">
        <is>
          <t>Toulouse Métropole</t>
        </is>
      </c>
      <c r="B80" t="inlineStr">
        <is>
          <t>Métropole</t>
        </is>
      </c>
      <c r="C80" t="inlineStr">
        <is>
          <t>243100518</t>
        </is>
      </c>
      <c r="D80" t="inlineStr">
        <is>
          <t>31</t>
        </is>
      </c>
      <c r="E80" t="inlineStr">
        <is>
          <t>Haute-Garonne</t>
        </is>
      </c>
      <c r="F80" t="inlineStr">
        <is>
          <t>Occitanie</t>
        </is>
      </c>
      <c r="G80" s="3" t="n">
        <v>832348</v>
      </c>
      <c r="H80" t="n">
        <v>37</v>
      </c>
      <c r="I80" t="inlineStr">
        <is>
          <t>6 rue René-Leduc</t>
        </is>
      </c>
      <c r="J80" t="inlineStr">
        <is>
          <t>31500</t>
        </is>
      </c>
      <c r="K80" t="inlineStr">
        <is>
          <t>Toulouse</t>
        </is>
      </c>
      <c r="L80" t="inlineStr">
        <is>
          <t>05 81 91 72 00</t>
        </is>
      </c>
      <c r="M80" s="4" t="inlineStr">
        <is>
          <t>accueil@toulouse-metropole.fr</t>
        </is>
      </c>
      <c r="N80" s="4" t="inlineStr">
        <is>
          <t>https://metropole.toulouse.fr/</t>
        </is>
      </c>
      <c r="O80" s="4" t="inlineStr">
        <is>
          <t>https://metropole.toulouse.fr/nous-contacter</t>
        </is>
      </c>
      <c r="P80" s="4" t="inlineStr">
        <is>
          <t>https://lannuaire.service-public.gouv.fr/occitanie/haute-garonne/2ed537d3-c022-4864-9dda-090ebea0202a</t>
        </is>
      </c>
      <c r="Q80" t="inlineStr">
        <is>
          <t>Annuaire Service-public.fr</t>
        </is>
      </c>
      <c r="R80" t="inlineStr"/>
      <c r="S80" t="inlineStr"/>
      <c r="T80" t="inlineStr"/>
    </row>
    <row r="81">
      <c r="A81" t="inlineStr">
        <is>
          <t>CA Grand Auch Coeur de Gascogne</t>
        </is>
      </c>
      <c r="B81" t="inlineStr">
        <is>
          <t>Communauté d’agglomération</t>
        </is>
      </c>
      <c r="C81" t="inlineStr">
        <is>
          <t>200066926</t>
        </is>
      </c>
      <c r="D81" t="inlineStr">
        <is>
          <t>32</t>
        </is>
      </c>
      <c r="E81" t="inlineStr">
        <is>
          <t>Gers</t>
        </is>
      </c>
      <c r="F81" t="inlineStr">
        <is>
          <t>Occitanie</t>
        </is>
      </c>
      <c r="G81" s="3" t="n">
        <v>39498</v>
      </c>
      <c r="H81" t="n">
        <v>34</v>
      </c>
      <c r="I81" t="inlineStr">
        <is>
          <t>Centre économique du Garros, 1 rue Darwin</t>
        </is>
      </c>
      <c r="J81" t="inlineStr">
        <is>
          <t>32000</t>
        </is>
      </c>
      <c r="K81" t="inlineStr">
        <is>
          <t>Auch</t>
        </is>
      </c>
      <c r="L81" t="inlineStr">
        <is>
          <t>05 62 60 40 10</t>
        </is>
      </c>
      <c r="M81" s="4" t="inlineStr">
        <is>
          <t>accueil@grand-auch.fr</t>
        </is>
      </c>
      <c r="N81" s="4" t="inlineStr">
        <is>
          <t>https://www.grandauch.com/</t>
        </is>
      </c>
      <c r="O81" s="4" t="inlineStr">
        <is>
          <t>https://www.grandauch.com/contact</t>
        </is>
      </c>
      <c r="P81" s="4" t="inlineStr">
        <is>
          <t>https://lannuaire.service-public.gouv.fr/occitanie/gers/9368c218-812d-4474-9228-506694d16166</t>
        </is>
      </c>
      <c r="Q81" t="inlineStr">
        <is>
          <t>Annuaire Service-public.fr</t>
        </is>
      </c>
      <c r="R81" t="inlineStr"/>
      <c r="S81" t="inlineStr"/>
      <c r="T81" t="inlineStr"/>
    </row>
    <row r="82">
      <c r="A82" t="inlineStr">
        <is>
          <t>Bordeaux Métropole</t>
        </is>
      </c>
      <c r="B82" t="inlineStr">
        <is>
          <t>Métropole</t>
        </is>
      </c>
      <c r="C82" t="inlineStr">
        <is>
          <t>243300316</t>
        </is>
      </c>
      <c r="D82" t="inlineStr">
        <is>
          <t>33</t>
        </is>
      </c>
      <c r="E82" t="inlineStr">
        <is>
          <t>Gironde</t>
        </is>
      </c>
      <c r="F82" t="inlineStr">
        <is>
          <t>Nouvelle-Aquitaine</t>
        </is>
      </c>
      <c r="G82" s="3" t="n">
        <v>843738</v>
      </c>
      <c r="H82" t="n">
        <v>28</v>
      </c>
      <c r="I82" t="inlineStr">
        <is>
          <t>Esplanade Charles-de-Gaulle, Bordeaux Métropole</t>
        </is>
      </c>
      <c r="J82" t="inlineStr">
        <is>
          <t>33045</t>
        </is>
      </c>
      <c r="K82" t="inlineStr">
        <is>
          <t>Bordeaux Cedex</t>
        </is>
      </c>
      <c r="L82" t="inlineStr">
        <is>
          <t>05 56 99 84 84</t>
        </is>
      </c>
      <c r="M82" t="inlineStr"/>
      <c r="N82" s="4" t="inlineStr">
        <is>
          <t>https://www.bordeaux-metropole.fr/</t>
        </is>
      </c>
      <c r="O82" s="4" t="inlineStr">
        <is>
          <t>https://mesdemarches.bordeaux-metropole.fr/</t>
        </is>
      </c>
      <c r="P82" s="4" t="inlineStr">
        <is>
          <t>https://lannuaire.service-public.gouv.fr/nouvelle-aquitaine/gironde/9e2406f5-c496-4b3b-9b9c-faa3ca7b6aba</t>
        </is>
      </c>
      <c r="Q82" t="inlineStr">
        <is>
          <t>Annuaire Service-public.fr</t>
        </is>
      </c>
      <c r="R82" t="inlineStr"/>
      <c r="S82" t="inlineStr"/>
      <c r="T82" t="inlineStr"/>
    </row>
    <row r="83">
      <c r="A83" t="inlineStr">
        <is>
          <t>CA Bassin d'Arcachon Sud (COBAS)</t>
        </is>
      </c>
      <c r="B83" t="inlineStr">
        <is>
          <t>Communauté d’agglomération</t>
        </is>
      </c>
      <c r="C83" t="inlineStr">
        <is>
          <t>243300563</t>
        </is>
      </c>
      <c r="D83" t="inlineStr">
        <is>
          <t>33</t>
        </is>
      </c>
      <c r="E83" t="inlineStr">
        <is>
          <t>Gironde</t>
        </is>
      </c>
      <c r="F83" t="inlineStr">
        <is>
          <t>Nouvelle-Aquitaine</t>
        </is>
      </c>
      <c r="G83" s="3" t="n">
        <v>69892</v>
      </c>
      <c r="H83" t="n">
        <v>4</v>
      </c>
      <c r="I83" t="inlineStr">
        <is>
          <t>2 allée d'Espagne</t>
        </is>
      </c>
      <c r="J83" t="inlineStr">
        <is>
          <t>33120</t>
        </is>
      </c>
      <c r="K83" t="inlineStr">
        <is>
          <t>Arcachon</t>
        </is>
      </c>
      <c r="L83" t="inlineStr">
        <is>
          <t>05 56 22 33 44</t>
        </is>
      </c>
      <c r="M83" s="4" t="inlineStr">
        <is>
          <t>cobas@agglo-cobas.fr</t>
        </is>
      </c>
      <c r="N83" s="4" t="inlineStr">
        <is>
          <t>https://www.agglo-cobas.fr/</t>
        </is>
      </c>
      <c r="O83" s="4" t="inlineStr">
        <is>
          <t>https://www.agglo-cobas.fr/contact/</t>
        </is>
      </c>
      <c r="P83" s="4" t="inlineStr">
        <is>
          <t>https://lannuaire.service-public.gouv.fr/nouvelle-aquitaine/gironde/df8d3915-fa4f-42c4-8c6a-954235f99d86</t>
        </is>
      </c>
      <c r="Q83" t="inlineStr">
        <is>
          <t>Annuaire Service-public.fr</t>
        </is>
      </c>
      <c r="R83" t="inlineStr"/>
      <c r="S83" t="inlineStr"/>
      <c r="T83" t="inlineStr"/>
    </row>
    <row r="84">
      <c r="A84" t="inlineStr">
        <is>
          <t>CA du Bassin d'Arcachon Nord (COBAN)</t>
        </is>
      </c>
      <c r="B84" t="inlineStr">
        <is>
          <t>Communauté d’agglomération</t>
        </is>
      </c>
      <c r="C84" t="inlineStr">
        <is>
          <t>243301504</t>
        </is>
      </c>
      <c r="D84" t="inlineStr">
        <is>
          <t>33</t>
        </is>
      </c>
      <c r="E84" t="inlineStr">
        <is>
          <t>Gironde</t>
        </is>
      </c>
      <c r="F84" t="inlineStr">
        <is>
          <t>Nouvelle-Aquitaine</t>
        </is>
      </c>
      <c r="G84" s="3" t="n">
        <v>72703</v>
      </c>
      <c r="H84" t="n">
        <v>8</v>
      </c>
      <c r="I84" t="inlineStr">
        <is>
          <t>46 avenue des Colonies</t>
        </is>
      </c>
      <c r="J84" t="inlineStr">
        <is>
          <t>33510</t>
        </is>
      </c>
      <c r="K84" t="inlineStr">
        <is>
          <t>Andernos-les-Bains</t>
        </is>
      </c>
      <c r="L84" t="inlineStr">
        <is>
          <t>05 57 76 17 17</t>
        </is>
      </c>
      <c r="M84" s="4" t="inlineStr">
        <is>
          <t>contact@coban-atlantique.fr</t>
        </is>
      </c>
      <c r="N84" s="4" t="inlineStr">
        <is>
          <t>https://coban-atlantique.fr/</t>
        </is>
      </c>
      <c r="O84" s="4" t="inlineStr">
        <is>
          <t>https://coban-atlantique.fr/contact/</t>
        </is>
      </c>
      <c r="P84" s="4" t="inlineStr">
        <is>
          <t>https://lannuaire.service-public.gouv.fr/nouvelle-aquitaine/gironde/fa9d8bc3-560c-4536-a6b3-71b4e5aa41d3</t>
        </is>
      </c>
      <c r="Q84" t="inlineStr">
        <is>
          <t>Annuaire Service-public.fr</t>
        </is>
      </c>
      <c r="R84" t="inlineStr"/>
      <c r="S84" t="inlineStr"/>
      <c r="T84" t="inlineStr"/>
    </row>
    <row r="85">
      <c r="A85" t="inlineStr">
        <is>
          <t>CA du Libournais</t>
        </is>
      </c>
      <c r="B85" t="inlineStr">
        <is>
          <t>Communauté d’agglomération</t>
        </is>
      </c>
      <c r="C85" t="inlineStr">
        <is>
          <t>200070092</t>
        </is>
      </c>
      <c r="D85" t="inlineStr">
        <is>
          <t>33</t>
        </is>
      </c>
      <c r="E85" t="inlineStr">
        <is>
          <t>Gironde</t>
        </is>
      </c>
      <c r="F85" t="inlineStr">
        <is>
          <t>Nouvelle-Aquitaine</t>
        </is>
      </c>
      <c r="G85" s="3" t="n">
        <v>93359</v>
      </c>
      <c r="H85" t="n">
        <v>45</v>
      </c>
      <c r="I85" t="inlineStr">
        <is>
          <t>42 rue Jules-Ferry</t>
        </is>
      </c>
      <c r="J85" t="inlineStr">
        <is>
          <t>33500</t>
        </is>
      </c>
      <c r="K85" t="inlineStr">
        <is>
          <t>Libourne</t>
        </is>
      </c>
      <c r="L85" t="inlineStr">
        <is>
          <t>05 57 25 01 51</t>
        </is>
      </c>
      <c r="M85" s="4" t="inlineStr">
        <is>
          <t>contact@lacali.fr</t>
        </is>
      </c>
      <c r="N85" s="4" t="inlineStr">
        <is>
          <t>https://www.lacali.fr/</t>
        </is>
      </c>
      <c r="O85" s="4" t="inlineStr">
        <is>
          <t>https://www.lacali.fr/contact</t>
        </is>
      </c>
      <c r="P85" s="4" t="inlineStr">
        <is>
          <t>https://lannuaire.service-public.gouv.fr/nouvelle-aquitaine/gironde/51f5fa3c-f0ba-4a62-a7df-0f45fc00f2bc</t>
        </is>
      </c>
      <c r="Q85" t="inlineStr">
        <is>
          <t>Annuaire Service-public.fr</t>
        </is>
      </c>
      <c r="R85" t="inlineStr"/>
      <c r="S85" t="inlineStr"/>
      <c r="T85" t="inlineStr"/>
    </row>
    <row r="86">
      <c r="A86" t="inlineStr">
        <is>
          <t>CA Hérault-Méditerranée</t>
        </is>
      </c>
      <c r="B86" t="inlineStr">
        <is>
          <t>Communauté d’agglomération</t>
        </is>
      </c>
      <c r="C86" t="inlineStr">
        <is>
          <t>243400819</t>
        </is>
      </c>
      <c r="D86" t="inlineStr">
        <is>
          <t>34</t>
        </is>
      </c>
      <c r="E86" t="inlineStr">
        <is>
          <t>Hérault</t>
        </is>
      </c>
      <c r="F86" t="inlineStr">
        <is>
          <t>Occitanie</t>
        </is>
      </c>
      <c r="G86" s="3" t="n">
        <v>82000</v>
      </c>
      <c r="H86" t="n">
        <v>20</v>
      </c>
      <c r="I86" t="inlineStr">
        <is>
          <t>22 avenue du 3e-Millénaire, ZI Le Causse</t>
        </is>
      </c>
      <c r="J86" t="inlineStr">
        <is>
          <t>34630</t>
        </is>
      </c>
      <c r="K86" t="inlineStr">
        <is>
          <t>Saint-Thibéry</t>
        </is>
      </c>
      <c r="L86" t="inlineStr">
        <is>
          <t>04 99 47 48 49</t>
        </is>
      </c>
      <c r="M86" s="4" t="inlineStr">
        <is>
          <t>accueil@agglohm.net</t>
        </is>
      </c>
      <c r="N86" s="4" t="inlineStr">
        <is>
          <t>https://www.agglo-heraultmediterranee.net/</t>
        </is>
      </c>
      <c r="O86" s="4" t="inlineStr">
        <is>
          <t>https://www.agglo-heraultmediterranee.net/contact/</t>
        </is>
      </c>
      <c r="P86" s="4" t="inlineStr">
        <is>
          <t>https://lannuaire.service-public.gouv.fr/occitanie/herault/ac55b92e-0eae-4955-be97-38a6a4de65fd</t>
        </is>
      </c>
      <c r="Q86" t="inlineStr">
        <is>
          <t>Annuaire Service-public.fr</t>
        </is>
      </c>
      <c r="R86" t="inlineStr"/>
      <c r="S86" t="inlineStr"/>
      <c r="T86" t="inlineStr"/>
    </row>
    <row r="87">
      <c r="A87" t="inlineStr">
        <is>
          <t>CA Lunel Agglo</t>
        </is>
      </c>
      <c r="B87" t="inlineStr">
        <is>
          <t>Communauté d’agglomération</t>
        </is>
      </c>
      <c r="C87" t="inlineStr">
        <is>
          <t>243400520</t>
        </is>
      </c>
      <c r="D87" t="inlineStr">
        <is>
          <t>34</t>
        </is>
      </c>
      <c r="E87" t="inlineStr">
        <is>
          <t>Hérault</t>
        </is>
      </c>
      <c r="F87" t="inlineStr">
        <is>
          <t>Occitanie</t>
        </is>
      </c>
      <c r="G87" s="3" t="n">
        <v>51919</v>
      </c>
      <c r="H87" t="n">
        <v>14</v>
      </c>
      <c r="I87" t="inlineStr">
        <is>
          <t>152 chemin des Merles</t>
        </is>
      </c>
      <c r="J87" t="inlineStr">
        <is>
          <t>34400</t>
        </is>
      </c>
      <c r="K87" t="inlineStr">
        <is>
          <t>Lunel</t>
        </is>
      </c>
      <c r="L87" t="inlineStr">
        <is>
          <t>04 67 83 87 00</t>
        </is>
      </c>
      <c r="M87" s="4" t="inlineStr">
        <is>
          <t>secretariat.general@lunelagglo.fr</t>
        </is>
      </c>
      <c r="N87" s="4" t="inlineStr">
        <is>
          <t>https://www.lunelagglo.fr/</t>
        </is>
      </c>
      <c r="O87" s="4" t="inlineStr">
        <is>
          <t>https://www.lunelagglo.fr/nous-contacter/</t>
        </is>
      </c>
      <c r="P87" s="4" t="inlineStr">
        <is>
          <t>https://lannuaire.service-public.gouv.fr/occitanie/herault/4372dbbf-1f75-40ec-bc99-12f76045e9cf</t>
        </is>
      </c>
      <c r="Q87" t="inlineStr">
        <is>
          <t>Annuaire Service-public.fr</t>
        </is>
      </c>
      <c r="R87" t="inlineStr"/>
      <c r="S87" t="inlineStr"/>
      <c r="T87" t="inlineStr"/>
    </row>
    <row r="88">
      <c r="A88" t="inlineStr">
        <is>
          <t>CA Sète Agglopôle Méditerranée</t>
        </is>
      </c>
      <c r="B88" t="inlineStr">
        <is>
          <t>Communauté d’agglomération</t>
        </is>
      </c>
      <c r="C88" t="inlineStr">
        <is>
          <t>200066355</t>
        </is>
      </c>
      <c r="D88" t="inlineStr">
        <is>
          <t>34</t>
        </is>
      </c>
      <c r="E88" t="inlineStr">
        <is>
          <t>Hérault</t>
        </is>
      </c>
      <c r="F88" t="inlineStr">
        <is>
          <t>Occitanie</t>
        </is>
      </c>
      <c r="G88" s="3" t="n">
        <v>129982</v>
      </c>
      <c r="H88" t="n">
        <v>14</v>
      </c>
      <c r="I88" t="inlineStr">
        <is>
          <t>4 avenue d'Aigues</t>
        </is>
      </c>
      <c r="J88" t="inlineStr">
        <is>
          <t>34110</t>
        </is>
      </c>
      <c r="K88" t="inlineStr">
        <is>
          <t>Frontignan</t>
        </is>
      </c>
      <c r="L88" t="inlineStr">
        <is>
          <t>04 67 46 47 48</t>
        </is>
      </c>
      <c r="M88" s="4" t="inlineStr">
        <is>
          <t>mg@agglopole.fr</t>
        </is>
      </c>
      <c r="N88" s="4" t="inlineStr">
        <is>
          <t>https://www.agglopole.fr/</t>
        </is>
      </c>
      <c r="O88" t="inlineStr"/>
      <c r="P88" s="4" t="inlineStr">
        <is>
          <t>https://lannuaire.service-public.gouv.fr/occitanie/herault/88f7eab4-ff50-44c7-9ef2-fdcad42a82a5</t>
        </is>
      </c>
      <c r="Q88" t="inlineStr">
        <is>
          <t>Annuaire Service-public.fr</t>
        </is>
      </c>
      <c r="R88" t="inlineStr"/>
      <c r="S88" t="inlineStr"/>
      <c r="T88" t="inlineStr"/>
    </row>
    <row r="89">
      <c r="A89" t="inlineStr">
        <is>
          <t>CA de Béziers-Méditerranée</t>
        </is>
      </c>
      <c r="B89" t="inlineStr">
        <is>
          <t>Communauté d’agglomération</t>
        </is>
      </c>
      <c r="C89" t="inlineStr">
        <is>
          <t>243400769</t>
        </is>
      </c>
      <c r="D89" t="inlineStr">
        <is>
          <t>34</t>
        </is>
      </c>
      <c r="E89" t="inlineStr">
        <is>
          <t>Hérault</t>
        </is>
      </c>
      <c r="F89" t="inlineStr">
        <is>
          <t>Occitanie</t>
        </is>
      </c>
      <c r="G89" s="3" t="n">
        <v>131383</v>
      </c>
      <c r="H89" t="n">
        <v>17</v>
      </c>
      <c r="I89" t="inlineStr">
        <is>
          <t>39 boulevard de Verdun, CS 30567</t>
        </is>
      </c>
      <c r="J89" t="inlineStr">
        <is>
          <t>34536</t>
        </is>
      </c>
      <c r="K89" t="inlineStr">
        <is>
          <t>Béziers Cedex</t>
        </is>
      </c>
      <c r="L89" t="inlineStr">
        <is>
          <t>04 67 01 68 68</t>
        </is>
      </c>
      <c r="M89" s="4" t="inlineStr">
        <is>
          <t>lagglo@beziers-mediterranee.fr</t>
        </is>
      </c>
      <c r="N89" s="4" t="inlineStr">
        <is>
          <t>https://agglobeziers.fr/</t>
        </is>
      </c>
      <c r="O89" t="inlineStr"/>
      <c r="P89" s="4" t="inlineStr">
        <is>
          <t>https://lannuaire.service-public.gouv.fr/occitanie/herault/e770f5f7-3609-465f-b0d8-e61d913cffe8</t>
        </is>
      </c>
      <c r="Q89" t="inlineStr">
        <is>
          <t>Annuaire Service-public.fr</t>
        </is>
      </c>
      <c r="R89" t="inlineStr"/>
      <c r="S89" t="inlineStr"/>
      <c r="T89" t="inlineStr"/>
    </row>
    <row r="90">
      <c r="A90" t="inlineStr">
        <is>
          <t>CA du Pays de l'Or</t>
        </is>
      </c>
      <c r="B90" t="inlineStr">
        <is>
          <t>Communauté d’agglomération</t>
        </is>
      </c>
      <c r="C90" t="inlineStr">
        <is>
          <t>243400470</t>
        </is>
      </c>
      <c r="D90" t="inlineStr">
        <is>
          <t>34</t>
        </is>
      </c>
      <c r="E90" t="inlineStr">
        <is>
          <t>Hérault</t>
        </is>
      </c>
      <c r="F90" t="inlineStr">
        <is>
          <t>Occitanie</t>
        </is>
      </c>
      <c r="G90" s="3" t="n">
        <v>45624</v>
      </c>
      <c r="H90" t="n">
        <v>8</v>
      </c>
      <c r="I90" t="inlineStr">
        <is>
          <t>300 Avenue Jacqueline-Auriol, Aéroport Montpellier-Méditerranée</t>
        </is>
      </c>
      <c r="J90" t="inlineStr">
        <is>
          <t>34137</t>
        </is>
      </c>
      <c r="K90" t="inlineStr">
        <is>
          <t>Mauguio</t>
        </is>
      </c>
      <c r="L90" t="inlineStr">
        <is>
          <t>04 67 12 35 00</t>
        </is>
      </c>
      <c r="M90" s="4" t="inlineStr">
        <is>
          <t>secretariat@paysdelor.fr</t>
        </is>
      </c>
      <c r="N90" s="4" t="inlineStr">
        <is>
          <t>https://paysdelor.fr/</t>
        </is>
      </c>
      <c r="O90" s="4" t="inlineStr">
        <is>
          <t>https://paysdelor.fr/le-pays-de-lor/nous-contacter/</t>
        </is>
      </c>
      <c r="P90" s="4" t="inlineStr">
        <is>
          <t>https://lannuaire.service-public.gouv.fr/occitanie/herault/2af2db79-858d-4be5-b0a5-5595c1ec5d83</t>
        </is>
      </c>
      <c r="Q90" t="inlineStr">
        <is>
          <t>Annuaire Service-public.fr</t>
        </is>
      </c>
      <c r="R90" t="inlineStr"/>
      <c r="S90" t="inlineStr"/>
      <c r="T90" t="inlineStr"/>
    </row>
    <row r="91">
      <c r="A91" t="inlineStr">
        <is>
          <t>Montpellier Méditerranée Métropole</t>
        </is>
      </c>
      <c r="B91" t="inlineStr">
        <is>
          <t>Métropole</t>
        </is>
      </c>
      <c r="C91" t="inlineStr">
        <is>
          <t>243400017</t>
        </is>
      </c>
      <c r="D91" t="inlineStr">
        <is>
          <t>34</t>
        </is>
      </c>
      <c r="E91" t="inlineStr">
        <is>
          <t>Hérault</t>
        </is>
      </c>
      <c r="F91" t="inlineStr">
        <is>
          <t>Occitanie</t>
        </is>
      </c>
      <c r="G91" s="3" t="n">
        <v>516657</v>
      </c>
      <c r="H91" t="n">
        <v>31</v>
      </c>
      <c r="I91" t="inlineStr">
        <is>
          <t>50 place Zeus</t>
        </is>
      </c>
      <c r="J91" t="inlineStr">
        <is>
          <t>34961</t>
        </is>
      </c>
      <c r="K91" t="inlineStr">
        <is>
          <t>Montpellier</t>
        </is>
      </c>
      <c r="L91" t="inlineStr">
        <is>
          <t>04 67 13 60 00</t>
        </is>
      </c>
      <c r="M91" s="4" t="inlineStr">
        <is>
          <t>contact@montpellier3m.fr</t>
        </is>
      </c>
      <c r="N91" s="4" t="inlineStr">
        <is>
          <t>https://www.montpellier3m.fr/</t>
        </is>
      </c>
      <c r="O91" t="inlineStr"/>
      <c r="P91" s="4" t="inlineStr">
        <is>
          <t>https://lannuaire.service-public.gouv.fr/occitanie/herault/372c0430-860c-4faf-8d7b-9c4fc51471de</t>
        </is>
      </c>
      <c r="Q91" t="inlineStr">
        <is>
          <t>Annuaire Service-public.fr</t>
        </is>
      </c>
      <c r="R91" t="inlineStr"/>
      <c r="S91" t="inlineStr"/>
      <c r="T91" t="inlineStr"/>
    </row>
    <row r="92">
      <c r="A92" t="inlineStr">
        <is>
          <t>CA Fougères Agglomération</t>
        </is>
      </c>
      <c r="B92" t="inlineStr">
        <is>
          <t>Communauté d’agglomération</t>
        </is>
      </c>
      <c r="C92" t="inlineStr">
        <is>
          <t>200072452</t>
        </is>
      </c>
      <c r="D92" t="inlineStr">
        <is>
          <t>35</t>
        </is>
      </c>
      <c r="E92" t="inlineStr">
        <is>
          <t>Ille-et-Vilaine</t>
        </is>
      </c>
      <c r="F92" t="inlineStr">
        <is>
          <t>Bretagne</t>
        </is>
      </c>
      <c r="G92" s="3" t="n">
        <v>56226</v>
      </c>
      <c r="H92" t="n">
        <v>28</v>
      </c>
      <c r="I92" t="inlineStr">
        <is>
          <t>1 rue Louis-Lumière, Parc d'activités de l'Aumaillerie</t>
        </is>
      </c>
      <c r="J92" t="inlineStr">
        <is>
          <t>35133</t>
        </is>
      </c>
      <c r="K92" t="inlineStr">
        <is>
          <t>La Selle-en-Luitré</t>
        </is>
      </c>
      <c r="L92" t="inlineStr">
        <is>
          <t>02 99 94 50 34</t>
        </is>
      </c>
      <c r="M92" s="4" t="inlineStr">
        <is>
          <t>accueil@fougeres-agglo.bzh</t>
        </is>
      </c>
      <c r="N92" s="4" t="inlineStr">
        <is>
          <t>https://fougeres-agglo.bzh/</t>
        </is>
      </c>
      <c r="O92" s="4" t="inlineStr">
        <is>
          <t>https://fougeres-agglo.bzh/contact/</t>
        </is>
      </c>
      <c r="P92" s="4" t="inlineStr">
        <is>
          <t>https://lannuaire.service-public.gouv.fr/bretagne/ille-et-vilaine/f1b939e4-2fcf-435f-af19-d2768fd98ddd</t>
        </is>
      </c>
      <c r="Q92" t="inlineStr">
        <is>
          <t>Annuaire Service-public.fr</t>
        </is>
      </c>
      <c r="R92" t="inlineStr"/>
      <c r="S92" t="inlineStr"/>
      <c r="T92" t="inlineStr"/>
    </row>
    <row r="93">
      <c r="A93" t="inlineStr">
        <is>
          <t>CA Redon Agglomération</t>
        </is>
      </c>
      <c r="B93" t="inlineStr">
        <is>
          <t>Communauté d’agglomération</t>
        </is>
      </c>
      <c r="C93" t="inlineStr">
        <is>
          <t>243500741</t>
        </is>
      </c>
      <c r="D93" t="inlineStr">
        <is>
          <t>35, 44, 56</t>
        </is>
      </c>
      <c r="E93" t="inlineStr">
        <is>
          <t>Ille-et-Vilaine, Loire-Atlantique, Morbihan</t>
        </is>
      </c>
      <c r="F93" t="inlineStr">
        <is>
          <t>Pays de la Loire, Bretagne</t>
        </is>
      </c>
      <c r="G93" s="3" t="n">
        <v>67121</v>
      </c>
      <c r="H93" t="n">
        <v>31</v>
      </c>
      <c r="I93" t="inlineStr">
        <is>
          <t>3 rue Charles-Sillard, CS 40264</t>
        </is>
      </c>
      <c r="J93" t="inlineStr">
        <is>
          <t>35605</t>
        </is>
      </c>
      <c r="K93" t="inlineStr">
        <is>
          <t>Redon Cedex</t>
        </is>
      </c>
      <c r="L93" t="inlineStr">
        <is>
          <t>02 99 70 34 34</t>
        </is>
      </c>
      <c r="M93" s="4" t="inlineStr">
        <is>
          <t>contact@redon-agglomeration.bzh</t>
        </is>
      </c>
      <c r="N93" s="4" t="inlineStr">
        <is>
          <t>https://www.redon-agglomeration.bzh/</t>
        </is>
      </c>
      <c r="O93" s="4" t="inlineStr">
        <is>
          <t>https://www.redon-agglomeration.bzh/contact</t>
        </is>
      </c>
      <c r="P93" s="4" t="inlineStr">
        <is>
          <t>https://lannuaire.service-public.gouv.fr/bretagne/ille-et-vilaine/c4aafb49-0f9f-4eed-b5be-c74f41bbe9d8</t>
        </is>
      </c>
      <c r="Q93" t="inlineStr">
        <is>
          <t>Annuaire Service-public.fr</t>
        </is>
      </c>
      <c r="R93" t="inlineStr"/>
      <c r="S93" t="inlineStr"/>
      <c r="T93" t="inlineStr"/>
    </row>
    <row r="94">
      <c r="A94" t="inlineStr">
        <is>
          <t>CA Vitré Communauté</t>
        </is>
      </c>
      <c r="B94" t="inlineStr">
        <is>
          <t>Communauté d’agglomération</t>
        </is>
      </c>
      <c r="C94" t="inlineStr">
        <is>
          <t>200039022</t>
        </is>
      </c>
      <c r="D94" t="inlineStr">
        <is>
          <t>35</t>
        </is>
      </c>
      <c r="E94" t="inlineStr">
        <is>
          <t>Ille-et-Vilaine</t>
        </is>
      </c>
      <c r="F94" t="inlineStr">
        <is>
          <t>Bretagne</t>
        </is>
      </c>
      <c r="G94" s="3" t="n">
        <v>82956</v>
      </c>
      <c r="H94" t="n">
        <v>46</v>
      </c>
      <c r="I94" t="inlineStr">
        <is>
          <t>16 bis boulevard des Rochers</t>
        </is>
      </c>
      <c r="J94" t="inlineStr">
        <is>
          <t>35500</t>
        </is>
      </c>
      <c r="K94" t="inlineStr">
        <is>
          <t>Vitré</t>
        </is>
      </c>
      <c r="L94" t="inlineStr">
        <is>
          <t>02 99 74 52 61</t>
        </is>
      </c>
      <c r="M94" s="4" t="inlineStr">
        <is>
          <t>c.agglo@vitrecommunaute.org</t>
        </is>
      </c>
      <c r="N94" s="4" t="inlineStr">
        <is>
          <t>https://www.vitrecommunaute.org/</t>
        </is>
      </c>
      <c r="O94" s="4" t="inlineStr">
        <is>
          <t>https://www.vitrecommunaute.org/systeme/nous-contacter/</t>
        </is>
      </c>
      <c r="P94" s="4" t="inlineStr">
        <is>
          <t>https://lannuaire.service-public.gouv.fr/bretagne/ille-et-vilaine/4c96717a-3ec6-4364-8620-4c3f81846517</t>
        </is>
      </c>
      <c r="Q94" t="inlineStr">
        <is>
          <t>Annuaire Service-public.fr</t>
        </is>
      </c>
      <c r="R94" t="inlineStr"/>
      <c r="S94" t="inlineStr"/>
      <c r="T94" t="inlineStr"/>
    </row>
    <row r="95">
      <c r="A95" t="inlineStr">
        <is>
          <t>CA du Pays de Saint Malo Agglomération</t>
        </is>
      </c>
      <c r="B95" t="inlineStr">
        <is>
          <t>Communauté d’agglomération</t>
        </is>
      </c>
      <c r="C95" t="inlineStr">
        <is>
          <t>243500782</t>
        </is>
      </c>
      <c r="D95" t="inlineStr">
        <is>
          <t>35</t>
        </is>
      </c>
      <c r="E95" t="inlineStr">
        <is>
          <t>Ille-et-Vilaine</t>
        </is>
      </c>
      <c r="F95" t="inlineStr">
        <is>
          <t>Bretagne</t>
        </is>
      </c>
      <c r="G95" s="3" t="n">
        <v>86484</v>
      </c>
      <c r="H95" t="n">
        <v>18</v>
      </c>
      <c r="I95" t="inlineStr">
        <is>
          <t>6 rue de la Ville-Jégu</t>
        </is>
      </c>
      <c r="J95" t="inlineStr">
        <is>
          <t>35260</t>
        </is>
      </c>
      <c r="K95" t="inlineStr">
        <is>
          <t>Cancale</t>
        </is>
      </c>
      <c r="L95" t="inlineStr">
        <is>
          <t>02 23 15 10 85</t>
        </is>
      </c>
      <c r="M95" s="4" t="inlineStr">
        <is>
          <t>accueil@stmalo-agglomeration.fr</t>
        </is>
      </c>
      <c r="N95" s="4" t="inlineStr">
        <is>
          <t>https://www.stmalo-agglomeration.fr/</t>
        </is>
      </c>
      <c r="O95" s="4" t="inlineStr">
        <is>
          <t>https://www.stmalo-agglomeration.fr/contactez-nous/</t>
        </is>
      </c>
      <c r="P95" s="4" t="inlineStr">
        <is>
          <t>https://lannuaire.service-public.gouv.fr/bretagne/ille-et-vilaine/fb885b51-bcb0-4064-97fb-c621fe80dbfa</t>
        </is>
      </c>
      <c r="Q95" t="inlineStr">
        <is>
          <t>Annuaire Service-public.fr</t>
        </is>
      </c>
      <c r="R95" t="inlineStr"/>
      <c r="S95" t="inlineStr"/>
      <c r="T95" t="inlineStr"/>
    </row>
    <row r="96">
      <c r="A96" t="inlineStr">
        <is>
          <t>Rennes Métropole</t>
        </is>
      </c>
      <c r="B96" t="inlineStr">
        <is>
          <t>Métropole</t>
        </is>
      </c>
      <c r="C96" t="inlineStr">
        <is>
          <t>243500139</t>
        </is>
      </c>
      <c r="D96" t="inlineStr">
        <is>
          <t>35</t>
        </is>
      </c>
      <c r="E96" t="inlineStr">
        <is>
          <t>Ille-et-Vilaine</t>
        </is>
      </c>
      <c r="F96" t="inlineStr">
        <is>
          <t>Bretagne</t>
        </is>
      </c>
      <c r="G96" s="3" t="n">
        <v>473973</v>
      </c>
      <c r="H96" t="n">
        <v>43</v>
      </c>
      <c r="I96" t="inlineStr">
        <is>
          <t>4 avenue Henri-Fréville, CS 93111</t>
        </is>
      </c>
      <c r="J96" t="inlineStr">
        <is>
          <t>35031</t>
        </is>
      </c>
      <c r="K96" t="inlineStr">
        <is>
          <t>Rennes Cedex</t>
        </is>
      </c>
      <c r="L96" t="inlineStr">
        <is>
          <t>02 99 86 60 60</t>
        </is>
      </c>
      <c r="M96" s="4" t="inlineStr">
        <is>
          <t>accueil@rennesmetropole.fr</t>
        </is>
      </c>
      <c r="N96" s="4" t="inlineStr">
        <is>
          <t>https://metropole.rennes.fr</t>
        </is>
      </c>
      <c r="O96" t="inlineStr"/>
      <c r="P96" s="4" t="inlineStr">
        <is>
          <t>https://lannuaire.service-public.gouv.fr/bretagne/ille-et-vilaine/9c843b17-826c-4b99-be0c-ffa090632c21</t>
        </is>
      </c>
      <c r="Q96" t="inlineStr">
        <is>
          <t>Annuaire Service-public.fr</t>
        </is>
      </c>
      <c r="R96" t="inlineStr"/>
      <c r="S96" t="inlineStr"/>
      <c r="T96" t="inlineStr"/>
    </row>
    <row r="97">
      <c r="A97" t="inlineStr">
        <is>
          <t>CA Châteauroux Métropole</t>
        </is>
      </c>
      <c r="B97" t="inlineStr">
        <is>
          <t>Communauté d’agglomération</t>
        </is>
      </c>
      <c r="C97" t="inlineStr">
        <is>
          <t>243600327</t>
        </is>
      </c>
      <c r="D97" t="inlineStr">
        <is>
          <t>36</t>
        </is>
      </c>
      <c r="E97" t="inlineStr">
        <is>
          <t>Indre</t>
        </is>
      </c>
      <c r="F97" t="inlineStr">
        <is>
          <t>Centre-Val de Loire</t>
        </is>
      </c>
      <c r="G97" s="3" t="n">
        <v>72566</v>
      </c>
      <c r="H97" t="n">
        <v>14</v>
      </c>
      <c r="I97" t="inlineStr">
        <is>
          <t>Place de la République, CS 80509</t>
        </is>
      </c>
      <c r="J97" t="inlineStr">
        <is>
          <t>36012</t>
        </is>
      </c>
      <c r="K97" t="inlineStr">
        <is>
          <t>Châteauroux Cedex</t>
        </is>
      </c>
      <c r="L97" t="inlineStr">
        <is>
          <t>02 54 08 33 00</t>
        </is>
      </c>
      <c r="M97" s="4" t="inlineStr">
        <is>
          <t>communication@chateauroux-metropole.fr</t>
        </is>
      </c>
      <c r="N97" s="4" t="inlineStr">
        <is>
          <t>https://www.chateauroux-metropole.fr/</t>
        </is>
      </c>
      <c r="O97" s="4" t="inlineStr">
        <is>
          <t>https://www.chateauroux-metropole.fr/pages-pratiques/contact</t>
        </is>
      </c>
      <c r="P97" s="4" t="inlineStr">
        <is>
          <t>https://lannuaire.service-public.gouv.fr/centre-val-de-loire/indre/faa707af-c1e9-473b-ab40-d1f521b8b10e</t>
        </is>
      </c>
      <c r="Q97" t="inlineStr">
        <is>
          <t>Annuaire Service-public.fr</t>
        </is>
      </c>
      <c r="R97" t="inlineStr"/>
      <c r="S97" t="inlineStr"/>
      <c r="T97" t="inlineStr"/>
    </row>
    <row r="98">
      <c r="A98" t="inlineStr">
        <is>
          <t>Tours Métropole Val de Loire</t>
        </is>
      </c>
      <c r="B98" t="inlineStr">
        <is>
          <t>Métropole</t>
        </is>
      </c>
      <c r="C98" t="inlineStr">
        <is>
          <t>243700754</t>
        </is>
      </c>
      <c r="D98" t="inlineStr">
        <is>
          <t>37</t>
        </is>
      </c>
      <c r="E98" t="inlineStr">
        <is>
          <t>Indre-et-Loire</t>
        </is>
      </c>
      <c r="F98" t="inlineStr">
        <is>
          <t>Centre-Val de Loire</t>
        </is>
      </c>
      <c r="G98" s="3" t="n">
        <v>299019</v>
      </c>
      <c r="H98" t="n">
        <v>22</v>
      </c>
      <c r="I98" t="inlineStr">
        <is>
          <t>60 avenue Marcel-Dassault</t>
        </is>
      </c>
      <c r="J98" t="inlineStr">
        <is>
          <t>37206</t>
        </is>
      </c>
      <c r="K98" t="inlineStr">
        <is>
          <t>Tours</t>
        </is>
      </c>
      <c r="L98" t="inlineStr">
        <is>
          <t>02 47 80 11 11</t>
        </is>
      </c>
      <c r="M98" s="4" t="inlineStr">
        <is>
          <t>communication@tours-metropole.fr</t>
        </is>
      </c>
      <c r="N98" s="4" t="inlineStr">
        <is>
          <t>https://www.tours-metropole.fr/</t>
        </is>
      </c>
      <c r="O98" s="4" t="inlineStr">
        <is>
          <t>https://www.tours-metropole.fr/formulaire-de-contact</t>
        </is>
      </c>
      <c r="P98" s="4" t="inlineStr">
        <is>
          <t>https://lannuaire.service-public.gouv.fr/centre-val-de-loire/indre-et-loire/b6a8d424-7c48-4e0e-aa0e-ce5e8e3c9c35</t>
        </is>
      </c>
      <c r="Q98" t="inlineStr">
        <is>
          <t>Annuaire Service-public.fr</t>
        </is>
      </c>
      <c r="R98" t="inlineStr"/>
      <c r="S98" t="inlineStr"/>
      <c r="T98" t="inlineStr"/>
    </row>
    <row r="99">
      <c r="A99" t="inlineStr">
        <is>
          <t>CA Porte de l'Isère (CAPI)</t>
        </is>
      </c>
      <c r="B99" t="inlineStr">
        <is>
          <t>Communauté d’agglomération</t>
        </is>
      </c>
      <c r="C99" t="inlineStr">
        <is>
          <t>243800604</t>
        </is>
      </c>
      <c r="D99" t="inlineStr">
        <is>
          <t>38</t>
        </is>
      </c>
      <c r="E99" t="inlineStr">
        <is>
          <t>Isère</t>
        </is>
      </c>
      <c r="F99" t="inlineStr">
        <is>
          <t>Auvergne-Rhône-Alpes</t>
        </is>
      </c>
      <c r="G99" s="3" t="n">
        <v>111450</v>
      </c>
      <c r="H99" t="n">
        <v>22</v>
      </c>
      <c r="I99" t="inlineStr">
        <is>
          <t>17 avenue du Bourg, BP 592</t>
        </is>
      </c>
      <c r="J99" t="inlineStr">
        <is>
          <t>38081</t>
        </is>
      </c>
      <c r="K99" t="inlineStr">
        <is>
          <t>L'Isle-d'Abeau Cedex</t>
        </is>
      </c>
      <c r="L99" t="inlineStr">
        <is>
          <t>04 74 27 28 00</t>
        </is>
      </c>
      <c r="M99" s="4" t="inlineStr">
        <is>
          <t>capi@capi38.fr</t>
        </is>
      </c>
      <c r="N99" s="4" t="inlineStr">
        <is>
          <t>https://capi-agglo.fr/</t>
        </is>
      </c>
      <c r="O99" s="4" t="inlineStr">
        <is>
          <t>https://capi-agglo.fr/nous-contacter/</t>
        </is>
      </c>
      <c r="P99" s="4" t="inlineStr">
        <is>
          <t>https://lannuaire.service-public.gouv.fr/auvergne-rhone-alpes/isere/bb1045cd-6eb2-4af1-ad91-d564e0ed2450</t>
        </is>
      </c>
      <c r="Q99" t="inlineStr">
        <is>
          <t>Annuaire Service-public.fr</t>
        </is>
      </c>
      <c r="R99" t="inlineStr"/>
      <c r="S99" t="inlineStr"/>
      <c r="T99" t="inlineStr"/>
    </row>
    <row r="100">
      <c r="A100" t="inlineStr">
        <is>
          <t>CA Vienne Condrieu</t>
        </is>
      </c>
      <c r="B100" t="inlineStr">
        <is>
          <t>Communauté d’agglomération</t>
        </is>
      </c>
      <c r="C100" t="inlineStr">
        <is>
          <t>200077014</t>
        </is>
      </c>
      <c r="D100" t="inlineStr">
        <is>
          <t>38, 69</t>
        </is>
      </c>
      <c r="E100" t="inlineStr">
        <is>
          <t>Isère, Rhône</t>
        </is>
      </c>
      <c r="F100" t="inlineStr">
        <is>
          <t>Auvergne-Rhône-Alpes</t>
        </is>
      </c>
      <c r="G100" s="3" t="n">
        <v>94864</v>
      </c>
      <c r="H100" t="n">
        <v>30</v>
      </c>
      <c r="I100" t="inlineStr">
        <is>
          <t>30 avenue du Général-Leclerc, Espace Saint-Germain</t>
        </is>
      </c>
      <c r="J100" t="inlineStr">
        <is>
          <t>38200</t>
        </is>
      </c>
      <c r="K100" t="inlineStr">
        <is>
          <t>Vienne</t>
        </is>
      </c>
      <c r="L100" t="inlineStr">
        <is>
          <t>04 74 78 32 10</t>
        </is>
      </c>
      <c r="M100" s="4" t="inlineStr">
        <is>
          <t>info@vienne-condrieu-agglomeration.fr</t>
        </is>
      </c>
      <c r="N100" s="4" t="inlineStr">
        <is>
          <t>https://www.vienne-condrieu-agglomeration.fr/</t>
        </is>
      </c>
      <c r="O100" s="4" t="inlineStr">
        <is>
          <t>https://www.vienne-condrieu-agglomeration.fr/contact</t>
        </is>
      </c>
      <c r="P100" s="4" t="inlineStr">
        <is>
          <t>https://lannuaire.service-public.gouv.fr/auvergne-rhone-alpes/isere/878d7684-c95d-430e-a726-7b1634ecf6c1</t>
        </is>
      </c>
      <c r="Q100" t="inlineStr">
        <is>
          <t>Annuaire Service-public.fr</t>
        </is>
      </c>
      <c r="R100" t="inlineStr"/>
      <c r="S100" t="inlineStr"/>
      <c r="T100" t="inlineStr"/>
    </row>
    <row r="101">
      <c r="A101" t="inlineStr">
        <is>
          <t>CA du Pays Voironnais</t>
        </is>
      </c>
      <c r="B101" t="inlineStr">
        <is>
          <t>Communauté d’agglomération</t>
        </is>
      </c>
      <c r="C101" t="inlineStr">
        <is>
          <t>243800984</t>
        </is>
      </c>
      <c r="D101" t="inlineStr">
        <is>
          <t>38</t>
        </is>
      </c>
      <c r="E101" t="inlineStr">
        <is>
          <t>Isère</t>
        </is>
      </c>
      <c r="F101" t="inlineStr">
        <is>
          <t>Auvergne-Rhône-Alpes</t>
        </is>
      </c>
      <c r="G101" s="3" t="n">
        <v>96688</v>
      </c>
      <c r="H101" t="n">
        <v>31</v>
      </c>
      <c r="I101" t="inlineStr">
        <is>
          <t>40 rue Mainssieux</t>
        </is>
      </c>
      <c r="J101" t="inlineStr">
        <is>
          <t>38500</t>
        </is>
      </c>
      <c r="K101" t="inlineStr">
        <is>
          <t>Voiron</t>
        </is>
      </c>
      <c r="L101" t="inlineStr">
        <is>
          <t>04 76 93 17 71</t>
        </is>
      </c>
      <c r="M101" s="4" t="inlineStr">
        <is>
          <t>info@paysvoironnais.com</t>
        </is>
      </c>
      <c r="N101" s="4" t="inlineStr">
        <is>
          <t>https://www.paysvoironnais.com/</t>
        </is>
      </c>
      <c r="O101" s="4" t="inlineStr">
        <is>
          <t>https://www.paysvoironnais.com/contact-9.html</t>
        </is>
      </c>
      <c r="P101" s="4" t="inlineStr">
        <is>
          <t>https://lannuaire.service-public.gouv.fr/auvergne-rhone-alpes/isere/226eb39d-4b47-48c8-83e2-5921c2e2f162</t>
        </is>
      </c>
      <c r="Q101" t="inlineStr">
        <is>
          <t>Annuaire Service-public.fr</t>
        </is>
      </c>
      <c r="R101" t="inlineStr"/>
      <c r="S101" t="inlineStr"/>
      <c r="T101" t="inlineStr"/>
    </row>
    <row r="102">
      <c r="A102" t="inlineStr">
        <is>
          <t>Grenoble-Alpes-Métropole</t>
        </is>
      </c>
      <c r="B102" t="inlineStr">
        <is>
          <t>Métropole</t>
        </is>
      </c>
      <c r="C102" t="inlineStr">
        <is>
          <t>200040715</t>
        </is>
      </c>
      <c r="D102" t="inlineStr">
        <is>
          <t>38</t>
        </is>
      </c>
      <c r="E102" t="inlineStr">
        <is>
          <t>Isère</t>
        </is>
      </c>
      <c r="F102" t="inlineStr">
        <is>
          <t>Auvergne-Rhône-Alpes</t>
        </is>
      </c>
      <c r="G102" s="3" t="n">
        <v>449509</v>
      </c>
      <c r="H102" t="n">
        <v>49</v>
      </c>
      <c r="I102" t="inlineStr">
        <is>
          <t>1 place André-Malraux</t>
        </is>
      </c>
      <c r="J102" t="inlineStr">
        <is>
          <t>38000</t>
        </is>
      </c>
      <c r="K102" t="inlineStr">
        <is>
          <t>Grenoble</t>
        </is>
      </c>
      <c r="L102" t="inlineStr">
        <is>
          <t>04 76 59 59 59</t>
        </is>
      </c>
      <c r="M102" t="inlineStr"/>
      <c r="N102" s="4" t="inlineStr">
        <is>
          <t>https://www.grenoblealpesmetropole.fr/</t>
        </is>
      </c>
      <c r="O102" s="4" t="inlineStr">
        <is>
          <t>https://www.grenoblealpesmetropole.fr/263-via-nos-formulaires-de-contact.htm</t>
        </is>
      </c>
      <c r="P102" s="4" t="inlineStr">
        <is>
          <t>https://lannuaire.service-public.gouv.fr/auvergne-rhone-alpes/isere/f6bb5305-3ef0-41da-8850-d0a44de6cb35</t>
        </is>
      </c>
      <c r="Q102" t="inlineStr">
        <is>
          <t>Annuaire Service-public.fr</t>
        </is>
      </c>
      <c r="R102" t="inlineStr"/>
      <c r="S102" t="inlineStr"/>
      <c r="T102" t="inlineStr"/>
    </row>
    <row r="103">
      <c r="A103" t="inlineStr">
        <is>
          <t>CA ECLA  (Espace Communautaire Lons Agglomération)</t>
        </is>
      </c>
      <c r="B103" t="inlineStr">
        <is>
          <t>Communauté d’agglomération</t>
        </is>
      </c>
      <c r="C103" t="inlineStr">
        <is>
          <t>200071116</t>
        </is>
      </c>
      <c r="D103" t="inlineStr">
        <is>
          <t>39</t>
        </is>
      </c>
      <c r="E103" t="inlineStr">
        <is>
          <t>Jura</t>
        </is>
      </c>
      <c r="F103" t="inlineStr">
        <is>
          <t>Bourgogne-Franche-Comté</t>
        </is>
      </c>
      <c r="G103" s="3" t="n">
        <v>34210</v>
      </c>
      <c r="H103" t="n">
        <v>32</v>
      </c>
      <c r="I103" t="inlineStr">
        <is>
          <t>4 avenue du 44e-Régiment-d'Infanterie</t>
        </is>
      </c>
      <c r="J103" t="inlineStr">
        <is>
          <t>39000</t>
        </is>
      </c>
      <c r="K103" t="inlineStr">
        <is>
          <t>Lons-le-Saunier</t>
        </is>
      </c>
      <c r="L103" t="inlineStr">
        <is>
          <t>03 84 24 46 06</t>
        </is>
      </c>
      <c r="M103" s="4" t="inlineStr">
        <is>
          <t>contact@ecla-jura.fr</t>
        </is>
      </c>
      <c r="N103" s="4" t="inlineStr">
        <is>
          <t>https://www.ecla-jura.fr/</t>
        </is>
      </c>
      <c r="O103" t="inlineStr"/>
      <c r="P103" s="4" t="inlineStr">
        <is>
          <t>https://lannuaire.service-public.gouv.fr/bourgogne-franche-comte/jura/b1989671-90c3-483a-a536-fa0a33d70dab</t>
        </is>
      </c>
      <c r="Q103" t="inlineStr">
        <is>
          <t>Annuaire Service-public.fr</t>
        </is>
      </c>
      <c r="R103" t="inlineStr"/>
      <c r="S103" t="inlineStr"/>
      <c r="T103" t="inlineStr"/>
    </row>
    <row r="104">
      <c r="A104" t="inlineStr">
        <is>
          <t>CA du Grand Dole</t>
        </is>
      </c>
      <c r="B104" t="inlineStr">
        <is>
          <t>Communauté d’agglomération</t>
        </is>
      </c>
      <c r="C104" t="inlineStr">
        <is>
          <t>200010650</t>
        </is>
      </c>
      <c r="D104" t="inlineStr">
        <is>
          <t>39</t>
        </is>
      </c>
      <c r="E104" t="inlineStr">
        <is>
          <t>Jura</t>
        </is>
      </c>
      <c r="F104" t="inlineStr">
        <is>
          <t>Bourgogne-Franche-Comté</t>
        </is>
      </c>
      <c r="G104" s="3" t="n">
        <v>54697</v>
      </c>
      <c r="H104" t="n">
        <v>47</v>
      </c>
      <c r="I104" t="inlineStr">
        <is>
          <t>Place de l'Europe</t>
        </is>
      </c>
      <c r="J104" t="inlineStr">
        <is>
          <t>39100</t>
        </is>
      </c>
      <c r="K104" t="inlineStr">
        <is>
          <t>Dole</t>
        </is>
      </c>
      <c r="L104" t="inlineStr">
        <is>
          <t>03 84 79 78 40</t>
        </is>
      </c>
      <c r="M104" s="4" t="inlineStr">
        <is>
          <t>info@grand-dole.fr</t>
        </is>
      </c>
      <c r="N104" s="4" t="inlineStr">
        <is>
          <t>https://www.grand-dole.fr/</t>
        </is>
      </c>
      <c r="O104" s="4" t="inlineStr">
        <is>
          <t>https://www.grand-dole.fr/contactez-nous</t>
        </is>
      </c>
      <c r="P104" s="4" t="inlineStr">
        <is>
          <t>https://lannuaire.service-public.gouv.fr/bourgogne-franche-comte/jura/b93534f5-828e-4838-b8d5-789934968e04</t>
        </is>
      </c>
      <c r="Q104" t="inlineStr">
        <is>
          <t>Annuaire Service-public.fr</t>
        </is>
      </c>
      <c r="R104" t="inlineStr"/>
      <c r="S104" t="inlineStr"/>
      <c r="T104" t="inlineStr"/>
    </row>
    <row r="105">
      <c r="A105" t="inlineStr">
        <is>
          <t>CA Mont de Marsan Agglomération</t>
        </is>
      </c>
      <c r="B105" t="inlineStr">
        <is>
          <t>Communauté d’agglomération</t>
        </is>
      </c>
      <c r="C105" t="inlineStr">
        <is>
          <t>244000808</t>
        </is>
      </c>
      <c r="D105" t="inlineStr">
        <is>
          <t>40</t>
        </is>
      </c>
      <c r="E105" t="inlineStr">
        <is>
          <t>Landes</t>
        </is>
      </c>
      <c r="F105" t="inlineStr">
        <is>
          <t>Nouvelle-Aquitaine</t>
        </is>
      </c>
      <c r="G105" s="3" t="n">
        <v>56042</v>
      </c>
      <c r="H105" t="n">
        <v>18</v>
      </c>
      <c r="I105" t="inlineStr">
        <is>
          <t>575 avenue du Maréchal-Foch, BP 70171</t>
        </is>
      </c>
      <c r="J105" t="inlineStr">
        <is>
          <t>40003</t>
        </is>
      </c>
      <c r="K105" t="inlineStr">
        <is>
          <t>Mont-de-Marsan Cedex</t>
        </is>
      </c>
      <c r="L105" t="inlineStr">
        <is>
          <t>05 58 46 64 10</t>
        </is>
      </c>
      <c r="M105" s="4" t="inlineStr">
        <is>
          <t>accueil.agglo@montdemarsan-agglo.fr</t>
        </is>
      </c>
      <c r="N105" s="4" t="inlineStr">
        <is>
          <t>http://www.montdemarsan-agglo.fr</t>
        </is>
      </c>
      <c r="O105" t="inlineStr"/>
      <c r="P105" s="4" t="inlineStr">
        <is>
          <t>https://lannuaire.service-public.gouv.fr/nouvelle-aquitaine/landes/ea9830f0-27bd-483e-ae0e-3fa4f01267b2</t>
        </is>
      </c>
      <c r="Q105" t="inlineStr">
        <is>
          <t>Annuaire Service-public.fr</t>
        </is>
      </c>
      <c r="R105" t="inlineStr"/>
      <c r="S105" t="inlineStr"/>
      <c r="T105" t="inlineStr"/>
    </row>
    <row r="106">
      <c r="A106" t="inlineStr">
        <is>
          <t>CA du Grand Dax</t>
        </is>
      </c>
      <c r="B106" t="inlineStr">
        <is>
          <t>Communauté d’agglomération</t>
        </is>
      </c>
      <c r="C106" t="inlineStr">
        <is>
          <t>244000675</t>
        </is>
      </c>
      <c r="D106" t="inlineStr">
        <is>
          <t>40</t>
        </is>
      </c>
      <c r="E106" t="inlineStr">
        <is>
          <t>Landes</t>
        </is>
      </c>
      <c r="F106" t="inlineStr">
        <is>
          <t>Nouvelle-Aquitaine</t>
        </is>
      </c>
      <c r="G106" s="3" t="n">
        <v>58036</v>
      </c>
      <c r="H106" t="n">
        <v>20</v>
      </c>
      <c r="I106" t="inlineStr">
        <is>
          <t>20 avenue de la Gare, 4e étage</t>
        </is>
      </c>
      <c r="J106" t="inlineStr">
        <is>
          <t>40100</t>
        </is>
      </c>
      <c r="K106" t="inlineStr">
        <is>
          <t>Dax</t>
        </is>
      </c>
      <c r="L106" t="inlineStr">
        <is>
          <t>05 58 56 39 40</t>
        </is>
      </c>
      <c r="M106" s="4" t="inlineStr">
        <is>
          <t>contact@grand-dax.fr</t>
        </is>
      </c>
      <c r="N106" s="4" t="inlineStr">
        <is>
          <t>https://www.grand-dax.fr/</t>
        </is>
      </c>
      <c r="O106" s="4" t="inlineStr">
        <is>
          <t>https://www.grand-dax.fr/nous-contacter</t>
        </is>
      </c>
      <c r="P106" s="4" t="inlineStr">
        <is>
          <t>https://lannuaire.service-public.gouv.fr/nouvelle-aquitaine/landes/c65ede47-56a1-47d1-be9b-41c7e2d9e425</t>
        </is>
      </c>
      <c r="Q106" t="inlineStr">
        <is>
          <t>Annuaire Service-public.fr</t>
        </is>
      </c>
      <c r="R106" t="inlineStr"/>
      <c r="S106" t="inlineStr"/>
      <c r="T106" t="inlineStr"/>
    </row>
    <row r="107">
      <c r="A107" t="inlineStr">
        <is>
          <t>CA Territoires Vendômois</t>
        </is>
      </c>
      <c r="B107" t="inlineStr">
        <is>
          <t>Communauté d’agglomération</t>
        </is>
      </c>
      <c r="C107" t="inlineStr">
        <is>
          <t>200072072</t>
        </is>
      </c>
      <c r="D107" t="inlineStr">
        <is>
          <t>41</t>
        </is>
      </c>
      <c r="E107" t="inlineStr">
        <is>
          <t>Loir-et-Cher</t>
        </is>
      </c>
      <c r="F107" t="inlineStr">
        <is>
          <t>Centre-Val de Loire</t>
        </is>
      </c>
      <c r="G107" s="3" t="n">
        <v>52136</v>
      </c>
      <c r="H107" t="n">
        <v>65</v>
      </c>
      <c r="I107" t="inlineStr">
        <is>
          <t>Parc Ronsard</t>
        </is>
      </c>
      <c r="J107" t="inlineStr">
        <is>
          <t>41100</t>
        </is>
      </c>
      <c r="K107" t="inlineStr">
        <is>
          <t>Vendôme</t>
        </is>
      </c>
      <c r="L107" t="inlineStr">
        <is>
          <t>02 54 89 42 00</t>
        </is>
      </c>
      <c r="M107" s="4" t="inlineStr">
        <is>
          <t>courrier@catv41.fr</t>
        </is>
      </c>
      <c r="N107" s="4" t="inlineStr">
        <is>
          <t>https://www.territoiresvendomois.fr/</t>
        </is>
      </c>
      <c r="O107" s="4" t="inlineStr">
        <is>
          <t>https://www.territoiresvendomois.fr/contactez-nous/</t>
        </is>
      </c>
      <c r="P107" s="4" t="inlineStr">
        <is>
          <t>https://lannuaire.service-public.gouv.fr/centre-val-de-loire/loir-et-cher/6ec56d5c-8925-4eb5-8b68-ba5ba265a6cc</t>
        </is>
      </c>
      <c r="Q107" t="inlineStr">
        <is>
          <t>Annuaire Service-public.fr</t>
        </is>
      </c>
      <c r="R107" t="inlineStr"/>
      <c r="S107" t="inlineStr"/>
      <c r="T107" t="inlineStr"/>
    </row>
    <row r="108">
      <c r="A108" t="inlineStr">
        <is>
          <t>CA de Blois ''Agglopolys''</t>
        </is>
      </c>
      <c r="B108" t="inlineStr">
        <is>
          <t>Communauté d’agglomération</t>
        </is>
      </c>
      <c r="C108" t="inlineStr">
        <is>
          <t>200030385</t>
        </is>
      </c>
      <c r="D108" t="inlineStr">
        <is>
          <t>41</t>
        </is>
      </c>
      <c r="E108" t="inlineStr">
        <is>
          <t>Loir-et-Cher</t>
        </is>
      </c>
      <c r="F108" t="inlineStr">
        <is>
          <t>Centre-Val de Loire</t>
        </is>
      </c>
      <c r="G108" s="3" t="n">
        <v>106574</v>
      </c>
      <c r="H108" t="n">
        <v>43</v>
      </c>
      <c r="I108" t="inlineStr">
        <is>
          <t>1 rue Honoré-de-Balzac, Hôtel d'agglomération, CS 4318</t>
        </is>
      </c>
      <c r="J108" t="inlineStr">
        <is>
          <t>41043</t>
        </is>
      </c>
      <c r="K108" t="inlineStr">
        <is>
          <t>Blois Cedex</t>
        </is>
      </c>
      <c r="L108" t="inlineStr">
        <is>
          <t>02 54 90 35 35</t>
        </is>
      </c>
      <c r="M108" s="4" t="inlineStr">
        <is>
          <t>contact@agglopolys.fr</t>
        </is>
      </c>
      <c r="N108" s="4" t="inlineStr">
        <is>
          <t>http://www.agglopolys.fr</t>
        </is>
      </c>
      <c r="O108" s="4" t="inlineStr">
        <is>
          <t>https://m.agglopolys.fr/</t>
        </is>
      </c>
      <c r="P108" s="4" t="inlineStr">
        <is>
          <t>https://lannuaire.service-public.gouv.fr/centre-val-de-loire/loir-et-cher/f2045ea3-baa1-414c-b50b-4ce49de959f5</t>
        </is>
      </c>
      <c r="Q108" t="inlineStr">
        <is>
          <t>Annuaire Service-public.fr</t>
        </is>
      </c>
      <c r="R108" t="inlineStr"/>
      <c r="S108" t="inlineStr"/>
      <c r="T108" t="inlineStr"/>
    </row>
    <row r="109">
      <c r="A109" t="inlineStr">
        <is>
          <t>CA Loire Forez Agglomération (LFA)</t>
        </is>
      </c>
      <c r="B109" t="inlineStr">
        <is>
          <t>Communauté d’agglomération</t>
        </is>
      </c>
      <c r="C109" t="inlineStr">
        <is>
          <t>200065886</t>
        </is>
      </c>
      <c r="D109" t="inlineStr">
        <is>
          <t>42</t>
        </is>
      </c>
      <c r="E109" t="inlineStr">
        <is>
          <t>Loire</t>
        </is>
      </c>
      <c r="F109" t="inlineStr">
        <is>
          <t>Auvergne-Rhône-Alpes</t>
        </is>
      </c>
      <c r="G109" s="3" t="n">
        <v>112261</v>
      </c>
      <c r="H109" t="n">
        <v>84</v>
      </c>
      <c r="I109" t="inlineStr">
        <is>
          <t>17 boulevard de la Préfecture</t>
        </is>
      </c>
      <c r="J109" t="inlineStr">
        <is>
          <t>42600</t>
        </is>
      </c>
      <c r="K109" t="inlineStr">
        <is>
          <t>Montbrison</t>
        </is>
      </c>
      <c r="L109" t="inlineStr">
        <is>
          <t>04 26 54 70 00</t>
        </is>
      </c>
      <c r="M109" s="4" t="inlineStr">
        <is>
          <t>agglomeration@loireforez.fr</t>
        </is>
      </c>
      <c r="N109" s="4" t="inlineStr">
        <is>
          <t>https://www.loireforez.fr</t>
        </is>
      </c>
      <c r="O109" t="inlineStr"/>
      <c r="P109" s="4" t="inlineStr">
        <is>
          <t>https://lannuaire.service-public.gouv.fr/auvergne-rhone-alpes/loire/084d41a6-93e1-404a-a54a-a339822f810f</t>
        </is>
      </c>
      <c r="Q109" t="inlineStr">
        <is>
          <t>Annuaire Service-public.fr</t>
        </is>
      </c>
      <c r="R109" t="inlineStr"/>
      <c r="S109" t="inlineStr"/>
      <c r="T109" t="inlineStr"/>
    </row>
    <row r="110">
      <c r="A110" t="inlineStr">
        <is>
          <t>CA Roannais Agglomération</t>
        </is>
      </c>
      <c r="B110" t="inlineStr">
        <is>
          <t>Communauté d’agglomération</t>
        </is>
      </c>
      <c r="C110" t="inlineStr">
        <is>
          <t>200035731</t>
        </is>
      </c>
      <c r="D110" t="inlineStr">
        <is>
          <t>42</t>
        </is>
      </c>
      <c r="E110" t="inlineStr">
        <is>
          <t>Loire</t>
        </is>
      </c>
      <c r="F110" t="inlineStr">
        <is>
          <t>Auvergne-Rhône-Alpes</t>
        </is>
      </c>
      <c r="G110" s="3" t="n">
        <v>101851</v>
      </c>
      <c r="H110" t="n">
        <v>40</v>
      </c>
      <c r="I110" t="inlineStr">
        <is>
          <t>63 rue Jean-Jaurès, CS 70005</t>
        </is>
      </c>
      <c r="J110" t="inlineStr">
        <is>
          <t>42311</t>
        </is>
      </c>
      <c r="K110" t="inlineStr">
        <is>
          <t>Roanne Cedex</t>
        </is>
      </c>
      <c r="L110" t="inlineStr">
        <is>
          <t>04 77 44 29 50</t>
        </is>
      </c>
      <c r="M110" s="4" t="inlineStr">
        <is>
          <t>info@roannais-agglomeration.fr</t>
        </is>
      </c>
      <c r="N110" s="4" t="inlineStr">
        <is>
          <t>https://www.aggloroanne.fr/</t>
        </is>
      </c>
      <c r="O110" s="4" t="inlineStr">
        <is>
          <t>https://www.aggloroanne.fr/prendre-contact-avec-la-ville-de-roanne-468.html</t>
        </is>
      </c>
      <c r="P110" s="4" t="inlineStr">
        <is>
          <t>https://lannuaire.service-public.gouv.fr/auvergne-rhone-alpes/loire/3c35a518-bdfc-42da-959c-7d7657e81104</t>
        </is>
      </c>
      <c r="Q110" t="inlineStr">
        <is>
          <t>Annuaire Service-public.fr</t>
        </is>
      </c>
      <c r="R110" t="inlineStr"/>
      <c r="S110" t="inlineStr"/>
      <c r="T110" t="inlineStr"/>
    </row>
    <row r="111">
      <c r="A111" t="inlineStr">
        <is>
          <t>Saint-Étienne Métropole</t>
        </is>
      </c>
      <c r="B111" t="inlineStr">
        <is>
          <t>Métropole</t>
        </is>
      </c>
      <c r="C111" t="inlineStr">
        <is>
          <t>244200770</t>
        </is>
      </c>
      <c r="D111" t="inlineStr">
        <is>
          <t>42</t>
        </is>
      </c>
      <c r="E111" t="inlineStr">
        <is>
          <t>Loire</t>
        </is>
      </c>
      <c r="F111" t="inlineStr">
        <is>
          <t>Auvergne-Rhône-Alpes</t>
        </is>
      </c>
      <c r="G111" s="3" t="n">
        <v>407700</v>
      </c>
      <c r="H111" t="n">
        <v>53</v>
      </c>
      <c r="I111" t="inlineStr">
        <is>
          <t>2 avenue Gruner</t>
        </is>
      </c>
      <c r="J111" t="inlineStr">
        <is>
          <t>42000</t>
        </is>
      </c>
      <c r="K111" t="inlineStr">
        <is>
          <t>Saint-Étienne</t>
        </is>
      </c>
      <c r="L111" t="inlineStr">
        <is>
          <t>04 77 49 21 49</t>
        </is>
      </c>
      <c r="M111" s="4" t="inlineStr">
        <is>
          <t>accueil@saint-etienne-metropole.fr</t>
        </is>
      </c>
      <c r="N111" s="4" t="inlineStr">
        <is>
          <t>https://www.saint-etienne-metropole.fr/</t>
        </is>
      </c>
      <c r="O111" s="4" t="inlineStr">
        <is>
          <t>https://www.saint-etienne-metropole.fr/contacter-saint-etienne-metropole</t>
        </is>
      </c>
      <c r="P111" s="4" t="inlineStr">
        <is>
          <t>https://lannuaire.service-public.gouv.fr/auvergne-rhone-alpes/loire/c05ed861-1909-4042-b168-1f8fbe23bf91</t>
        </is>
      </c>
      <c r="Q111" t="inlineStr">
        <is>
          <t>Annuaire Service-public.fr</t>
        </is>
      </c>
      <c r="R111" t="inlineStr"/>
      <c r="S111" t="inlineStr"/>
      <c r="T111" t="inlineStr"/>
    </row>
    <row r="112">
      <c r="A112" t="inlineStr">
        <is>
          <t>CA du Puy-en-Velay</t>
        </is>
      </c>
      <c r="B112" t="inlineStr">
        <is>
          <t>Communauté d’agglomération</t>
        </is>
      </c>
      <c r="C112" t="inlineStr">
        <is>
          <t>200073419</t>
        </is>
      </c>
      <c r="D112" t="inlineStr">
        <is>
          <t>43</t>
        </is>
      </c>
      <c r="E112" t="inlineStr">
        <is>
          <t>Haute-Loire</t>
        </is>
      </c>
      <c r="F112" t="inlineStr">
        <is>
          <t>Auvergne-Rhône-Alpes</t>
        </is>
      </c>
      <c r="G112" s="3" t="n">
        <v>82819</v>
      </c>
      <c r="H112" t="n">
        <v>72</v>
      </c>
      <c r="I112" t="inlineStr">
        <is>
          <t>16 place de la Libération</t>
        </is>
      </c>
      <c r="J112" t="inlineStr">
        <is>
          <t>43003</t>
        </is>
      </c>
      <c r="K112" t="inlineStr">
        <is>
          <t>Le Puy-en-Velay</t>
        </is>
      </c>
      <c r="L112" t="inlineStr">
        <is>
          <t>04 71 04 37 00</t>
        </is>
      </c>
      <c r="M112" s="4" t="inlineStr">
        <is>
          <t>contact.agglo@lepuyenvelay.fr</t>
        </is>
      </c>
      <c r="N112" s="4" t="inlineStr">
        <is>
          <t>https://www.agglo-lepuyenvelay.fr/</t>
        </is>
      </c>
      <c r="O112" s="4" t="inlineStr">
        <is>
          <t>https://www.citoyens.agglo-lepuyenvelay.fr/nous-contacter</t>
        </is>
      </c>
      <c r="P112" s="4" t="inlineStr">
        <is>
          <t>https://lannuaire.service-public.gouv.fr/auvergne-rhone-alpes/haute-loire/01c91802-fe88-4a64-aa64-163271b93f0e</t>
        </is>
      </c>
      <c r="Q112" t="inlineStr">
        <is>
          <t>Annuaire Service-public.fr</t>
        </is>
      </c>
      <c r="R112" t="inlineStr"/>
      <c r="S112" t="inlineStr"/>
      <c r="T112" t="inlineStr"/>
    </row>
    <row r="113">
      <c r="A113" t="inlineStr">
        <is>
          <t>CA Clisson Sèvre et Maine Agglo</t>
        </is>
      </c>
      <c r="B113" t="inlineStr">
        <is>
          <t>Communauté d’agglomération</t>
        </is>
      </c>
      <c r="C113" t="inlineStr">
        <is>
          <t>200067635</t>
        </is>
      </c>
      <c r="D113" t="inlineStr">
        <is>
          <t>44</t>
        </is>
      </c>
      <c r="E113" t="inlineStr">
        <is>
          <t>Loire-Atlantique</t>
        </is>
      </c>
      <c r="F113" t="inlineStr">
        <is>
          <t>Pays de la Loire</t>
        </is>
      </c>
      <c r="G113" s="3" t="n">
        <v>57167</v>
      </c>
      <c r="H113" t="n">
        <v>16</v>
      </c>
      <c r="I113" t="inlineStr">
        <is>
          <t>13 rue des Ajoncs</t>
        </is>
      </c>
      <c r="J113" t="inlineStr">
        <is>
          <t>44190</t>
        </is>
      </c>
      <c r="K113" t="inlineStr">
        <is>
          <t>Clisson</t>
        </is>
      </c>
      <c r="L113" t="inlineStr">
        <is>
          <t>02 40 54 75 15</t>
        </is>
      </c>
      <c r="M113" s="4" t="inlineStr">
        <is>
          <t>accueil@clissonsevremaine.fr</t>
        </is>
      </c>
      <c r="N113" s="4" t="inlineStr">
        <is>
          <t>https://www.clissonsevremaine.fr/</t>
        </is>
      </c>
      <c r="O113" s="4" t="inlineStr">
        <is>
          <t>https://mesdemarches.clissonsevremaine.fr/contacter-l-agglo/contacter-clisson-sevre-et-maine-agglo/</t>
        </is>
      </c>
      <c r="P113" s="4" t="inlineStr">
        <is>
          <t>https://lannuaire.service-public.gouv.fr/pays-de-la-loire/loire-atlantique/6c315f8c-c3a7-4370-aba6-e919252dad10</t>
        </is>
      </c>
      <c r="Q113" t="inlineStr">
        <is>
          <t>Annuaire Service-public.fr</t>
        </is>
      </c>
      <c r="R113" t="inlineStr"/>
      <c r="S113" t="inlineStr"/>
      <c r="T113" t="inlineStr"/>
    </row>
    <row r="114">
      <c r="A114" t="inlineStr">
        <is>
          <t>CA Pornic Agglo Pays de Retz</t>
        </is>
      </c>
      <c r="B114" t="inlineStr">
        <is>
          <t>Communauté d’agglomération</t>
        </is>
      </c>
      <c r="C114" t="inlineStr">
        <is>
          <t>200067346</t>
        </is>
      </c>
      <c r="D114" t="inlineStr">
        <is>
          <t>44</t>
        </is>
      </c>
      <c r="E114" t="inlineStr">
        <is>
          <t>Loire-Atlantique</t>
        </is>
      </c>
      <c r="F114" t="inlineStr">
        <is>
          <t>Pays de la Loire</t>
        </is>
      </c>
      <c r="G114" s="3" t="n">
        <v>69252</v>
      </c>
      <c r="H114" t="n">
        <v>15</v>
      </c>
      <c r="I114" t="inlineStr">
        <is>
          <t>2 rue du Docteur-Ange-Guépin, ZAC de la Chaussée</t>
        </is>
      </c>
      <c r="J114" t="inlineStr">
        <is>
          <t>44210</t>
        </is>
      </c>
      <c r="K114" t="inlineStr">
        <is>
          <t>Pornic</t>
        </is>
      </c>
      <c r="L114" t="inlineStr">
        <is>
          <t>02 51 74 07 16</t>
        </is>
      </c>
      <c r="M114" s="4" t="inlineStr">
        <is>
          <t>contact@pornicagglo.fr</t>
        </is>
      </c>
      <c r="N114" s="4" t="inlineStr">
        <is>
          <t>https://www.pornicagglo.fr/</t>
        </is>
      </c>
      <c r="O114" s="4" t="inlineStr">
        <is>
          <t>https://www.pornicagglo.fr/contact/</t>
        </is>
      </c>
      <c r="P114" s="4" t="inlineStr">
        <is>
          <t>https://lannuaire.service-public.gouv.fr/pays-de-la-loire/loire-atlantique/631ce663-3dbf-4eda-84d4-2621a81348e9</t>
        </is>
      </c>
      <c r="Q114" t="inlineStr">
        <is>
          <t>Annuaire Service-public.fr</t>
        </is>
      </c>
      <c r="R114" t="inlineStr"/>
      <c r="S114" t="inlineStr"/>
      <c r="T114" t="inlineStr"/>
    </row>
    <row r="115">
      <c r="A115" t="inlineStr">
        <is>
          <t>CA de la Presqu'île de Guérande Atlantique (Cap Atlantique)</t>
        </is>
      </c>
      <c r="B115" t="inlineStr">
        <is>
          <t>Communauté d’agglomération</t>
        </is>
      </c>
      <c r="C115" t="inlineStr">
        <is>
          <t>244400610</t>
        </is>
      </c>
      <c r="D115" t="inlineStr">
        <is>
          <t>44, 56</t>
        </is>
      </c>
      <c r="E115" t="inlineStr">
        <is>
          <t>Loire-Atlantique, Morbihan</t>
        </is>
      </c>
      <c r="F115" t="inlineStr">
        <is>
          <t>Pays de la Loire, Bretagne</t>
        </is>
      </c>
      <c r="G115" s="3" t="n">
        <v>77687</v>
      </c>
      <c r="H115" t="n">
        <v>15</v>
      </c>
      <c r="I115" t="inlineStr">
        <is>
          <t>3 avenue des Noëlles</t>
        </is>
      </c>
      <c r="J115" t="inlineStr">
        <is>
          <t>44500</t>
        </is>
      </c>
      <c r="K115" t="inlineStr">
        <is>
          <t>La Baule-Escoublac</t>
        </is>
      </c>
      <c r="L115" t="inlineStr">
        <is>
          <t>02 51 75 06 80</t>
        </is>
      </c>
      <c r="M115" s="4" t="inlineStr">
        <is>
          <t>accueil@cap-atlantique.fr</t>
        </is>
      </c>
      <c r="N115" s="4" t="inlineStr">
        <is>
          <t>https://www.cap-atlantique.fr/</t>
        </is>
      </c>
      <c r="O115" s="4" t="inlineStr">
        <is>
          <t>https://formulaires.mesdemarches.cap-atlantique.fr/une-infos-une-remarque-une-idee/contact/</t>
        </is>
      </c>
      <c r="P115" s="4" t="inlineStr">
        <is>
          <t>https://lannuaire.service-public.gouv.fr/pays-de-la-loire/loire-atlantique/5aa1713e-38e7-489d-bcd3-7e8c9e547225</t>
        </is>
      </c>
      <c r="Q115" t="inlineStr">
        <is>
          <t>Annuaire Service-public.fr</t>
        </is>
      </c>
      <c r="R115" t="inlineStr"/>
      <c r="S115" t="inlineStr"/>
      <c r="T115" t="inlineStr"/>
    </row>
    <row r="116">
      <c r="A116" t="inlineStr">
        <is>
          <t>CA de la Région Nazairienne et de l'Estuaire (CARENE)</t>
        </is>
      </c>
      <c r="B116" t="inlineStr">
        <is>
          <t>Communauté d’agglomération</t>
        </is>
      </c>
      <c r="C116" t="inlineStr">
        <is>
          <t>244400644</t>
        </is>
      </c>
      <c r="D116" t="inlineStr">
        <is>
          <t>44</t>
        </is>
      </c>
      <c r="E116" t="inlineStr">
        <is>
          <t>Loire-Atlantique</t>
        </is>
      </c>
      <c r="F116" t="inlineStr">
        <is>
          <t>Pays de la Loire</t>
        </is>
      </c>
      <c r="G116" s="3" t="n">
        <v>131317</v>
      </c>
      <c r="H116" t="n">
        <v>10</v>
      </c>
      <c r="I116" t="inlineStr">
        <is>
          <t>4 avenue du Commandant-l'Herminier</t>
        </is>
      </c>
      <c r="J116" t="inlineStr">
        <is>
          <t>44600</t>
        </is>
      </c>
      <c r="K116" t="inlineStr">
        <is>
          <t>Saint-Nazaire</t>
        </is>
      </c>
      <c r="L116" t="inlineStr">
        <is>
          <t>02 51 16 48 48</t>
        </is>
      </c>
      <c r="M116" s="4" t="inlineStr">
        <is>
          <t>carene@saintnazaireagglo.fr</t>
        </is>
      </c>
      <c r="N116" s="4" t="inlineStr">
        <is>
          <t>https://www.saintnazaireagglo.fr/</t>
        </is>
      </c>
      <c r="O116" s="4" t="inlineStr">
        <is>
          <t>https://www.saintnazaireagglo.fr/liens-utiles/contact</t>
        </is>
      </c>
      <c r="P116" s="4" t="inlineStr">
        <is>
          <t>https://lannuaire.service-public.gouv.fr/pays-de-la-loire/loire-atlantique/e8062953-63b3-4e4d-af59-c72c0fee0c7b</t>
        </is>
      </c>
      <c r="Q116" t="inlineStr">
        <is>
          <t>Annuaire Service-public.fr</t>
        </is>
      </c>
      <c r="R116" t="inlineStr"/>
      <c r="S116" t="inlineStr"/>
      <c r="T116" t="inlineStr"/>
    </row>
    <row r="117">
      <c r="A117" t="inlineStr">
        <is>
          <t>Nantes Métropole</t>
        </is>
      </c>
      <c r="B117" t="inlineStr">
        <is>
          <t>Métropole</t>
        </is>
      </c>
      <c r="C117" t="inlineStr">
        <is>
          <t>244400404</t>
        </is>
      </c>
      <c r="D117" t="inlineStr">
        <is>
          <t>44</t>
        </is>
      </c>
      <c r="E117" t="inlineStr">
        <is>
          <t>Loire-Atlantique</t>
        </is>
      </c>
      <c r="F117" t="inlineStr">
        <is>
          <t>Pays de la Loire</t>
        </is>
      </c>
      <c r="G117" s="3" t="n">
        <v>683981</v>
      </c>
      <c r="H117" t="n">
        <v>24</v>
      </c>
      <c r="I117" t="inlineStr">
        <is>
          <t>2 cours du Champ-de-Mars</t>
        </is>
      </c>
      <c r="J117" t="inlineStr">
        <is>
          <t>44923</t>
        </is>
      </c>
      <c r="K117" t="inlineStr">
        <is>
          <t>Nantes</t>
        </is>
      </c>
      <c r="L117" t="inlineStr">
        <is>
          <t>02 40 99 48 48</t>
        </is>
      </c>
      <c r="M117" s="4" t="inlineStr">
        <is>
          <t>contact@nantesmetropole.fr</t>
        </is>
      </c>
      <c r="N117" s="4" t="inlineStr">
        <is>
          <t>https://metropole.nantes.fr/</t>
        </is>
      </c>
      <c r="O117" t="inlineStr"/>
      <c r="P117" s="4" t="inlineStr">
        <is>
          <t>https://lannuaire.service-public.gouv.fr/pays-de-la-loire/loire-atlantique/56df4149-fe3e-4d1a-aaca-1598242d175c</t>
        </is>
      </c>
      <c r="Q117" t="inlineStr">
        <is>
          <t>Annuaire Service-public.fr</t>
        </is>
      </c>
      <c r="R117" t="inlineStr"/>
      <c r="S117" t="inlineStr"/>
      <c r="T117" t="inlineStr"/>
    </row>
    <row r="118">
      <c r="A118" t="inlineStr">
        <is>
          <t>CA Montargoise et Rives du Loing (AME)</t>
        </is>
      </c>
      <c r="B118" t="inlineStr">
        <is>
          <t>Communauté d’agglomération</t>
        </is>
      </c>
      <c r="C118" t="inlineStr">
        <is>
          <t>244500203</t>
        </is>
      </c>
      <c r="D118" t="inlineStr">
        <is>
          <t>45</t>
        </is>
      </c>
      <c r="E118" t="inlineStr">
        <is>
          <t>Loiret</t>
        </is>
      </c>
      <c r="F118" t="inlineStr">
        <is>
          <t>Centre-Val de Loire</t>
        </is>
      </c>
      <c r="G118" s="3" t="n">
        <v>62989</v>
      </c>
      <c r="H118" t="n">
        <v>15</v>
      </c>
      <c r="I118" t="inlineStr">
        <is>
          <t>1 rue du Faubourg-de-la-Chaussée</t>
        </is>
      </c>
      <c r="J118" t="inlineStr">
        <is>
          <t>45125</t>
        </is>
      </c>
      <c r="K118" t="inlineStr">
        <is>
          <t>Montargis</t>
        </is>
      </c>
      <c r="L118" t="inlineStr">
        <is>
          <t>02 38 95 02 02</t>
        </is>
      </c>
      <c r="M118" s="4" t="inlineStr">
        <is>
          <t>contact@agglo-montargoise.fr</t>
        </is>
      </c>
      <c r="N118" s="4" t="inlineStr">
        <is>
          <t>https://www.agglo-montargoise.fr</t>
        </is>
      </c>
      <c r="O118" t="inlineStr"/>
      <c r="P118" s="4" t="inlineStr">
        <is>
          <t>https://lannuaire.service-public.gouv.fr/centre-val-de-loire/loiret/37f4e54c-54a9-4b47-a056-5f7edb3712b4</t>
        </is>
      </c>
      <c r="Q118" t="inlineStr">
        <is>
          <t>Annuaire Service-public.fr</t>
        </is>
      </c>
      <c r="R118" t="inlineStr"/>
      <c r="S118" t="inlineStr"/>
      <c r="T118" t="inlineStr"/>
    </row>
    <row r="119">
      <c r="A119" t="inlineStr">
        <is>
          <t>Orléans Métropole</t>
        </is>
      </c>
      <c r="B119" t="inlineStr">
        <is>
          <t>Métropole</t>
        </is>
      </c>
      <c r="C119" t="inlineStr">
        <is>
          <t>244500468</t>
        </is>
      </c>
      <c r="D119" t="inlineStr">
        <is>
          <t>45</t>
        </is>
      </c>
      <c r="E119" t="inlineStr">
        <is>
          <t>Loiret</t>
        </is>
      </c>
      <c r="F119" t="inlineStr">
        <is>
          <t>Centre-Val de Loire</t>
        </is>
      </c>
      <c r="G119" s="3" t="n">
        <v>293673</v>
      </c>
      <c r="H119" t="n">
        <v>22</v>
      </c>
      <c r="I119" t="inlineStr">
        <is>
          <t>5 place du 6-Juin-1944</t>
        </is>
      </c>
      <c r="J119" t="inlineStr">
        <is>
          <t>45000</t>
        </is>
      </c>
      <c r="K119" t="inlineStr">
        <is>
          <t>Orléans</t>
        </is>
      </c>
      <c r="L119" t="inlineStr">
        <is>
          <t>02 38 78 75 75</t>
        </is>
      </c>
      <c r="M119" s="4" t="inlineStr">
        <is>
          <t>info@orleans-metropole.fr</t>
        </is>
      </c>
      <c r="N119" s="4" t="inlineStr">
        <is>
          <t>https://www.orleans-metropole.fr/</t>
        </is>
      </c>
      <c r="O119" s="4" t="inlineStr">
        <is>
          <t>https://www.orleans-metropole.fr/contact</t>
        </is>
      </c>
      <c r="P119" s="4" t="inlineStr">
        <is>
          <t>https://lannuaire.service-public.gouv.fr/centre-val-de-loire/loiret/f3ad88f1-9969-49dd-993b-1881d0defb50</t>
        </is>
      </c>
      <c r="Q119" t="inlineStr">
        <is>
          <t>Annuaire Service-public.fr</t>
        </is>
      </c>
      <c r="R119" t="inlineStr"/>
      <c r="S119" t="inlineStr"/>
      <c r="T119" t="inlineStr"/>
    </row>
    <row r="120">
      <c r="A120" t="inlineStr">
        <is>
          <t>CA du Grand Cahors</t>
        </is>
      </c>
      <c r="B120" t="inlineStr">
        <is>
          <t>Communauté d’agglomération</t>
        </is>
      </c>
      <c r="C120" t="inlineStr">
        <is>
          <t>200023737</t>
        </is>
      </c>
      <c r="D120" t="inlineStr">
        <is>
          <t>46</t>
        </is>
      </c>
      <c r="E120" t="inlineStr">
        <is>
          <t>Lot</t>
        </is>
      </c>
      <c r="F120" t="inlineStr">
        <is>
          <t>Occitanie</t>
        </is>
      </c>
      <c r="G120" s="3" t="n">
        <v>42094</v>
      </c>
      <c r="H120" t="n">
        <v>36</v>
      </c>
      <c r="I120" t="inlineStr">
        <is>
          <t>72 rue Wilson</t>
        </is>
      </c>
      <c r="J120" t="inlineStr">
        <is>
          <t>46000</t>
        </is>
      </c>
      <c r="K120" t="inlineStr">
        <is>
          <t>Cahors</t>
        </is>
      </c>
      <c r="L120" t="inlineStr">
        <is>
          <t>05 65 20 88 99</t>
        </is>
      </c>
      <c r="M120" s="4" t="inlineStr">
        <is>
          <t>communication@mairie-cahors.fr</t>
        </is>
      </c>
      <c r="N120" s="4" t="inlineStr">
        <is>
          <t>https://cahorsagglo.fr/</t>
        </is>
      </c>
      <c r="O120" s="4" t="inlineStr">
        <is>
          <t>https://cahorsagglo.fr/contact-0</t>
        </is>
      </c>
      <c r="P120" s="4" t="inlineStr">
        <is>
          <t>https://lannuaire.service-public.gouv.fr/occitanie/lot/d9599850-0b16-4ff2-a765-5676cbecdc9d</t>
        </is>
      </c>
      <c r="Q120" t="inlineStr">
        <is>
          <t>Annuaire Service-public.fr</t>
        </is>
      </c>
      <c r="R120" t="inlineStr"/>
      <c r="S120" t="inlineStr"/>
      <c r="T120" t="inlineStr"/>
    </row>
    <row r="121">
      <c r="A121" t="inlineStr">
        <is>
          <t>CA Agglomération d'Agen</t>
        </is>
      </c>
      <c r="B121" t="inlineStr">
        <is>
          <t>Communauté d’agglomération</t>
        </is>
      </c>
      <c r="C121" t="inlineStr">
        <is>
          <t>200096956</t>
        </is>
      </c>
      <c r="D121" t="inlineStr">
        <is>
          <t>47</t>
        </is>
      </c>
      <c r="E121" t="inlineStr">
        <is>
          <t>Lot-et-Garonne</t>
        </is>
      </c>
      <c r="F121" t="inlineStr">
        <is>
          <t>Nouvelle-Aquitaine</t>
        </is>
      </c>
      <c r="G121" s="3" t="n">
        <v>101727</v>
      </c>
      <c r="H121" t="n">
        <v>44</v>
      </c>
      <c r="I121" t="inlineStr">
        <is>
          <t>8 rue André-Chénier, BP 90045</t>
        </is>
      </c>
      <c r="J121" t="inlineStr">
        <is>
          <t>47916</t>
        </is>
      </c>
      <c r="K121" t="inlineStr">
        <is>
          <t>Agen Cedex 9</t>
        </is>
      </c>
      <c r="L121" t="inlineStr">
        <is>
          <t>05 53 69 68 67</t>
        </is>
      </c>
      <c r="M121" s="4" t="inlineStr">
        <is>
          <t>espace.accueil@agglo-agen.fr</t>
        </is>
      </c>
      <c r="N121" s="4" t="inlineStr">
        <is>
          <t>https://www.agglo-agen.net/</t>
        </is>
      </c>
      <c r="O121" s="4" t="inlineStr">
        <is>
          <t>https://www.agglo-agen.net/contact</t>
        </is>
      </c>
      <c r="P121" s="4" t="inlineStr">
        <is>
          <t>https://lannuaire.service-public.gouv.fr/nouvelle-aquitaine/lot-et-garonne/1e00284d-7248-4124-8108-6aa98c02d8bf</t>
        </is>
      </c>
      <c r="Q121" t="inlineStr">
        <is>
          <t>Annuaire Service-public.fr</t>
        </is>
      </c>
      <c r="R121" t="inlineStr"/>
      <c r="S121" t="inlineStr"/>
      <c r="T121" t="inlineStr"/>
    </row>
    <row r="122">
      <c r="A122" t="inlineStr">
        <is>
          <t>CA Val de Garonne Agglomération</t>
        </is>
      </c>
      <c r="B122" t="inlineStr">
        <is>
          <t>Communauté d’agglomération</t>
        </is>
      </c>
      <c r="C122" t="inlineStr">
        <is>
          <t>200030674</t>
        </is>
      </c>
      <c r="D122" t="inlineStr">
        <is>
          <t>47</t>
        </is>
      </c>
      <c r="E122" t="inlineStr">
        <is>
          <t>Lot-et-Garonne</t>
        </is>
      </c>
      <c r="F122" t="inlineStr">
        <is>
          <t>Nouvelle-Aquitaine</t>
        </is>
      </c>
      <c r="G122" s="3" t="n">
        <v>60690</v>
      </c>
      <c r="H122" t="n">
        <v>43</v>
      </c>
      <c r="I122" t="inlineStr">
        <is>
          <t>Place du Marché</t>
        </is>
      </c>
      <c r="J122" t="inlineStr">
        <is>
          <t>47210</t>
        </is>
      </c>
      <c r="K122" t="inlineStr">
        <is>
          <t>Marmande</t>
        </is>
      </c>
      <c r="L122" t="inlineStr">
        <is>
          <t>05 53 64 40 46</t>
        </is>
      </c>
      <c r="M122" s="4" t="inlineStr">
        <is>
          <t>vga@valdegaronne.fr</t>
        </is>
      </c>
      <c r="N122" s="4" t="inlineStr">
        <is>
          <t>https://www.vg-agglo.com/</t>
        </is>
      </c>
      <c r="O122" s="4" t="inlineStr">
        <is>
          <t>https://www.facebook.com/valdegaronneagglo/</t>
        </is>
      </c>
      <c r="P122" s="4" t="inlineStr">
        <is>
          <t>https://lannuaire.service-public.gouv.fr/nouvelle-aquitaine/lot-et-garonne/a4a02e33-9f63-4f35-9b7b-6ef885bfcf2a</t>
        </is>
      </c>
      <c r="Q122" t="inlineStr">
        <is>
          <t>Annuaire Service-public.fr</t>
        </is>
      </c>
      <c r="R122" t="inlineStr"/>
      <c r="S122" t="inlineStr"/>
      <c r="T122" t="inlineStr"/>
    </row>
    <row r="123">
      <c r="A123" t="inlineStr">
        <is>
          <t>CA du Grand Villeneuvois</t>
        </is>
      </c>
      <c r="B123" t="inlineStr">
        <is>
          <t>Communauté d’agglomération</t>
        </is>
      </c>
      <c r="C123" t="inlineStr">
        <is>
          <t>200023307</t>
        </is>
      </c>
      <c r="D123" t="inlineStr">
        <is>
          <t>47</t>
        </is>
      </c>
      <c r="E123" t="inlineStr">
        <is>
          <t>Lot-et-Garonne</t>
        </is>
      </c>
      <c r="F123" t="inlineStr">
        <is>
          <t>Nouvelle-Aquitaine</t>
        </is>
      </c>
      <c r="G123" s="3" t="n">
        <v>47899</v>
      </c>
      <c r="H123" t="n">
        <v>19</v>
      </c>
      <c r="I123" t="inlineStr">
        <is>
          <t>24 rue du Vieux-Pont</t>
        </is>
      </c>
      <c r="J123" t="inlineStr">
        <is>
          <t>47440</t>
        </is>
      </c>
      <c r="K123" t="inlineStr">
        <is>
          <t>Casseneuil</t>
        </is>
      </c>
      <c r="L123" t="inlineStr">
        <is>
          <t>05 53 71 54 81</t>
        </is>
      </c>
      <c r="M123" s="4" t="inlineStr">
        <is>
          <t>contact@grand-villeneuvois.fr</t>
        </is>
      </c>
      <c r="N123" s="4" t="inlineStr">
        <is>
          <t>https://www.grand-villeneuvois.fr</t>
        </is>
      </c>
      <c r="O123" s="4" t="inlineStr">
        <is>
          <t>http://www.grand-villeneuvois.fr/contact.html</t>
        </is>
      </c>
      <c r="P123" s="4" t="inlineStr">
        <is>
          <t>https://lannuaire.service-public.gouv.fr/nouvelle-aquitaine/lot-et-garonne/1f0cae85-8db2-4151-bde7-966ae220615c</t>
        </is>
      </c>
      <c r="Q123" t="inlineStr">
        <is>
          <t>Annuaire Service-public.fr</t>
        </is>
      </c>
      <c r="R123" t="inlineStr"/>
      <c r="S123" t="inlineStr"/>
      <c r="T123" t="inlineStr"/>
    </row>
    <row r="124">
      <c r="A124" t="inlineStr">
        <is>
          <t>CA Cholet Agglomération</t>
        </is>
      </c>
      <c r="B124" t="inlineStr">
        <is>
          <t>Communauté d’agglomération</t>
        </is>
      </c>
      <c r="C124" t="inlineStr">
        <is>
          <t>200071678</t>
        </is>
      </c>
      <c r="D124" t="inlineStr">
        <is>
          <t>49</t>
        </is>
      </c>
      <c r="E124" t="inlineStr">
        <is>
          <t>Maine-et-Loire</t>
        </is>
      </c>
      <c r="F124" t="inlineStr">
        <is>
          <t>Pays de la Loire</t>
        </is>
      </c>
      <c r="G124" s="3" t="n">
        <v>104711</v>
      </c>
      <c r="H124" t="n">
        <v>26</v>
      </c>
      <c r="I124" t="inlineStr">
        <is>
          <t>Rue Saint-Bonaventure</t>
        </is>
      </c>
      <c r="J124" t="inlineStr">
        <is>
          <t>49309</t>
        </is>
      </c>
      <c r="K124" t="inlineStr">
        <is>
          <t>Cholet</t>
        </is>
      </c>
      <c r="L124" t="inlineStr">
        <is>
          <t>02 72 77 20 00</t>
        </is>
      </c>
      <c r="M124" s="4" t="inlineStr">
        <is>
          <t>contact@choletagglomeration.fr</t>
        </is>
      </c>
      <c r="N124" s="4" t="inlineStr">
        <is>
          <t>https://www.cholet.fr/welcome/</t>
        </is>
      </c>
      <c r="O124" t="inlineStr"/>
      <c r="P124" s="4" t="inlineStr">
        <is>
          <t>https://lannuaire.service-public.gouv.fr/pays-de-la-loire/maine-et-loire/78ddc726-c889-4b84-aa7f-64a7c83b9379</t>
        </is>
      </c>
      <c r="Q124" t="inlineStr">
        <is>
          <t>Annuaire Service-public.fr</t>
        </is>
      </c>
      <c r="R124" t="inlineStr"/>
      <c r="S124" t="inlineStr"/>
      <c r="T124" t="inlineStr"/>
    </row>
    <row r="125">
      <c r="A125" t="inlineStr">
        <is>
          <t>CA Mauges Communauté</t>
        </is>
      </c>
      <c r="B125" t="inlineStr">
        <is>
          <t>Communauté d’agglomération</t>
        </is>
      </c>
      <c r="C125" t="inlineStr">
        <is>
          <t>200060010</t>
        </is>
      </c>
      <c r="D125" t="inlineStr">
        <is>
          <t>49</t>
        </is>
      </c>
      <c r="E125" t="inlineStr">
        <is>
          <t>Maine-et-Loire</t>
        </is>
      </c>
      <c r="F125" t="inlineStr">
        <is>
          <t>Pays de la Loire</t>
        </is>
      </c>
      <c r="G125" s="3" t="n">
        <v>122374</v>
      </c>
      <c r="H125" t="n">
        <v>6</v>
      </c>
      <c r="I125" t="inlineStr">
        <is>
          <t>1 rue Robert-Schuman, La Loge</t>
        </is>
      </c>
      <c r="J125" t="inlineStr">
        <is>
          <t>49600</t>
        </is>
      </c>
      <c r="K125" t="inlineStr">
        <is>
          <t>Beaupréau-en-Mauges</t>
        </is>
      </c>
      <c r="L125" t="inlineStr">
        <is>
          <t>02 41 71 77 10</t>
        </is>
      </c>
      <c r="M125" s="4" t="inlineStr">
        <is>
          <t>contact@maugescommunaute.fr</t>
        </is>
      </c>
      <c r="N125" s="4" t="inlineStr">
        <is>
          <t>https://www.maugescommunaute.fr/</t>
        </is>
      </c>
      <c r="O125" t="inlineStr"/>
      <c r="P125" s="4" t="inlineStr">
        <is>
          <t>https://lannuaire.service-public.gouv.fr/pays-de-la-loire/maine-et-loire/a5bf9f84-010d-43aa-a141-77c52f290a0d</t>
        </is>
      </c>
      <c r="Q125" t="inlineStr">
        <is>
          <t>Annuaire Service-public.fr</t>
        </is>
      </c>
      <c r="R125" t="inlineStr"/>
      <c r="S125" t="inlineStr"/>
      <c r="T125" t="inlineStr"/>
    </row>
    <row r="126">
      <c r="A126" t="inlineStr">
        <is>
          <t>CA Saumur Val de Loire</t>
        </is>
      </c>
      <c r="B126" t="inlineStr">
        <is>
          <t>Communauté d’agglomération</t>
        </is>
      </c>
      <c r="C126" t="inlineStr">
        <is>
          <t>200071876</t>
        </is>
      </c>
      <c r="D126" t="inlineStr">
        <is>
          <t>49</t>
        </is>
      </c>
      <c r="E126" t="inlineStr">
        <is>
          <t>Maine-et-Loire</t>
        </is>
      </c>
      <c r="F126" t="inlineStr">
        <is>
          <t>Pays de la Loire</t>
        </is>
      </c>
      <c r="G126" s="3" t="n">
        <v>98152</v>
      </c>
      <c r="H126" t="n">
        <v>45</v>
      </c>
      <c r="I126" t="inlineStr">
        <is>
          <t>11 rue du Maréchal-Leclerc</t>
        </is>
      </c>
      <c r="J126" t="inlineStr">
        <is>
          <t>49400</t>
        </is>
      </c>
      <c r="K126" t="inlineStr">
        <is>
          <t>Saumur</t>
        </is>
      </c>
      <c r="L126" t="inlineStr">
        <is>
          <t>02 41 40 45 50</t>
        </is>
      </c>
      <c r="M126" s="4" t="inlineStr">
        <is>
          <t>contact@saumurvaldeloire.fr</t>
        </is>
      </c>
      <c r="N126" s="4" t="inlineStr">
        <is>
          <t>https://www.saumurvaldeloire.fr/</t>
        </is>
      </c>
      <c r="O126" s="4" t="inlineStr">
        <is>
          <t>https://www.saumurvaldeloire.fr/contactez-nous</t>
        </is>
      </c>
      <c r="P126" s="4" t="inlineStr">
        <is>
          <t>https://lannuaire.service-public.gouv.fr/pays-de-la-loire/maine-et-loire/83f2b710-fc54-4325-be9d-5cde5d0998aa</t>
        </is>
      </c>
      <c r="Q126" t="inlineStr">
        <is>
          <t>Annuaire Service-public.fr</t>
        </is>
      </c>
      <c r="R126" t="inlineStr"/>
      <c r="S126" t="inlineStr"/>
      <c r="T126" t="inlineStr"/>
    </row>
    <row r="127">
      <c r="A127" t="inlineStr">
        <is>
          <t>CU Angers Loire Métropole</t>
        </is>
      </c>
      <c r="B127" t="inlineStr">
        <is>
          <t>Communauté urbaine</t>
        </is>
      </c>
      <c r="C127" t="inlineStr">
        <is>
          <t>244900015</t>
        </is>
      </c>
      <c r="D127" t="inlineStr">
        <is>
          <t>49</t>
        </is>
      </c>
      <c r="E127" t="inlineStr">
        <is>
          <t>Maine-et-Loire</t>
        </is>
      </c>
      <c r="F127" t="inlineStr">
        <is>
          <t>Pays de la Loire</t>
        </is>
      </c>
      <c r="G127" s="3" t="n">
        <v>308806</v>
      </c>
      <c r="H127" t="n">
        <v>29</v>
      </c>
      <c r="I127" t="inlineStr">
        <is>
          <t>83 rue du Mail, BP 80011</t>
        </is>
      </c>
      <c r="J127" t="inlineStr">
        <is>
          <t>49020</t>
        </is>
      </c>
      <c r="K127" t="inlineStr">
        <is>
          <t>Angers Cedex 2</t>
        </is>
      </c>
      <c r="L127" t="inlineStr">
        <is>
          <t>02 41 05 50 00</t>
        </is>
      </c>
      <c r="M127" t="inlineStr"/>
      <c r="N127" s="4" t="inlineStr">
        <is>
          <t>https://www.angersloiremetropole.fr/</t>
        </is>
      </c>
      <c r="O127" s="4" t="inlineStr">
        <is>
          <t>https://www.angersloiremetropole.fr/contact/formulaire-de-contact/index.html</t>
        </is>
      </c>
      <c r="P127" s="4" t="inlineStr">
        <is>
          <t>https://lannuaire.service-public.gouv.fr/pays-de-la-loire/maine-et-loire/d4ac6f56-0ec4-4c92-b5cf-2a8638b11ecc</t>
        </is>
      </c>
      <c r="Q127" t="inlineStr">
        <is>
          <t>Annuaire Service-public.fr</t>
        </is>
      </c>
      <c r="R127" t="inlineStr"/>
      <c r="S127" t="inlineStr"/>
      <c r="T127" t="inlineStr"/>
    </row>
    <row r="128">
      <c r="A128" t="inlineStr">
        <is>
          <t>CA Mont-Saint-Michel-Normandie</t>
        </is>
      </c>
      <c r="B128" t="inlineStr">
        <is>
          <t>Communauté d’agglomération</t>
        </is>
      </c>
      <c r="C128" t="inlineStr">
        <is>
          <t>200069425</t>
        </is>
      </c>
      <c r="D128" t="inlineStr">
        <is>
          <t>50</t>
        </is>
      </c>
      <c r="E128" t="inlineStr">
        <is>
          <t>Manche</t>
        </is>
      </c>
      <c r="F128" t="inlineStr">
        <is>
          <t>Normandie</t>
        </is>
      </c>
      <c r="G128" s="3" t="n">
        <v>87390</v>
      </c>
      <c r="H128" t="n">
        <v>95</v>
      </c>
      <c r="I128" t="inlineStr">
        <is>
          <t>1 rue Général-Ruel, BP 540</t>
        </is>
      </c>
      <c r="J128" t="inlineStr">
        <is>
          <t>50305</t>
        </is>
      </c>
      <c r="K128" t="inlineStr">
        <is>
          <t>Avranches Cedex</t>
        </is>
      </c>
      <c r="L128" t="inlineStr">
        <is>
          <t>02 33 89 67 00</t>
        </is>
      </c>
      <c r="M128" s="4" t="inlineStr">
        <is>
          <t>accueil@msm-normandie.fr</t>
        </is>
      </c>
      <c r="N128" s="4" t="inlineStr">
        <is>
          <t>https://www.msm-normandie.fr/fr/</t>
        </is>
      </c>
      <c r="O128" s="4" t="inlineStr">
        <is>
          <t>https://www.msm-normandie.fr/fr/formulaire-de-contact</t>
        </is>
      </c>
      <c r="P128" s="4" t="inlineStr">
        <is>
          <t>https://lannuaire.service-public.gouv.fr/normandie/manche/97fbe4c4-351b-4f0e-a41d-a6f9dfb558b7</t>
        </is>
      </c>
      <c r="Q128" t="inlineStr">
        <is>
          <t>Annuaire Service-public.fr</t>
        </is>
      </c>
      <c r="R128" t="inlineStr"/>
      <c r="S128" t="inlineStr"/>
      <c r="T128" t="inlineStr"/>
    </row>
    <row r="129">
      <c r="A129" t="inlineStr">
        <is>
          <t>CA Saint-Lô Agglo</t>
        </is>
      </c>
      <c r="B129" t="inlineStr">
        <is>
          <t>Communauté d’agglomération</t>
        </is>
      </c>
      <c r="C129" t="inlineStr">
        <is>
          <t>200066389</t>
        </is>
      </c>
      <c r="D129" t="inlineStr">
        <is>
          <t>50</t>
        </is>
      </c>
      <c r="E129" t="inlineStr">
        <is>
          <t>Manche</t>
        </is>
      </c>
      <c r="F129" t="inlineStr">
        <is>
          <t>Normandie</t>
        </is>
      </c>
      <c r="G129" s="3" t="n">
        <v>76674</v>
      </c>
      <c r="H129" t="n">
        <v>61</v>
      </c>
      <c r="I129" t="inlineStr">
        <is>
          <t>70 rue du Neufbourg</t>
        </is>
      </c>
      <c r="J129" t="inlineStr">
        <is>
          <t>50000</t>
        </is>
      </c>
      <c r="K129" t="inlineStr">
        <is>
          <t>Saint-Lô</t>
        </is>
      </c>
      <c r="L129" t="inlineStr">
        <is>
          <t>02 14 29 00 00</t>
        </is>
      </c>
      <c r="M129" s="4" t="inlineStr">
        <is>
          <t>contact@saint-lo-agglo.fr</t>
        </is>
      </c>
      <c r="N129" s="4" t="inlineStr">
        <is>
          <t>https://www.saint-lo-agglo.fr/fr</t>
        </is>
      </c>
      <c r="O129" s="4" t="inlineStr">
        <is>
          <t>https://www.saint-lo-agglo.fr/fr/contacter</t>
        </is>
      </c>
      <c r="P129" s="4" t="inlineStr">
        <is>
          <t>https://lannuaire.service-public.gouv.fr/normandie/manche/4c5d2a3c-a8df-4d05-b44d-34133b59a05b</t>
        </is>
      </c>
      <c r="Q129" t="inlineStr">
        <is>
          <t>Annuaire Service-public.fr</t>
        </is>
      </c>
      <c r="R129" t="inlineStr"/>
      <c r="S129" t="inlineStr"/>
      <c r="T129" t="inlineStr"/>
    </row>
    <row r="130">
      <c r="A130" t="inlineStr">
        <is>
          <t>CA du Cotentin</t>
        </is>
      </c>
      <c r="B130" t="inlineStr">
        <is>
          <t>Communauté d’agglomération</t>
        </is>
      </c>
      <c r="C130" t="inlineStr">
        <is>
          <t>200067205</t>
        </is>
      </c>
      <c r="D130" t="inlineStr">
        <is>
          <t>50</t>
        </is>
      </c>
      <c r="E130" t="inlineStr">
        <is>
          <t>Manche</t>
        </is>
      </c>
      <c r="F130" t="inlineStr">
        <is>
          <t>Normandie</t>
        </is>
      </c>
      <c r="G130" s="3" t="n">
        <v>178684</v>
      </c>
      <c r="H130" t="n">
        <v>129</v>
      </c>
      <c r="I130" t="inlineStr">
        <is>
          <t>Boulevard Félix-Amiot, Hôtel Atlantique</t>
        </is>
      </c>
      <c r="J130" t="inlineStr">
        <is>
          <t>50100</t>
        </is>
      </c>
      <c r="K130" t="inlineStr">
        <is>
          <t>Cherbourg-en-Cotentin</t>
        </is>
      </c>
      <c r="L130" t="inlineStr">
        <is>
          <t>02 50 79 16 10</t>
        </is>
      </c>
      <c r="M130" s="4" t="inlineStr">
        <is>
          <t>contact@lecotentin.fr</t>
        </is>
      </c>
      <c r="N130" s="4" t="inlineStr">
        <is>
          <t>https://www.lecotentin.fr/</t>
        </is>
      </c>
      <c r="O130" s="4" t="inlineStr">
        <is>
          <t>https://www.lecotentin.fr/les-points-daccueil</t>
        </is>
      </c>
      <c r="P130" s="4" t="inlineStr">
        <is>
          <t>https://lannuaire.service-public.gouv.fr/normandie/manche/5114b30a-d0f4-4ee7-b622-595d90a8268d</t>
        </is>
      </c>
      <c r="Q130" t="inlineStr">
        <is>
          <t>Annuaire Service-public.fr</t>
        </is>
      </c>
      <c r="R130" t="inlineStr"/>
      <c r="S130" t="inlineStr"/>
      <c r="T130" t="inlineStr"/>
    </row>
    <row r="131">
      <c r="A131" t="inlineStr">
        <is>
          <t>CA Epernay, Coteaux et Plaine de Champagne</t>
        </is>
      </c>
      <c r="B131" t="inlineStr">
        <is>
          <t>Communauté d’agglomération</t>
        </is>
      </c>
      <c r="C131" t="inlineStr">
        <is>
          <t>200067684</t>
        </is>
      </c>
      <c r="D131" t="inlineStr">
        <is>
          <t>51</t>
        </is>
      </c>
      <c r="E131" t="inlineStr">
        <is>
          <t>Marne</t>
        </is>
      </c>
      <c r="F131" t="inlineStr">
        <is>
          <t>Grand Est</t>
        </is>
      </c>
      <c r="G131" s="3" t="n">
        <v>46800</v>
      </c>
      <c r="H131" t="n">
        <v>47</v>
      </c>
      <c r="I131" t="inlineStr">
        <is>
          <t>Place du 13e-Régiment-de-Génie</t>
        </is>
      </c>
      <c r="J131" t="inlineStr">
        <is>
          <t>51330</t>
        </is>
      </c>
      <c r="K131" t="inlineStr">
        <is>
          <t>Épernay</t>
        </is>
      </c>
      <c r="L131" t="inlineStr">
        <is>
          <t>03 26 56 47 10</t>
        </is>
      </c>
      <c r="M131" s="4" t="inlineStr">
        <is>
          <t>accueil@epernay-agglo.fr</t>
        </is>
      </c>
      <c r="N131" s="4" t="inlineStr">
        <is>
          <t>https://epernay-agglo.fr/</t>
        </is>
      </c>
      <c r="O131" t="inlineStr"/>
      <c r="P131" s="4" t="inlineStr">
        <is>
          <t>https://lannuaire.service-public.gouv.fr/grand-est/marne/b2b1a939-0841-402e-b305-35eb3700bcce</t>
        </is>
      </c>
      <c r="Q131" t="inlineStr">
        <is>
          <t>Annuaire Service-public.fr</t>
        </is>
      </c>
      <c r="R131" t="inlineStr"/>
      <c r="S131" t="inlineStr"/>
      <c r="T131" t="inlineStr"/>
    </row>
    <row r="132">
      <c r="A132" t="inlineStr">
        <is>
          <t>CA de Châlons-en-Champagne</t>
        </is>
      </c>
      <c r="B132" t="inlineStr">
        <is>
          <t>Communauté d’agglomération</t>
        </is>
      </c>
      <c r="C132" t="inlineStr">
        <is>
          <t>200066876</t>
        </is>
      </c>
      <c r="D132" t="inlineStr">
        <is>
          <t>51</t>
        </is>
      </c>
      <c r="E132" t="inlineStr">
        <is>
          <t>Marne</t>
        </is>
      </c>
      <c r="F132" t="inlineStr">
        <is>
          <t>Grand Est</t>
        </is>
      </c>
      <c r="G132" s="3" t="n">
        <v>78298</v>
      </c>
      <c r="H132" t="n">
        <v>45</v>
      </c>
      <c r="I132" t="inlineStr">
        <is>
          <t>Place Foch, Espace Citoyen, Hôtel de Ville</t>
        </is>
      </c>
      <c r="J132" t="inlineStr">
        <is>
          <t>51022</t>
        </is>
      </c>
      <c r="K132" t="inlineStr">
        <is>
          <t>Châlons-en-Champagne</t>
        </is>
      </c>
      <c r="L132" t="inlineStr">
        <is>
          <t>03 26 69 38 38</t>
        </is>
      </c>
      <c r="M132" s="4" t="inlineStr">
        <is>
          <t>contact@chalons-agglo.fr</t>
        </is>
      </c>
      <c r="N132" s="4" t="inlineStr">
        <is>
          <t>https://www.chalons-agglo.fr/cac</t>
        </is>
      </c>
      <c r="O132" s="4" t="inlineStr">
        <is>
          <t>https://citoyen.chalons-agglo.fr/demandes/question</t>
        </is>
      </c>
      <c r="P132" s="4" t="inlineStr">
        <is>
          <t>https://lannuaire.service-public.gouv.fr/grand-est/marne/51bd69a9-ff15-4593-aa0a-c14579a88d8b</t>
        </is>
      </c>
      <c r="Q132" t="inlineStr">
        <is>
          <t>Annuaire Service-public.fr</t>
        </is>
      </c>
      <c r="R132" t="inlineStr"/>
      <c r="S132" t="inlineStr"/>
      <c r="T132" t="inlineStr"/>
    </row>
    <row r="133">
      <c r="A133" t="inlineStr">
        <is>
          <t>CA du Grand Saint-Dizier Der et Vallées</t>
        </is>
      </c>
      <c r="B133" t="inlineStr">
        <is>
          <t>Communauté d’agglomération</t>
        </is>
      </c>
      <c r="C133" t="inlineStr">
        <is>
          <t>200068666</t>
        </is>
      </c>
      <c r="D133" t="inlineStr">
        <is>
          <t>51, 52</t>
        </is>
      </c>
      <c r="E133" t="inlineStr">
        <is>
          <t>Marne, Haute-Marne</t>
        </is>
      </c>
      <c r="F133" t="inlineStr">
        <is>
          <t>Grand Est</t>
        </is>
      </c>
      <c r="G133" s="3" t="n">
        <v>55597</v>
      </c>
      <c r="H133" t="n">
        <v>60</v>
      </c>
      <c r="I133" t="inlineStr">
        <is>
          <t>Place Aristide-Briand</t>
        </is>
      </c>
      <c r="J133" t="inlineStr">
        <is>
          <t>52115</t>
        </is>
      </c>
      <c r="K133" t="inlineStr">
        <is>
          <t>Saint-Dizier Cedex</t>
        </is>
      </c>
      <c r="L133" t="inlineStr">
        <is>
          <t>03 25 07 31 31</t>
        </is>
      </c>
      <c r="M133" s="4" t="inlineStr">
        <is>
          <t>codecom@mairie-saintdizier.fr</t>
        </is>
      </c>
      <c r="N133" s="4" t="inlineStr">
        <is>
          <t>https://www.saint-dizier.fr/</t>
        </is>
      </c>
      <c r="O133" s="4" t="inlineStr">
        <is>
          <t>https://www.saint-dizier.fr/contact.html</t>
        </is>
      </c>
      <c r="P133" s="4" t="inlineStr">
        <is>
          <t>https://lannuaire.service-public.gouv.fr/grand-est/haute-marne/830fd7bb-06b1-4605-8024-73fa9d9caaa6</t>
        </is>
      </c>
      <c r="Q133" t="inlineStr">
        <is>
          <t>Annuaire Service-public.fr</t>
        </is>
      </c>
      <c r="R133" t="inlineStr"/>
      <c r="S133" t="inlineStr"/>
      <c r="T133" t="inlineStr"/>
    </row>
    <row r="134">
      <c r="A134" t="inlineStr">
        <is>
          <t>CU du Grand Reims</t>
        </is>
      </c>
      <c r="B134" t="inlineStr">
        <is>
          <t>Communauté urbaine</t>
        </is>
      </c>
      <c r="C134" t="inlineStr">
        <is>
          <t>200067213</t>
        </is>
      </c>
      <c r="D134" t="inlineStr">
        <is>
          <t>51</t>
        </is>
      </c>
      <c r="E134" t="inlineStr">
        <is>
          <t>Marne</t>
        </is>
      </c>
      <c r="F134" t="inlineStr">
        <is>
          <t>Grand Est</t>
        </is>
      </c>
      <c r="G134" s="3" t="n">
        <v>297492</v>
      </c>
      <c r="H134" t="n">
        <v>143</v>
      </c>
      <c r="I134" t="inlineStr">
        <is>
          <t>3 rue Eugène-Desteuque</t>
        </is>
      </c>
      <c r="J134" t="inlineStr">
        <is>
          <t>51100</t>
        </is>
      </c>
      <c r="K134" t="inlineStr">
        <is>
          <t>Reims</t>
        </is>
      </c>
      <c r="L134" t="inlineStr">
        <is>
          <t>03 26 77 78 79</t>
        </is>
      </c>
      <c r="M134" s="4" t="inlineStr">
        <is>
          <t>accueil@reims-contact.fr</t>
        </is>
      </c>
      <c r="N134" s="4" t="inlineStr">
        <is>
          <t>https://www.grandreims.fr/</t>
        </is>
      </c>
      <c r="O134" s="4" t="inlineStr">
        <is>
          <t>https://mesdemarchesenligne.reims.fr/SEWSaaS.Guichet/workflow_url?ECITIZ_ACTIVITY_PATH=Citoyen&amp;IDORG=GREIMS&amp;TS=SVE&amp;TASK=CREATION&amp;ANONYME=1&amp;THEMATIQUE=PQ_PQ_PQAS&amp;CONTEXTE=GRANDR&amp;CTX_ST=GRANDR</t>
        </is>
      </c>
      <c r="P134" s="4" t="inlineStr">
        <is>
          <t>https://lannuaire.service-public.gouv.fr/grand-est/marne/ea16f802-b050-46de-93de-e90dc7171e45</t>
        </is>
      </c>
      <c r="Q134" t="inlineStr">
        <is>
          <t>Annuaire Service-public.fr</t>
        </is>
      </c>
      <c r="R134" t="inlineStr"/>
      <c r="S134" t="inlineStr"/>
      <c r="T134" t="inlineStr"/>
    </row>
    <row r="135">
      <c r="A135" t="inlineStr">
        <is>
          <t>CA de Chaumont</t>
        </is>
      </c>
      <c r="B135" t="inlineStr">
        <is>
          <t>Communauté d’agglomération</t>
        </is>
      </c>
      <c r="C135" t="inlineStr">
        <is>
          <t>200068658</t>
        </is>
      </c>
      <c r="D135" t="inlineStr">
        <is>
          <t>52</t>
        </is>
      </c>
      <c r="E135" t="inlineStr">
        <is>
          <t>Haute-Marne</t>
        </is>
      </c>
      <c r="F135" t="inlineStr">
        <is>
          <t>Grand Est</t>
        </is>
      </c>
      <c r="G135" s="3" t="n">
        <v>43665</v>
      </c>
      <c r="H135" t="n">
        <v>63</v>
      </c>
      <c r="I135" t="inlineStr">
        <is>
          <t>5 avenue Émile-Cassez</t>
        </is>
      </c>
      <c r="J135" t="inlineStr">
        <is>
          <t>52012</t>
        </is>
      </c>
      <c r="K135" t="inlineStr">
        <is>
          <t>Chaumont</t>
        </is>
      </c>
      <c r="L135" t="inlineStr">
        <is>
          <t>03 25 30 60 00</t>
        </is>
      </c>
      <c r="M135" s="4" t="inlineStr">
        <is>
          <t>standard@ville-chaumont.fr</t>
        </is>
      </c>
      <c r="N135" s="4" t="inlineStr">
        <is>
          <t>https://www.agglo-chaumont.fr/</t>
        </is>
      </c>
      <c r="O135" s="4" t="inlineStr">
        <is>
          <t>https://www.agglo-chaumont.fr/nous-contacter/</t>
        </is>
      </c>
      <c r="P135" s="4" t="inlineStr">
        <is>
          <t>https://lannuaire.service-public.gouv.fr/grand-est/haute-marne/4467924f-28f5-4cc1-8b4d-8ed77cd26d68</t>
        </is>
      </c>
      <c r="Q135" t="inlineStr">
        <is>
          <t>Annuaire Service-public.fr</t>
        </is>
      </c>
      <c r="R135" t="inlineStr"/>
      <c r="S135" t="inlineStr"/>
      <c r="T135" t="inlineStr"/>
    </row>
    <row r="136">
      <c r="A136" t="inlineStr">
        <is>
          <t>CA Laval Agglomération</t>
        </is>
      </c>
      <c r="B136" t="inlineStr">
        <is>
          <t>Communauté d’agglomération</t>
        </is>
      </c>
      <c r="C136" t="inlineStr">
        <is>
          <t>200083392</t>
        </is>
      </c>
      <c r="D136" t="inlineStr">
        <is>
          <t>53</t>
        </is>
      </c>
      <c r="E136" t="inlineStr">
        <is>
          <t>Mayenne</t>
        </is>
      </c>
      <c r="F136" t="inlineStr">
        <is>
          <t>Pays de la Loire</t>
        </is>
      </c>
      <c r="G136" s="3" t="n">
        <v>114872</v>
      </c>
      <c r="H136" t="n">
        <v>34</v>
      </c>
      <c r="I136" t="inlineStr">
        <is>
          <t>1 place du Général-Ferrié</t>
        </is>
      </c>
      <c r="J136" t="inlineStr">
        <is>
          <t>53008</t>
        </is>
      </c>
      <c r="K136" t="inlineStr">
        <is>
          <t>Laval</t>
        </is>
      </c>
      <c r="L136" t="inlineStr">
        <is>
          <t>02 43 49 46 47</t>
        </is>
      </c>
      <c r="M136" s="4" t="inlineStr">
        <is>
          <t>laval-agglo@agglo-laval.fr</t>
        </is>
      </c>
      <c r="N136" s="4" t="inlineStr">
        <is>
          <t>https://www.agglo-laval.fr/accueil</t>
        </is>
      </c>
      <c r="O136" s="4" t="inlineStr">
        <is>
          <t>https://www.agglo-laval.fr/lagglo-mon-territoire/nous-contacter</t>
        </is>
      </c>
      <c r="P136" s="4" t="inlineStr">
        <is>
          <t>https://lannuaire.service-public.gouv.fr/pays-de-la-loire/mayenne/a4707521-2d68-4d32-b92e-ee8fea76418f</t>
        </is>
      </c>
      <c r="Q136" t="inlineStr">
        <is>
          <t>Annuaire Service-public.fr</t>
        </is>
      </c>
      <c r="R136" t="inlineStr"/>
      <c r="S136" t="inlineStr"/>
      <c r="T136" t="inlineStr"/>
    </row>
    <row r="137">
      <c r="A137" t="inlineStr">
        <is>
          <t>CA Grand Longwy Agglomération</t>
        </is>
      </c>
      <c r="B137" t="inlineStr">
        <is>
          <t>Communauté d’agglomération</t>
        </is>
      </c>
      <c r="C137" t="inlineStr">
        <is>
          <t>245400262</t>
        </is>
      </c>
      <c r="D137" t="inlineStr">
        <is>
          <t>54</t>
        </is>
      </c>
      <c r="E137" t="inlineStr">
        <is>
          <t>Meurthe-et-Moselle</t>
        </is>
      </c>
      <c r="F137" t="inlineStr">
        <is>
          <t>Grand Est</t>
        </is>
      </c>
      <c r="G137" s="3" t="n">
        <v>63645</v>
      </c>
      <c r="H137" t="n">
        <v>21</v>
      </c>
      <c r="I137" t="inlineStr">
        <is>
          <t>2 rue de Lexy</t>
        </is>
      </c>
      <c r="J137" t="inlineStr">
        <is>
          <t>54400</t>
        </is>
      </c>
      <c r="K137" t="inlineStr">
        <is>
          <t>Longwy</t>
        </is>
      </c>
      <c r="L137" t="inlineStr">
        <is>
          <t>03 82 26 03 00</t>
        </is>
      </c>
      <c r="M137" t="inlineStr"/>
      <c r="N137" s="4" t="inlineStr">
        <is>
          <t>https://grandlongwy.fr/</t>
        </is>
      </c>
      <c r="O137" s="4" t="inlineStr">
        <is>
          <t>https://grandlongwy.fr/contact/</t>
        </is>
      </c>
      <c r="P137" s="4" t="inlineStr">
        <is>
          <t>https://lannuaire.service-public.gouv.fr/grand-est/meurthe-et-moselle/cadd83b6-7bed-4fea-8ff3-0e0f05e5cb54</t>
        </is>
      </c>
      <c r="Q137" t="inlineStr">
        <is>
          <t>Annuaire Service-public.fr</t>
        </is>
      </c>
      <c r="R137" t="inlineStr"/>
      <c r="S137" t="inlineStr"/>
      <c r="T137" t="inlineStr"/>
    </row>
    <row r="138">
      <c r="A138" t="inlineStr">
        <is>
          <t>CA de Saint-Dié-des-Vosges</t>
        </is>
      </c>
      <c r="B138" t="inlineStr">
        <is>
          <t>Communauté d’agglomération</t>
        </is>
      </c>
      <c r="C138" t="inlineStr">
        <is>
          <t>200071066</t>
        </is>
      </c>
      <c r="D138" t="inlineStr">
        <is>
          <t>54, 88</t>
        </is>
      </c>
      <c r="E138" t="inlineStr">
        <is>
          <t>Meurthe-et-Moselle, Vosges</t>
        </is>
      </c>
      <c r="F138" t="inlineStr">
        <is>
          <t>Grand Est</t>
        </is>
      </c>
      <c r="G138" s="3" t="n">
        <v>72973</v>
      </c>
      <c r="H138" t="n">
        <v>77</v>
      </c>
      <c r="I138" t="inlineStr">
        <is>
          <t>7 place Saint-Martin</t>
        </is>
      </c>
      <c r="J138" t="inlineStr">
        <is>
          <t>88100</t>
        </is>
      </c>
      <c r="K138" t="inlineStr">
        <is>
          <t>Saint-Dié-des-Vosges</t>
        </is>
      </c>
      <c r="L138" t="inlineStr">
        <is>
          <t>03 29 52 65 56</t>
        </is>
      </c>
      <c r="M138" s="4" t="inlineStr">
        <is>
          <t>contact@ca-saintdie.fr</t>
        </is>
      </c>
      <c r="N138" s="4" t="inlineStr">
        <is>
          <t>https://www.ca-saintdie.fr</t>
        </is>
      </c>
      <c r="O138" t="inlineStr"/>
      <c r="P138" s="4" t="inlineStr">
        <is>
          <t>https://lannuaire.service-public.gouv.fr/grand-est/vosges/0f92fff0-dd36-484c-8458-a0dd7c72fad5</t>
        </is>
      </c>
      <c r="Q138" t="inlineStr">
        <is>
          <t>Annuaire Service-public.fr</t>
        </is>
      </c>
      <c r="R138" t="inlineStr"/>
      <c r="S138" t="inlineStr"/>
      <c r="T138" t="inlineStr"/>
    </row>
    <row r="139">
      <c r="A139" t="inlineStr">
        <is>
          <t>Métropole du Grand Nancy</t>
        </is>
      </c>
      <c r="B139" t="inlineStr">
        <is>
          <t>Métropole</t>
        </is>
      </c>
      <c r="C139" t="inlineStr">
        <is>
          <t>245400676</t>
        </is>
      </c>
      <c r="D139" t="inlineStr">
        <is>
          <t>54</t>
        </is>
      </c>
      <c r="E139" t="inlineStr">
        <is>
          <t>Meurthe-et-Moselle</t>
        </is>
      </c>
      <c r="F139" t="inlineStr">
        <is>
          <t>Grand Est</t>
        </is>
      </c>
      <c r="G139" s="3" t="n">
        <v>258208</v>
      </c>
      <c r="H139" t="n">
        <v>20</v>
      </c>
      <c r="I139" t="inlineStr">
        <is>
          <t>22-24 viaduc Kennedy</t>
        </is>
      </c>
      <c r="J139" t="inlineStr">
        <is>
          <t>54035</t>
        </is>
      </c>
      <c r="K139" t="inlineStr">
        <is>
          <t>Nancy</t>
        </is>
      </c>
      <c r="L139" t="inlineStr">
        <is>
          <t>03 83 91 83 91</t>
        </is>
      </c>
      <c r="M139" t="inlineStr"/>
      <c r="N139" s="4" t="inlineStr">
        <is>
          <t>https://www.grandnancy.eu/accueil</t>
        </is>
      </c>
      <c r="O139" s="4" t="inlineStr">
        <is>
          <t>https://www.grandnancy.eu/formulaires/guichet-des-formulaires/autre-demande</t>
        </is>
      </c>
      <c r="P139" s="4" t="inlineStr">
        <is>
          <t>https://lannuaire.service-public.gouv.fr/grand-est/meurthe-et-moselle/24b8e3c9-72f4-4724-9d2a-8d247cb910e5</t>
        </is>
      </c>
      <c r="Q139" t="inlineStr">
        <is>
          <t>Annuaire Service-public.fr</t>
        </is>
      </c>
      <c r="R139" t="inlineStr"/>
      <c r="S139" t="inlineStr"/>
      <c r="T139" t="inlineStr"/>
    </row>
    <row r="140">
      <c r="A140" t="inlineStr">
        <is>
          <t>CA de Bar-le-Duc - Sud Meuse</t>
        </is>
      </c>
      <c r="B140" t="inlineStr">
        <is>
          <t>Communauté d’agglomération</t>
        </is>
      </c>
      <c r="C140" t="inlineStr">
        <is>
          <t>200033025</t>
        </is>
      </c>
      <c r="D140" t="inlineStr">
        <is>
          <t>55</t>
        </is>
      </c>
      <c r="E140" t="inlineStr">
        <is>
          <t>Meuse</t>
        </is>
      </c>
      <c r="F140" t="inlineStr">
        <is>
          <t>Grand Est</t>
        </is>
      </c>
      <c r="G140" s="3" t="n">
        <v>33485</v>
      </c>
      <c r="H140" t="n">
        <v>33</v>
      </c>
      <c r="I140" t="inlineStr">
        <is>
          <t>12 rue Lapique</t>
        </is>
      </c>
      <c r="J140" t="inlineStr">
        <is>
          <t>55012</t>
        </is>
      </c>
      <c r="K140" t="inlineStr">
        <is>
          <t>Bar-le-Duc</t>
        </is>
      </c>
      <c r="L140" t="inlineStr">
        <is>
          <t>03 29 79 56 00</t>
        </is>
      </c>
      <c r="M140" s="4" t="inlineStr">
        <is>
          <t>contact@meusegrandsud.fr</t>
        </is>
      </c>
      <c r="N140" s="4" t="inlineStr">
        <is>
          <t>https://www.meusegrandsud.fr</t>
        </is>
      </c>
      <c r="O140" s="4" t="inlineStr">
        <is>
          <t>https://www.meusegrandsud.fr/contact</t>
        </is>
      </c>
      <c r="P140" s="4" t="inlineStr">
        <is>
          <t>https://lannuaire.service-public.gouv.fr/grand-est/meuse/557e5b45-102b-475d-b7b1-28ac33db3fd5</t>
        </is>
      </c>
      <c r="Q140" t="inlineStr">
        <is>
          <t>Annuaire Service-public.fr</t>
        </is>
      </c>
      <c r="R140" t="inlineStr"/>
      <c r="S140" t="inlineStr"/>
      <c r="T140" t="inlineStr"/>
    </row>
    <row r="141">
      <c r="A141" t="inlineStr">
        <is>
          <t>CA du Grand Verdun</t>
        </is>
      </c>
      <c r="B141" t="inlineStr">
        <is>
          <t>Communauté d’agglomération</t>
        </is>
      </c>
      <c r="C141" t="inlineStr">
        <is>
          <t>200049187</t>
        </is>
      </c>
      <c r="D141" t="inlineStr">
        <is>
          <t>55</t>
        </is>
      </c>
      <c r="E141" t="inlineStr">
        <is>
          <t>Meuse</t>
        </is>
      </c>
      <c r="F141" t="inlineStr">
        <is>
          <t>Grand Est</t>
        </is>
      </c>
      <c r="G141" s="3" t="n">
        <v>27113</v>
      </c>
      <c r="H141" t="n">
        <v>25</v>
      </c>
      <c r="I141" t="inlineStr">
        <is>
          <t>11 rue du Président-Poincaré, CS 80719</t>
        </is>
      </c>
      <c r="J141" t="inlineStr">
        <is>
          <t>55107</t>
        </is>
      </c>
      <c r="K141" t="inlineStr">
        <is>
          <t>Verdun Cedex</t>
        </is>
      </c>
      <c r="L141" t="inlineStr">
        <is>
          <t>03 29 83 44 22</t>
        </is>
      </c>
      <c r="M141" s="4" t="inlineStr">
        <is>
          <t>contact@grandverdun.fr</t>
        </is>
      </c>
      <c r="N141" s="4" t="inlineStr">
        <is>
          <t>https://www.verdun.fr/</t>
        </is>
      </c>
      <c r="O141" s="4" t="inlineStr">
        <is>
          <t>https://www.verdun.fr/nous-contacter/</t>
        </is>
      </c>
      <c r="P141" s="4" t="inlineStr">
        <is>
          <t>https://lannuaire.service-public.gouv.fr/grand-est/meuse/25550430-c7c1-47bf-a8e7-43e95d4541d8</t>
        </is>
      </c>
      <c r="Q141" t="inlineStr">
        <is>
          <t>Annuaire Service-public.fr</t>
        </is>
      </c>
      <c r="R141" t="inlineStr"/>
      <c r="S141" t="inlineStr"/>
      <c r="T141" t="inlineStr"/>
    </row>
    <row r="142">
      <c r="A142" t="inlineStr">
        <is>
          <t>CA Golfe du Morbihan - Vannes Agglomération</t>
        </is>
      </c>
      <c r="B142" t="inlineStr">
        <is>
          <t>Communauté d’agglomération</t>
        </is>
      </c>
      <c r="C142" t="inlineStr">
        <is>
          <t>200067932</t>
        </is>
      </c>
      <c r="D142" t="inlineStr">
        <is>
          <t>56</t>
        </is>
      </c>
      <c r="E142" t="inlineStr">
        <is>
          <t>Morbihan</t>
        </is>
      </c>
      <c r="F142" t="inlineStr">
        <is>
          <t>Bretagne</t>
        </is>
      </c>
      <c r="G142" s="3" t="n">
        <v>177719</v>
      </c>
      <c r="H142" t="n">
        <v>34</v>
      </c>
      <c r="I142" t="inlineStr">
        <is>
          <t>Parc d'innovation Bretagne-Sud, 30 rue Alfred-Kastler, CS 70206</t>
        </is>
      </c>
      <c r="J142" t="inlineStr">
        <is>
          <t>56006</t>
        </is>
      </c>
      <c r="K142" t="inlineStr">
        <is>
          <t>Vannes Cedex</t>
        </is>
      </c>
      <c r="L142" t="inlineStr">
        <is>
          <t>02 97 68 14 24</t>
        </is>
      </c>
      <c r="M142" s="4" t="inlineStr">
        <is>
          <t>courrier@gmvagglo.bzh</t>
        </is>
      </c>
      <c r="N142" s="4" t="inlineStr">
        <is>
          <t>https://www.golfedumorbihan-vannesagglomeration.bzh/</t>
        </is>
      </c>
      <c r="O142" s="4" t="inlineStr">
        <is>
          <t>https://www.golfedumorbihan-vannesagglomeration.bzh/nous-contacter/</t>
        </is>
      </c>
      <c r="P142" s="4" t="inlineStr">
        <is>
          <t>https://lannuaire.service-public.gouv.fr/bretagne/morbihan/d502f4f3-3e3a-4618-b42b-ed47b9db1bc6</t>
        </is>
      </c>
      <c r="Q142" t="inlineStr">
        <is>
          <t>Annuaire Service-public.fr</t>
        </is>
      </c>
      <c r="R142" t="inlineStr"/>
      <c r="S142" t="inlineStr"/>
      <c r="T142" t="inlineStr"/>
    </row>
    <row r="143">
      <c r="A143" t="inlineStr">
        <is>
          <t>CA Lorient Agglomération</t>
        </is>
      </c>
      <c r="B143" t="inlineStr">
        <is>
          <t>Communauté d’agglomération</t>
        </is>
      </c>
      <c r="C143" t="inlineStr">
        <is>
          <t>200042174</t>
        </is>
      </c>
      <c r="D143" t="inlineStr">
        <is>
          <t>56</t>
        </is>
      </c>
      <c r="E143" t="inlineStr">
        <is>
          <t>Morbihan</t>
        </is>
      </c>
      <c r="F143" t="inlineStr">
        <is>
          <t>Bretagne</t>
        </is>
      </c>
      <c r="G143" s="3" t="n">
        <v>208113</v>
      </c>
      <c r="H143" t="n">
        <v>25</v>
      </c>
      <c r="I143" t="inlineStr">
        <is>
          <t>Esplanade du Péristyle</t>
        </is>
      </c>
      <c r="J143" t="inlineStr">
        <is>
          <t>56100</t>
        </is>
      </c>
      <c r="K143" t="inlineStr">
        <is>
          <t>Lorient</t>
        </is>
      </c>
      <c r="L143" t="inlineStr">
        <is>
          <t>02 90 74 71 00</t>
        </is>
      </c>
      <c r="M143" s="4" t="inlineStr">
        <is>
          <t>contact@agglo-lorient.fr</t>
        </is>
      </c>
      <c r="N143" s="4" t="inlineStr">
        <is>
          <t>https://www.lorient-agglo.bzh/</t>
        </is>
      </c>
      <c r="O143" s="4" t="inlineStr">
        <is>
          <t>https://www.lorient-agglo.bzh/agglo/contact/</t>
        </is>
      </c>
      <c r="P143" s="4" t="inlineStr">
        <is>
          <t>https://lannuaire.service-public.gouv.fr/bretagne/morbihan/abab3da3-4cd6-42f1-ac88-9fa3f1bc4154</t>
        </is>
      </c>
      <c r="Q143" t="inlineStr">
        <is>
          <t>Annuaire Service-public.fr</t>
        </is>
      </c>
      <c r="R143" t="inlineStr"/>
      <c r="S143" t="inlineStr"/>
      <c r="T143" t="inlineStr"/>
    </row>
    <row r="144">
      <c r="A144" t="inlineStr">
        <is>
          <t>CA Portes de France-Thionville</t>
        </is>
      </c>
      <c r="B144" t="inlineStr">
        <is>
          <t>Communauté d’agglomération</t>
        </is>
      </c>
      <c r="C144" t="inlineStr">
        <is>
          <t>245701362</t>
        </is>
      </c>
      <c r="D144" t="inlineStr">
        <is>
          <t>57</t>
        </is>
      </c>
      <c r="E144" t="inlineStr">
        <is>
          <t>Moselle</t>
        </is>
      </c>
      <c r="F144" t="inlineStr">
        <is>
          <t>Grand Est</t>
        </is>
      </c>
      <c r="G144" s="3" t="n">
        <v>84449</v>
      </c>
      <c r="H144" t="n">
        <v>13</v>
      </c>
      <c r="I144" t="inlineStr">
        <is>
          <t>2 Cour Du Chateau</t>
        </is>
      </c>
      <c r="J144" t="inlineStr">
        <is>
          <t>57100</t>
        </is>
      </c>
      <c r="K144" t="inlineStr">
        <is>
          <t>Thionville</t>
        </is>
      </c>
      <c r="L144" t="inlineStr"/>
      <c r="M144" t="inlineStr"/>
      <c r="N144" t="inlineStr"/>
      <c r="O144" t="inlineStr"/>
      <c r="P144" t="inlineStr"/>
      <c r="Q144" t="inlineStr">
        <is>
          <t>SIRENE (siège) : pas de fiche dans l’annuaire</t>
        </is>
      </c>
      <c r="R144" t="inlineStr"/>
      <c r="S144" t="inlineStr"/>
      <c r="T144" t="inlineStr"/>
    </row>
    <row r="145">
      <c r="A145" t="inlineStr">
        <is>
          <t>CA Saint-Avold Synergie</t>
        </is>
      </c>
      <c r="B145" t="inlineStr">
        <is>
          <t>Communauté d’agglomération</t>
        </is>
      </c>
      <c r="C145" t="inlineStr">
        <is>
          <t>200067502</t>
        </is>
      </c>
      <c r="D145" t="inlineStr">
        <is>
          <t>57</t>
        </is>
      </c>
      <c r="E145" t="inlineStr">
        <is>
          <t>Moselle</t>
        </is>
      </c>
      <c r="F145" t="inlineStr">
        <is>
          <t>Grand Est</t>
        </is>
      </c>
      <c r="G145" s="3" t="n">
        <v>51750</v>
      </c>
      <c r="H145" t="n">
        <v>41</v>
      </c>
      <c r="I145" t="inlineStr">
        <is>
          <t>10-12 rue du Général-de-Gaulle</t>
        </is>
      </c>
      <c r="J145" t="inlineStr">
        <is>
          <t>57500</t>
        </is>
      </c>
      <c r="K145" t="inlineStr">
        <is>
          <t>Saint-Avold</t>
        </is>
      </c>
      <c r="L145" t="inlineStr">
        <is>
          <t>03 87 92 84 76</t>
        </is>
      </c>
      <c r="M145" s="4" t="inlineStr">
        <is>
          <t>communaute@casas57.fr</t>
        </is>
      </c>
      <c r="N145" s="4" t="inlineStr">
        <is>
          <t>https://casas57.fr/</t>
        </is>
      </c>
      <c r="O145" s="4" t="inlineStr">
        <is>
          <t>https://casas57.fr/contact/</t>
        </is>
      </c>
      <c r="P145" s="4" t="inlineStr">
        <is>
          <t>https://lannuaire.service-public.gouv.fr/grand-est/moselle/e7737507-fb39-46c0-b954-4277d5463282</t>
        </is>
      </c>
      <c r="Q145" t="inlineStr">
        <is>
          <t>Annuaire Service-public.fr</t>
        </is>
      </c>
      <c r="R145" t="inlineStr"/>
      <c r="S145" t="inlineStr"/>
      <c r="T145" t="inlineStr"/>
    </row>
    <row r="146">
      <c r="A146" t="inlineStr">
        <is>
          <t>CA Sarreguemines Confluences</t>
        </is>
      </c>
      <c r="B146" t="inlineStr">
        <is>
          <t>Communauté d’agglomération</t>
        </is>
      </c>
      <c r="C146" t="inlineStr">
        <is>
          <t>200070746</t>
        </is>
      </c>
      <c r="D146" t="inlineStr">
        <is>
          <t>57, 67</t>
        </is>
      </c>
      <c r="E146" t="inlineStr">
        <is>
          <t>Moselle, Bas-Rhin</t>
        </is>
      </c>
      <c r="F146" t="inlineStr">
        <is>
          <t>Grand Est</t>
        </is>
      </c>
      <c r="G146" s="3" t="n">
        <v>63122</v>
      </c>
      <c r="H146" t="n">
        <v>38</v>
      </c>
      <c r="I146" t="inlineStr">
        <is>
          <t>99 rue du Maréchal-Foch, Hôtel de la communauté</t>
        </is>
      </c>
      <c r="J146" t="inlineStr">
        <is>
          <t>57200</t>
        </is>
      </c>
      <c r="K146" t="inlineStr">
        <is>
          <t>Sarreguemines</t>
        </is>
      </c>
      <c r="L146" t="inlineStr">
        <is>
          <t>03 87 28 30 30</t>
        </is>
      </c>
      <c r="M146" s="4" t="inlineStr">
        <is>
          <t>contact@agglo-sarreguemines.fr</t>
        </is>
      </c>
      <c r="N146" s="4" t="inlineStr">
        <is>
          <t>https://www.agglo-sarreguemines.fr/</t>
        </is>
      </c>
      <c r="O146" s="4" t="inlineStr">
        <is>
          <t>https://www.agglo-sarreguemines.fr/contact/</t>
        </is>
      </c>
      <c r="P146" s="4" t="inlineStr">
        <is>
          <t>https://lannuaire.service-public.gouv.fr/grand-est/moselle/bba7e4ed-8a2f-4ccd-9e12-acd13415c418</t>
        </is>
      </c>
      <c r="Q146" t="inlineStr">
        <is>
          <t>Annuaire Service-public.fr</t>
        </is>
      </c>
      <c r="R146" t="inlineStr"/>
      <c r="S146" t="inlineStr"/>
      <c r="T146" t="inlineStr"/>
    </row>
    <row r="147">
      <c r="A147" t="inlineStr">
        <is>
          <t>CA de Forbach Porte de France</t>
        </is>
      </c>
      <c r="B147" t="inlineStr">
        <is>
          <t>Communauté d’agglomération</t>
        </is>
      </c>
      <c r="C147" t="inlineStr">
        <is>
          <t>245700372</t>
        </is>
      </c>
      <c r="D147" t="inlineStr">
        <is>
          <t>57</t>
        </is>
      </c>
      <c r="E147" t="inlineStr">
        <is>
          <t>Moselle</t>
        </is>
      </c>
      <c r="F147" t="inlineStr">
        <is>
          <t>Grand Est</t>
        </is>
      </c>
      <c r="G147" s="3" t="n">
        <v>75399</v>
      </c>
      <c r="H147" t="n">
        <v>21</v>
      </c>
      <c r="I147" t="inlineStr">
        <is>
          <t>110 rue des Moulins</t>
        </is>
      </c>
      <c r="J147" t="inlineStr">
        <is>
          <t>57608</t>
        </is>
      </c>
      <c r="K147" t="inlineStr">
        <is>
          <t>Forbach</t>
        </is>
      </c>
      <c r="L147" t="inlineStr">
        <is>
          <t>03 87 85 55 00</t>
        </is>
      </c>
      <c r="M147" s="4" t="inlineStr">
        <is>
          <t>courrier@agglo-forbach.fr</t>
        </is>
      </c>
      <c r="N147" s="4" t="inlineStr">
        <is>
          <t>https://www.agglo-forbach.fr/</t>
        </is>
      </c>
      <c r="O147" s="4" t="inlineStr">
        <is>
          <t>https://www.agglo-forbach.fr/fr/contact.html</t>
        </is>
      </c>
      <c r="P147" s="4" t="inlineStr">
        <is>
          <t>https://lannuaire.service-public.gouv.fr/grand-est/moselle/084856a4-4202-44f2-8641-0b807290f752</t>
        </is>
      </c>
      <c r="Q147" t="inlineStr">
        <is>
          <t>Annuaire Service-public.fr</t>
        </is>
      </c>
      <c r="R147" t="inlineStr"/>
      <c r="S147" t="inlineStr"/>
      <c r="T147" t="inlineStr"/>
    </row>
    <row r="148">
      <c r="A148" t="inlineStr">
        <is>
          <t>CA du Val de Fensch</t>
        </is>
      </c>
      <c r="B148" t="inlineStr">
        <is>
          <t>Communauté d’agglomération</t>
        </is>
      </c>
      <c r="C148" t="inlineStr">
        <is>
          <t>245701222</t>
        </is>
      </c>
      <c r="D148" t="inlineStr">
        <is>
          <t>57</t>
        </is>
      </c>
      <c r="E148" t="inlineStr">
        <is>
          <t>Moselle</t>
        </is>
      </c>
      <c r="F148" t="inlineStr">
        <is>
          <t>Grand Est</t>
        </is>
      </c>
      <c r="G148" s="3" t="n">
        <v>70898</v>
      </c>
      <c r="H148" t="n">
        <v>10</v>
      </c>
      <c r="I148" t="inlineStr">
        <is>
          <t>10 Rue De Wendel</t>
        </is>
      </c>
      <c r="J148" t="inlineStr">
        <is>
          <t>57700</t>
        </is>
      </c>
      <c r="K148" t="inlineStr">
        <is>
          <t>Hayange</t>
        </is>
      </c>
      <c r="L148" t="inlineStr"/>
      <c r="M148" t="inlineStr"/>
      <c r="N148" t="inlineStr"/>
      <c r="O148" t="inlineStr"/>
      <c r="P148" t="inlineStr"/>
      <c r="Q148" t="inlineStr">
        <is>
          <t>SIRENE (siège) : pas de fiche dans l’annuaire</t>
        </is>
      </c>
      <c r="R148" t="inlineStr"/>
      <c r="S148" t="inlineStr"/>
      <c r="T148" t="inlineStr"/>
    </row>
    <row r="149">
      <c r="A149" t="inlineStr">
        <is>
          <t>Metz Métropole</t>
        </is>
      </c>
      <c r="B149" t="inlineStr">
        <is>
          <t>Métropole</t>
        </is>
      </c>
      <c r="C149" t="inlineStr">
        <is>
          <t>200039865</t>
        </is>
      </c>
      <c r="D149" t="inlineStr">
        <is>
          <t>57</t>
        </is>
      </c>
      <c r="E149" t="inlineStr">
        <is>
          <t>Moselle</t>
        </is>
      </c>
      <c r="F149" t="inlineStr">
        <is>
          <t>Grand Est</t>
        </is>
      </c>
      <c r="G149" s="3" t="n">
        <v>230314</v>
      </c>
      <c r="H149" t="n">
        <v>46</v>
      </c>
      <c r="I149" t="inlineStr">
        <is>
          <t>1 place du Parlement-de-Metz</t>
        </is>
      </c>
      <c r="J149" t="inlineStr">
        <is>
          <t>57000</t>
        </is>
      </c>
      <c r="K149" t="inlineStr">
        <is>
          <t>Metz</t>
        </is>
      </c>
      <c r="L149" t="inlineStr">
        <is>
          <t>03 87 20 10 00</t>
        </is>
      </c>
      <c r="M149" s="4" t="inlineStr">
        <is>
          <t>accueilsiege@eurometropolemetz.eu</t>
        </is>
      </c>
      <c r="N149" s="4" t="inlineStr">
        <is>
          <t>https://www.eurometropolemetz.eu/</t>
        </is>
      </c>
      <c r="O149" s="4" t="inlineStr">
        <is>
          <t>https://demarches.services.eurometropolemetz.eu/metz-metropole/formulaire-de-contact-mm/</t>
        </is>
      </c>
      <c r="P149" s="4" t="inlineStr">
        <is>
          <t>https://lannuaire.service-public.gouv.fr/grand-est/moselle/5faa58c0-5de6-4b10-9de2-42c4323cbe61</t>
        </is>
      </c>
      <c r="Q149" t="inlineStr">
        <is>
          <t>Annuaire Service-public.fr</t>
        </is>
      </c>
      <c r="R149" t="inlineStr"/>
      <c r="S149" t="inlineStr"/>
      <c r="T149" t="inlineStr"/>
    </row>
    <row r="150">
      <c r="A150" t="inlineStr">
        <is>
          <t>CA de Nevers</t>
        </is>
      </c>
      <c r="B150" t="inlineStr">
        <is>
          <t>Communauté d’agglomération</t>
        </is>
      </c>
      <c r="C150" t="inlineStr">
        <is>
          <t>245804406</t>
        </is>
      </c>
      <c r="D150" t="inlineStr">
        <is>
          <t>58</t>
        </is>
      </c>
      <c r="E150" t="inlineStr">
        <is>
          <t>Nièvre</t>
        </is>
      </c>
      <c r="F150" t="inlineStr">
        <is>
          <t>Bourgogne-Franche-Comté</t>
        </is>
      </c>
      <c r="G150" s="3" t="n">
        <v>67408</v>
      </c>
      <c r="H150" t="n">
        <v>14</v>
      </c>
      <c r="I150" t="inlineStr">
        <is>
          <t>124 route de Marzy, CS 90041</t>
        </is>
      </c>
      <c r="J150" t="inlineStr">
        <is>
          <t>58027</t>
        </is>
      </c>
      <c r="K150" t="inlineStr">
        <is>
          <t>Nevers Cedex</t>
        </is>
      </c>
      <c r="L150" t="inlineStr">
        <is>
          <t>03 86 61 81 60</t>
        </is>
      </c>
      <c r="M150" s="4" t="inlineStr">
        <is>
          <t>contact@agglo-nevers.fr</t>
        </is>
      </c>
      <c r="N150" s="4" t="inlineStr">
        <is>
          <t>https://www.agglo-nevers.net/</t>
        </is>
      </c>
      <c r="O150" t="inlineStr"/>
      <c r="P150" s="4" t="inlineStr">
        <is>
          <t>https://lannuaire.service-public.gouv.fr/bourgogne-franche-comte/nievre/18336d96-68cb-4ef1-baa8-ad9539e44501</t>
        </is>
      </c>
      <c r="Q150" t="inlineStr">
        <is>
          <t>Annuaire Service-public.fr</t>
        </is>
      </c>
      <c r="R150" t="inlineStr"/>
      <c r="S150" t="inlineStr"/>
      <c r="T150" t="inlineStr"/>
    </row>
    <row r="151">
      <c r="A151" t="inlineStr">
        <is>
          <t>CA Coeur d'Ostrevent</t>
        </is>
      </c>
      <c r="B151" t="inlineStr">
        <is>
          <t>Communauté d’agglomération</t>
        </is>
      </c>
      <c r="C151" t="inlineStr">
        <is>
          <t>245901152</t>
        </is>
      </c>
      <c r="D151" t="inlineStr">
        <is>
          <t>59</t>
        </is>
      </c>
      <c r="E151" t="inlineStr">
        <is>
          <t>Nord</t>
        </is>
      </c>
      <c r="F151" t="inlineStr">
        <is>
          <t>Hauts-de-France</t>
        </is>
      </c>
      <c r="G151" s="3" t="n">
        <v>70247</v>
      </c>
      <c r="H151" t="n">
        <v>20</v>
      </c>
      <c r="I151" t="inlineStr">
        <is>
          <t>Avenue du Bois</t>
        </is>
      </c>
      <c r="J151" t="inlineStr">
        <is>
          <t>59280</t>
        </is>
      </c>
      <c r="K151" t="inlineStr">
        <is>
          <t>Lewarde</t>
        </is>
      </c>
      <c r="L151" t="inlineStr">
        <is>
          <t>03 27 71 37 37</t>
        </is>
      </c>
      <c r="M151" s="4" t="inlineStr">
        <is>
          <t>contact@coeurdostreventagglo.fr</t>
        </is>
      </c>
      <c r="N151" s="4" t="inlineStr">
        <is>
          <t>https://coeurdostrevent.fr/</t>
        </is>
      </c>
      <c r="O151" s="4" t="inlineStr">
        <is>
          <t>https://coeurdostrevent.fr/nous-contacter/</t>
        </is>
      </c>
      <c r="P151" s="4" t="inlineStr">
        <is>
          <t>https://lannuaire.service-public.gouv.fr/hauts-de-france/nord/19325ac3-de97-4764-b8bf-02bdbeff871e</t>
        </is>
      </c>
      <c r="Q151" t="inlineStr">
        <is>
          <t>Annuaire Service-public.fr</t>
        </is>
      </c>
      <c r="R151" t="inlineStr"/>
      <c r="S151" t="inlineStr"/>
      <c r="T151" t="inlineStr"/>
    </row>
    <row r="152">
      <c r="A152" t="inlineStr">
        <is>
          <t>CA Coeur de Flandre</t>
        </is>
      </c>
      <c r="B152" t="inlineStr">
        <is>
          <t>Communauté d’agglomération</t>
        </is>
      </c>
      <c r="C152" t="inlineStr">
        <is>
          <t>200040947</t>
        </is>
      </c>
      <c r="D152" t="inlineStr">
        <is>
          <t>59</t>
        </is>
      </c>
      <c r="E152" t="inlineStr">
        <is>
          <t>Nord</t>
        </is>
      </c>
      <c r="F152" t="inlineStr">
        <is>
          <t>Hauts-de-France</t>
        </is>
      </c>
      <c r="G152" s="3" t="n">
        <v>102562</v>
      </c>
      <c r="H152" t="n">
        <v>50</v>
      </c>
      <c r="I152" t="inlineStr">
        <is>
          <t>222 bis rue de Vieux-Berquin</t>
        </is>
      </c>
      <c r="J152" t="inlineStr">
        <is>
          <t>59190</t>
        </is>
      </c>
      <c r="K152" t="inlineStr">
        <is>
          <t>Hazebrouck</t>
        </is>
      </c>
      <c r="L152" t="inlineStr">
        <is>
          <t>03 74 54 00 59</t>
        </is>
      </c>
      <c r="M152" s="4" t="inlineStr">
        <is>
          <t>mailccom@cc-flandreinterieure.fr</t>
        </is>
      </c>
      <c r="N152" s="4" t="inlineStr">
        <is>
          <t>https://ca-coeurdeflandre.fr/</t>
        </is>
      </c>
      <c r="O152" t="inlineStr"/>
      <c r="P152" s="4" t="inlineStr">
        <is>
          <t>https://lannuaire.service-public.gouv.fr/hauts-de-france/nord/7eac9709-b2db-4f4b-be38-c2570faf8b70</t>
        </is>
      </c>
      <c r="Q152" t="inlineStr">
        <is>
          <t>Annuaire Service-public.fr</t>
        </is>
      </c>
      <c r="R152" t="inlineStr"/>
      <c r="S152" t="inlineStr"/>
      <c r="T152" t="inlineStr"/>
    </row>
    <row r="153">
      <c r="A153" t="inlineStr">
        <is>
          <t>CA Douaisis Agglo</t>
        </is>
      </c>
      <c r="B153" t="inlineStr">
        <is>
          <t>Communauté d’agglomération</t>
        </is>
      </c>
      <c r="C153" t="inlineStr">
        <is>
          <t>200044618</t>
        </is>
      </c>
      <c r="D153" t="inlineStr">
        <is>
          <t>59</t>
        </is>
      </c>
      <c r="E153" t="inlineStr">
        <is>
          <t>Nord</t>
        </is>
      </c>
      <c r="F153" t="inlineStr">
        <is>
          <t>Hauts-de-France</t>
        </is>
      </c>
      <c r="G153" s="3" t="n">
        <v>148901</v>
      </c>
      <c r="H153" t="n">
        <v>35</v>
      </c>
      <c r="I153" t="inlineStr">
        <is>
          <t>746 rue Jean-Perrin, Parc d'activité de Dorignies</t>
        </is>
      </c>
      <c r="J153" t="inlineStr">
        <is>
          <t>59500</t>
        </is>
      </c>
      <c r="K153" t="inlineStr">
        <is>
          <t>Douai</t>
        </is>
      </c>
      <c r="L153" t="inlineStr">
        <is>
          <t>03 27 99 89 89</t>
        </is>
      </c>
      <c r="M153" s="4" t="inlineStr">
        <is>
          <t>contact@douaisis-agglo.com</t>
        </is>
      </c>
      <c r="N153" s="4" t="inlineStr">
        <is>
          <t>https://www.douaisis-agglo.com/</t>
        </is>
      </c>
      <c r="O153" s="4" t="inlineStr">
        <is>
          <t>https://www.douaisis-agglo.com/contacter-un-service-de-douaisis-agglo</t>
        </is>
      </c>
      <c r="P153" s="4" t="inlineStr">
        <is>
          <t>https://lannuaire.service-public.gouv.fr/hauts-de-france/nord/be8bfe3b-cd29-4558-94b7-416e62525ef4</t>
        </is>
      </c>
      <c r="Q153" t="inlineStr">
        <is>
          <t>Annuaire Service-public.fr</t>
        </is>
      </c>
      <c r="R153" t="inlineStr"/>
      <c r="S153" t="inlineStr"/>
      <c r="T153" t="inlineStr"/>
    </row>
    <row r="154">
      <c r="A154" t="inlineStr">
        <is>
          <t>CA Maubeuge Val de Sambre</t>
        </is>
      </c>
      <c r="B154" t="inlineStr">
        <is>
          <t>Communauté d’agglomération</t>
        </is>
      </c>
      <c r="C154" t="inlineStr">
        <is>
          <t>200043396</t>
        </is>
      </c>
      <c r="D154" t="inlineStr">
        <is>
          <t>59</t>
        </is>
      </c>
      <c r="E154" t="inlineStr">
        <is>
          <t>Nord</t>
        </is>
      </c>
      <c r="F154" t="inlineStr">
        <is>
          <t>Hauts-de-France</t>
        </is>
      </c>
      <c r="G154" s="3" t="n">
        <v>122909</v>
      </c>
      <c r="H154" t="n">
        <v>43</v>
      </c>
      <c r="I154" t="inlineStr">
        <is>
          <t>18 rue du 145e-Régiment-d'Infanterie</t>
        </is>
      </c>
      <c r="J154" t="inlineStr">
        <is>
          <t>59600</t>
        </is>
      </c>
      <c r="K154" t="inlineStr">
        <is>
          <t>Maubeuge</t>
        </is>
      </c>
      <c r="L154" t="inlineStr">
        <is>
          <t>03 27 53 01 00</t>
        </is>
      </c>
      <c r="M154" s="4" t="inlineStr">
        <is>
          <t>amvs@amvs.fr</t>
        </is>
      </c>
      <c r="N154" s="4" t="inlineStr">
        <is>
          <t>https://agglo-maubeugevaldesambre.fr/</t>
        </is>
      </c>
      <c r="O154" s="4" t="inlineStr">
        <is>
          <t>https://agglo-maubeugevaldesambre.fr/contact/</t>
        </is>
      </c>
      <c r="P154" s="4" t="inlineStr">
        <is>
          <t>https://lannuaire.service-public.gouv.fr/hauts-de-france/nord/0a98fa2b-758f-4dcb-92a5-33b0191c81f9</t>
        </is>
      </c>
      <c r="Q154" t="inlineStr">
        <is>
          <t>Annuaire Service-public.fr</t>
        </is>
      </c>
      <c r="R154" t="inlineStr"/>
      <c r="S154" t="inlineStr"/>
      <c r="T154" t="inlineStr"/>
    </row>
    <row r="155">
      <c r="A155" t="inlineStr">
        <is>
          <t>CA Valenciennes Métropole</t>
        </is>
      </c>
      <c r="B155" t="inlineStr">
        <is>
          <t>Communauté d’agglomération</t>
        </is>
      </c>
      <c r="C155" t="inlineStr">
        <is>
          <t>245901160</t>
        </is>
      </c>
      <c r="D155" t="inlineStr">
        <is>
          <t>59</t>
        </is>
      </c>
      <c r="E155" t="inlineStr">
        <is>
          <t>Nord</t>
        </is>
      </c>
      <c r="F155" t="inlineStr">
        <is>
          <t>Hauts-de-France</t>
        </is>
      </c>
      <c r="G155" s="3" t="n">
        <v>191885</v>
      </c>
      <c r="H155" t="n">
        <v>35</v>
      </c>
      <c r="I155" t="inlineStr">
        <is>
          <t>2 place de l'Hôpital-Général</t>
        </is>
      </c>
      <c r="J155" t="inlineStr">
        <is>
          <t>59305</t>
        </is>
      </c>
      <c r="K155" t="inlineStr">
        <is>
          <t>Valenciennes</t>
        </is>
      </c>
      <c r="L155" t="inlineStr">
        <is>
          <t>03 27 09 60 96</t>
        </is>
      </c>
      <c r="M155" s="4" t="inlineStr">
        <is>
          <t>communication.cavm@valenciennes-metropole.fr</t>
        </is>
      </c>
      <c r="N155" s="4" t="inlineStr">
        <is>
          <t>https://www.valenciennes-metropole.fr/</t>
        </is>
      </c>
      <c r="O155" s="4" t="inlineStr">
        <is>
          <t>https://www.valenciennes-metropole.fr/contact/</t>
        </is>
      </c>
      <c r="P155" s="4" t="inlineStr">
        <is>
          <t>https://lannuaire.service-public.gouv.fr/hauts-de-france/nord/3440f7da-c14d-489e-9a85-05ffa3dfde2d</t>
        </is>
      </c>
      <c r="Q155" t="inlineStr">
        <is>
          <t>Annuaire Service-public.fr</t>
        </is>
      </c>
      <c r="R155" t="inlineStr"/>
      <c r="S155" t="inlineStr"/>
      <c r="T155" t="inlineStr"/>
    </row>
    <row r="156">
      <c r="A156" t="inlineStr">
        <is>
          <t>CA de Cambrai</t>
        </is>
      </c>
      <c r="B156" t="inlineStr">
        <is>
          <t>Communauté d’agglomération</t>
        </is>
      </c>
      <c r="C156" t="inlineStr">
        <is>
          <t>200068500</t>
        </is>
      </c>
      <c r="D156" t="inlineStr">
        <is>
          <t>59</t>
        </is>
      </c>
      <c r="E156" t="inlineStr">
        <is>
          <t>Nord</t>
        </is>
      </c>
      <c r="F156" t="inlineStr">
        <is>
          <t>Hauts-de-France</t>
        </is>
      </c>
      <c r="G156" s="3" t="n">
        <v>80469</v>
      </c>
      <c r="H156" t="n">
        <v>55</v>
      </c>
      <c r="I156" t="inlineStr">
        <is>
          <t>14 rue Neuve, BP 375</t>
        </is>
      </c>
      <c r="J156" t="inlineStr">
        <is>
          <t>59407</t>
        </is>
      </c>
      <c r="K156" t="inlineStr">
        <is>
          <t>Cambrai Cedex</t>
        </is>
      </c>
      <c r="L156" t="inlineStr">
        <is>
          <t>03 27 72 40 00</t>
        </is>
      </c>
      <c r="M156" s="4" t="inlineStr">
        <is>
          <t>contact@agglo-cambrai.fr</t>
        </is>
      </c>
      <c r="N156" s="4" t="inlineStr">
        <is>
          <t>https://www.agglo-cambrai.fr/</t>
        </is>
      </c>
      <c r="O156" t="inlineStr"/>
      <c r="P156" s="4" t="inlineStr">
        <is>
          <t>https://lannuaire.service-public.gouv.fr/hauts-de-france/nord/12093c70-ef1c-49e4-b89c-38d85e8e2f32</t>
        </is>
      </c>
      <c r="Q156" t="inlineStr">
        <is>
          <t>Annuaire Service-public.fr</t>
        </is>
      </c>
      <c r="R156" t="inlineStr"/>
      <c r="S156" t="inlineStr"/>
      <c r="T156" t="inlineStr"/>
    </row>
    <row r="157">
      <c r="A157" t="inlineStr">
        <is>
          <t>CA de la Porte du Hainaut</t>
        </is>
      </c>
      <c r="B157" t="inlineStr">
        <is>
          <t>Communauté d’agglomération</t>
        </is>
      </c>
      <c r="C157" t="inlineStr">
        <is>
          <t>200042190</t>
        </is>
      </c>
      <c r="D157" t="inlineStr">
        <is>
          <t>59</t>
        </is>
      </c>
      <c r="E157" t="inlineStr">
        <is>
          <t>Nord</t>
        </is>
      </c>
      <c r="F157" t="inlineStr">
        <is>
          <t>Hauts-de-France</t>
        </is>
      </c>
      <c r="G157" s="3" t="n">
        <v>158351</v>
      </c>
      <c r="H157" t="n">
        <v>47</v>
      </c>
      <c r="I157" t="inlineStr">
        <is>
          <t>Rue Michel-Rondet, Site minier de Wallers-Arenberg</t>
        </is>
      </c>
      <c r="J157" t="inlineStr">
        <is>
          <t>59135</t>
        </is>
      </c>
      <c r="K157" t="inlineStr">
        <is>
          <t>Wallers-Arenberg</t>
        </is>
      </c>
      <c r="L157" t="inlineStr">
        <is>
          <t>03 27 09 05 05</t>
        </is>
      </c>
      <c r="M157" s="4" t="inlineStr">
        <is>
          <t>contact@agglo-porteduhainaut.fr</t>
        </is>
      </c>
      <c r="N157" s="4" t="inlineStr">
        <is>
          <t>https://www.agglo-porteduhainaut.fr/</t>
        </is>
      </c>
      <c r="O157" t="inlineStr"/>
      <c r="P157" s="4" t="inlineStr">
        <is>
          <t>https://lannuaire.service-public.gouv.fr/hauts-de-france/nord/2cd6860d-259b-4d53-8d32-273a3a42bf99</t>
        </is>
      </c>
      <c r="Q157" t="inlineStr">
        <is>
          <t>Annuaire Service-public.fr</t>
        </is>
      </c>
      <c r="R157" t="inlineStr"/>
      <c r="S157" t="inlineStr"/>
      <c r="T157" t="inlineStr"/>
    </row>
    <row r="158">
      <c r="A158" t="inlineStr">
        <is>
          <t>CA du Caudrésis et du Catésis</t>
        </is>
      </c>
      <c r="B158" t="inlineStr">
        <is>
          <t>Communauté d’agglomération</t>
        </is>
      </c>
      <c r="C158" t="inlineStr">
        <is>
          <t>200030633</t>
        </is>
      </c>
      <c r="D158" t="inlineStr">
        <is>
          <t>59</t>
        </is>
      </c>
      <c r="E158" t="inlineStr">
        <is>
          <t>Nord</t>
        </is>
      </c>
      <c r="F158" t="inlineStr">
        <is>
          <t>Hauts-de-France</t>
        </is>
      </c>
      <c r="G158" s="3" t="n">
        <v>63265</v>
      </c>
      <c r="H158" t="n">
        <v>46</v>
      </c>
      <c r="I158" t="inlineStr">
        <is>
          <t>Route départementale 643, ZA des Bouts-des-19</t>
        </is>
      </c>
      <c r="J158" t="inlineStr">
        <is>
          <t>59157</t>
        </is>
      </c>
      <c r="K158" t="inlineStr">
        <is>
          <t>Beauvois-en-Cis</t>
        </is>
      </c>
      <c r="L158" t="inlineStr">
        <is>
          <t>03 27 75 84 79</t>
        </is>
      </c>
      <c r="M158" s="4" t="inlineStr">
        <is>
          <t>secretariat@caudresis-catesis.fr</t>
        </is>
      </c>
      <c r="N158" s="4" t="inlineStr">
        <is>
          <t>https://www.caudresis-catesis.fr/</t>
        </is>
      </c>
      <c r="O158" s="4" t="inlineStr">
        <is>
          <t>https://www.caudresis-catesis.fr/contact.html</t>
        </is>
      </c>
      <c r="P158" s="4" t="inlineStr">
        <is>
          <t>https://lannuaire.service-public.gouv.fr/hauts-de-france/nord/eff253d1-b5bb-4b73-8c09-3cdb35ccdd60</t>
        </is>
      </c>
      <c r="Q158" t="inlineStr">
        <is>
          <t>Annuaire Service-public.fr</t>
        </is>
      </c>
      <c r="R158" t="inlineStr"/>
      <c r="S158" t="inlineStr"/>
      <c r="T158" t="inlineStr"/>
    </row>
    <row r="159">
      <c r="A159" t="inlineStr">
        <is>
          <t>CU de Dunkerque</t>
        </is>
      </c>
      <c r="B159" t="inlineStr">
        <is>
          <t>Communauté urbaine</t>
        </is>
      </c>
      <c r="C159" t="inlineStr">
        <is>
          <t>245900428</t>
        </is>
      </c>
      <c r="D159" t="inlineStr">
        <is>
          <t>59</t>
        </is>
      </c>
      <c r="E159" t="inlineStr">
        <is>
          <t>Nord</t>
        </is>
      </c>
      <c r="F159" t="inlineStr">
        <is>
          <t>Hauts-de-France</t>
        </is>
      </c>
      <c r="G159" s="3" t="n">
        <v>192635</v>
      </c>
      <c r="H159" t="n">
        <v>17</v>
      </c>
      <c r="I159" t="inlineStr">
        <is>
          <t>Pertuis de la Marine</t>
        </is>
      </c>
      <c r="J159" t="inlineStr">
        <is>
          <t>59386</t>
        </is>
      </c>
      <c r="K159" t="inlineStr">
        <is>
          <t>Dunkerque</t>
        </is>
      </c>
      <c r="L159" t="inlineStr">
        <is>
          <t>03 28 62 70 00</t>
        </is>
      </c>
      <c r="M159" s="4" t="inlineStr">
        <is>
          <t>contact@ville-dunkerque.fr</t>
        </is>
      </c>
      <c r="N159" s="4" t="inlineStr">
        <is>
          <t>https://www.communaute-urbaine-dunkerque.fr/</t>
        </is>
      </c>
      <c r="O159" s="4" t="inlineStr">
        <is>
          <t>https://demarches.cud.fr/demarche/DPO?form=site&amp;id=6a636d382ea6e05f020d182f&amp;trackcode=BAY74Y6C33</t>
        </is>
      </c>
      <c r="P159" s="4" t="inlineStr">
        <is>
          <t>https://lannuaire.service-public.gouv.fr/hauts-de-france/nord/b5ca3353-de16-4003-ac42-2199d77e2884</t>
        </is>
      </c>
      <c r="Q159" t="inlineStr">
        <is>
          <t>Annuaire Service-public.fr</t>
        </is>
      </c>
      <c r="R159" t="inlineStr"/>
      <c r="S159" t="inlineStr"/>
      <c r="T159" t="inlineStr"/>
    </row>
    <row r="160">
      <c r="A160" t="inlineStr">
        <is>
          <t>Métropole Européenne de Lille</t>
        </is>
      </c>
      <c r="B160" t="inlineStr">
        <is>
          <t>Métropole</t>
        </is>
      </c>
      <c r="C160" t="inlineStr">
        <is>
          <t>200093201</t>
        </is>
      </c>
      <c r="D160" t="inlineStr">
        <is>
          <t>59</t>
        </is>
      </c>
      <c r="E160" t="inlineStr">
        <is>
          <t>Nord</t>
        </is>
      </c>
      <c r="F160" t="inlineStr">
        <is>
          <t>Hauts-de-France</t>
        </is>
      </c>
      <c r="G160" s="3" t="n">
        <v>1194040</v>
      </c>
      <c r="H160" t="n">
        <v>95</v>
      </c>
      <c r="I160" t="inlineStr">
        <is>
          <t>2 boulevard des Citées-Unies</t>
        </is>
      </c>
      <c r="J160" t="inlineStr">
        <is>
          <t>59000</t>
        </is>
      </c>
      <c r="K160" t="inlineStr">
        <is>
          <t>Lille</t>
        </is>
      </c>
      <c r="L160" t="inlineStr">
        <is>
          <t>03 20 21 22 23</t>
        </is>
      </c>
      <c r="M160" s="4" t="inlineStr">
        <is>
          <t>contact@lillemetropole.fr</t>
        </is>
      </c>
      <c r="N160" s="4" t="inlineStr">
        <is>
          <t>https://www.lillemetropole.fr/</t>
        </is>
      </c>
      <c r="O160" t="inlineStr"/>
      <c r="P160" s="4" t="inlineStr">
        <is>
          <t>https://lannuaire.service-public.gouv.fr/hauts-de-france/nord/11205853-0de1-4cd7-8410-c7cf6f498a3e</t>
        </is>
      </c>
      <c r="Q160" t="inlineStr">
        <is>
          <t>Annuaire Service-public.fr</t>
        </is>
      </c>
      <c r="R160" t="inlineStr"/>
      <c r="S160" t="inlineStr"/>
      <c r="T160" t="inlineStr"/>
    </row>
    <row r="161">
      <c r="A161" t="inlineStr">
        <is>
          <t>CA Creil Sud Oise</t>
        </is>
      </c>
      <c r="B161" t="inlineStr">
        <is>
          <t>Communauté d’agglomération</t>
        </is>
      </c>
      <c r="C161" t="inlineStr">
        <is>
          <t>200068047</t>
        </is>
      </c>
      <c r="D161" t="inlineStr">
        <is>
          <t>60</t>
        </is>
      </c>
      <c r="E161" t="inlineStr">
        <is>
          <t>Oise</t>
        </is>
      </c>
      <c r="F161" t="inlineStr">
        <is>
          <t>Hauts-de-France</t>
        </is>
      </c>
      <c r="G161" s="3" t="n">
        <v>89897</v>
      </c>
      <c r="H161" t="n">
        <v>11</v>
      </c>
      <c r="I161" t="inlineStr">
        <is>
          <t>24 rue de la Villageoise</t>
        </is>
      </c>
      <c r="J161" t="inlineStr">
        <is>
          <t>60100</t>
        </is>
      </c>
      <c r="K161" t="inlineStr">
        <is>
          <t>Creil</t>
        </is>
      </c>
      <c r="L161" t="inlineStr">
        <is>
          <t>03 44 64 74 74</t>
        </is>
      </c>
      <c r="M161" s="4" t="inlineStr">
        <is>
          <t>contact@creilsudoise.fr</t>
        </is>
      </c>
      <c r="N161" s="4" t="inlineStr">
        <is>
          <t>https://www.creilsudoise.fr/</t>
        </is>
      </c>
      <c r="O161" s="4" t="inlineStr">
        <is>
          <t>https://www.creilsudoise.fr/mon-actu/contact/</t>
        </is>
      </c>
      <c r="P161" s="4" t="inlineStr">
        <is>
          <t>https://lannuaire.service-public.gouv.fr/hauts-de-france/oise/2162ab3b-c15e-4994-9fc6-da4872fab180</t>
        </is>
      </c>
      <c r="Q161" t="inlineStr">
        <is>
          <t>Annuaire Service-public.fr</t>
        </is>
      </c>
      <c r="R161" t="inlineStr"/>
      <c r="S161" t="inlineStr"/>
      <c r="T161" t="inlineStr"/>
    </row>
    <row r="162">
      <c r="A162" t="inlineStr">
        <is>
          <t>CA de la Région de Compiègne et de la Basse Automne</t>
        </is>
      </c>
      <c r="B162" t="inlineStr">
        <is>
          <t>Communauté d’agglomération</t>
        </is>
      </c>
      <c r="C162" t="inlineStr">
        <is>
          <t>200067965</t>
        </is>
      </c>
      <c r="D162" t="inlineStr">
        <is>
          <t>60</t>
        </is>
      </c>
      <c r="E162" t="inlineStr">
        <is>
          <t>Oise</t>
        </is>
      </c>
      <c r="F162" t="inlineStr">
        <is>
          <t>Hauts-de-France</t>
        </is>
      </c>
      <c r="G162" s="3" t="n">
        <v>83708</v>
      </c>
      <c r="H162" t="n">
        <v>22</v>
      </c>
      <c r="I162" t="inlineStr">
        <is>
          <t>Place de l'Hôtel-de-Ville</t>
        </is>
      </c>
      <c r="J162" t="inlineStr">
        <is>
          <t>60320</t>
        </is>
      </c>
      <c r="K162" t="inlineStr">
        <is>
          <t>Compiègne</t>
        </is>
      </c>
      <c r="L162" t="inlineStr">
        <is>
          <t>03 44 40 76 00</t>
        </is>
      </c>
      <c r="M162" s="4" t="inlineStr">
        <is>
          <t>accueil@agglo-compiegne.fr</t>
        </is>
      </c>
      <c r="N162" s="4" t="inlineStr">
        <is>
          <t>https://www.agglo-compiegne.fr/</t>
        </is>
      </c>
      <c r="O162" s="4" t="inlineStr">
        <is>
          <t>https://www.agglo-compiegne.fr/nous-contacter</t>
        </is>
      </c>
      <c r="P162" s="4" t="inlineStr">
        <is>
          <t>https://lannuaire.service-public.gouv.fr/hauts-de-france/oise/aa07aa46-9b6a-4d03-8493-0dee4f481374</t>
        </is>
      </c>
      <c r="Q162" t="inlineStr">
        <is>
          <t>Annuaire Service-public.fr</t>
        </is>
      </c>
      <c r="R162" t="inlineStr"/>
      <c r="S162" t="inlineStr"/>
      <c r="T162" t="inlineStr"/>
    </row>
    <row r="163">
      <c r="A163" t="inlineStr">
        <is>
          <t>CA du Beauvaisis</t>
        </is>
      </c>
      <c r="B163" t="inlineStr">
        <is>
          <t>Communauté d’agglomération</t>
        </is>
      </c>
      <c r="C163" t="inlineStr">
        <is>
          <t>200067999</t>
        </is>
      </c>
      <c r="D163" t="inlineStr">
        <is>
          <t>60</t>
        </is>
      </c>
      <c r="E163" t="inlineStr">
        <is>
          <t>Oise</t>
        </is>
      </c>
      <c r="F163" t="inlineStr">
        <is>
          <t>Hauts-de-France</t>
        </is>
      </c>
      <c r="G163" s="3" t="n">
        <v>103404</v>
      </c>
      <c r="H163" t="n">
        <v>53</v>
      </c>
      <c r="I163" t="inlineStr">
        <is>
          <t>48 rue Desgroux, BP 90508</t>
        </is>
      </c>
      <c r="J163" t="inlineStr">
        <is>
          <t>60005</t>
        </is>
      </c>
      <c r="K163" t="inlineStr">
        <is>
          <t>Beauvais Cedex 5</t>
        </is>
      </c>
      <c r="L163" t="inlineStr">
        <is>
          <t>03 44 15 68 00</t>
        </is>
      </c>
      <c r="M163" s="4" t="inlineStr">
        <is>
          <t>contact@beauvaisis.fr</t>
        </is>
      </c>
      <c r="N163" s="4" t="inlineStr">
        <is>
          <t>https://www.beauvaisis.fr/</t>
        </is>
      </c>
      <c r="O163" s="4" t="inlineStr">
        <is>
          <t>http://www.beauvaisis.fr/communaute-agglomeration/nous-contacter.html</t>
        </is>
      </c>
      <c r="P163" s="4" t="inlineStr">
        <is>
          <t>https://lannuaire.service-public.gouv.fr/hauts-de-france/oise/556c0aac-f6fc-487c-96cd-e1bf24db6acc</t>
        </is>
      </c>
      <c r="Q163" t="inlineStr">
        <is>
          <t>Annuaire Service-public.fr</t>
        </is>
      </c>
      <c r="R163" t="inlineStr"/>
      <c r="S163" t="inlineStr"/>
      <c r="T163" t="inlineStr"/>
    </row>
    <row r="164">
      <c r="A164" t="inlineStr">
        <is>
          <t>CA Flers Agglo</t>
        </is>
      </c>
      <c r="B164" t="inlineStr">
        <is>
          <t>Communauté d’agglomération</t>
        </is>
      </c>
      <c r="C164" t="inlineStr">
        <is>
          <t>200035814</t>
        </is>
      </c>
      <c r="D164" t="inlineStr">
        <is>
          <t>61</t>
        </is>
      </c>
      <c r="E164" t="inlineStr">
        <is>
          <t>Orne</t>
        </is>
      </c>
      <c r="F164" t="inlineStr">
        <is>
          <t>Normandie</t>
        </is>
      </c>
      <c r="G164" s="3" t="n">
        <v>52509</v>
      </c>
      <c r="H164" t="n">
        <v>42</v>
      </c>
      <c r="I164" t="inlineStr">
        <is>
          <t>41 rue de la Boule</t>
        </is>
      </c>
      <c r="J164" t="inlineStr">
        <is>
          <t>61100</t>
        </is>
      </c>
      <c r="K164" t="inlineStr">
        <is>
          <t>Flers</t>
        </is>
      </c>
      <c r="L164" t="inlineStr">
        <is>
          <t>02 33 64 66 00</t>
        </is>
      </c>
      <c r="M164" s="4" t="inlineStr">
        <is>
          <t>accueil@flers-agglo.fr</t>
        </is>
      </c>
      <c r="N164" s="4" t="inlineStr">
        <is>
          <t>https://www.flers-agglo.fr/</t>
        </is>
      </c>
      <c r="O164" s="4" t="inlineStr">
        <is>
          <t>https://www.flers-agglo.fr/nous-contacter/</t>
        </is>
      </c>
      <c r="P164" s="4" t="inlineStr">
        <is>
          <t>https://lannuaire.service-public.gouv.fr/normandie/orne/49558ef4-24ad-444c-b343-a655e03e15fb</t>
        </is>
      </c>
      <c r="Q164" t="inlineStr">
        <is>
          <t>Annuaire Service-public.fr</t>
        </is>
      </c>
      <c r="R164" t="inlineStr"/>
      <c r="S164" t="inlineStr"/>
      <c r="T164" t="inlineStr"/>
    </row>
    <row r="165">
      <c r="A165" t="inlineStr">
        <is>
          <t>CU d'Alençon</t>
        </is>
      </c>
      <c r="B165" t="inlineStr">
        <is>
          <t>Communauté urbaine</t>
        </is>
      </c>
      <c r="C165" t="inlineStr">
        <is>
          <t>246100663</t>
        </is>
      </c>
      <c r="D165" t="inlineStr">
        <is>
          <t>61, 72</t>
        </is>
      </c>
      <c r="E165" t="inlineStr">
        <is>
          <t>Orne, Sarthe</t>
        </is>
      </c>
      <c r="F165" t="inlineStr">
        <is>
          <t>Normandie, Pays de la Loire</t>
        </is>
      </c>
      <c r="G165" s="3" t="n">
        <v>55405</v>
      </c>
      <c r="H165" t="n">
        <v>31</v>
      </c>
      <c r="I165" t="inlineStr">
        <is>
          <t>Place du Maréchal-Foch, BP 362</t>
        </is>
      </c>
      <c r="J165" t="inlineStr">
        <is>
          <t>61014</t>
        </is>
      </c>
      <c r="K165" t="inlineStr">
        <is>
          <t>Alençon Cedex</t>
        </is>
      </c>
      <c r="L165" t="inlineStr">
        <is>
          <t>02 33 32 40 00</t>
        </is>
      </c>
      <c r="M165" s="4" t="inlineStr">
        <is>
          <t>cabinet@cu-alencon.fr</t>
        </is>
      </c>
      <c r="N165" s="4" t="inlineStr">
        <is>
          <t>https://www.cu-alencon.fr/</t>
        </is>
      </c>
      <c r="O165" s="4" t="inlineStr">
        <is>
          <t>https://www.cu-alencon.fr/contact/</t>
        </is>
      </c>
      <c r="P165" s="4" t="inlineStr">
        <is>
          <t>https://lannuaire.service-public.gouv.fr/normandie/orne/813f7994-06aa-4369-96f8-8a81dc707c24</t>
        </is>
      </c>
      <c r="Q165" t="inlineStr">
        <is>
          <t>Annuaire Service-public.fr</t>
        </is>
      </c>
      <c r="R165" t="inlineStr"/>
      <c r="S165" t="inlineStr"/>
      <c r="T165" t="inlineStr"/>
    </row>
    <row r="166">
      <c r="A166" t="inlineStr">
        <is>
          <t>CA Grand Calais Terres et Mers</t>
        </is>
      </c>
      <c r="B166" t="inlineStr">
        <is>
          <t>Communauté d’agglomération</t>
        </is>
      </c>
      <c r="C166" t="inlineStr">
        <is>
          <t>200090751</t>
        </is>
      </c>
      <c r="D166" t="inlineStr">
        <is>
          <t>62</t>
        </is>
      </c>
      <c r="E166" t="inlineStr">
        <is>
          <t>Pas-de-Calais</t>
        </is>
      </c>
      <c r="F166" t="inlineStr">
        <is>
          <t>Hauts-de-France</t>
        </is>
      </c>
      <c r="G166" s="3" t="n">
        <v>98913</v>
      </c>
      <c r="H166" t="n">
        <v>14</v>
      </c>
      <c r="I166" t="inlineStr">
        <is>
          <t>76 boulevard Gambetta</t>
        </is>
      </c>
      <c r="J166" t="inlineStr">
        <is>
          <t>62100</t>
        </is>
      </c>
      <c r="K166" t="inlineStr">
        <is>
          <t>Calais</t>
        </is>
      </c>
      <c r="L166" t="inlineStr">
        <is>
          <t>03 21 19 55 00</t>
        </is>
      </c>
      <c r="M166" s="4" t="inlineStr">
        <is>
          <t>info@grandcalais.fr</t>
        </is>
      </c>
      <c r="N166" s="4" t="inlineStr">
        <is>
          <t>https://www.grandcalais.fr/</t>
        </is>
      </c>
      <c r="O166" s="4" t="inlineStr">
        <is>
          <t>https://www.grandcalais.fr/linstitution-2/nous-contacter/</t>
        </is>
      </c>
      <c r="P166" s="4" t="inlineStr">
        <is>
          <t>https://lannuaire.service-public.gouv.fr/hauts-de-france/pas-de-calais/6957769e-da94-45fb-afac-29ec81b879bd</t>
        </is>
      </c>
      <c r="Q166" t="inlineStr">
        <is>
          <t>Annuaire Service-public.fr</t>
        </is>
      </c>
      <c r="R166" t="inlineStr"/>
      <c r="S166" t="inlineStr"/>
      <c r="T166" t="inlineStr"/>
    </row>
    <row r="167">
      <c r="A167" t="inlineStr">
        <is>
          <t>CA d'Hénin-Carvin</t>
        </is>
      </c>
      <c r="B167" t="inlineStr">
        <is>
          <t>Communauté d’agglomération</t>
        </is>
      </c>
      <c r="C167" t="inlineStr">
        <is>
          <t>246200299</t>
        </is>
      </c>
      <c r="D167" t="inlineStr">
        <is>
          <t>62</t>
        </is>
      </c>
      <c r="E167" t="inlineStr">
        <is>
          <t>Pas-de-Calais</t>
        </is>
      </c>
      <c r="F167" t="inlineStr">
        <is>
          <t>Hauts-de-France</t>
        </is>
      </c>
      <c r="G167" s="3" t="n">
        <v>126133</v>
      </c>
      <c r="H167" t="n">
        <v>14</v>
      </c>
      <c r="I167" t="inlineStr">
        <is>
          <t>242 boulevard Albert-Schweitzer</t>
        </is>
      </c>
      <c r="J167" t="inlineStr">
        <is>
          <t>62250</t>
        </is>
      </c>
      <c r="K167" t="inlineStr">
        <is>
          <t>Hénin-Beaumont</t>
        </is>
      </c>
      <c r="L167" t="inlineStr">
        <is>
          <t>03 21 79 13 79</t>
        </is>
      </c>
      <c r="M167" s="4" t="inlineStr">
        <is>
          <t>communication@agglo-henincarvin.fr</t>
        </is>
      </c>
      <c r="N167" s="4" t="inlineStr">
        <is>
          <t>https://www.agglo-henincarvin.fr/</t>
        </is>
      </c>
      <c r="O167" s="4" t="inlineStr">
        <is>
          <t>https://www.agglo-henincarvin.fr/Nous-contacter</t>
        </is>
      </c>
      <c r="P167" s="4" t="inlineStr">
        <is>
          <t>https://lannuaire.service-public.gouv.fr/hauts-de-france/pas-de-calais/1814283b-94c6-42b8-a0be-48ac94a2dae3</t>
        </is>
      </c>
      <c r="Q167" t="inlineStr">
        <is>
          <t>Annuaire Service-public.fr</t>
        </is>
      </c>
      <c r="R167" t="inlineStr"/>
      <c r="S167" t="inlineStr"/>
      <c r="T167" t="inlineStr"/>
    </row>
    <row r="168">
      <c r="A168" t="inlineStr">
        <is>
          <t>CA de Béthune-Bruay, Artois-Lys Romane</t>
        </is>
      </c>
      <c r="B168" t="inlineStr">
        <is>
          <t>Communauté d’agglomération</t>
        </is>
      </c>
      <c r="C168" t="inlineStr">
        <is>
          <t>200072460</t>
        </is>
      </c>
      <c r="D168" t="inlineStr">
        <is>
          <t>62</t>
        </is>
      </c>
      <c r="E168" t="inlineStr">
        <is>
          <t>Pas-de-Calais</t>
        </is>
      </c>
      <c r="F168" t="inlineStr">
        <is>
          <t>Hauts-de-France</t>
        </is>
      </c>
      <c r="G168" s="3" t="n">
        <v>275736</v>
      </c>
      <c r="H168" t="n">
        <v>100</v>
      </c>
      <c r="I168" t="inlineStr">
        <is>
          <t>100 avenue de Londres</t>
        </is>
      </c>
      <c r="J168" t="inlineStr">
        <is>
          <t>62400</t>
        </is>
      </c>
      <c r="K168" t="inlineStr">
        <is>
          <t>Béthune</t>
        </is>
      </c>
      <c r="L168" t="inlineStr">
        <is>
          <t>03 21 61 50 00</t>
        </is>
      </c>
      <c r="M168" s="4" t="inlineStr">
        <is>
          <t>contact@bethunebruay.fr</t>
        </is>
      </c>
      <c r="N168" s="4" t="inlineStr">
        <is>
          <t>https://www.bethunebruay.fr/</t>
        </is>
      </c>
      <c r="O168" s="4" t="inlineStr">
        <is>
          <t>https://formulaires.demarches.bethunebruay.fr/contact/demande-generale/</t>
        </is>
      </c>
      <c r="P168" s="4" t="inlineStr">
        <is>
          <t>https://lannuaire.service-public.gouv.fr/hauts-de-france/pas-de-calais/ec3fce83-3fd8-45da-8906-d4f515c839e9</t>
        </is>
      </c>
      <c r="Q168" t="inlineStr">
        <is>
          <t>Annuaire Service-public.fr</t>
        </is>
      </c>
      <c r="R168" t="inlineStr"/>
      <c r="S168" t="inlineStr"/>
      <c r="T168" t="inlineStr"/>
    </row>
    <row r="169">
      <c r="A169" t="inlineStr">
        <is>
          <t>CA de Lens - Liévin</t>
        </is>
      </c>
      <c r="B169" t="inlineStr">
        <is>
          <t>Communauté d’agglomération</t>
        </is>
      </c>
      <c r="C169" t="inlineStr">
        <is>
          <t>246200364</t>
        </is>
      </c>
      <c r="D169" t="inlineStr">
        <is>
          <t>62</t>
        </is>
      </c>
      <c r="E169" t="inlineStr">
        <is>
          <t>Pas-de-Calais</t>
        </is>
      </c>
      <c r="F169" t="inlineStr">
        <is>
          <t>Hauts-de-France</t>
        </is>
      </c>
      <c r="G169" s="3" t="n">
        <v>242591</v>
      </c>
      <c r="H169" t="n">
        <v>36</v>
      </c>
      <c r="I169" t="inlineStr">
        <is>
          <t>21 rue Marcel-Sembat</t>
        </is>
      </c>
      <c r="J169" t="inlineStr">
        <is>
          <t>62300</t>
        </is>
      </c>
      <c r="K169" t="inlineStr">
        <is>
          <t>Lens</t>
        </is>
      </c>
      <c r="L169" t="inlineStr">
        <is>
          <t>03 21 79 07 90</t>
        </is>
      </c>
      <c r="M169" s="4" t="inlineStr">
        <is>
          <t>contact@agglo-lenslievin.fr</t>
        </is>
      </c>
      <c r="N169" s="4" t="inlineStr">
        <is>
          <t>https://www.agglo-lenslievin.fr/</t>
        </is>
      </c>
      <c r="O169" s="4" t="inlineStr">
        <is>
          <t>https://www.agglo-lenslievin.fr/lagglomeration-pratique/contact/</t>
        </is>
      </c>
      <c r="P169" s="4" t="inlineStr">
        <is>
          <t>https://lannuaire.service-public.gouv.fr/hauts-de-france/pas-de-calais/5544c465-ec24-4b32-a967-adbc5943fca6</t>
        </is>
      </c>
      <c r="Q169" t="inlineStr">
        <is>
          <t>Annuaire Service-public.fr</t>
        </is>
      </c>
      <c r="R169" t="inlineStr"/>
      <c r="S169" t="inlineStr"/>
      <c r="T169" t="inlineStr"/>
    </row>
    <row r="170">
      <c r="A170" t="inlineStr">
        <is>
          <t>CA des Deux Baies en Montreuillois</t>
        </is>
      </c>
      <c r="B170" t="inlineStr">
        <is>
          <t>Communauté d’agglomération</t>
        </is>
      </c>
      <c r="C170" t="inlineStr">
        <is>
          <t>200069029</t>
        </is>
      </c>
      <c r="D170" t="inlineStr">
        <is>
          <t>62</t>
        </is>
      </c>
      <c r="E170" t="inlineStr">
        <is>
          <t>Pas-de-Calais</t>
        </is>
      </c>
      <c r="F170" t="inlineStr">
        <is>
          <t>Hauts-de-France</t>
        </is>
      </c>
      <c r="G170" s="3" t="n">
        <v>65084</v>
      </c>
      <c r="H170" t="n">
        <v>46</v>
      </c>
      <c r="I170" t="inlineStr">
        <is>
          <t>11-13 place Gambetta</t>
        </is>
      </c>
      <c r="J170" t="inlineStr">
        <is>
          <t>62170</t>
        </is>
      </c>
      <c r="K170" t="inlineStr">
        <is>
          <t>Montreuil</t>
        </is>
      </c>
      <c r="L170" t="inlineStr">
        <is>
          <t>03 21 06 66 66</t>
        </is>
      </c>
      <c r="M170" s="4" t="inlineStr">
        <is>
          <t>contact@ca2bm.fr</t>
        </is>
      </c>
      <c r="N170" s="4" t="inlineStr">
        <is>
          <t>https://www.ca2bm.fr/</t>
        </is>
      </c>
      <c r="O170" t="inlineStr"/>
      <c r="P170" s="4" t="inlineStr">
        <is>
          <t>https://lannuaire.service-public.gouv.fr/hauts-de-france/pas-de-calais/ca25a1bc-da52-4f3c-aaa6-e9d6b4e0cbba</t>
        </is>
      </c>
      <c r="Q170" t="inlineStr">
        <is>
          <t>Annuaire Service-public.fr</t>
        </is>
      </c>
      <c r="R170" t="inlineStr"/>
      <c r="S170" t="inlineStr"/>
      <c r="T170" t="inlineStr"/>
    </row>
    <row r="171">
      <c r="A171" t="inlineStr">
        <is>
          <t>CA du Boulonnais</t>
        </is>
      </c>
      <c r="B171" t="inlineStr">
        <is>
          <t>Communauté d’agglomération</t>
        </is>
      </c>
      <c r="C171" t="inlineStr">
        <is>
          <t>246200729</t>
        </is>
      </c>
      <c r="D171" t="inlineStr">
        <is>
          <t>62</t>
        </is>
      </c>
      <c r="E171" t="inlineStr">
        <is>
          <t>Pas-de-Calais</t>
        </is>
      </c>
      <c r="F171" t="inlineStr">
        <is>
          <t>Hauts-de-France</t>
        </is>
      </c>
      <c r="G171" s="3" t="n">
        <v>112463</v>
      </c>
      <c r="H171" t="n">
        <v>22</v>
      </c>
      <c r="I171" t="inlineStr">
        <is>
          <t>1 boulevard du Bassin-Napoléon</t>
        </is>
      </c>
      <c r="J171" t="inlineStr">
        <is>
          <t>62200</t>
        </is>
      </c>
      <c r="K171" t="inlineStr">
        <is>
          <t>Boulogne-sur-Mer</t>
        </is>
      </c>
      <c r="L171" t="inlineStr">
        <is>
          <t>03 21 10 36 36</t>
        </is>
      </c>
      <c r="M171" s="4" t="inlineStr">
        <is>
          <t>contact@agglo-boulonnais.fr</t>
        </is>
      </c>
      <c r="N171" s="4" t="inlineStr">
        <is>
          <t>https://www.agglo-boulonnais.fr/</t>
        </is>
      </c>
      <c r="O171" s="4" t="inlineStr">
        <is>
          <t>https://www.agglo-boulonnais.fr/pages-pratiques/contact</t>
        </is>
      </c>
      <c r="P171" s="4" t="inlineStr">
        <is>
          <t>https://lannuaire.service-public.gouv.fr/hauts-de-france/pas-de-calais/d2d3c836-791d-4cff-a90f-da130f5f4283</t>
        </is>
      </c>
      <c r="Q171" t="inlineStr">
        <is>
          <t>Annuaire Service-public.fr</t>
        </is>
      </c>
      <c r="R171" t="inlineStr"/>
      <c r="S171" t="inlineStr"/>
      <c r="T171" t="inlineStr"/>
    </row>
    <row r="172">
      <c r="A172" t="inlineStr">
        <is>
          <t>CA du Pays de Saint-Omer</t>
        </is>
      </c>
      <c r="B172" t="inlineStr">
        <is>
          <t>Communauté d’agglomération</t>
        </is>
      </c>
      <c r="C172" t="inlineStr">
        <is>
          <t>200069037</t>
        </is>
      </c>
      <c r="D172" t="inlineStr">
        <is>
          <t>62</t>
        </is>
      </c>
      <c r="E172" t="inlineStr">
        <is>
          <t>Pas-de-Calais</t>
        </is>
      </c>
      <c r="F172" t="inlineStr">
        <is>
          <t>Hauts-de-France</t>
        </is>
      </c>
      <c r="G172" s="3" t="n">
        <v>104320</v>
      </c>
      <c r="H172" t="n">
        <v>53</v>
      </c>
      <c r="I172" t="inlineStr">
        <is>
          <t>2 rue Albert-Camus</t>
        </is>
      </c>
      <c r="J172" t="inlineStr">
        <is>
          <t>62219</t>
        </is>
      </c>
      <c r="K172" t="inlineStr">
        <is>
          <t>Longuenesse</t>
        </is>
      </c>
      <c r="L172" t="inlineStr">
        <is>
          <t>03 74 18 20 00</t>
        </is>
      </c>
      <c r="M172" s="4" t="inlineStr">
        <is>
          <t>contact@ca-pso.fr</t>
        </is>
      </c>
      <c r="N172" s="4" t="inlineStr">
        <is>
          <t>https://www.ca-pso.fr</t>
        </is>
      </c>
      <c r="O172" s="4" t="inlineStr">
        <is>
          <t>https://www.ca-pso.fr/contact/</t>
        </is>
      </c>
      <c r="P172" s="4" t="inlineStr">
        <is>
          <t>https://lannuaire.service-public.gouv.fr/hauts-de-france/pas-de-calais/fdff0965-fc8c-44ea-bec7-9e15e37c9387</t>
        </is>
      </c>
      <c r="Q172" t="inlineStr">
        <is>
          <t>Annuaire Service-public.fr</t>
        </is>
      </c>
      <c r="R172" t="inlineStr"/>
      <c r="S172" t="inlineStr"/>
      <c r="T172" t="inlineStr"/>
    </row>
    <row r="173">
      <c r="A173" t="inlineStr">
        <is>
          <t>CU d'Arras</t>
        </is>
      </c>
      <c r="B173" t="inlineStr">
        <is>
          <t>Communauté urbaine</t>
        </is>
      </c>
      <c r="C173" t="inlineStr">
        <is>
          <t>200033579</t>
        </is>
      </c>
      <c r="D173" t="inlineStr">
        <is>
          <t>62</t>
        </is>
      </c>
      <c r="E173" t="inlineStr">
        <is>
          <t>Pas-de-Calais</t>
        </is>
      </c>
      <c r="F173" t="inlineStr">
        <is>
          <t>Hauts-de-France</t>
        </is>
      </c>
      <c r="G173" s="3" t="n">
        <v>109781</v>
      </c>
      <c r="H173" t="n">
        <v>46</v>
      </c>
      <c r="I173" t="inlineStr">
        <is>
          <t>146 allée du Bastion-de-la-Reine, La Citadelle</t>
        </is>
      </c>
      <c r="J173" t="inlineStr">
        <is>
          <t>62000</t>
        </is>
      </c>
      <c r="K173" t="inlineStr">
        <is>
          <t>Arras</t>
        </is>
      </c>
      <c r="L173" t="inlineStr">
        <is>
          <t>03 21 21 87 00</t>
        </is>
      </c>
      <c r="M173" s="4" t="inlineStr">
        <is>
          <t>contact@cu-arras.org</t>
        </is>
      </c>
      <c r="N173" s="4" t="inlineStr">
        <is>
          <t>https://www.cu-arras.fr/</t>
        </is>
      </c>
      <c r="O173" s="4" t="inlineStr">
        <is>
          <t>https://www.cu-arras.fr/</t>
        </is>
      </c>
      <c r="P173" s="4" t="inlineStr">
        <is>
          <t>https://lannuaire.service-public.gouv.fr/hauts-de-france/pas-de-calais/2c22fe9e-f835-48fd-a1a9-edbfb18c2276</t>
        </is>
      </c>
      <c r="Q173" t="inlineStr">
        <is>
          <t>Annuaire Service-public.fr</t>
        </is>
      </c>
      <c r="R173" t="inlineStr"/>
      <c r="S173" t="inlineStr"/>
      <c r="T173" t="inlineStr"/>
    </row>
    <row r="174">
      <c r="A174" t="inlineStr">
        <is>
          <t>CA Agglo Pays d'Issoire</t>
        </is>
      </c>
      <c r="B174" t="inlineStr">
        <is>
          <t>Communauté d’agglomération</t>
        </is>
      </c>
      <c r="C174" t="inlineStr">
        <is>
          <t>200070407</t>
        </is>
      </c>
      <c r="D174" t="inlineStr">
        <is>
          <t>63</t>
        </is>
      </c>
      <c r="E174" t="inlineStr">
        <is>
          <t>Puy-de-Dôme</t>
        </is>
      </c>
      <c r="F174" t="inlineStr">
        <is>
          <t>Auvergne-Rhône-Alpes</t>
        </is>
      </c>
      <c r="G174" s="3" t="n">
        <v>56681</v>
      </c>
      <c r="H174" t="n">
        <v>87</v>
      </c>
      <c r="I174" t="inlineStr">
        <is>
          <t>20 rue de la Liberté</t>
        </is>
      </c>
      <c r="J174" t="inlineStr">
        <is>
          <t>63504</t>
        </is>
      </c>
      <c r="K174" t="inlineStr">
        <is>
          <t>Issoire</t>
        </is>
      </c>
      <c r="L174" t="inlineStr">
        <is>
          <t>04 15 62 20 00</t>
        </is>
      </c>
      <c r="M174" s="4" t="inlineStr">
        <is>
          <t>acceuil@capissoire.fr</t>
        </is>
      </c>
      <c r="N174" s="4" t="inlineStr">
        <is>
          <t>https://www.capissoire.fr/</t>
        </is>
      </c>
      <c r="O174" s="4" t="inlineStr">
        <is>
          <t>https://www.capissoire.fr/nous-contacter/</t>
        </is>
      </c>
      <c r="P174" s="4" t="inlineStr">
        <is>
          <t>https://lannuaire.service-public.gouv.fr/auvergne-rhone-alpes/puy-de-dome/b9295536-d66a-45ad-8952-bb5d549d01d9</t>
        </is>
      </c>
      <c r="Q174" t="inlineStr">
        <is>
          <t>Annuaire Service-public.fr</t>
        </is>
      </c>
      <c r="R174" t="inlineStr"/>
      <c r="S174" t="inlineStr"/>
      <c r="T174" t="inlineStr"/>
    </row>
    <row r="175">
      <c r="A175" t="inlineStr">
        <is>
          <t>CA Riom Limagne et Volcans</t>
        </is>
      </c>
      <c r="B175" t="inlineStr">
        <is>
          <t>Communauté d’agglomération</t>
        </is>
      </c>
      <c r="C175" t="inlineStr">
        <is>
          <t>200070753</t>
        </is>
      </c>
      <c r="D175" t="inlineStr">
        <is>
          <t>63</t>
        </is>
      </c>
      <c r="E175" t="inlineStr">
        <is>
          <t>Puy-de-Dôme</t>
        </is>
      </c>
      <c r="F175" t="inlineStr">
        <is>
          <t>Auvergne-Rhône-Alpes</t>
        </is>
      </c>
      <c r="G175" s="3" t="n">
        <v>68319</v>
      </c>
      <c r="H175" t="n">
        <v>31</v>
      </c>
      <c r="I175" t="inlineStr">
        <is>
          <t>8 rue Grégoire-de-Tours</t>
        </is>
      </c>
      <c r="J175" t="inlineStr">
        <is>
          <t>63200</t>
        </is>
      </c>
      <c r="K175" t="inlineStr">
        <is>
          <t>Riom</t>
        </is>
      </c>
      <c r="L175" t="inlineStr">
        <is>
          <t>04 73 67 11 00</t>
        </is>
      </c>
      <c r="M175" s="4" t="inlineStr">
        <is>
          <t>contact@rlv.eu</t>
        </is>
      </c>
      <c r="N175" s="4" t="inlineStr">
        <is>
          <t>https://www.rlv.eu/</t>
        </is>
      </c>
      <c r="O175" s="4" t="inlineStr">
        <is>
          <t>https://www.rlv.eu/contact</t>
        </is>
      </c>
      <c r="P175" s="4" t="inlineStr">
        <is>
          <t>https://lannuaire.service-public.gouv.fr/auvergne-rhone-alpes/puy-de-dome/84828004-7159-47b0-85c4-068e20244355</t>
        </is>
      </c>
      <c r="Q175" t="inlineStr">
        <is>
          <t>Annuaire Service-public.fr</t>
        </is>
      </c>
      <c r="R175" t="inlineStr"/>
      <c r="S175" t="inlineStr"/>
      <c r="T175" t="inlineStr"/>
    </row>
    <row r="176">
      <c r="A176" t="inlineStr">
        <is>
          <t>Clermont Auvergne Métropole</t>
        </is>
      </c>
      <c r="B176" t="inlineStr">
        <is>
          <t>Métropole</t>
        </is>
      </c>
      <c r="C176" t="inlineStr">
        <is>
          <t>246300701</t>
        </is>
      </c>
      <c r="D176" t="inlineStr">
        <is>
          <t>63</t>
        </is>
      </c>
      <c r="E176" t="inlineStr">
        <is>
          <t>Puy-de-Dôme</t>
        </is>
      </c>
      <c r="F176" t="inlineStr">
        <is>
          <t>Auvergne-Rhône-Alpes</t>
        </is>
      </c>
      <c r="G176" s="3" t="n">
        <v>296677</v>
      </c>
      <c r="H176" t="n">
        <v>21</v>
      </c>
      <c r="I176" t="inlineStr">
        <is>
          <t>64-66 avenue de l'Union-Soviétique, BP 231</t>
        </is>
      </c>
      <c r="J176" t="inlineStr">
        <is>
          <t>63007</t>
        </is>
      </c>
      <c r="K176" t="inlineStr">
        <is>
          <t>Clermont-Ferrand Cedex 1</t>
        </is>
      </c>
      <c r="L176" t="inlineStr">
        <is>
          <t>04 73 98 34 00</t>
        </is>
      </c>
      <c r="M176" s="4" t="inlineStr">
        <is>
          <t>communication@clermontmetropole.eu</t>
        </is>
      </c>
      <c r="N176" s="4" t="inlineStr">
        <is>
          <t>http://www.clermontmetropole.fr</t>
        </is>
      </c>
      <c r="O176" t="inlineStr"/>
      <c r="P176" s="4" t="inlineStr">
        <is>
          <t>https://lannuaire.service-public.gouv.fr/auvergne-rhone-alpes/puy-de-dome/0e9015bf-78dd-46d4-afbe-96b556e74cde</t>
        </is>
      </c>
      <c r="Q176" t="inlineStr">
        <is>
          <t>Annuaire Service-public.fr</t>
        </is>
      </c>
      <c r="R176" t="inlineStr"/>
      <c r="S176" t="inlineStr"/>
      <c r="T176" t="inlineStr"/>
    </row>
    <row r="177">
      <c r="A177" t="inlineStr">
        <is>
          <t>CA Pau Béarn Pyrénées</t>
        </is>
      </c>
      <c r="B177" t="inlineStr">
        <is>
          <t>Communauté d’agglomération</t>
        </is>
      </c>
      <c r="C177" t="inlineStr">
        <is>
          <t>200067254</t>
        </is>
      </c>
      <c r="D177" t="inlineStr">
        <is>
          <t>64</t>
        </is>
      </c>
      <c r="E177" t="inlineStr">
        <is>
          <t>Pyrénées-Atlantiques</t>
        </is>
      </c>
      <c r="F177" t="inlineStr">
        <is>
          <t>Nouvelle-Aquitaine</t>
        </is>
      </c>
      <c r="G177" s="3" t="n">
        <v>166794</v>
      </c>
      <c r="H177" t="n">
        <v>31</v>
      </c>
      <c r="I177" t="inlineStr">
        <is>
          <t>2 bis place Royale</t>
        </is>
      </c>
      <c r="J177" t="inlineStr">
        <is>
          <t>64000</t>
        </is>
      </c>
      <c r="K177" t="inlineStr">
        <is>
          <t>Pau</t>
        </is>
      </c>
      <c r="L177" t="inlineStr">
        <is>
          <t>05 59 27 85 80</t>
        </is>
      </c>
      <c r="M177" s="4" t="inlineStr">
        <is>
          <t>courrier@ville-pau.fr</t>
        </is>
      </c>
      <c r="N177" s="4" t="inlineStr">
        <is>
          <t>https://www.pau.fr/</t>
        </is>
      </c>
      <c r="O177" t="inlineStr"/>
      <c r="P177" s="4" t="inlineStr">
        <is>
          <t>https://lannuaire.service-public.gouv.fr/nouvelle-aquitaine/pyrenees-atlantiques/dd849c87-29f9-4599-a837-14ef15a92858</t>
        </is>
      </c>
      <c r="Q177" t="inlineStr">
        <is>
          <t>Annuaire Service-public.fr</t>
        </is>
      </c>
      <c r="R177" t="inlineStr"/>
      <c r="S177" t="inlineStr"/>
      <c r="T177" t="inlineStr"/>
    </row>
    <row r="178">
      <c r="A178" t="inlineStr">
        <is>
          <t>CA du Pays Basque</t>
        </is>
      </c>
      <c r="B178" t="inlineStr">
        <is>
          <t>Communauté d’agglomération</t>
        </is>
      </c>
      <c r="C178" t="inlineStr">
        <is>
          <t>200067106</t>
        </is>
      </c>
      <c r="D178" t="inlineStr">
        <is>
          <t>64</t>
        </is>
      </c>
      <c r="E178" t="inlineStr">
        <is>
          <t>Pyrénées-Atlantiques</t>
        </is>
      </c>
      <c r="F178" t="inlineStr">
        <is>
          <t>Nouvelle-Aquitaine</t>
        </is>
      </c>
      <c r="G178" s="3" t="n">
        <v>325721</v>
      </c>
      <c r="H178" t="n">
        <v>158</v>
      </c>
      <c r="I178" t="inlineStr">
        <is>
          <t>15 avenue du Maréchal-Foch, CS 88507</t>
        </is>
      </c>
      <c r="J178" t="inlineStr">
        <is>
          <t>64185</t>
        </is>
      </c>
      <c r="K178" t="inlineStr">
        <is>
          <t>Bayonne Cedex</t>
        </is>
      </c>
      <c r="L178" t="inlineStr">
        <is>
          <t>05 59 44 72 72</t>
        </is>
      </c>
      <c r="M178" s="4" t="inlineStr">
        <is>
          <t>contact@communaute-paysbasque.fr</t>
        </is>
      </c>
      <c r="N178" s="4" t="inlineStr">
        <is>
          <t>https://www.communaute-paysbasque.fr/</t>
        </is>
      </c>
      <c r="O178" s="4" t="inlineStr">
        <is>
          <t>https://www.communaute-paysbasque.fr/mes-demarches/demarches/contacter-les-services-de-la-communaute-pays-basque</t>
        </is>
      </c>
      <c r="P178" s="4" t="inlineStr">
        <is>
          <t>https://lannuaire.service-public.gouv.fr/nouvelle-aquitaine/pyrenees-atlantiques/c4d86624-1bd8-485a-b767-b338e6964dc3</t>
        </is>
      </c>
      <c r="Q178" t="inlineStr">
        <is>
          <t>Annuaire Service-public.fr</t>
        </is>
      </c>
      <c r="R178" t="inlineStr"/>
      <c r="S178" t="inlineStr"/>
      <c r="T178" t="inlineStr"/>
    </row>
    <row r="179">
      <c r="A179" t="inlineStr">
        <is>
          <t>CA Tarbes-Lourdes-Pyrénées</t>
        </is>
      </c>
      <c r="B179" t="inlineStr">
        <is>
          <t>Communauté d’agglomération</t>
        </is>
      </c>
      <c r="C179" t="inlineStr">
        <is>
          <t>200069300</t>
        </is>
      </c>
      <c r="D179" t="inlineStr">
        <is>
          <t>65</t>
        </is>
      </c>
      <c r="E179" t="inlineStr">
        <is>
          <t>Hautes-Pyrénées</t>
        </is>
      </c>
      <c r="F179" t="inlineStr">
        <is>
          <t>Occitanie</t>
        </is>
      </c>
      <c r="G179" s="3" t="n">
        <v>127612</v>
      </c>
      <c r="H179" t="n">
        <v>86</v>
      </c>
      <c r="I179" t="inlineStr">
        <is>
          <t>Zone tertiaire Pyrène-Aéro-Pôle, Téléport 1</t>
        </is>
      </c>
      <c r="J179" t="inlineStr">
        <is>
          <t>65000</t>
        </is>
      </c>
      <c r="K179" t="inlineStr">
        <is>
          <t>Tarbes</t>
        </is>
      </c>
      <c r="L179" t="inlineStr">
        <is>
          <t>05 62 32 98 85</t>
        </is>
      </c>
      <c r="M179" t="inlineStr"/>
      <c r="N179" s="4" t="inlineStr">
        <is>
          <t>https://www.agglo-tlp.fr/</t>
        </is>
      </c>
      <c r="O179" s="4" t="inlineStr">
        <is>
          <t>https://www.agglo-tlp.fr/page/contact</t>
        </is>
      </c>
      <c r="P179" s="4" t="inlineStr">
        <is>
          <t>https://lannuaire.service-public.gouv.fr/occitanie/hautes-pyrenees/75a170b6-528b-456c-aec0-fe339a3a01df</t>
        </is>
      </c>
      <c r="Q179" t="inlineStr">
        <is>
          <t>Annuaire Service-public.fr</t>
        </is>
      </c>
      <c r="R179" t="inlineStr"/>
      <c r="S179" t="inlineStr"/>
      <c r="T179" t="inlineStr"/>
    </row>
    <row r="180">
      <c r="A180" t="inlineStr">
        <is>
          <t>CU Perpignan Méditerranée Métropole</t>
        </is>
      </c>
      <c r="B180" t="inlineStr">
        <is>
          <t>Communauté urbaine</t>
        </is>
      </c>
      <c r="C180" t="inlineStr">
        <is>
          <t>200027183</t>
        </is>
      </c>
      <c r="D180" t="inlineStr">
        <is>
          <t>66</t>
        </is>
      </c>
      <c r="E180" t="inlineStr">
        <is>
          <t>Pyrénées-Orientales</t>
        </is>
      </c>
      <c r="F180" t="inlineStr">
        <is>
          <t>Occitanie</t>
        </is>
      </c>
      <c r="G180" s="3" t="n">
        <v>277926</v>
      </c>
      <c r="H180" t="n">
        <v>37</v>
      </c>
      <c r="I180" t="inlineStr">
        <is>
          <t>11 boulevard Saint-Assiscle, BP 20641</t>
        </is>
      </c>
      <c r="J180" t="inlineStr">
        <is>
          <t>66006</t>
        </is>
      </c>
      <c r="K180" t="inlineStr">
        <is>
          <t>Perpignan Cedex</t>
        </is>
      </c>
      <c r="L180" t="inlineStr">
        <is>
          <t>04 68 08 60 00</t>
        </is>
      </c>
      <c r="M180" s="4" t="inlineStr">
        <is>
          <t>accueil.pmca@perpignan-mediterranee.org</t>
        </is>
      </c>
      <c r="N180" s="4" t="inlineStr">
        <is>
          <t>https://www.perpignanmediterraneemetropole.fr</t>
        </is>
      </c>
      <c r="O180" t="inlineStr"/>
      <c r="P180" s="4" t="inlineStr">
        <is>
          <t>https://lannuaire.service-public.gouv.fr/occitanie/pyrenees-orientales/a970b8c1-9090-488e-9308-7332c4cf83f2</t>
        </is>
      </c>
      <c r="Q180" t="inlineStr">
        <is>
          <t>Annuaire Service-public.fr</t>
        </is>
      </c>
      <c r="R180" t="inlineStr"/>
      <c r="S180" t="inlineStr"/>
      <c r="T180" t="inlineStr"/>
    </row>
    <row r="181">
      <c r="A181" t="inlineStr">
        <is>
          <t>CA de Haguenau</t>
        </is>
      </c>
      <c r="B181" t="inlineStr">
        <is>
          <t>Communauté d’agglomération</t>
        </is>
      </c>
      <c r="C181" t="inlineStr">
        <is>
          <t>200067874</t>
        </is>
      </c>
      <c r="D181" t="inlineStr">
        <is>
          <t>67</t>
        </is>
      </c>
      <c r="E181" t="inlineStr">
        <is>
          <t>Bas-Rhin</t>
        </is>
      </c>
      <c r="F181" t="inlineStr">
        <is>
          <t>Grand Est</t>
        </is>
      </c>
      <c r="G181" s="3" t="n">
        <v>99129</v>
      </c>
      <c r="H181" t="n">
        <v>36</v>
      </c>
      <c r="I181" t="inlineStr">
        <is>
          <t>84 route de Strasbourg</t>
        </is>
      </c>
      <c r="J181" t="inlineStr">
        <is>
          <t>67500</t>
        </is>
      </c>
      <c r="K181" t="inlineStr">
        <is>
          <t>Haguenau</t>
        </is>
      </c>
      <c r="L181" t="inlineStr">
        <is>
          <t>03 88 90 68 50</t>
        </is>
      </c>
      <c r="M181" s="4" t="inlineStr">
        <is>
          <t>ecrire@agglo-haguenau.fr</t>
        </is>
      </c>
      <c r="N181" s="4" t="inlineStr">
        <is>
          <t>https://www.agglo-haguenau.fr/</t>
        </is>
      </c>
      <c r="O181" s="4" t="inlineStr">
        <is>
          <t>https://www.agglo-haguenau.fr/contact/</t>
        </is>
      </c>
      <c r="P181" s="4" t="inlineStr">
        <is>
          <t>https://lannuaire.service-public.gouv.fr/grand-est/bas-rhin/8e27619c-651a-491a-94b7-5ba6881e7901</t>
        </is>
      </c>
      <c r="Q181" t="inlineStr">
        <is>
          <t>Annuaire Service-public.fr</t>
        </is>
      </c>
      <c r="R181" t="inlineStr"/>
      <c r="S181" t="inlineStr"/>
      <c r="T181" t="inlineStr"/>
    </row>
    <row r="182">
      <c r="A182" t="inlineStr">
        <is>
          <t>Eurométropole de Strasbourg</t>
        </is>
      </c>
      <c r="B182" t="inlineStr">
        <is>
          <t>Métropole</t>
        </is>
      </c>
      <c r="C182" t="inlineStr">
        <is>
          <t>246700488</t>
        </is>
      </c>
      <c r="D182" t="inlineStr">
        <is>
          <t>67</t>
        </is>
      </c>
      <c r="E182" t="inlineStr">
        <is>
          <t>Bas-Rhin</t>
        </is>
      </c>
      <c r="F182" t="inlineStr">
        <is>
          <t>Grand Est</t>
        </is>
      </c>
      <c r="G182" s="3" t="n">
        <v>517386</v>
      </c>
      <c r="H182" t="n">
        <v>33</v>
      </c>
      <c r="I182" t="inlineStr">
        <is>
          <t>1 parc de l'Étoile, Centre administratif</t>
        </is>
      </c>
      <c r="J182" t="inlineStr">
        <is>
          <t>67000</t>
        </is>
      </c>
      <c r="K182" t="inlineStr">
        <is>
          <t>Strasbourg</t>
        </is>
      </c>
      <c r="L182" t="inlineStr">
        <is>
          <t>03 68 98 51 32</t>
        </is>
      </c>
      <c r="M182" t="inlineStr"/>
      <c r="N182" s="4" t="inlineStr">
        <is>
          <t>https://www.strasbourg.eu/</t>
        </is>
      </c>
      <c r="O182" s="4" t="inlineStr">
        <is>
          <t>https://demarches.strasbourg.eu/contactez-nous/contactez-nous/</t>
        </is>
      </c>
      <c r="P182" s="4" t="inlineStr">
        <is>
          <t>https://lannuaire.service-public.gouv.fr/grand-est/bas-rhin/db057bfd-ee8f-49eb-83a9-156c8f87bc3a</t>
        </is>
      </c>
      <c r="Q182" t="inlineStr">
        <is>
          <t>Annuaire Service-public.fr</t>
        </is>
      </c>
      <c r="R182" t="inlineStr"/>
      <c r="S182" t="inlineStr"/>
      <c r="T182" t="inlineStr"/>
    </row>
    <row r="183">
      <c r="A183" t="inlineStr">
        <is>
          <t>CA Colmar Agglomération</t>
        </is>
      </c>
      <c r="B183" t="inlineStr">
        <is>
          <t>Communauté d’agglomération</t>
        </is>
      </c>
      <c r="C183" t="inlineStr">
        <is>
          <t>246800726</t>
        </is>
      </c>
      <c r="D183" t="inlineStr">
        <is>
          <t>68</t>
        </is>
      </c>
      <c r="E183" t="inlineStr">
        <is>
          <t>Haut-Rhin</t>
        </is>
      </c>
      <c r="F183" t="inlineStr">
        <is>
          <t>Grand Est</t>
        </is>
      </c>
      <c r="G183" s="3" t="n">
        <v>113600</v>
      </c>
      <c r="H183" t="n">
        <v>20</v>
      </c>
      <c r="I183" t="inlineStr">
        <is>
          <t>32 cours Sainte-Anne, BP 80197</t>
        </is>
      </c>
      <c r="J183" t="inlineStr">
        <is>
          <t>68004</t>
        </is>
      </c>
      <c r="K183" t="inlineStr">
        <is>
          <t>Colmar Cedex</t>
        </is>
      </c>
      <c r="L183" t="inlineStr">
        <is>
          <t>03 69 99 55 55</t>
        </is>
      </c>
      <c r="M183" s="4" t="inlineStr">
        <is>
          <t>contact@agglo-colmar.fr</t>
        </is>
      </c>
      <c r="N183" s="4" t="inlineStr">
        <is>
          <t>https://www.agglo-colmar.fr/</t>
        </is>
      </c>
      <c r="O183" t="inlineStr"/>
      <c r="P183" s="4" t="inlineStr">
        <is>
          <t>https://lannuaire.service-public.gouv.fr/grand-est/haut-rhin/d5d2347e-8656-4a5a-95f5-d1afb887c009</t>
        </is>
      </c>
      <c r="Q183" t="inlineStr">
        <is>
          <t>Annuaire Service-public.fr</t>
        </is>
      </c>
      <c r="R183" t="inlineStr"/>
      <c r="S183" t="inlineStr"/>
      <c r="T183" t="inlineStr"/>
    </row>
    <row r="184">
      <c r="A184" t="inlineStr">
        <is>
          <t>CA Mulhouse Alsace Agglomération</t>
        </is>
      </c>
      <c r="B184" t="inlineStr">
        <is>
          <t>Communauté d’agglomération</t>
        </is>
      </c>
      <c r="C184" t="inlineStr">
        <is>
          <t>200066009</t>
        </is>
      </c>
      <c r="D184" t="inlineStr">
        <is>
          <t>68</t>
        </is>
      </c>
      <c r="E184" t="inlineStr">
        <is>
          <t>Haut-Rhin</t>
        </is>
      </c>
      <c r="F184" t="inlineStr">
        <is>
          <t>Grand Est</t>
        </is>
      </c>
      <c r="G184" s="3" t="n">
        <v>272950</v>
      </c>
      <c r="H184" t="n">
        <v>39</v>
      </c>
      <c r="I184" t="inlineStr">
        <is>
          <t>9 avenue Konrad Adenauer</t>
        </is>
      </c>
      <c r="J184" t="inlineStr">
        <is>
          <t>68690</t>
        </is>
      </c>
      <c r="K184" t="inlineStr">
        <is>
          <t>Sausheim</t>
        </is>
      </c>
      <c r="L184" t="inlineStr">
        <is>
          <t>03 89 33 79 79</t>
        </is>
      </c>
      <c r="M184" s="4" t="inlineStr">
        <is>
          <t>mulhouse@mulhouse.fr</t>
        </is>
      </c>
      <c r="N184" s="4" t="inlineStr">
        <is>
          <t>https://www.m2a.fr/</t>
        </is>
      </c>
      <c r="O184" s="4" t="inlineStr">
        <is>
          <t>https://www.m2a.fr/contact/</t>
        </is>
      </c>
      <c r="P184" s="4" t="inlineStr">
        <is>
          <t>https://lannuaire.service-public.gouv.fr/grand-est/haut-rhin/ae46ad43-c37b-40d9-8b23-4105804085c9</t>
        </is>
      </c>
      <c r="Q184" t="inlineStr">
        <is>
          <t>Annuaire Service-public.fr</t>
        </is>
      </c>
      <c r="R184" t="inlineStr"/>
      <c r="S184" t="inlineStr"/>
      <c r="T184" t="inlineStr"/>
    </row>
    <row r="185">
      <c r="A185" t="inlineStr">
        <is>
          <t>CA Saint-Louis Agglomération</t>
        </is>
      </c>
      <c r="B185" t="inlineStr">
        <is>
          <t>Communauté d’agglomération</t>
        </is>
      </c>
      <c r="C185" t="inlineStr">
        <is>
          <t>200066058</t>
        </is>
      </c>
      <c r="D185" t="inlineStr">
        <is>
          <t>68</t>
        </is>
      </c>
      <c r="E185" t="inlineStr">
        <is>
          <t>Haut-Rhin</t>
        </is>
      </c>
      <c r="F185" t="inlineStr">
        <is>
          <t>Grand Est</t>
        </is>
      </c>
      <c r="G185" s="3" t="n">
        <v>84055</v>
      </c>
      <c r="H185" t="n">
        <v>40</v>
      </c>
      <c r="I185" t="inlineStr">
        <is>
          <t>Place de l'Hôtel-de-Ville</t>
        </is>
      </c>
      <c r="J185" t="inlineStr">
        <is>
          <t>68300</t>
        </is>
      </c>
      <c r="K185" t="inlineStr">
        <is>
          <t>Saint-Louis</t>
        </is>
      </c>
      <c r="L185" t="inlineStr">
        <is>
          <t>03 89 70 90 70</t>
        </is>
      </c>
      <c r="M185" s="4" t="inlineStr">
        <is>
          <t>direction@agglo-saint-louis.fr</t>
        </is>
      </c>
      <c r="N185" s="4" t="inlineStr">
        <is>
          <t>https://www.agglo-saint-louis.fr/fr/</t>
        </is>
      </c>
      <c r="O185" s="4" t="inlineStr">
        <is>
          <t>https://www.agglo-saint-louis.fr/fr/contact/</t>
        </is>
      </c>
      <c r="P185" s="4" t="inlineStr">
        <is>
          <t>https://lannuaire.service-public.gouv.fr/grand-est/haut-rhin/45b4105a-804b-4b55-ae0d-32d60d01f49e</t>
        </is>
      </c>
      <c r="Q185" t="inlineStr">
        <is>
          <t>Annuaire Service-public.fr</t>
        </is>
      </c>
      <c r="R185" t="inlineStr"/>
      <c r="S185" t="inlineStr"/>
      <c r="T185" t="inlineStr"/>
    </row>
    <row r="186">
      <c r="A186" t="inlineStr">
        <is>
          <t>CA de l'Ouest Rhodanien</t>
        </is>
      </c>
      <c r="B186" t="inlineStr">
        <is>
          <t>Communauté d’agglomération</t>
        </is>
      </c>
      <c r="C186" t="inlineStr">
        <is>
          <t>200040566</t>
        </is>
      </c>
      <c r="D186" t="inlineStr">
        <is>
          <t>69</t>
        </is>
      </c>
      <c r="E186" t="inlineStr">
        <is>
          <t>Rhône</t>
        </is>
      </c>
      <c r="F186" t="inlineStr">
        <is>
          <t>Auvergne-Rhône-Alpes</t>
        </is>
      </c>
      <c r="G186" s="3" t="n">
        <v>50935</v>
      </c>
      <c r="H186" t="n">
        <v>31</v>
      </c>
      <c r="I186" t="inlineStr">
        <is>
          <t>3 rue de la Venne</t>
        </is>
      </c>
      <c r="J186" t="inlineStr">
        <is>
          <t>69170</t>
        </is>
      </c>
      <c r="K186" t="inlineStr">
        <is>
          <t>Tarare</t>
        </is>
      </c>
      <c r="L186" t="inlineStr">
        <is>
          <t>04 74 05 06 60</t>
        </is>
      </c>
      <c r="M186" s="4" t="inlineStr">
        <is>
          <t>contact@c-or.fr</t>
        </is>
      </c>
      <c r="N186" s="4" t="inlineStr">
        <is>
          <t>https://www.ouestrhodanien.fr/</t>
        </is>
      </c>
      <c r="O186" s="4" t="inlineStr">
        <is>
          <t>https://www.ouestrhodanien.fr/nous-contacter/</t>
        </is>
      </c>
      <c r="P186" s="4" t="inlineStr">
        <is>
          <t>https://lannuaire.service-public.gouv.fr/auvergne-rhone-alpes/rhone/4655d371-6205-4bff-ac42-d3109648d84e</t>
        </is>
      </c>
      <c r="Q186" t="inlineStr">
        <is>
          <t>Annuaire Service-public.fr</t>
        </is>
      </c>
      <c r="R186" t="inlineStr"/>
      <c r="S186" t="inlineStr"/>
      <c r="T186" t="inlineStr"/>
    </row>
    <row r="187">
      <c r="A187" t="inlineStr">
        <is>
          <t>Métropole de Lyon</t>
        </is>
      </c>
      <c r="B187" t="inlineStr">
        <is>
          <t>Métropole de Lyon</t>
        </is>
      </c>
      <c r="C187" t="inlineStr">
        <is>
          <t>200046977</t>
        </is>
      </c>
      <c r="D187" t="inlineStr">
        <is>
          <t>69</t>
        </is>
      </c>
      <c r="E187" t="inlineStr">
        <is>
          <t>Rhône</t>
        </is>
      </c>
      <c r="F187" t="inlineStr">
        <is>
          <t>Auvergne-Rhône-Alpes</t>
        </is>
      </c>
      <c r="G187" s="3" t="n">
        <v>1433613</v>
      </c>
      <c r="H187" t="n">
        <v>58</v>
      </c>
      <c r="I187" t="inlineStr">
        <is>
          <t>20 Rue Du Lac</t>
        </is>
      </c>
      <c r="J187" t="inlineStr">
        <is>
          <t>69003</t>
        </is>
      </c>
      <c r="K187" t="inlineStr">
        <is>
          <t>Lyon</t>
        </is>
      </c>
      <c r="L187" t="inlineStr"/>
      <c r="M187" t="inlineStr"/>
      <c r="N187" t="inlineStr"/>
      <c r="O187" t="inlineStr"/>
      <c r="P187" t="inlineStr"/>
      <c r="Q187" t="inlineStr">
        <is>
          <t>SIRENE (siège) : pas de fiche dans l’annuaire</t>
        </is>
      </c>
      <c r="R187" t="inlineStr"/>
      <c r="S187" t="inlineStr"/>
      <c r="T187" t="inlineStr"/>
    </row>
    <row r="188">
      <c r="A188" t="inlineStr">
        <is>
          <t>CA de Vesoul</t>
        </is>
      </c>
      <c r="B188" t="inlineStr">
        <is>
          <t>Communauté d’agglomération</t>
        </is>
      </c>
      <c r="C188" t="inlineStr">
        <is>
          <t>247000011</t>
        </is>
      </c>
      <c r="D188" t="inlineStr">
        <is>
          <t>70</t>
        </is>
      </c>
      <c r="E188" t="inlineStr">
        <is>
          <t>Haute-Saône</t>
        </is>
      </c>
      <c r="F188" t="inlineStr">
        <is>
          <t>Bourgogne-Franche-Comté</t>
        </is>
      </c>
      <c r="G188" s="3" t="n">
        <v>32339</v>
      </c>
      <c r="H188" t="n">
        <v>20</v>
      </c>
      <c r="I188" t="inlineStr">
        <is>
          <t>9 rue des Casernes</t>
        </is>
      </c>
      <c r="J188" t="inlineStr">
        <is>
          <t>70000</t>
        </is>
      </c>
      <c r="K188" t="inlineStr">
        <is>
          <t>Vesoul</t>
        </is>
      </c>
      <c r="L188" t="inlineStr">
        <is>
          <t>03 84 97 12 97</t>
        </is>
      </c>
      <c r="M188" s="4" t="inlineStr">
        <is>
          <t>agglomerationvesoul@vesoul.fr</t>
        </is>
      </c>
      <c r="N188" s="4" t="inlineStr">
        <is>
          <t>https://www.vesoul.fr/</t>
        </is>
      </c>
      <c r="O188" s="4" t="inlineStr">
        <is>
          <t>https://www.vesoul.fr/ville-agglo/l-agglomeration-de-vesoul/contacter-l-agglomeration.html</t>
        </is>
      </c>
      <c r="P188" s="4" t="inlineStr">
        <is>
          <t>https://lannuaire.service-public.gouv.fr/bourgogne-franche-comte/haute-saone/7c05b07f-7585-460b-acfd-5965891c2ccb</t>
        </is>
      </c>
      <c r="Q188" t="inlineStr">
        <is>
          <t>Annuaire Service-public.fr</t>
        </is>
      </c>
      <c r="R188" t="inlineStr"/>
      <c r="S188" t="inlineStr"/>
      <c r="T188" t="inlineStr"/>
    </row>
    <row r="189">
      <c r="A189" t="inlineStr">
        <is>
          <t>CA Le Grand Chalon</t>
        </is>
      </c>
      <c r="B189" t="inlineStr">
        <is>
          <t>Communauté d’agglomération</t>
        </is>
      </c>
      <c r="C189" t="inlineStr">
        <is>
          <t>247100589</t>
        </is>
      </c>
      <c r="D189" t="inlineStr">
        <is>
          <t>71</t>
        </is>
      </c>
      <c r="E189" t="inlineStr">
        <is>
          <t>Saône-et-Loire</t>
        </is>
      </c>
      <c r="F189" t="inlineStr">
        <is>
          <t>Bourgogne-Franche-Comté</t>
        </is>
      </c>
      <c r="G189" s="3" t="n">
        <v>113440</v>
      </c>
      <c r="H189" t="n">
        <v>51</v>
      </c>
      <c r="I189" t="inlineStr">
        <is>
          <t>23 avenue Georges-Pompidou</t>
        </is>
      </c>
      <c r="J189" t="inlineStr">
        <is>
          <t>71100</t>
        </is>
      </c>
      <c r="K189" t="inlineStr">
        <is>
          <t>Chalon-sur-Saône</t>
        </is>
      </c>
      <c r="L189" t="inlineStr">
        <is>
          <t>03 85 94 15 15</t>
        </is>
      </c>
      <c r="M189" s="4" t="inlineStr">
        <is>
          <t>contact@legrandchalon.fr</t>
        </is>
      </c>
      <c r="N189" s="4" t="inlineStr">
        <is>
          <t>https://www.legrandchalon.fr/</t>
        </is>
      </c>
      <c r="O189" s="4" t="inlineStr">
        <is>
          <t>https://www.legrandchalon.fr/contactez-nous/</t>
        </is>
      </c>
      <c r="P189" s="4" t="inlineStr">
        <is>
          <t>https://lannuaire.service-public.gouv.fr/bourgogne-franche-comte/saone-et-loire/9d0bcc3b-d74d-420b-ae45-56b211071546</t>
        </is>
      </c>
      <c r="Q189" t="inlineStr">
        <is>
          <t>Annuaire Service-public.fr</t>
        </is>
      </c>
      <c r="R189" t="inlineStr"/>
      <c r="S189" t="inlineStr"/>
      <c r="T189" t="inlineStr"/>
    </row>
    <row r="190">
      <c r="A190" t="inlineStr">
        <is>
          <t>CU Le Creusot Montceau-les-Mines</t>
        </is>
      </c>
      <c r="B190" t="inlineStr">
        <is>
          <t>Communauté urbaine</t>
        </is>
      </c>
      <c r="C190" t="inlineStr">
        <is>
          <t>247100290</t>
        </is>
      </c>
      <c r="D190" t="inlineStr">
        <is>
          <t>71</t>
        </is>
      </c>
      <c r="E190" t="inlineStr">
        <is>
          <t>Saône-et-Loire</t>
        </is>
      </c>
      <c r="F190" t="inlineStr">
        <is>
          <t>Bourgogne-Franche-Comté</t>
        </is>
      </c>
      <c r="G190" s="3" t="n">
        <v>90474</v>
      </c>
      <c r="H190" t="n">
        <v>34</v>
      </c>
      <c r="I190" t="inlineStr">
        <is>
          <t>Château de la Verrerie, BP 90069</t>
        </is>
      </c>
      <c r="J190" t="inlineStr">
        <is>
          <t>71206</t>
        </is>
      </c>
      <c r="K190" t="inlineStr">
        <is>
          <t>Le Creusot Cedex</t>
        </is>
      </c>
      <c r="L190" t="inlineStr">
        <is>
          <t>03 85 77 51 51</t>
        </is>
      </c>
      <c r="M190" s="4" t="inlineStr">
        <is>
          <t>info@creusot-montceau.org</t>
        </is>
      </c>
      <c r="N190" s="4" t="inlineStr">
        <is>
          <t>https://www.creusot-montceau.org/</t>
        </is>
      </c>
      <c r="O190" s="4" t="inlineStr">
        <is>
          <t>https://www.creusot-montceau.org/nous-contacter/</t>
        </is>
      </c>
      <c r="P190" s="4" t="inlineStr">
        <is>
          <t>https://lannuaire.service-public.gouv.fr/bourgogne-franche-comte/saone-et-loire/1474feb1-b2fe-4f62-a473-9e01c48baf8e</t>
        </is>
      </c>
      <c r="Q190" t="inlineStr">
        <is>
          <t>Annuaire Service-public.fr</t>
        </is>
      </c>
      <c r="R190" t="inlineStr"/>
      <c r="S190" t="inlineStr"/>
      <c r="T190" t="inlineStr"/>
    </row>
    <row r="191">
      <c r="A191" t="inlineStr">
        <is>
          <t>CU Le Mans Métropole</t>
        </is>
      </c>
      <c r="B191" t="inlineStr">
        <is>
          <t>Communauté urbaine</t>
        </is>
      </c>
      <c r="C191" t="inlineStr">
        <is>
          <t>247200132</t>
        </is>
      </c>
      <c r="D191" t="inlineStr">
        <is>
          <t>72</t>
        </is>
      </c>
      <c r="E191" t="inlineStr">
        <is>
          <t>Sarthe</t>
        </is>
      </c>
      <c r="F191" t="inlineStr">
        <is>
          <t>Pays de la Loire</t>
        </is>
      </c>
      <c r="G191" s="3" t="n">
        <v>209651</v>
      </c>
      <c r="H191" t="n">
        <v>20</v>
      </c>
      <c r="I191" t="inlineStr">
        <is>
          <t>16 avenue François-Mitterrand</t>
        </is>
      </c>
      <c r="J191" t="inlineStr">
        <is>
          <t>72000</t>
        </is>
      </c>
      <c r="K191" t="inlineStr">
        <is>
          <t>Le Mans</t>
        </is>
      </c>
      <c r="L191" t="inlineStr">
        <is>
          <t>02 43 47 47 47</t>
        </is>
      </c>
      <c r="M191" t="inlineStr"/>
      <c r="N191" s="4" t="inlineStr">
        <is>
          <t>https://www.lemansmetropole.fr/</t>
        </is>
      </c>
      <c r="O191" s="4" t="inlineStr">
        <is>
          <t>https://www.lemansmetropole.fr/contactez-nous</t>
        </is>
      </c>
      <c r="P191" s="4" t="inlineStr">
        <is>
          <t>https://lannuaire.service-public.gouv.fr/pays-de-la-loire/sarthe/95a9cc44-acf5-4032-9333-2e7bfb969622</t>
        </is>
      </c>
      <c r="Q191" t="inlineStr">
        <is>
          <t>Annuaire Service-public.fr</t>
        </is>
      </c>
      <c r="R191" t="inlineStr"/>
      <c r="S191" t="inlineStr"/>
      <c r="T191" t="inlineStr"/>
    </row>
    <row r="192">
      <c r="A192" t="inlineStr">
        <is>
          <t>CA Arlysère</t>
        </is>
      </c>
      <c r="B192" t="inlineStr">
        <is>
          <t>Communauté d’agglomération</t>
        </is>
      </c>
      <c r="C192" t="inlineStr">
        <is>
          <t>200068997</t>
        </is>
      </c>
      <c r="D192" t="inlineStr">
        <is>
          <t>73</t>
        </is>
      </c>
      <c r="E192" t="inlineStr">
        <is>
          <t>Savoie</t>
        </is>
      </c>
      <c r="F192" t="inlineStr">
        <is>
          <t>Auvergne-Rhône-Alpes</t>
        </is>
      </c>
      <c r="G192" s="3" t="n">
        <v>61836</v>
      </c>
      <c r="H192" t="n">
        <v>39</v>
      </c>
      <c r="I192" t="inlineStr">
        <is>
          <t>2 avenue des Chasseurs-Alpins, BP 10108</t>
        </is>
      </c>
      <c r="J192" t="inlineStr">
        <is>
          <t>73207</t>
        </is>
      </c>
      <c r="K192" t="inlineStr">
        <is>
          <t>Albertville Cedex</t>
        </is>
      </c>
      <c r="L192" t="inlineStr">
        <is>
          <t>04 79 10 48 48</t>
        </is>
      </c>
      <c r="M192" s="4" t="inlineStr">
        <is>
          <t>contact@arlysere.fr</t>
        </is>
      </c>
      <c r="N192" s="4" t="inlineStr">
        <is>
          <t>https://www.arlysere.fr/</t>
        </is>
      </c>
      <c r="O192" s="4" t="inlineStr">
        <is>
          <t>https://smart-agglo-arlysere.fr/categories/nous-contacter</t>
        </is>
      </c>
      <c r="P192" s="4" t="inlineStr">
        <is>
          <t>https://lannuaire.service-public.gouv.fr/auvergne-rhone-alpes/savoie/b70923fd-24ea-46cf-9a18-0fa6a9d6ca12</t>
        </is>
      </c>
      <c r="Q192" t="inlineStr">
        <is>
          <t>Annuaire Service-public.fr</t>
        </is>
      </c>
      <c r="R192" t="inlineStr"/>
      <c r="S192" t="inlineStr"/>
      <c r="T192" t="inlineStr"/>
    </row>
    <row r="193">
      <c r="A193" t="inlineStr">
        <is>
          <t>CA Grand Lac</t>
        </is>
      </c>
      <c r="B193" t="inlineStr">
        <is>
          <t>Communauté d’agglomération</t>
        </is>
      </c>
      <c r="C193" t="inlineStr">
        <is>
          <t>200068674</t>
        </is>
      </c>
      <c r="D193" t="inlineStr">
        <is>
          <t>73</t>
        </is>
      </c>
      <c r="E193" t="inlineStr">
        <is>
          <t>Savoie</t>
        </is>
      </c>
      <c r="F193" t="inlineStr">
        <is>
          <t>Auvergne-Rhône-Alpes</t>
        </is>
      </c>
      <c r="G193" s="3" t="n">
        <v>79849</v>
      </c>
      <c r="H193" t="n">
        <v>28</v>
      </c>
      <c r="I193" t="inlineStr">
        <is>
          <t>1500 boulevard Lepic</t>
        </is>
      </c>
      <c r="J193" t="inlineStr">
        <is>
          <t>73100</t>
        </is>
      </c>
      <c r="K193" t="inlineStr">
        <is>
          <t>Aix-les-Bains</t>
        </is>
      </c>
      <c r="L193" t="inlineStr">
        <is>
          <t>04 79 35 00 51</t>
        </is>
      </c>
      <c r="M193" s="4" t="inlineStr">
        <is>
          <t>contact@grand-lac.fr</t>
        </is>
      </c>
      <c r="N193" s="4" t="inlineStr">
        <is>
          <t>https://grand-lac.fr/</t>
        </is>
      </c>
      <c r="O193" s="4" t="inlineStr">
        <is>
          <t>https://grand-lac.fr/pages-pratiques/contact</t>
        </is>
      </c>
      <c r="P193" s="4" t="inlineStr">
        <is>
          <t>https://lannuaire.service-public.gouv.fr/auvergne-rhone-alpes/savoie/9a2482d6-25b0-45a8-854f-057541162cdc</t>
        </is>
      </c>
      <c r="Q193" t="inlineStr">
        <is>
          <t>Annuaire Service-public.fr</t>
        </is>
      </c>
      <c r="R193" t="inlineStr"/>
      <c r="S193" t="inlineStr"/>
      <c r="T193" t="inlineStr"/>
    </row>
    <row r="194">
      <c r="A194" t="inlineStr">
        <is>
          <t>CA du Grand Chambéry</t>
        </is>
      </c>
      <c r="B194" t="inlineStr">
        <is>
          <t>Communauté d’agglomération</t>
        </is>
      </c>
      <c r="C194" t="inlineStr">
        <is>
          <t>200069110</t>
        </is>
      </c>
      <c r="D194" t="inlineStr">
        <is>
          <t>73</t>
        </is>
      </c>
      <c r="E194" t="inlineStr">
        <is>
          <t>Savoie</t>
        </is>
      </c>
      <c r="F194" t="inlineStr">
        <is>
          <t>Auvergne-Rhône-Alpes</t>
        </is>
      </c>
      <c r="G194" s="3" t="n">
        <v>141091</v>
      </c>
      <c r="H194" t="n">
        <v>38</v>
      </c>
      <c r="I194" t="inlineStr">
        <is>
          <t>106 allée des Blachères</t>
        </is>
      </c>
      <c r="J194" t="inlineStr">
        <is>
          <t>73000</t>
        </is>
      </c>
      <c r="K194" t="inlineStr">
        <is>
          <t>Chambéry</t>
        </is>
      </c>
      <c r="L194" t="inlineStr">
        <is>
          <t>04 79 96 86 00</t>
        </is>
      </c>
      <c r="M194" t="inlineStr"/>
      <c r="N194" s="4" t="inlineStr">
        <is>
          <t>https://www.grandchambery.fr</t>
        </is>
      </c>
      <c r="O194" s="4" t="inlineStr">
        <is>
          <t>https://formulaires.simplici.grandchambery.fr/administration-generale/nous-ecrire-en-ligne/</t>
        </is>
      </c>
      <c r="P194" s="4" t="inlineStr">
        <is>
          <t>https://lannuaire.service-public.gouv.fr/auvergne-rhone-alpes/savoie/052be6ab-fa3e-45e7-b740-8e31a52abf06</t>
        </is>
      </c>
      <c r="Q194" t="inlineStr">
        <is>
          <t>Annuaire Service-public.fr</t>
        </is>
      </c>
      <c r="R194" t="inlineStr"/>
      <c r="S194" t="inlineStr"/>
      <c r="T194" t="inlineStr"/>
    </row>
    <row r="195">
      <c r="A195" t="inlineStr">
        <is>
          <t>CA Annemasse-Les Voirons-Agglomération</t>
        </is>
      </c>
      <c r="B195" t="inlineStr">
        <is>
          <t>Communauté d’agglomération</t>
        </is>
      </c>
      <c r="C195" t="inlineStr">
        <is>
          <t>200011773</t>
        </is>
      </c>
      <c r="D195" t="inlineStr">
        <is>
          <t>74</t>
        </is>
      </c>
      <c r="E195" t="inlineStr">
        <is>
          <t>Haute-Savoie</t>
        </is>
      </c>
      <c r="F195" t="inlineStr">
        <is>
          <t>Auvergne-Rhône-Alpes</t>
        </is>
      </c>
      <c r="G195" s="3" t="n">
        <v>95155</v>
      </c>
      <c r="H195" t="n">
        <v>12</v>
      </c>
      <c r="I195" t="inlineStr">
        <is>
          <t>11 avenue Émile-Zola</t>
        </is>
      </c>
      <c r="J195" t="inlineStr">
        <is>
          <t>74100</t>
        </is>
      </c>
      <c r="K195" t="inlineStr">
        <is>
          <t>Annemasse</t>
        </is>
      </c>
      <c r="L195" t="inlineStr">
        <is>
          <t>04 50 87 83 00</t>
        </is>
      </c>
      <c r="M195" s="4" t="inlineStr">
        <is>
          <t>contact@annemasse-agglo.fr</t>
        </is>
      </c>
      <c r="N195" s="4" t="inlineStr">
        <is>
          <t>https://www.annemasse-agglo.fr/</t>
        </is>
      </c>
      <c r="O195" s="4" t="inlineStr">
        <is>
          <t>https://www.annemasse-agglo.fr/contact</t>
        </is>
      </c>
      <c r="P195" s="4" t="inlineStr">
        <is>
          <t>https://lannuaire.service-public.gouv.fr/auvergne-rhone-alpes/haute-savoie/6253917a-1cf3-4c35-8b72-e26be4bd9428</t>
        </is>
      </c>
      <c r="Q195" t="inlineStr">
        <is>
          <t>Annuaire Service-public.fr</t>
        </is>
      </c>
      <c r="R195" t="inlineStr"/>
      <c r="S195" t="inlineStr"/>
      <c r="T195" t="inlineStr"/>
    </row>
    <row r="196">
      <c r="A196" t="inlineStr">
        <is>
          <t>CA Thonon Agglomération</t>
        </is>
      </c>
      <c r="B196" t="inlineStr">
        <is>
          <t>Communauté d’agglomération</t>
        </is>
      </c>
      <c r="C196" t="inlineStr">
        <is>
          <t>200067551</t>
        </is>
      </c>
      <c r="D196" t="inlineStr">
        <is>
          <t>74</t>
        </is>
      </c>
      <c r="E196" t="inlineStr">
        <is>
          <t>Haute-Savoie</t>
        </is>
      </c>
      <c r="F196" t="inlineStr">
        <is>
          <t>Auvergne-Rhône-Alpes</t>
        </is>
      </c>
      <c r="G196" s="3" t="n">
        <v>94873</v>
      </c>
      <c r="H196" t="n">
        <v>25</v>
      </c>
      <c r="I196" t="inlineStr">
        <is>
          <t>2 place de l'Hôtel-de-Ville</t>
        </is>
      </c>
      <c r="J196" t="inlineStr">
        <is>
          <t>74207</t>
        </is>
      </c>
      <c r="K196" t="inlineStr">
        <is>
          <t>Thonon-les-Bains</t>
        </is>
      </c>
      <c r="L196" t="inlineStr">
        <is>
          <t>04 50 31 25 00</t>
        </is>
      </c>
      <c r="M196" s="4" t="inlineStr">
        <is>
          <t>accueil@thononagglo.fr</t>
        </is>
      </c>
      <c r="N196" s="4" t="inlineStr">
        <is>
          <t>https://www.thononagglo.fr/</t>
        </is>
      </c>
      <c r="O196" t="inlineStr"/>
      <c r="P196" s="4" t="inlineStr">
        <is>
          <t>https://lannuaire.service-public.gouv.fr/auvergne-rhone-alpes/haute-savoie/e1357262-5054-455a-ba10-6bab4f2c1334</t>
        </is>
      </c>
      <c r="Q196" t="inlineStr">
        <is>
          <t>Annuaire Service-public.fr</t>
        </is>
      </c>
      <c r="R196" t="inlineStr"/>
      <c r="S196" t="inlineStr"/>
      <c r="T196" t="inlineStr"/>
    </row>
    <row r="197">
      <c r="A197" t="inlineStr">
        <is>
          <t>CA du Grand Annecy</t>
        </is>
      </c>
      <c r="B197" t="inlineStr">
        <is>
          <t>Communauté d’agglomération</t>
        </is>
      </c>
      <c r="C197" t="inlineStr">
        <is>
          <t>200066793</t>
        </is>
      </c>
      <c r="D197" t="inlineStr">
        <is>
          <t>74</t>
        </is>
      </c>
      <c r="E197" t="inlineStr">
        <is>
          <t>Haute-Savoie</t>
        </is>
      </c>
      <c r="F197" t="inlineStr">
        <is>
          <t>Auvergne-Rhône-Alpes</t>
        </is>
      </c>
      <c r="G197" s="3" t="n">
        <v>211259</v>
      </c>
      <c r="H197" t="n">
        <v>34</v>
      </c>
      <c r="I197" t="inlineStr">
        <is>
          <t>46 avenue des Îles, BP 90270</t>
        </is>
      </c>
      <c r="J197" t="inlineStr">
        <is>
          <t>74007</t>
        </is>
      </c>
      <c r="K197" t="inlineStr">
        <is>
          <t>Annecy Cedex</t>
        </is>
      </c>
      <c r="L197" t="inlineStr">
        <is>
          <t>04 50 63 48 48</t>
        </is>
      </c>
      <c r="M197" s="4" t="inlineStr">
        <is>
          <t>agglo@grandannecy.fr</t>
        </is>
      </c>
      <c r="N197" s="4" t="inlineStr">
        <is>
          <t>https://www.grandannecy.fr/</t>
        </is>
      </c>
      <c r="O197" s="4" t="inlineStr">
        <is>
          <t>https://www.grandannecy.fr/contact</t>
        </is>
      </c>
      <c r="P197" s="4" t="inlineStr">
        <is>
          <t>https://lannuaire.service-public.gouv.fr/auvergne-rhone-alpes/haute-savoie/aaf24976-83e8-4270-93b1-980fc91988c4</t>
        </is>
      </c>
      <c r="Q197" t="inlineStr">
        <is>
          <t>Annuaire Service-public.fr</t>
        </is>
      </c>
      <c r="R197" t="inlineStr"/>
      <c r="S197" t="inlineStr"/>
      <c r="T197" t="inlineStr"/>
    </row>
    <row r="198">
      <c r="A198" t="inlineStr">
        <is>
          <t>Métropole du Grand Paris</t>
        </is>
      </c>
      <c r="B198" t="inlineStr">
        <is>
          <t>Métropole</t>
        </is>
      </c>
      <c r="C198" t="inlineStr">
        <is>
          <t>200054781</t>
        </is>
      </c>
      <c r="D198" t="inlineStr">
        <is>
          <t>75, 91, 92, 93, 94, 95</t>
        </is>
      </c>
      <c r="E198" t="inlineStr">
        <is>
          <t>Paris, Essonne, Hauts-de-Seine, Seine-Saint-Denis, Val-de-Marne, Val-d'Oise</t>
        </is>
      </c>
      <c r="F198" t="inlineStr">
        <is>
          <t>Île-de-France</t>
        </is>
      </c>
      <c r="G198" s="3" t="n">
        <v>7115576</v>
      </c>
      <c r="H198" t="n">
        <v>130</v>
      </c>
      <c r="I198" t="inlineStr">
        <is>
          <t>15-19 avenue Pierre-Mendès-France</t>
        </is>
      </c>
      <c r="J198" t="inlineStr">
        <is>
          <t>75013</t>
        </is>
      </c>
      <c r="K198" t="inlineStr">
        <is>
          <t>Paris</t>
        </is>
      </c>
      <c r="L198" t="inlineStr">
        <is>
          <t>01 82 28 78 00</t>
        </is>
      </c>
      <c r="M198" s="4" t="inlineStr">
        <is>
          <t>contact@metropolegrandparis.fr</t>
        </is>
      </c>
      <c r="N198" s="4" t="inlineStr">
        <is>
          <t>https://www.metropolegrandparis.fr/fr</t>
        </is>
      </c>
      <c r="O198" t="inlineStr"/>
      <c r="P198" s="4" t="inlineStr">
        <is>
          <t>https://lannuaire.service-public.gouv.fr/ile-de-france/paris/cd6d613b-65e4-4392-932a-58e98aaaa933</t>
        </is>
      </c>
      <c r="Q198" t="inlineStr">
        <is>
          <t>Annuaire Service-public.fr</t>
        </is>
      </c>
      <c r="R198" t="inlineStr"/>
      <c r="S198" t="inlineStr"/>
      <c r="T198" t="inlineStr"/>
    </row>
    <row r="199">
      <c r="A199" t="inlineStr">
        <is>
          <t>CA Caux Seine Agglo</t>
        </is>
      </c>
      <c r="B199" t="inlineStr">
        <is>
          <t>Communauté d’agglomération</t>
        </is>
      </c>
      <c r="C199" t="inlineStr">
        <is>
          <t>200010700</t>
        </is>
      </c>
      <c r="D199" t="inlineStr">
        <is>
          <t>76</t>
        </is>
      </c>
      <c r="E199" t="inlineStr">
        <is>
          <t>Seine-Maritime</t>
        </is>
      </c>
      <c r="F199" t="inlineStr">
        <is>
          <t>Normandie</t>
        </is>
      </c>
      <c r="G199" s="3" t="n">
        <v>77968</v>
      </c>
      <c r="H199" t="n">
        <v>50</v>
      </c>
      <c r="I199" t="inlineStr">
        <is>
          <t>1 allée du Catillon</t>
        </is>
      </c>
      <c r="J199" t="inlineStr">
        <is>
          <t>76170</t>
        </is>
      </c>
      <c r="K199" t="inlineStr">
        <is>
          <t>Lillebonne</t>
        </is>
      </c>
      <c r="L199" t="inlineStr">
        <is>
          <t>02 32 84 40 40</t>
        </is>
      </c>
      <c r="M199" s="4" t="inlineStr">
        <is>
          <t>accueil@cauxseine.fr</t>
        </is>
      </c>
      <c r="N199" s="4" t="inlineStr">
        <is>
          <t>https://www.cauxseine.fr/</t>
        </is>
      </c>
      <c r="O199" s="4" t="inlineStr">
        <is>
          <t>https://www.cauxseine.fr/nous-contacter/</t>
        </is>
      </c>
      <c r="P199" s="4" t="inlineStr">
        <is>
          <t>https://lannuaire.service-public.gouv.fr/normandie/seine-maritime/43afec30-2190-44fb-b0bc-1972de247156</t>
        </is>
      </c>
      <c r="Q199" t="inlineStr">
        <is>
          <t>Annuaire Service-public.fr</t>
        </is>
      </c>
      <c r="R199" t="inlineStr"/>
      <c r="S199" t="inlineStr"/>
      <c r="T199" t="inlineStr"/>
    </row>
    <row r="200">
      <c r="A200" t="inlineStr">
        <is>
          <t>CA Fécamp Caux Littoral Agglomération</t>
        </is>
      </c>
      <c r="B200" t="inlineStr">
        <is>
          <t>Communauté d’agglomération</t>
        </is>
      </c>
      <c r="C200" t="inlineStr">
        <is>
          <t>200069821</t>
        </is>
      </c>
      <c r="D200" t="inlineStr">
        <is>
          <t>76</t>
        </is>
      </c>
      <c r="E200" t="inlineStr">
        <is>
          <t>Seine-Maritime</t>
        </is>
      </c>
      <c r="F200" t="inlineStr">
        <is>
          <t>Normandie</t>
        </is>
      </c>
      <c r="G200" s="3" t="n">
        <v>38162</v>
      </c>
      <c r="H200" t="n">
        <v>33</v>
      </c>
      <c r="I200" t="inlineStr">
        <is>
          <t>825 route de Valmont</t>
        </is>
      </c>
      <c r="J200" t="inlineStr">
        <is>
          <t>76400</t>
        </is>
      </c>
      <c r="K200" t="inlineStr">
        <is>
          <t>Fécamp</t>
        </is>
      </c>
      <c r="L200" t="inlineStr">
        <is>
          <t>02 35 10 48 48</t>
        </is>
      </c>
      <c r="M200" s="4" t="inlineStr">
        <is>
          <t>contact@agglo-fecampcauxlittoral.fr</t>
        </is>
      </c>
      <c r="N200" s="4" t="inlineStr">
        <is>
          <t>https://www.agglo-fecampcauxlittoral.fr/</t>
        </is>
      </c>
      <c r="O200" s="4" t="inlineStr">
        <is>
          <t>https://www.agglo-fecampcauxlittoral.fr/nous-contacter/</t>
        </is>
      </c>
      <c r="P200" s="4" t="inlineStr">
        <is>
          <t>https://lannuaire.service-public.gouv.fr/normandie/seine-maritime/e7581982-9224-4d32-993c-47d683135ff9</t>
        </is>
      </c>
      <c r="Q200" t="inlineStr">
        <is>
          <t>Annuaire Service-public.fr</t>
        </is>
      </c>
      <c r="R200" t="inlineStr"/>
      <c r="S200" t="inlineStr"/>
      <c r="T200" t="inlineStr"/>
    </row>
    <row r="201">
      <c r="A201" t="inlineStr">
        <is>
          <t>CA de la Région Dieppoise</t>
        </is>
      </c>
      <c r="B201" t="inlineStr">
        <is>
          <t>Communauté d’agglomération</t>
        </is>
      </c>
      <c r="C201" t="inlineStr">
        <is>
          <t>247600786</t>
        </is>
      </c>
      <c r="D201" t="inlineStr">
        <is>
          <t>76</t>
        </is>
      </c>
      <c r="E201" t="inlineStr">
        <is>
          <t>Seine-Maritime</t>
        </is>
      </c>
      <c r="F201" t="inlineStr">
        <is>
          <t>Normandie</t>
        </is>
      </c>
      <c r="G201" s="3" t="n">
        <v>46229</v>
      </c>
      <c r="H201" t="n">
        <v>16</v>
      </c>
      <c r="I201" t="inlineStr">
        <is>
          <t>4 boulevard du Général-de-Gaulle</t>
        </is>
      </c>
      <c r="J201" t="inlineStr">
        <is>
          <t>76200</t>
        </is>
      </c>
      <c r="K201" t="inlineStr">
        <is>
          <t>Dieppe</t>
        </is>
      </c>
      <c r="L201" t="inlineStr">
        <is>
          <t>02 32 90 20 25</t>
        </is>
      </c>
      <c r="M201" s="4" t="inlineStr">
        <is>
          <t>contact@agglodieppe-maritime.com</t>
        </is>
      </c>
      <c r="N201" s="4" t="inlineStr">
        <is>
          <t>http://www.agglodieppe-maritime.com</t>
        </is>
      </c>
      <c r="O201" t="inlineStr"/>
      <c r="P201" s="4" t="inlineStr">
        <is>
          <t>https://lannuaire.service-public.gouv.fr/normandie/seine-maritime/0a48d46c-64ee-4c14-a15d-0cdfce4cdfe6</t>
        </is>
      </c>
      <c r="Q201" t="inlineStr">
        <is>
          <t>Annuaire Service-public.fr</t>
        </is>
      </c>
      <c r="R201" t="inlineStr"/>
      <c r="S201" t="inlineStr"/>
      <c r="T201" t="inlineStr"/>
    </row>
    <row r="202">
      <c r="A202" t="inlineStr">
        <is>
          <t>CU Le Havre Seine Métropole</t>
        </is>
      </c>
      <c r="B202" t="inlineStr">
        <is>
          <t>Communauté urbaine</t>
        </is>
      </c>
      <c r="C202" t="inlineStr">
        <is>
          <t>200084952</t>
        </is>
      </c>
      <c r="D202" t="inlineStr">
        <is>
          <t>76</t>
        </is>
      </c>
      <c r="E202" t="inlineStr">
        <is>
          <t>Seine-Maritime</t>
        </is>
      </c>
      <c r="F202" t="inlineStr">
        <is>
          <t>Normandie</t>
        </is>
      </c>
      <c r="G202" s="3" t="n">
        <v>266929</v>
      </c>
      <c r="H202" t="n">
        <v>54</v>
      </c>
      <c r="I202" t="inlineStr">
        <is>
          <t>19 rue Georges-Braque, Hôtel de la Communauté, CS 70854</t>
        </is>
      </c>
      <c r="J202" t="inlineStr">
        <is>
          <t>76085</t>
        </is>
      </c>
      <c r="K202" t="inlineStr">
        <is>
          <t>Le Havre Cedex</t>
        </is>
      </c>
      <c r="L202" t="inlineStr">
        <is>
          <t>02 35 22 25 25</t>
        </is>
      </c>
      <c r="M202" t="inlineStr"/>
      <c r="N202" s="4" t="inlineStr">
        <is>
          <t>https://www.lehavreseinemetropole.fr/</t>
        </is>
      </c>
      <c r="O202" s="4" t="inlineStr">
        <is>
          <t>https://formulaires.mesdemarches.lehavreseinemetropole.fr/contactez-nous/formulaire-de-contact-import/</t>
        </is>
      </c>
      <c r="P202" s="4" t="inlineStr">
        <is>
          <t>https://lannuaire.service-public.gouv.fr/normandie/seine-maritime/15ae2e5a-dce1-4835-96c5-d9099d677f64</t>
        </is>
      </c>
      <c r="Q202" t="inlineStr">
        <is>
          <t>Annuaire Service-public.fr</t>
        </is>
      </c>
      <c r="R202" t="inlineStr"/>
      <c r="S202" t="inlineStr"/>
      <c r="T202" t="inlineStr"/>
    </row>
    <row r="203">
      <c r="A203" t="inlineStr">
        <is>
          <t>Métropole Rouen Normandie</t>
        </is>
      </c>
      <c r="B203" t="inlineStr">
        <is>
          <t>Métropole</t>
        </is>
      </c>
      <c r="C203" t="inlineStr">
        <is>
          <t>200023414</t>
        </is>
      </c>
      <c r="D203" t="inlineStr">
        <is>
          <t>76</t>
        </is>
      </c>
      <c r="E203" t="inlineStr">
        <is>
          <t>Seine-Maritime</t>
        </is>
      </c>
      <c r="F203" t="inlineStr">
        <is>
          <t>Normandie</t>
        </is>
      </c>
      <c r="G203" s="3" t="n">
        <v>500703</v>
      </c>
      <c r="H203" t="n">
        <v>71</v>
      </c>
      <c r="I203" t="inlineStr">
        <is>
          <t>108 allée François-Mitterrand</t>
        </is>
      </c>
      <c r="J203" t="inlineStr">
        <is>
          <t>76000</t>
        </is>
      </c>
      <c r="K203" t="inlineStr">
        <is>
          <t>Rouen</t>
        </is>
      </c>
      <c r="L203" t="inlineStr">
        <is>
          <t>0 800 021 021</t>
        </is>
      </c>
      <c r="M203" s="4" t="inlineStr">
        <is>
          <t>contact@metropole-rouen-normandie.fr</t>
        </is>
      </c>
      <c r="N203" s="4" t="inlineStr">
        <is>
          <t>https://www.metropole-rouen-normandie.fr/</t>
        </is>
      </c>
      <c r="O203" s="4" t="inlineStr">
        <is>
          <t>https://mrn.metropole-rouen-normandie.fr/ma-metropole</t>
        </is>
      </c>
      <c r="P203" s="4" t="inlineStr">
        <is>
          <t>https://lannuaire.service-public.gouv.fr/normandie/seine-maritime/c5883058-7a68-4314-98fb-0d07ddee2349</t>
        </is>
      </c>
      <c r="Q203" t="inlineStr">
        <is>
          <t>Annuaire Service-public.fr</t>
        </is>
      </c>
      <c r="R203" t="inlineStr"/>
      <c r="S203" t="inlineStr"/>
      <c r="T203" t="inlineStr"/>
    </row>
    <row r="204">
      <c r="A204" t="inlineStr">
        <is>
          <t>CA Coulommiers Pays de Brie</t>
        </is>
      </c>
      <c r="B204" t="inlineStr">
        <is>
          <t>Communauté d’agglomération</t>
        </is>
      </c>
      <c r="C204" t="inlineStr">
        <is>
          <t>200090504</t>
        </is>
      </c>
      <c r="D204" t="inlineStr">
        <is>
          <t>77</t>
        </is>
      </c>
      <c r="E204" t="inlineStr">
        <is>
          <t>Seine-et-Marne</t>
        </is>
      </c>
      <c r="F204" t="inlineStr">
        <is>
          <t>Île-de-France</t>
        </is>
      </c>
      <c r="G204" s="3" t="n">
        <v>95640</v>
      </c>
      <c r="H204" t="n">
        <v>54</v>
      </c>
      <c r="I204" t="inlineStr">
        <is>
          <t>13 rue du Général-de-Gaulle</t>
        </is>
      </c>
      <c r="J204" t="inlineStr">
        <is>
          <t>77120</t>
        </is>
      </c>
      <c r="K204" t="inlineStr">
        <is>
          <t>Coulommiers</t>
        </is>
      </c>
      <c r="L204" t="inlineStr">
        <is>
          <t>01 64 75 38 90</t>
        </is>
      </c>
      <c r="M204" s="4" t="inlineStr">
        <is>
          <t>accueil@coulommierspaysdebrie.fr</t>
        </is>
      </c>
      <c r="N204" s="4" t="inlineStr">
        <is>
          <t>https://www.coulommierspaysdebrie.fr/</t>
        </is>
      </c>
      <c r="O204" s="4" t="inlineStr">
        <is>
          <t>https://www.coulommierspaysdebrie.fr/contactez-nous/</t>
        </is>
      </c>
      <c r="P204" s="4" t="inlineStr">
        <is>
          <t>https://lannuaire.service-public.gouv.fr/ile-de-france/seine-et-marne/3af84158-b16e-4a65-a3b3-384e547ed38f</t>
        </is>
      </c>
      <c r="Q204" t="inlineStr">
        <is>
          <t>Annuaire Service-public.fr</t>
        </is>
      </c>
      <c r="R204" t="inlineStr"/>
      <c r="S204" t="inlineStr"/>
      <c r="T204" t="inlineStr"/>
    </row>
    <row r="205">
      <c r="A205" t="inlineStr">
        <is>
          <t>CA Grand Paris Sud Seine Essonne Sénart</t>
        </is>
      </c>
      <c r="B205" t="inlineStr">
        <is>
          <t>Communauté d’agglomération</t>
        </is>
      </c>
      <c r="C205" t="inlineStr">
        <is>
          <t>200059228</t>
        </is>
      </c>
      <c r="D205" t="inlineStr">
        <is>
          <t>77, 91</t>
        </is>
      </c>
      <c r="E205" t="inlineStr">
        <is>
          <t>Seine-et-Marne, Essonne</t>
        </is>
      </c>
      <c r="F205" t="inlineStr">
        <is>
          <t>Île-de-France</t>
        </is>
      </c>
      <c r="G205" s="3" t="n">
        <v>361024</v>
      </c>
      <c r="H205" t="n">
        <v>23</v>
      </c>
      <c r="I205" t="inlineStr">
        <is>
          <t>500 place des Champs-Élysées, Hôtel d'agglomération</t>
        </is>
      </c>
      <c r="J205" t="inlineStr">
        <is>
          <t>91080</t>
        </is>
      </c>
      <c r="K205" t="inlineStr">
        <is>
          <t>Evry-Courcouronnes</t>
        </is>
      </c>
      <c r="L205" t="inlineStr">
        <is>
          <t>01 69 91 58 58</t>
        </is>
      </c>
      <c r="M205" s="4" t="inlineStr">
        <is>
          <t>contact@grandparissud.fr</t>
        </is>
      </c>
      <c r="N205" s="4" t="inlineStr">
        <is>
          <t>https://www.grandparissud.fr</t>
        </is>
      </c>
      <c r="O205" s="4" t="inlineStr">
        <is>
          <t>https://www.grandparissud.fr/contactez-nous/</t>
        </is>
      </c>
      <c r="P205" s="4" t="inlineStr">
        <is>
          <t>https://lannuaire.service-public.gouv.fr/ile-de-france/essonne/8f840c86-548d-46f7-bd03-0595ef774235</t>
        </is>
      </c>
      <c r="Q205" t="inlineStr">
        <is>
          <t>Annuaire Service-public.fr</t>
        </is>
      </c>
      <c r="R205" t="inlineStr"/>
      <c r="S205" t="inlineStr"/>
      <c r="T205" t="inlineStr"/>
    </row>
    <row r="206">
      <c r="A206" t="inlineStr">
        <is>
          <t>CA Marne et Gondoire</t>
        </is>
      </c>
      <c r="B206" t="inlineStr">
        <is>
          <t>Communauté d’agglomération</t>
        </is>
      </c>
      <c r="C206" t="inlineStr">
        <is>
          <t>247700594</t>
        </is>
      </c>
      <c r="D206" t="inlineStr">
        <is>
          <t>77</t>
        </is>
      </c>
      <c r="E206" t="inlineStr">
        <is>
          <t>Seine-et-Marne</t>
        </is>
      </c>
      <c r="F206" t="inlineStr">
        <is>
          <t>Île-de-France</t>
        </is>
      </c>
      <c r="G206" s="3" t="n">
        <v>110064</v>
      </c>
      <c r="H206" t="n">
        <v>20</v>
      </c>
      <c r="I206" t="inlineStr">
        <is>
          <t>Domaine de Rentilly, 1 rue de l'Étang</t>
        </is>
      </c>
      <c r="J206" t="inlineStr">
        <is>
          <t>77600</t>
        </is>
      </c>
      <c r="K206" t="inlineStr">
        <is>
          <t>Bussy-Saint-Martin</t>
        </is>
      </c>
      <c r="L206" t="inlineStr">
        <is>
          <t>01 60 35 43 50</t>
        </is>
      </c>
      <c r="M206" s="4" t="inlineStr">
        <is>
          <t>accueil@marneetgondoire.fr</t>
        </is>
      </c>
      <c r="N206" s="4" t="inlineStr">
        <is>
          <t>https://www.marneetgondoire.fr/</t>
        </is>
      </c>
      <c r="O206" s="4" t="inlineStr">
        <is>
          <t>https://www.marneetgondoire.fr/nous-ecrire-9.html</t>
        </is>
      </c>
      <c r="P206" s="4" t="inlineStr">
        <is>
          <t>https://lannuaire.service-public.gouv.fr/ile-de-france/seine-et-marne/d6316e54-b310-4104-9e23-85e9d31b1593</t>
        </is>
      </c>
      <c r="Q206" t="inlineStr">
        <is>
          <t>Annuaire Service-public.fr</t>
        </is>
      </c>
      <c r="R206" t="inlineStr"/>
      <c r="S206" t="inlineStr"/>
      <c r="T206" t="inlineStr"/>
    </row>
    <row r="207">
      <c r="A207" t="inlineStr">
        <is>
          <t>CA Melun Val de Seine</t>
        </is>
      </c>
      <c r="B207" t="inlineStr">
        <is>
          <t>Communauté d’agglomération</t>
        </is>
      </c>
      <c r="C207" t="inlineStr">
        <is>
          <t>247700057</t>
        </is>
      </c>
      <c r="D207" t="inlineStr">
        <is>
          <t>77</t>
        </is>
      </c>
      <c r="E207" t="inlineStr">
        <is>
          <t>Seine-et-Marne</t>
        </is>
      </c>
      <c r="F207" t="inlineStr">
        <is>
          <t>Île-de-France</t>
        </is>
      </c>
      <c r="G207" s="3" t="n">
        <v>139112</v>
      </c>
      <c r="H207" t="n">
        <v>20</v>
      </c>
      <c r="I207" t="inlineStr">
        <is>
          <t>297 rue Rousseau-Vaudran, CS 30187</t>
        </is>
      </c>
      <c r="J207" t="inlineStr">
        <is>
          <t>77198</t>
        </is>
      </c>
      <c r="K207" t="inlineStr">
        <is>
          <t>Dammarie-les-Lys</t>
        </is>
      </c>
      <c r="L207" t="inlineStr">
        <is>
          <t>01 64 79 25 25</t>
        </is>
      </c>
      <c r="M207" t="inlineStr"/>
      <c r="N207" s="4" t="inlineStr">
        <is>
          <t>https://www.melunvaldeseine.fr/</t>
        </is>
      </c>
      <c r="O207" s="4" t="inlineStr">
        <is>
          <t>https://www.melunvaldeseine.fr/informations-pratiques/contact</t>
        </is>
      </c>
      <c r="P207" s="4" t="inlineStr">
        <is>
          <t>https://lannuaire.service-public.gouv.fr/ile-de-france/seine-et-marne/e470bd88-2b3e-423b-8978-d93935df66d2</t>
        </is>
      </c>
      <c r="Q207" t="inlineStr">
        <is>
          <t>Annuaire Service-public.fr</t>
        </is>
      </c>
      <c r="R207" t="inlineStr"/>
      <c r="S207" t="inlineStr"/>
      <c r="T207" t="inlineStr"/>
    </row>
    <row r="208">
      <c r="A208" t="inlineStr">
        <is>
          <t>CA Paris - Vallée de la Marne</t>
        </is>
      </c>
      <c r="B208" t="inlineStr">
        <is>
          <t>Communauté d’agglomération</t>
        </is>
      </c>
      <c r="C208" t="inlineStr">
        <is>
          <t>200057958</t>
        </is>
      </c>
      <c r="D208" t="inlineStr">
        <is>
          <t>77</t>
        </is>
      </c>
      <c r="E208" t="inlineStr">
        <is>
          <t>Seine-et-Marne</t>
        </is>
      </c>
      <c r="F208" t="inlineStr">
        <is>
          <t>Île-de-France</t>
        </is>
      </c>
      <c r="G208" s="3" t="n">
        <v>232536</v>
      </c>
      <c r="H208" t="n">
        <v>12</v>
      </c>
      <c r="I208" t="inlineStr">
        <is>
          <t>5 cours de l'Arche-Guédon</t>
        </is>
      </c>
      <c r="J208" t="inlineStr">
        <is>
          <t>77207</t>
        </is>
      </c>
      <c r="K208" t="inlineStr">
        <is>
          <t>Marne-la-Vallée</t>
        </is>
      </c>
      <c r="L208" t="inlineStr">
        <is>
          <t>01 60 37 24 24</t>
        </is>
      </c>
      <c r="M208" s="4" t="inlineStr">
        <is>
          <t>contact@agglo-pvm.fr</t>
        </is>
      </c>
      <c r="N208" s="4" t="inlineStr">
        <is>
          <t>https://www.agglo-pvm.fr/</t>
        </is>
      </c>
      <c r="O208" s="4" t="inlineStr">
        <is>
          <t>https://www.agglo-pvm.fr/informations-pratiques/contact</t>
        </is>
      </c>
      <c r="P208" s="4" t="inlineStr">
        <is>
          <t>https://lannuaire.service-public.gouv.fr/ile-de-france/seine-et-marne/67d8ec99-6e9b-440b-aa5f-2fb5370b8e3c</t>
        </is>
      </c>
      <c r="Q208" t="inlineStr">
        <is>
          <t>Annuaire Service-public.fr</t>
        </is>
      </c>
      <c r="R208" t="inlineStr"/>
      <c r="S208" t="inlineStr"/>
      <c r="T208" t="inlineStr"/>
    </row>
    <row r="209">
      <c r="A209" t="inlineStr">
        <is>
          <t>CA Roissy Pays de France</t>
        </is>
      </c>
      <c r="B209" t="inlineStr">
        <is>
          <t>Communauté d’agglomération</t>
        </is>
      </c>
      <c r="C209" t="inlineStr">
        <is>
          <t>200055655</t>
        </is>
      </c>
      <c r="D209" t="inlineStr">
        <is>
          <t>77, 95</t>
        </is>
      </c>
      <c r="E209" t="inlineStr">
        <is>
          <t>Seine-et-Marne, Val-d'Oise</t>
        </is>
      </c>
      <c r="F209" t="inlineStr">
        <is>
          <t>Île-de-France</t>
        </is>
      </c>
      <c r="G209" s="3" t="n">
        <v>362933</v>
      </c>
      <c r="H209" t="n">
        <v>42</v>
      </c>
      <c r="I209" t="inlineStr">
        <is>
          <t>6 bis avenue Charles-de-Gaulle</t>
        </is>
      </c>
      <c r="J209" t="inlineStr">
        <is>
          <t>95700</t>
        </is>
      </c>
      <c r="K209" t="inlineStr">
        <is>
          <t>Roissy-en-France</t>
        </is>
      </c>
      <c r="L209" t="inlineStr">
        <is>
          <t>01 34 29 03 06</t>
        </is>
      </c>
      <c r="M209" s="4" t="inlineStr">
        <is>
          <t>info@roissypaysdefrance.fr</t>
        </is>
      </c>
      <c r="N209" s="4" t="inlineStr">
        <is>
          <t>https://www.roissypaysdefrance.fr/</t>
        </is>
      </c>
      <c r="O209" s="4" t="inlineStr">
        <is>
          <t>https://www.roissypaysdefrance.fr/lagglo/nous-contacter</t>
        </is>
      </c>
      <c r="P209" s="4" t="inlineStr">
        <is>
          <t>https://lannuaire.service-public.gouv.fr/ile-de-france/val-d-oise/95e36cb4-6046-46b8-95d5-1397a63520ab</t>
        </is>
      </c>
      <c r="Q209" t="inlineStr">
        <is>
          <t>Annuaire Service-public.fr</t>
        </is>
      </c>
      <c r="R209" t="inlineStr"/>
      <c r="S209" t="inlineStr"/>
      <c r="T209" t="inlineStr"/>
    </row>
    <row r="210">
      <c r="A210" t="inlineStr">
        <is>
          <t>CA Val d'Europe Agglomération</t>
        </is>
      </c>
      <c r="B210" t="inlineStr">
        <is>
          <t>Communauté d’agglomération</t>
        </is>
      </c>
      <c r="C210" t="inlineStr">
        <is>
          <t>247700339</t>
        </is>
      </c>
      <c r="D210" t="inlineStr">
        <is>
          <t>77</t>
        </is>
      </c>
      <c r="E210" t="inlineStr">
        <is>
          <t>Seine-et-Marne</t>
        </is>
      </c>
      <c r="F210" t="inlineStr">
        <is>
          <t>Île-de-France</t>
        </is>
      </c>
      <c r="G210" s="3" t="n">
        <v>53598</v>
      </c>
      <c r="H210" t="n">
        <v>10</v>
      </c>
      <c r="I210" t="inlineStr">
        <is>
          <t>Château de Chessy, BP 40</t>
        </is>
      </c>
      <c r="J210" t="inlineStr">
        <is>
          <t>77700</t>
        </is>
      </c>
      <c r="K210" t="inlineStr">
        <is>
          <t>Marne-la-Vallée Cedex 4</t>
        </is>
      </c>
      <c r="L210" t="inlineStr">
        <is>
          <t>01 60 43 80 80</t>
        </is>
      </c>
      <c r="M210" s="4" t="inlineStr">
        <is>
          <t>contact@vdeagglo.fr</t>
        </is>
      </c>
      <c r="N210" s="4" t="inlineStr">
        <is>
          <t>https://www.valdeuropeagglo.fr/</t>
        </is>
      </c>
      <c r="O210" s="4" t="inlineStr">
        <is>
          <t>https://www.valdeuropeagglo.fr/contact/</t>
        </is>
      </c>
      <c r="P210" s="4" t="inlineStr">
        <is>
          <t>https://lannuaire.service-public.gouv.fr/ile-de-france/seine-et-marne/fb913f9f-2b02-4073-b84c-e0b69618a823</t>
        </is>
      </c>
      <c r="Q210" t="inlineStr">
        <is>
          <t>Annuaire Service-public.fr</t>
        </is>
      </c>
      <c r="R210" t="inlineStr"/>
      <c r="S210" t="inlineStr"/>
      <c r="T210" t="inlineStr"/>
    </row>
    <row r="211">
      <c r="A211" t="inlineStr">
        <is>
          <t>CA du Pays de Fontainebleau</t>
        </is>
      </c>
      <c r="B211" t="inlineStr">
        <is>
          <t>Communauté d’agglomération</t>
        </is>
      </c>
      <c r="C211" t="inlineStr">
        <is>
          <t>200072346</t>
        </is>
      </c>
      <c r="D211" t="inlineStr">
        <is>
          <t>77</t>
        </is>
      </c>
      <c r="E211" t="inlineStr">
        <is>
          <t>Seine-et-Marne</t>
        </is>
      </c>
      <c r="F211" t="inlineStr">
        <is>
          <t>Île-de-France</t>
        </is>
      </c>
      <c r="G211" s="3" t="n">
        <v>69205</v>
      </c>
      <c r="H211" t="n">
        <v>26</v>
      </c>
      <c r="I211" t="inlineStr">
        <is>
          <t>80 route de Valvins</t>
        </is>
      </c>
      <c r="J211" t="inlineStr">
        <is>
          <t>77920</t>
        </is>
      </c>
      <c r="K211" t="inlineStr">
        <is>
          <t>Samois-sur-Seine</t>
        </is>
      </c>
      <c r="L211" t="inlineStr">
        <is>
          <t>01 64 70 10 80</t>
        </is>
      </c>
      <c r="M211" s="4" t="inlineStr">
        <is>
          <t>accueil@pays-fontainebleau.fr</t>
        </is>
      </c>
      <c r="N211" s="4" t="inlineStr">
        <is>
          <t>https://www.pays-fontainebleau.fr/</t>
        </is>
      </c>
      <c r="O211" s="4" t="inlineStr">
        <is>
          <t>https://www.pays-fontainebleau.fr/contact/</t>
        </is>
      </c>
      <c r="P211" s="4" t="inlineStr">
        <is>
          <t>https://lannuaire.service-public.gouv.fr/ile-de-france/seine-et-marne/64e07ac1-11d9-40a6-8e99-88166648641c</t>
        </is>
      </c>
      <c r="Q211" t="inlineStr">
        <is>
          <t>Annuaire Service-public.fr</t>
        </is>
      </c>
      <c r="R211" t="inlineStr"/>
      <c r="S211" t="inlineStr"/>
      <c r="T211" t="inlineStr"/>
    </row>
    <row r="212">
      <c r="A212" t="inlineStr">
        <is>
          <t>CA du Pays de Meaux</t>
        </is>
      </c>
      <c r="B212" t="inlineStr">
        <is>
          <t>Communauté d’agglomération</t>
        </is>
      </c>
      <c r="C212" t="inlineStr">
        <is>
          <t>200072130</t>
        </is>
      </c>
      <c r="D212" t="inlineStr">
        <is>
          <t>77</t>
        </is>
      </c>
      <c r="E212" t="inlineStr">
        <is>
          <t>Seine-et-Marne</t>
        </is>
      </c>
      <c r="F212" t="inlineStr">
        <is>
          <t>Île-de-France</t>
        </is>
      </c>
      <c r="G212" s="3" t="n">
        <v>110552</v>
      </c>
      <c r="H212" t="n">
        <v>26</v>
      </c>
      <c r="I212" t="inlineStr">
        <is>
          <t>2 place de lHôtel-de-Ville-Jacques-Chirac</t>
        </is>
      </c>
      <c r="J212" t="inlineStr">
        <is>
          <t>77100</t>
        </is>
      </c>
      <c r="K212" t="inlineStr">
        <is>
          <t>Meaux</t>
        </is>
      </c>
      <c r="L212" t="inlineStr">
        <is>
          <t>01 60 09 97 00</t>
        </is>
      </c>
      <c r="M212" s="4" t="inlineStr">
        <is>
          <t>contact@meaux.fr</t>
        </is>
      </c>
      <c r="N212" s="4" t="inlineStr">
        <is>
          <t>https://www.agglo-paysdemeaux.fr/</t>
        </is>
      </c>
      <c r="O212" s="4" t="inlineStr">
        <is>
          <t>https://www.espace-citoyens.net/meaux/espace-citoyens/Demande/NouvelleDemande/CONTACTJFC/MSG_JFC</t>
        </is>
      </c>
      <c r="P212" s="4" t="inlineStr">
        <is>
          <t>https://lannuaire.service-public.gouv.fr/ile-de-france/seine-et-marne/83a9e8af-91bb-4b18-bee7-5b62efaf2866</t>
        </is>
      </c>
      <c r="Q212" t="inlineStr">
        <is>
          <t>Annuaire Service-public.fr</t>
        </is>
      </c>
      <c r="R212" t="inlineStr"/>
      <c r="S212" t="inlineStr"/>
      <c r="T212" t="inlineStr"/>
    </row>
    <row r="213">
      <c r="A213" t="inlineStr">
        <is>
          <t>CA Rambouillet Territoires</t>
        </is>
      </c>
      <c r="B213" t="inlineStr">
        <is>
          <t>Communauté d’agglomération</t>
        </is>
      </c>
      <c r="C213" t="inlineStr">
        <is>
          <t>200073344</t>
        </is>
      </c>
      <c r="D213" t="inlineStr">
        <is>
          <t>78</t>
        </is>
      </c>
      <c r="E213" t="inlineStr">
        <is>
          <t>Yvelines</t>
        </is>
      </c>
      <c r="F213" t="inlineStr">
        <is>
          <t>Île-de-France</t>
        </is>
      </c>
      <c r="G213" s="3" t="n">
        <v>79818</v>
      </c>
      <c r="H213" t="n">
        <v>36</v>
      </c>
      <c r="I213" t="inlineStr">
        <is>
          <t>22 rue Gustave-Eiffel, ZA du Bel Air, BP 436</t>
        </is>
      </c>
      <c r="J213" t="inlineStr">
        <is>
          <t>78511</t>
        </is>
      </c>
      <c r="K213" t="inlineStr">
        <is>
          <t>Rambouillet Cedex</t>
        </is>
      </c>
      <c r="L213" t="inlineStr">
        <is>
          <t>01 34 57 20 61</t>
        </is>
      </c>
      <c r="M213" s="4" t="inlineStr">
        <is>
          <t>accueil@rt78.fr</t>
        </is>
      </c>
      <c r="N213" s="4" t="inlineStr">
        <is>
          <t>https://www.rt78.fr/</t>
        </is>
      </c>
      <c r="O213" t="inlineStr"/>
      <c r="P213" s="4" t="inlineStr">
        <is>
          <t>https://lannuaire.service-public.gouv.fr/ile-de-france/yvelines/f26b30cd-3a03-44f9-bed0-b05878e56266</t>
        </is>
      </c>
      <c r="Q213" t="inlineStr">
        <is>
          <t>Annuaire Service-public.fr</t>
        </is>
      </c>
      <c r="R213" t="inlineStr"/>
      <c r="S213" t="inlineStr"/>
      <c r="T213" t="inlineStr"/>
    </row>
    <row r="214">
      <c r="A214" t="inlineStr">
        <is>
          <t>CA Saint Germain Boucles de Seine</t>
        </is>
      </c>
      <c r="B214" t="inlineStr">
        <is>
          <t>Communauté d’agglomération</t>
        </is>
      </c>
      <c r="C214" t="inlineStr">
        <is>
          <t>200058519</t>
        </is>
      </c>
      <c r="D214" t="inlineStr">
        <is>
          <t>78, 95</t>
        </is>
      </c>
      <c r="E214" t="inlineStr">
        <is>
          <t>Yvelines, Val-d'Oise</t>
        </is>
      </c>
      <c r="F214" t="inlineStr">
        <is>
          <t>Île-de-France</t>
        </is>
      </c>
      <c r="G214" s="3" t="n">
        <v>341547</v>
      </c>
      <c r="H214" t="n">
        <v>19</v>
      </c>
      <c r="I214" t="inlineStr">
        <is>
          <t>66 route de Sartrouville, Parc des Érables, Bâtiment 4</t>
        </is>
      </c>
      <c r="J214" t="inlineStr">
        <is>
          <t>78230</t>
        </is>
      </c>
      <c r="K214" t="inlineStr">
        <is>
          <t>Le Pecq</t>
        </is>
      </c>
      <c r="L214" t="inlineStr">
        <is>
          <t>01 30 09 75 30</t>
        </is>
      </c>
      <c r="M214" s="4" t="inlineStr">
        <is>
          <t>contact@casgbs.fr</t>
        </is>
      </c>
      <c r="N214" s="4" t="inlineStr">
        <is>
          <t>https://www.saintgermainbouclesdeseine.fr/</t>
        </is>
      </c>
      <c r="O214" s="4" t="inlineStr">
        <is>
          <t>https://www.saintgermainbouclesdeseine.fr/nous-contacter/</t>
        </is>
      </c>
      <c r="P214" s="4" t="inlineStr">
        <is>
          <t>https://lannuaire.service-public.gouv.fr/ile-de-france/yvelines/9cb9c2f1-3519-422e-bc2e-76bc8b5216cf</t>
        </is>
      </c>
      <c r="Q214" t="inlineStr">
        <is>
          <t>Annuaire Service-public.fr</t>
        </is>
      </c>
      <c r="R214" t="inlineStr"/>
      <c r="S214" t="inlineStr"/>
      <c r="T214" t="inlineStr"/>
    </row>
    <row r="215">
      <c r="A215" t="inlineStr">
        <is>
          <t>CA Versailles Grand Parc (CAVGP)</t>
        </is>
      </c>
      <c r="B215" t="inlineStr">
        <is>
          <t>Communauté d’agglomération</t>
        </is>
      </c>
      <c r="C215" t="inlineStr">
        <is>
          <t>247800584</t>
        </is>
      </c>
      <c r="D215" t="inlineStr">
        <is>
          <t>78, 91</t>
        </is>
      </c>
      <c r="E215" t="inlineStr">
        <is>
          <t>Yvelines, Essonne</t>
        </is>
      </c>
      <c r="F215" t="inlineStr">
        <is>
          <t>Île-de-France</t>
        </is>
      </c>
      <c r="G215" s="3" t="n">
        <v>268563</v>
      </c>
      <c r="H215" t="n">
        <v>18</v>
      </c>
      <c r="I215" t="inlineStr">
        <is>
          <t>6 avenue de Paris</t>
        </is>
      </c>
      <c r="J215" t="inlineStr">
        <is>
          <t>78000</t>
        </is>
      </c>
      <c r="K215" t="inlineStr">
        <is>
          <t>Versailles</t>
        </is>
      </c>
      <c r="L215" t="inlineStr">
        <is>
          <t>01 39 66 30 00</t>
        </is>
      </c>
      <c r="M215" s="4" t="inlineStr">
        <is>
          <t>contact@agglovgp.fr</t>
        </is>
      </c>
      <c r="N215" s="4" t="inlineStr">
        <is>
          <t>https://www.versaillesgrandparc.fr/</t>
        </is>
      </c>
      <c r="O215" s="4" t="inlineStr">
        <is>
          <t>https://www.versaillesgrandparc.fr/contact</t>
        </is>
      </c>
      <c r="P215" s="4" t="inlineStr">
        <is>
          <t>https://lannuaire.service-public.gouv.fr/ile-de-france/yvelines/440915fa-991f-4ca9-963d-c1dc232f9a1d</t>
        </is>
      </c>
      <c r="Q215" t="inlineStr">
        <is>
          <t>Annuaire Service-public.fr</t>
        </is>
      </c>
      <c r="R215" t="inlineStr"/>
      <c r="S215" t="inlineStr"/>
      <c r="T215" t="inlineStr"/>
    </row>
    <row r="216">
      <c r="A216" t="inlineStr">
        <is>
          <t>CA de Cergy-Pontoise</t>
        </is>
      </c>
      <c r="B216" t="inlineStr">
        <is>
          <t>Communauté d’agglomération</t>
        </is>
      </c>
      <c r="C216" t="inlineStr">
        <is>
          <t>249500109</t>
        </is>
      </c>
      <c r="D216" t="inlineStr">
        <is>
          <t>78, 95</t>
        </is>
      </c>
      <c r="E216" t="inlineStr">
        <is>
          <t>Yvelines, Val-d'Oise</t>
        </is>
      </c>
      <c r="F216" t="inlineStr">
        <is>
          <t>Île-de-France</t>
        </is>
      </c>
      <c r="G216" s="3" t="n">
        <v>217763</v>
      </c>
      <c r="H216" t="n">
        <v>13</v>
      </c>
      <c r="I216" t="inlineStr">
        <is>
          <t>Hôtel d'agglomération, CS 80309</t>
        </is>
      </c>
      <c r="J216" t="inlineStr">
        <is>
          <t>95027</t>
        </is>
      </c>
      <c r="K216" t="inlineStr">
        <is>
          <t>Cergy-Pontoise Cedex</t>
        </is>
      </c>
      <c r="L216" t="inlineStr">
        <is>
          <t>01 34 41 42 43</t>
        </is>
      </c>
      <c r="M216" s="4" t="inlineStr">
        <is>
          <t>courrier@cergypontoise.fr</t>
        </is>
      </c>
      <c r="N216" s="4" t="inlineStr">
        <is>
          <t>https://www.cergypontoise.fr</t>
        </is>
      </c>
      <c r="O216" s="4" t="inlineStr">
        <is>
          <t>https://www.cergypontoise.fr/directagglo#/</t>
        </is>
      </c>
      <c r="P216" s="4" t="inlineStr">
        <is>
          <t>https://lannuaire.service-public.gouv.fr/ile-de-france/val-d-oise/1d37d547-4812-4ef0-a59d-4b03b2d9a9ea</t>
        </is>
      </c>
      <c r="Q216" t="inlineStr">
        <is>
          <t>Annuaire Service-public.fr</t>
        </is>
      </c>
      <c r="R216" t="inlineStr"/>
      <c r="S216" t="inlineStr"/>
      <c r="T216" t="inlineStr"/>
    </row>
    <row r="217">
      <c r="A217" t="inlineStr">
        <is>
          <t>CA de Saint Quentin en Yvelines</t>
        </is>
      </c>
      <c r="B217" t="inlineStr">
        <is>
          <t>Communauté d’agglomération</t>
        </is>
      </c>
      <c r="C217" t="inlineStr">
        <is>
          <t>200058782</t>
        </is>
      </c>
      <c r="D217" t="inlineStr">
        <is>
          <t>78</t>
        </is>
      </c>
      <c r="E217" t="inlineStr">
        <is>
          <t>Yvelines</t>
        </is>
      </c>
      <c r="F217" t="inlineStr">
        <is>
          <t>Île-de-France</t>
        </is>
      </c>
      <c r="G217" s="3" t="n">
        <v>233591</v>
      </c>
      <c r="H217" t="n">
        <v>12</v>
      </c>
      <c r="I217" t="inlineStr">
        <is>
          <t>1 rue Eugène-Hénaff</t>
        </is>
      </c>
      <c r="J217" t="inlineStr">
        <is>
          <t>78190</t>
        </is>
      </c>
      <c r="K217" t="inlineStr">
        <is>
          <t>Trappes</t>
        </is>
      </c>
      <c r="L217" t="inlineStr">
        <is>
          <t>01 39 44 30 30</t>
        </is>
      </c>
      <c r="M217" t="inlineStr"/>
      <c r="N217" s="4" t="inlineStr">
        <is>
          <t>https://www.saint-quentin-en-yvelines.fr/</t>
        </is>
      </c>
      <c r="O217" s="4" t="inlineStr">
        <is>
          <t>https://www.saint-quentin-en-yvelines.fr/contact/</t>
        </is>
      </c>
      <c r="P217" s="4" t="inlineStr">
        <is>
          <t>https://lannuaire.service-public.gouv.fr/ile-de-france/yvelines/2270fd07-f2a2-4f69-92be-df1dcac32303</t>
        </is>
      </c>
      <c r="Q217" t="inlineStr">
        <is>
          <t>Annuaire Service-public.fr</t>
        </is>
      </c>
      <c r="R217" t="inlineStr"/>
      <c r="S217" t="inlineStr"/>
      <c r="T217" t="inlineStr"/>
    </row>
    <row r="218">
      <c r="A218" t="inlineStr">
        <is>
          <t>CU Grand Paris Seine et Oise</t>
        </is>
      </c>
      <c r="B218" t="inlineStr">
        <is>
          <t>Communauté urbaine</t>
        </is>
      </c>
      <c r="C218" t="inlineStr">
        <is>
          <t>200059889</t>
        </is>
      </c>
      <c r="D218" t="inlineStr">
        <is>
          <t>78</t>
        </is>
      </c>
      <c r="E218" t="inlineStr">
        <is>
          <t>Yvelines</t>
        </is>
      </c>
      <c r="F218" t="inlineStr">
        <is>
          <t>Île-de-France</t>
        </is>
      </c>
      <c r="G218" s="3" t="n">
        <v>433255</v>
      </c>
      <c r="H218" t="n">
        <v>73</v>
      </c>
      <c r="I218" t="inlineStr">
        <is>
          <t>Rue des Chevries, Immeuble Autoneum</t>
        </is>
      </c>
      <c r="J218" t="inlineStr">
        <is>
          <t>78410</t>
        </is>
      </c>
      <c r="K218" t="inlineStr">
        <is>
          <t>Aubergenville</t>
        </is>
      </c>
      <c r="L218" t="inlineStr">
        <is>
          <t>01 82 86 00 86</t>
        </is>
      </c>
      <c r="M218" t="inlineStr"/>
      <c r="N218" s="4" t="inlineStr">
        <is>
          <t>https://www.gpseo.fr</t>
        </is>
      </c>
      <c r="O218" s="4" t="inlineStr">
        <is>
          <t>https://formulaires.demarches.gpseo.fr/formulaire-de-contact/nous-contacter/</t>
        </is>
      </c>
      <c r="P218" s="4" t="inlineStr">
        <is>
          <t>https://lannuaire.service-public.gouv.fr/ile-de-france/yvelines/3213b523-3f7e-4a6f-9912-303add774cbb</t>
        </is>
      </c>
      <c r="Q218" t="inlineStr">
        <is>
          <t>Annuaire Service-public.fr</t>
        </is>
      </c>
      <c r="R218" t="inlineStr"/>
      <c r="S218" t="inlineStr"/>
      <c r="T218" t="inlineStr"/>
    </row>
    <row r="219">
      <c r="A219" t="inlineStr">
        <is>
          <t>CA du Bocage Bressuirais</t>
        </is>
      </c>
      <c r="B219" t="inlineStr">
        <is>
          <t>Communauté d’agglomération</t>
        </is>
      </c>
      <c r="C219" t="inlineStr">
        <is>
          <t>200040244</t>
        </is>
      </c>
      <c r="D219" t="inlineStr">
        <is>
          <t>79</t>
        </is>
      </c>
      <c r="E219" t="inlineStr">
        <is>
          <t>Deux-Sèvres</t>
        </is>
      </c>
      <c r="F219" t="inlineStr">
        <is>
          <t>Nouvelle-Aquitaine</t>
        </is>
      </c>
      <c r="G219" s="3" t="n">
        <v>74140</v>
      </c>
      <c r="H219" t="n">
        <v>33</v>
      </c>
      <c r="I219" t="inlineStr">
        <is>
          <t>27 boulevard du Colonel-Aubry</t>
        </is>
      </c>
      <c r="J219" t="inlineStr">
        <is>
          <t>79304</t>
        </is>
      </c>
      <c r="K219" t="inlineStr">
        <is>
          <t>Bressuire</t>
        </is>
      </c>
      <c r="L219" t="inlineStr">
        <is>
          <t>05 49 81 19 00</t>
        </is>
      </c>
      <c r="M219" s="4" t="inlineStr">
        <is>
          <t>contact@agglo2b.fr</t>
        </is>
      </c>
      <c r="N219" s="4" t="inlineStr">
        <is>
          <t>https://www.agglo2b.fr/</t>
        </is>
      </c>
      <c r="O219" s="4" t="inlineStr">
        <is>
          <t>https://wp01.hellyum.com/agglo2b/depot-de-demande-sve/</t>
        </is>
      </c>
      <c r="P219" s="4" t="inlineStr">
        <is>
          <t>https://lannuaire.service-public.gouv.fr/nouvelle-aquitaine/deux-sevres/b33ce726-b46f-4e26-a993-124ae6359eaf</t>
        </is>
      </c>
      <c r="Q219" t="inlineStr">
        <is>
          <t>Annuaire Service-public.fr</t>
        </is>
      </c>
      <c r="R219" t="inlineStr"/>
      <c r="S219" t="inlineStr"/>
      <c r="T219" t="inlineStr"/>
    </row>
    <row r="220">
      <c r="A220" t="inlineStr">
        <is>
          <t>CA du Niortais</t>
        </is>
      </c>
      <c r="B220" t="inlineStr">
        <is>
          <t>Communauté d’agglomération</t>
        </is>
      </c>
      <c r="C220" t="inlineStr">
        <is>
          <t>200041317</t>
        </is>
      </c>
      <c r="D220" t="inlineStr">
        <is>
          <t>79</t>
        </is>
      </c>
      <c r="E220" t="inlineStr">
        <is>
          <t>Deux-Sèvres</t>
        </is>
      </c>
      <c r="F220" t="inlineStr">
        <is>
          <t>Nouvelle-Aquitaine</t>
        </is>
      </c>
      <c r="G220" s="3" t="n">
        <v>123389</v>
      </c>
      <c r="H220" t="n">
        <v>40</v>
      </c>
      <c r="I220" t="inlineStr">
        <is>
          <t>140 rue des Equarts, CS 28770</t>
        </is>
      </c>
      <c r="J220" t="inlineStr">
        <is>
          <t>79027</t>
        </is>
      </c>
      <c r="K220" t="inlineStr">
        <is>
          <t>Niort Cedex</t>
        </is>
      </c>
      <c r="L220" t="inlineStr">
        <is>
          <t>05 17 38 79 00</t>
        </is>
      </c>
      <c r="M220" s="4" t="inlineStr">
        <is>
          <t>agglo@agglo-niort.fr</t>
        </is>
      </c>
      <c r="N220" s="4" t="inlineStr">
        <is>
          <t>https://www.niortagglo.fr/</t>
        </is>
      </c>
      <c r="O220" s="4" t="inlineStr">
        <is>
          <t>https://www.niortagglo.fr/acces-directs/contactez-nous/index.html</t>
        </is>
      </c>
      <c r="P220" s="4" t="inlineStr">
        <is>
          <t>https://lannuaire.service-public.gouv.fr/nouvelle-aquitaine/deux-sevres/cca236b9-da26-4def-92c4-3da9603b5069</t>
        </is>
      </c>
      <c r="Q220" t="inlineStr">
        <is>
          <t>Annuaire Service-public.fr</t>
        </is>
      </c>
      <c r="R220" t="inlineStr"/>
      <c r="S220" t="inlineStr"/>
      <c r="T220" t="inlineStr"/>
    </row>
    <row r="221">
      <c r="A221" t="inlineStr">
        <is>
          <t>CA Amiens Métropole</t>
        </is>
      </c>
      <c r="B221" t="inlineStr">
        <is>
          <t>Communauté d’agglomération</t>
        </is>
      </c>
      <c r="C221" t="inlineStr">
        <is>
          <t>248000531</t>
        </is>
      </c>
      <c r="D221" t="inlineStr">
        <is>
          <t>80</t>
        </is>
      </c>
      <c r="E221" t="inlineStr">
        <is>
          <t>Somme</t>
        </is>
      </c>
      <c r="F221" t="inlineStr">
        <is>
          <t>Hauts-de-France</t>
        </is>
      </c>
      <c r="G221" s="3" t="n">
        <v>182854</v>
      </c>
      <c r="H221" t="n">
        <v>39</v>
      </c>
      <c r="I221" t="inlineStr">
        <is>
          <t>Place de l'Hôtel-de-Ville</t>
        </is>
      </c>
      <c r="J221" t="inlineStr">
        <is>
          <t>80000</t>
        </is>
      </c>
      <c r="K221" t="inlineStr">
        <is>
          <t>Amiens</t>
        </is>
      </c>
      <c r="L221" t="inlineStr">
        <is>
          <t>03 22 97 40 40</t>
        </is>
      </c>
      <c r="M221" s="4" t="inlineStr">
        <is>
          <t>maire-amiens@amiens-metropole.com</t>
        </is>
      </c>
      <c r="N221" s="4" t="inlineStr">
        <is>
          <t>https://www.amiens.fr/</t>
        </is>
      </c>
      <c r="O221" t="inlineStr"/>
      <c r="P221" s="4" t="inlineStr">
        <is>
          <t>https://lannuaire.service-public.gouv.fr/hauts-de-france/somme/efc23c87-0dcf-4537-a78a-5a3185a7eea2</t>
        </is>
      </c>
      <c r="Q221" t="inlineStr">
        <is>
          <t>Annuaire Service-public.fr</t>
        </is>
      </c>
      <c r="R221" t="inlineStr"/>
      <c r="S221" t="inlineStr"/>
      <c r="T221" t="inlineStr"/>
    </row>
    <row r="222">
      <c r="A222" t="inlineStr">
        <is>
          <t>CA de la Baie de Somme</t>
        </is>
      </c>
      <c r="B222" t="inlineStr">
        <is>
          <t>Communauté d’agglomération</t>
        </is>
      </c>
      <c r="C222" t="inlineStr">
        <is>
          <t>200070993</t>
        </is>
      </c>
      <c r="D222" t="inlineStr">
        <is>
          <t>80</t>
        </is>
      </c>
      <c r="E222" t="inlineStr">
        <is>
          <t>Somme</t>
        </is>
      </c>
      <c r="F222" t="inlineStr">
        <is>
          <t>Hauts-de-France</t>
        </is>
      </c>
      <c r="G222" s="3" t="n">
        <v>47779</v>
      </c>
      <c r="H222" t="n">
        <v>43</v>
      </c>
      <c r="I222" t="inlineStr">
        <is>
          <t>Place de la Gare</t>
        </is>
      </c>
      <c r="J222" t="inlineStr">
        <is>
          <t>80100</t>
        </is>
      </c>
      <c r="K222" t="inlineStr">
        <is>
          <t>Abbeville</t>
        </is>
      </c>
      <c r="L222" t="inlineStr">
        <is>
          <t>03 22 24 05 68</t>
        </is>
      </c>
      <c r="M222" s="4" t="inlineStr">
        <is>
          <t>contact@ca-baiedesomme.fr</t>
        </is>
      </c>
      <c r="N222" s="4" t="inlineStr">
        <is>
          <t>http://www.baiedesommeagglo.fr</t>
        </is>
      </c>
      <c r="O222" s="4" t="inlineStr">
        <is>
          <t>https://www.baiedesommeagglo.fr/contact/</t>
        </is>
      </c>
      <c r="P222" s="4" t="inlineStr">
        <is>
          <t>https://lannuaire.service-public.gouv.fr/hauts-de-france/somme/1a93978f-bc9f-46ea-83db-329bee5d1592</t>
        </is>
      </c>
      <c r="Q222" t="inlineStr">
        <is>
          <t>Annuaire Service-public.fr</t>
        </is>
      </c>
      <c r="R222" t="inlineStr"/>
      <c r="S222" t="inlineStr"/>
      <c r="T222" t="inlineStr"/>
    </row>
    <row r="223">
      <c r="A223" t="inlineStr">
        <is>
          <t>CA Gaillac-Graulhet</t>
        </is>
      </c>
      <c r="B223" t="inlineStr">
        <is>
          <t>Communauté d’agglomération</t>
        </is>
      </c>
      <c r="C223" t="inlineStr">
        <is>
          <t>200066124</t>
        </is>
      </c>
      <c r="D223" t="inlineStr">
        <is>
          <t>81</t>
        </is>
      </c>
      <c r="E223" t="inlineStr">
        <is>
          <t>Tarn</t>
        </is>
      </c>
      <c r="F223" t="inlineStr">
        <is>
          <t>Occitanie</t>
        </is>
      </c>
      <c r="G223" s="3" t="n">
        <v>76216</v>
      </c>
      <c r="H223" t="n">
        <v>56</v>
      </c>
      <c r="I223" t="inlineStr">
        <is>
          <t>Le Nay-Técou</t>
        </is>
      </c>
      <c r="J223" t="inlineStr">
        <is>
          <t>81600</t>
        </is>
      </c>
      <c r="K223" t="inlineStr">
        <is>
          <t>Gaillac</t>
        </is>
      </c>
      <c r="L223" t="inlineStr">
        <is>
          <t>05 63 83 61 61</t>
        </is>
      </c>
      <c r="M223" s="4" t="inlineStr">
        <is>
          <t>accueil@gaillac-graulhet.fr</t>
        </is>
      </c>
      <c r="N223" s="4" t="inlineStr">
        <is>
          <t>https://www.gaillac-graulhet.fr/</t>
        </is>
      </c>
      <c r="O223" s="4" t="inlineStr">
        <is>
          <t>https://www.gaillac-graulhet.fr/contactez-nous/</t>
        </is>
      </c>
      <c r="P223" s="4" t="inlineStr">
        <is>
          <t>https://lannuaire.service-public.gouv.fr/occitanie/tarn/4ee89124-76c9-4e53-9b46-84d8da2707e0</t>
        </is>
      </c>
      <c r="Q223" t="inlineStr">
        <is>
          <t>Annuaire Service-public.fr</t>
        </is>
      </c>
      <c r="R223" t="inlineStr"/>
      <c r="S223" t="inlineStr"/>
      <c r="T223" t="inlineStr"/>
    </row>
    <row r="224">
      <c r="A224" t="inlineStr">
        <is>
          <t>CA de Castres Mazamet</t>
        </is>
      </c>
      <c r="B224" t="inlineStr">
        <is>
          <t>Communauté d’agglomération</t>
        </is>
      </c>
      <c r="C224" t="inlineStr">
        <is>
          <t>248100430</t>
        </is>
      </c>
      <c r="D224" t="inlineStr">
        <is>
          <t>81</t>
        </is>
      </c>
      <c r="E224" t="inlineStr">
        <is>
          <t>Tarn</t>
        </is>
      </c>
      <c r="F224" t="inlineStr">
        <is>
          <t>Occitanie</t>
        </is>
      </c>
      <c r="G224" s="3" t="n">
        <v>78974</v>
      </c>
      <c r="H224" t="n">
        <v>14</v>
      </c>
      <c r="I224" t="inlineStr">
        <is>
          <t>40 avenue de la Montagne Noire, Le Causse-d'Entreprises</t>
        </is>
      </c>
      <c r="J224" t="inlineStr">
        <is>
          <t>81100</t>
        </is>
      </c>
      <c r="K224" t="inlineStr">
        <is>
          <t>Castres</t>
        </is>
      </c>
      <c r="L224" t="inlineStr">
        <is>
          <t>05 63 73 50 00</t>
        </is>
      </c>
      <c r="M224" s="4" t="inlineStr">
        <is>
          <t>agglomeration@castres-mazamet.com</t>
        </is>
      </c>
      <c r="N224" s="4" t="inlineStr">
        <is>
          <t>https://www.castres-mazamet.fr/</t>
        </is>
      </c>
      <c r="O224" s="4" t="inlineStr">
        <is>
          <t>https://www.castres-mazamet.fr/contact</t>
        </is>
      </c>
      <c r="P224" s="4" t="inlineStr">
        <is>
          <t>https://lannuaire.service-public.gouv.fr/occitanie/tarn/b20a4cf4-2920-4cb8-897a-ea66b4be388c</t>
        </is>
      </c>
      <c r="Q224" t="inlineStr">
        <is>
          <t>Annuaire Service-public.fr</t>
        </is>
      </c>
      <c r="R224" t="inlineStr"/>
      <c r="S224" t="inlineStr"/>
      <c r="T224" t="inlineStr"/>
    </row>
    <row r="225">
      <c r="A225" t="inlineStr">
        <is>
          <t>CA de l'Albigeois (C2A)</t>
        </is>
      </c>
      <c r="B225" t="inlineStr">
        <is>
          <t>Communauté d’agglomération</t>
        </is>
      </c>
      <c r="C225" t="inlineStr">
        <is>
          <t>248100737</t>
        </is>
      </c>
      <c r="D225" t="inlineStr">
        <is>
          <t>81</t>
        </is>
      </c>
      <c r="E225" t="inlineStr">
        <is>
          <t>Tarn</t>
        </is>
      </c>
      <c r="F225" t="inlineStr">
        <is>
          <t>Occitanie</t>
        </is>
      </c>
      <c r="G225" s="3" t="n">
        <v>84183</v>
      </c>
      <c r="H225" t="n">
        <v>16</v>
      </c>
      <c r="I225" t="inlineStr">
        <is>
          <t>Parc François-Mitterrand</t>
        </is>
      </c>
      <c r="J225" t="inlineStr">
        <is>
          <t>81160</t>
        </is>
      </c>
      <c r="K225" t="inlineStr">
        <is>
          <t>Saint-Juéry</t>
        </is>
      </c>
      <c r="L225" t="inlineStr">
        <is>
          <t>05 63 76 06 06</t>
        </is>
      </c>
      <c r="M225" s="4" t="inlineStr">
        <is>
          <t>secretariat.general@grand-albigeois.fr</t>
        </is>
      </c>
      <c r="N225" s="4" t="inlineStr">
        <is>
          <t>https://www.grand-albigeois.fr/</t>
        </is>
      </c>
      <c r="O225" s="4" t="inlineStr">
        <is>
          <t>https://www.grand-albigeois.fr/nous-contacter/</t>
        </is>
      </c>
      <c r="P225" s="4" t="inlineStr">
        <is>
          <t>https://lannuaire.service-public.gouv.fr/occitanie/tarn/9becab73-9a6f-48ac-bee7-69c4eebd080e</t>
        </is>
      </c>
      <c r="Q225" t="inlineStr">
        <is>
          <t>Annuaire Service-public.fr</t>
        </is>
      </c>
      <c r="R225" t="inlineStr"/>
      <c r="S225" t="inlineStr"/>
      <c r="T225" t="inlineStr"/>
    </row>
    <row r="226">
      <c r="A226" t="inlineStr">
        <is>
          <t>CA Grand Montauban</t>
        </is>
      </c>
      <c r="B226" t="inlineStr">
        <is>
          <t>Communauté d’agglomération</t>
        </is>
      </c>
      <c r="C226" t="inlineStr">
        <is>
          <t>248200099</t>
        </is>
      </c>
      <c r="D226" t="inlineStr">
        <is>
          <t>82</t>
        </is>
      </c>
      <c r="E226" t="inlineStr">
        <is>
          <t>Tarn-et-Garonne</t>
        </is>
      </c>
      <c r="F226" t="inlineStr">
        <is>
          <t>Occitanie</t>
        </is>
      </c>
      <c r="G226" s="3" t="n">
        <v>81397</v>
      </c>
      <c r="H226" t="n">
        <v>12</v>
      </c>
      <c r="I226" t="inlineStr">
        <is>
          <t>9 rue de lHôtel-de-Ville</t>
        </is>
      </c>
      <c r="J226" t="inlineStr">
        <is>
          <t>82000</t>
        </is>
      </c>
      <c r="K226" t="inlineStr">
        <is>
          <t>Montauban</t>
        </is>
      </c>
      <c r="L226" t="inlineStr">
        <is>
          <t>05 63 22 12 00</t>
        </is>
      </c>
      <c r="M226" s="4" t="inlineStr">
        <is>
          <t>contact@ville-montauban.fr</t>
        </is>
      </c>
      <c r="N226" s="4" t="inlineStr">
        <is>
          <t>https://www.montauban.com/</t>
        </is>
      </c>
      <c r="O226" t="inlineStr"/>
      <c r="P226" s="4" t="inlineStr">
        <is>
          <t>https://lannuaire.service-public.gouv.fr/occitanie/tarn-et-garonne/d7f6b316-ae1a-4251-a85c-f4e92c26386e</t>
        </is>
      </c>
      <c r="Q226" t="inlineStr">
        <is>
          <t>Annuaire Service-public.fr</t>
        </is>
      </c>
      <c r="R226" t="inlineStr"/>
      <c r="S226" t="inlineStr"/>
      <c r="T226" t="inlineStr"/>
    </row>
    <row r="227">
      <c r="A227" t="inlineStr">
        <is>
          <t>CA Dracénie Provence Verdon Agglomération</t>
        </is>
      </c>
      <c r="B227" t="inlineStr">
        <is>
          <t>Communauté d’agglomération</t>
        </is>
      </c>
      <c r="C227" t="inlineStr">
        <is>
          <t>248300493</t>
        </is>
      </c>
      <c r="D227" t="inlineStr">
        <is>
          <t>83</t>
        </is>
      </c>
      <c r="E227" t="inlineStr">
        <is>
          <t>Var</t>
        </is>
      </c>
      <c r="F227" t="inlineStr">
        <is>
          <t>Provence-Alpes-Côte d'Azur</t>
        </is>
      </c>
      <c r="G227" s="3" t="n">
        <v>113515</v>
      </c>
      <c r="H227" t="n">
        <v>23</v>
      </c>
      <c r="I227" t="inlineStr">
        <is>
          <t>Square Mozart</t>
        </is>
      </c>
      <c r="J227" t="inlineStr">
        <is>
          <t>83004</t>
        </is>
      </c>
      <c r="K227" t="inlineStr">
        <is>
          <t>Draguignan</t>
        </is>
      </c>
      <c r="L227" t="inlineStr">
        <is>
          <t>04 94 50 16 20</t>
        </is>
      </c>
      <c r="M227" s="4" t="inlineStr">
        <is>
          <t>accueil@dracenie.com</t>
        </is>
      </c>
      <c r="N227" s="4" t="inlineStr">
        <is>
          <t>https://www.dracenie.com/</t>
        </is>
      </c>
      <c r="O227" s="4" t="inlineStr">
        <is>
          <t>https://www.dracenie.com/contact</t>
        </is>
      </c>
      <c r="P227" s="4" t="inlineStr">
        <is>
          <t>https://lannuaire.service-public.gouv.fr/provence-alpes-cote-d-azur/var/a61432f9-b1eb-47b7-9dea-6d9a3ecbd23b</t>
        </is>
      </c>
      <c r="Q227" t="inlineStr">
        <is>
          <t>Annuaire Service-public.fr</t>
        </is>
      </c>
      <c r="R227" t="inlineStr"/>
      <c r="S227" t="inlineStr"/>
      <c r="T227" t="inlineStr"/>
    </row>
    <row r="228">
      <c r="A228" t="inlineStr">
        <is>
          <t>CA Estérel Côte d'Azur Agglomération</t>
        </is>
      </c>
      <c r="B228" t="inlineStr">
        <is>
          <t>Communauté d’agglomération</t>
        </is>
      </c>
      <c r="C228" t="inlineStr">
        <is>
          <t>200035319</t>
        </is>
      </c>
      <c r="D228" t="inlineStr">
        <is>
          <t>83</t>
        </is>
      </c>
      <c r="E228" t="inlineStr">
        <is>
          <t>Var</t>
        </is>
      </c>
      <c r="F228" t="inlineStr">
        <is>
          <t>Provence-Alpes-Côte d'Azur</t>
        </is>
      </c>
      <c r="G228" s="3" t="n">
        <v>121390</v>
      </c>
      <c r="H228" t="n">
        <v>5</v>
      </c>
      <c r="I228" t="inlineStr">
        <is>
          <t>624 chemin Aurélien, CS 50133</t>
        </is>
      </c>
      <c r="J228" t="inlineStr">
        <is>
          <t>83707</t>
        </is>
      </c>
      <c r="K228" t="inlineStr">
        <is>
          <t>Saint-Raphaël Cedex</t>
        </is>
      </c>
      <c r="L228" t="inlineStr">
        <is>
          <t>04 94 19 31 00</t>
        </is>
      </c>
      <c r="M228" s="4" t="inlineStr">
        <is>
          <t>contact@esterelcotedazur-agglo.fr</t>
        </is>
      </c>
      <c r="N228" s="4" t="inlineStr">
        <is>
          <t>https://esterelcotedazur-agglo.fr/</t>
        </is>
      </c>
      <c r="O228" s="4" t="inlineStr">
        <is>
          <t>https://esterelcotedazur-agglo.fr/contacter-un-service/</t>
        </is>
      </c>
      <c r="P228" s="4" t="inlineStr">
        <is>
          <t>https://lannuaire.service-public.gouv.fr/provence-alpes-cote-d-azur/var/49c9d5d0-70d5-4392-9504-19e7319b964d</t>
        </is>
      </c>
      <c r="Q228" t="inlineStr">
        <is>
          <t>Annuaire Service-public.fr</t>
        </is>
      </c>
      <c r="R228" t="inlineStr"/>
      <c r="S228" t="inlineStr"/>
      <c r="T228" t="inlineStr"/>
    </row>
    <row r="229">
      <c r="A229" t="inlineStr">
        <is>
          <t>CA Sud Sainte Baume</t>
        </is>
      </c>
      <c r="B229" t="inlineStr">
        <is>
          <t>Communauté d’agglomération</t>
        </is>
      </c>
      <c r="C229" t="inlineStr">
        <is>
          <t>248300394</t>
        </is>
      </c>
      <c r="D229" t="inlineStr">
        <is>
          <t>83</t>
        </is>
      </c>
      <c r="E229" t="inlineStr">
        <is>
          <t>Var</t>
        </is>
      </c>
      <c r="F229" t="inlineStr">
        <is>
          <t>Provence-Alpes-Côte d'Azur</t>
        </is>
      </c>
      <c r="G229" s="3" t="n">
        <v>65199</v>
      </c>
      <c r="H229" t="n">
        <v>9</v>
      </c>
      <c r="I229" t="inlineStr">
        <is>
          <t>155 avenue Henri-Jansoulin</t>
        </is>
      </c>
      <c r="J229" t="inlineStr">
        <is>
          <t>83740</t>
        </is>
      </c>
      <c r="K229" t="inlineStr">
        <is>
          <t>La Cadière-d'Azur</t>
        </is>
      </c>
      <c r="L229" t="inlineStr">
        <is>
          <t>04 94 98 26 60</t>
        </is>
      </c>
      <c r="M229" s="4" t="inlineStr">
        <is>
          <t>agglo@sudsaintebaume.fr</t>
        </is>
      </c>
      <c r="N229" s="4" t="inlineStr">
        <is>
          <t>https://www.agglo-sudsaintebaume.fr</t>
        </is>
      </c>
      <c r="O229" s="4" t="inlineStr">
        <is>
          <t>https://www.agglo-sudsaintebaume.fr/contact/</t>
        </is>
      </c>
      <c r="P229" s="4" t="inlineStr">
        <is>
          <t>https://lannuaire.service-public.gouv.fr/provence-alpes-cote-d-azur/var/cf2954b7-c7bd-40b7-b96c-a0e9e6536e4f</t>
        </is>
      </c>
      <c r="Q229" t="inlineStr">
        <is>
          <t>Annuaire Service-public.fr</t>
        </is>
      </c>
      <c r="R229" t="inlineStr"/>
      <c r="S229" t="inlineStr"/>
      <c r="T229" t="inlineStr"/>
    </row>
    <row r="230">
      <c r="A230" t="inlineStr">
        <is>
          <t>CA de la Provence Verte</t>
        </is>
      </c>
      <c r="B230" t="inlineStr">
        <is>
          <t>Communauté d’agglomération</t>
        </is>
      </c>
      <c r="C230" t="inlineStr">
        <is>
          <t>200068104</t>
        </is>
      </c>
      <c r="D230" t="inlineStr">
        <is>
          <t>83</t>
        </is>
      </c>
      <c r="E230" t="inlineStr">
        <is>
          <t>Var</t>
        </is>
      </c>
      <c r="F230" t="inlineStr">
        <is>
          <t>Provence-Alpes-Côte d'Azur</t>
        </is>
      </c>
      <c r="G230" s="3" t="n">
        <v>103248</v>
      </c>
      <c r="H230" t="n">
        <v>28</v>
      </c>
      <c r="I230" t="inlineStr">
        <is>
          <t>Quartier de Paris, 174 route départementale 554</t>
        </is>
      </c>
      <c r="J230" t="inlineStr">
        <is>
          <t>83170</t>
        </is>
      </c>
      <c r="K230" t="inlineStr">
        <is>
          <t>Brignoles</t>
        </is>
      </c>
      <c r="L230" t="inlineStr">
        <is>
          <t>04 98 05 27 10</t>
        </is>
      </c>
      <c r="M230" s="4" t="inlineStr">
        <is>
          <t>contact@caprovenceverte.fr</t>
        </is>
      </c>
      <c r="N230" s="4" t="inlineStr">
        <is>
          <t>https://www.caprovenceverte.fr/</t>
        </is>
      </c>
      <c r="O230" s="4" t="inlineStr">
        <is>
          <t>https://www.caprovenceverte.fr/contact/</t>
        </is>
      </c>
      <c r="P230" s="4" t="inlineStr">
        <is>
          <t>https://lannuaire.service-public.gouv.fr/provence-alpes-cote-d-azur/var/aee0f90d-f149-4f3a-971c-10644ebbb0e8</t>
        </is>
      </c>
      <c r="Q230" t="inlineStr">
        <is>
          <t>Annuaire Service-public.fr</t>
        </is>
      </c>
      <c r="R230" t="inlineStr"/>
      <c r="S230" t="inlineStr"/>
      <c r="T230" t="inlineStr"/>
    </row>
    <row r="231">
      <c r="A231" t="inlineStr">
        <is>
          <t>Métropole Toulon-Provence-Méditerranée</t>
        </is>
      </c>
      <c r="B231" t="inlineStr">
        <is>
          <t>Métropole</t>
        </is>
      </c>
      <c r="C231" t="inlineStr">
        <is>
          <t>248300543</t>
        </is>
      </c>
      <c r="D231" t="inlineStr">
        <is>
          <t>83</t>
        </is>
      </c>
      <c r="E231" t="inlineStr">
        <is>
          <t>Var</t>
        </is>
      </c>
      <c r="F231" t="inlineStr">
        <is>
          <t>Provence-Alpes-Côte d'Azur</t>
        </is>
      </c>
      <c r="G231" s="3" t="n">
        <v>449782</v>
      </c>
      <c r="H231" t="n">
        <v>12</v>
      </c>
      <c r="I231" t="inlineStr">
        <is>
          <t>107 boulevard Henri-Fabre, Hôtel de la métropole</t>
        </is>
      </c>
      <c r="J231" t="inlineStr">
        <is>
          <t>83041</t>
        </is>
      </c>
      <c r="K231" t="inlineStr">
        <is>
          <t>Toulon</t>
        </is>
      </c>
      <c r="L231" t="inlineStr">
        <is>
          <t>04 94 93 83 00</t>
        </is>
      </c>
      <c r="M231" s="4" t="inlineStr">
        <is>
          <t>contact@metropoletpm.fr</t>
        </is>
      </c>
      <c r="N231" s="4" t="inlineStr">
        <is>
          <t>https://metropoletpm.fr/</t>
        </is>
      </c>
      <c r="O231" t="inlineStr"/>
      <c r="P231" s="4" t="inlineStr">
        <is>
          <t>https://lannuaire.service-public.gouv.fr/provence-alpes-cote-d-azur/var/dfdbc330-f97a-4922-92b8-68dfab3ddcdd</t>
        </is>
      </c>
      <c r="Q231" t="inlineStr">
        <is>
          <t>Annuaire Service-public.fr</t>
        </is>
      </c>
      <c r="R231" t="inlineStr"/>
      <c r="S231" t="inlineStr"/>
      <c r="T231" t="inlineStr"/>
    </row>
    <row r="232">
      <c r="A232" t="inlineStr">
        <is>
          <t>CA Luberon Monts de Vaucluse</t>
        </is>
      </c>
      <c r="B232" t="inlineStr">
        <is>
          <t>Communauté d’agglomération</t>
        </is>
      </c>
      <c r="C232" t="inlineStr">
        <is>
          <t>200040442</t>
        </is>
      </c>
      <c r="D232" t="inlineStr">
        <is>
          <t>84</t>
        </is>
      </c>
      <c r="E232" t="inlineStr">
        <is>
          <t>Vaucluse</t>
        </is>
      </c>
      <c r="F232" t="inlineStr">
        <is>
          <t>Provence-Alpes-Côte d'Azur</t>
        </is>
      </c>
      <c r="G232" s="3" t="n">
        <v>55163</v>
      </c>
      <c r="H232" t="n">
        <v>16</v>
      </c>
      <c r="I232" t="inlineStr">
        <is>
          <t>315 avenue Saint-Baldou</t>
        </is>
      </c>
      <c r="J232" t="inlineStr">
        <is>
          <t>84300</t>
        </is>
      </c>
      <c r="K232" t="inlineStr">
        <is>
          <t>Cavaillon</t>
        </is>
      </c>
      <c r="L232" t="inlineStr">
        <is>
          <t>04 90 78 82 30</t>
        </is>
      </c>
      <c r="M232" s="4" t="inlineStr">
        <is>
          <t>accueil@c-lmv.fr</t>
        </is>
      </c>
      <c r="N232" s="4" t="inlineStr">
        <is>
          <t>https://www.luberonmontsdevaucluse.fr/</t>
        </is>
      </c>
      <c r="O232" s="4" t="inlineStr">
        <is>
          <t>https://www.luberonmontsdevaucluse.fr/contactez-nous/</t>
        </is>
      </c>
      <c r="P232" s="4" t="inlineStr">
        <is>
          <t>https://lannuaire.service-public.gouv.fr/provence-alpes-cote-d-azur/vaucluse/6bf50d99-6688-40c4-99cd-a57024d23dcc</t>
        </is>
      </c>
      <c r="Q232" t="inlineStr">
        <is>
          <t>Annuaire Service-public.fr</t>
        </is>
      </c>
      <c r="R232" t="inlineStr"/>
      <c r="S232" t="inlineStr"/>
      <c r="T232" t="inlineStr"/>
    </row>
    <row r="233">
      <c r="A233" t="inlineStr">
        <is>
          <t>CA Ventoux-Comtat-Venaissin (COVE)</t>
        </is>
      </c>
      <c r="B233" t="inlineStr">
        <is>
          <t>Communauté d’agglomération</t>
        </is>
      </c>
      <c r="C233" t="inlineStr">
        <is>
          <t>248400053</t>
        </is>
      </c>
      <c r="D233" t="inlineStr">
        <is>
          <t>84</t>
        </is>
      </c>
      <c r="E233" t="inlineStr">
        <is>
          <t>Vaucluse</t>
        </is>
      </c>
      <c r="F233" t="inlineStr">
        <is>
          <t>Provence-Alpes-Côte d'Azur</t>
        </is>
      </c>
      <c r="G233" s="3" t="n">
        <v>72174</v>
      </c>
      <c r="H233" t="n">
        <v>25</v>
      </c>
      <c r="I233" t="inlineStr">
        <is>
          <t>1171 avenue du Mont-Ventoux, CS 30085</t>
        </is>
      </c>
      <c r="J233" t="inlineStr">
        <is>
          <t>84203</t>
        </is>
      </c>
      <c r="K233" t="inlineStr">
        <is>
          <t>Carpentras Cedex</t>
        </is>
      </c>
      <c r="L233" t="inlineStr">
        <is>
          <t>04 90 67 10 13</t>
        </is>
      </c>
      <c r="M233" s="4" t="inlineStr">
        <is>
          <t>accueil-cove@lacove.fr</t>
        </is>
      </c>
      <c r="N233" s="4" t="inlineStr">
        <is>
          <t>https://www.lacove.fr/accueil.html</t>
        </is>
      </c>
      <c r="O233" s="4" t="inlineStr">
        <is>
          <t>https://www.lacove.fr/nous-contacter.html</t>
        </is>
      </c>
      <c r="P233" s="4" t="inlineStr">
        <is>
          <t>https://lannuaire.service-public.gouv.fr/provence-alpes-cote-d-azur/vaucluse/9b14f873-e961-4f89-8911-9b6a07dc2ed3</t>
        </is>
      </c>
      <c r="Q233" t="inlineStr">
        <is>
          <t>Annuaire Service-public.fr</t>
        </is>
      </c>
      <c r="R233" t="inlineStr"/>
      <c r="S233" t="inlineStr"/>
      <c r="T233" t="inlineStr"/>
    </row>
    <row r="234">
      <c r="A234" t="inlineStr">
        <is>
          <t>CA des Sorgues du Comtat</t>
        </is>
      </c>
      <c r="B234" t="inlineStr">
        <is>
          <t>Communauté d’agglomération</t>
        </is>
      </c>
      <c r="C234" t="inlineStr">
        <is>
          <t>248400293</t>
        </is>
      </c>
      <c r="D234" t="inlineStr">
        <is>
          <t>84</t>
        </is>
      </c>
      <c r="E234" t="inlineStr">
        <is>
          <t>Vaucluse</t>
        </is>
      </c>
      <c r="F234" t="inlineStr">
        <is>
          <t>Provence-Alpes-Côte d'Azur</t>
        </is>
      </c>
      <c r="G234" s="3" t="n">
        <v>51024</v>
      </c>
      <c r="H234" t="n">
        <v>5</v>
      </c>
      <c r="I234" t="inlineStr">
        <is>
          <t>340 boulevard d'Avignon, Communauté d'Agglomération Les Sorgues du Comtat</t>
        </is>
      </c>
      <c r="J234" t="inlineStr">
        <is>
          <t>84170</t>
        </is>
      </c>
      <c r="K234" t="inlineStr">
        <is>
          <t>Monteux</t>
        </is>
      </c>
      <c r="L234" t="inlineStr">
        <is>
          <t>04 90 61 15 50</t>
        </is>
      </c>
      <c r="M234" s="4" t="inlineStr">
        <is>
          <t>accueil@sorguesducomtat.fr</t>
        </is>
      </c>
      <c r="N234" s="4" t="inlineStr">
        <is>
          <t>https://sorguesducomtat.fr/fr/</t>
        </is>
      </c>
      <c r="O234" t="inlineStr"/>
      <c r="P234" s="4" t="inlineStr">
        <is>
          <t>https://lannuaire.service-public.gouv.fr/provence-alpes-cote-d-azur/vaucluse/ec01309b-1f8c-4aa2-af79-54cb21f195a5</t>
        </is>
      </c>
      <c r="Q234" t="inlineStr">
        <is>
          <t>Annuaire Service-public.fr</t>
        </is>
      </c>
      <c r="R234" t="inlineStr"/>
      <c r="S234" t="inlineStr"/>
      <c r="T234" t="inlineStr"/>
    </row>
    <row r="235">
      <c r="A235" t="inlineStr">
        <is>
          <t>CA La Roche-sur-Yon - Agglomération</t>
        </is>
      </c>
      <c r="B235" t="inlineStr">
        <is>
          <t>Communauté d’agglomération</t>
        </is>
      </c>
      <c r="C235" t="inlineStr">
        <is>
          <t>248500589</t>
        </is>
      </c>
      <c r="D235" t="inlineStr">
        <is>
          <t>85</t>
        </is>
      </c>
      <c r="E235" t="inlineStr">
        <is>
          <t>Vendée</t>
        </is>
      </c>
      <c r="F235" t="inlineStr">
        <is>
          <t>Pays de la Loire</t>
        </is>
      </c>
      <c r="G235" s="3" t="n">
        <v>98488</v>
      </c>
      <c r="H235" t="n">
        <v>13</v>
      </c>
      <c r="I235" t="inlineStr">
        <is>
          <t>Place du Théâtre</t>
        </is>
      </c>
      <c r="J235" t="inlineStr">
        <is>
          <t>85000</t>
        </is>
      </c>
      <c r="K235" t="inlineStr">
        <is>
          <t>La Roche-sur-Yon</t>
        </is>
      </c>
      <c r="L235" t="inlineStr">
        <is>
          <t>02 51 47 47 47</t>
        </is>
      </c>
      <c r="M235" s="4" t="inlineStr">
        <is>
          <t>accueil@larochesuryon.fr</t>
        </is>
      </c>
      <c r="N235" s="4" t="inlineStr">
        <is>
          <t>https://www.larochesuryon.fr/</t>
        </is>
      </c>
      <c r="O235" s="4" t="inlineStr">
        <is>
          <t>https://www.espace-citoyens.net/larochesuryon/espace-citoyens/Demande/NouvelleDemande/COURRIER/CONTACT</t>
        </is>
      </c>
      <c r="P235" s="4" t="inlineStr">
        <is>
          <t>https://lannuaire.service-public.gouv.fr/pays-de-la-loire/vendee/b126aee6-75e9-496b-abc8-84b0360de7ce</t>
        </is>
      </c>
      <c r="Q235" t="inlineStr">
        <is>
          <t>Annuaire Service-public.fr</t>
        </is>
      </c>
      <c r="R235" t="inlineStr"/>
      <c r="S235" t="inlineStr"/>
      <c r="T235" t="inlineStr"/>
    </row>
    <row r="236">
      <c r="A236" t="inlineStr">
        <is>
          <t>CA Les Sables d'Olonne Agglomération</t>
        </is>
      </c>
      <c r="B236" t="inlineStr">
        <is>
          <t>Communauté d’agglomération</t>
        </is>
      </c>
      <c r="C236" t="inlineStr">
        <is>
          <t>200071165</t>
        </is>
      </c>
      <c r="D236" t="inlineStr">
        <is>
          <t>85</t>
        </is>
      </c>
      <c r="E236" t="inlineStr">
        <is>
          <t>Vendée</t>
        </is>
      </c>
      <c r="F236" t="inlineStr">
        <is>
          <t>Pays de la Loire</t>
        </is>
      </c>
      <c r="G236" s="3" t="n">
        <v>58531</v>
      </c>
      <c r="H236" t="n">
        <v>5</v>
      </c>
      <c r="I236" t="inlineStr">
        <is>
          <t>21 place du Poilu-de-France</t>
        </is>
      </c>
      <c r="J236" t="inlineStr">
        <is>
          <t>85100</t>
        </is>
      </c>
      <c r="K236" t="inlineStr">
        <is>
          <t>Les Sables-d'Olonne</t>
        </is>
      </c>
      <c r="L236" t="inlineStr">
        <is>
          <t>02 51 23 16 00</t>
        </is>
      </c>
      <c r="M236" s="4" t="inlineStr">
        <is>
          <t>info@lsoagglo.fr</t>
        </is>
      </c>
      <c r="N236" s="4" t="inlineStr">
        <is>
          <t>https://www.lsoagglo.fr/</t>
        </is>
      </c>
      <c r="O236" t="inlineStr"/>
      <c r="P236" s="4" t="inlineStr">
        <is>
          <t>https://lannuaire.service-public.gouv.fr/pays-de-la-loire/vendee/1c285ec2-4db7-42c1-9f0d-c05fb8b820a1</t>
        </is>
      </c>
      <c r="Q236" t="inlineStr">
        <is>
          <t>Annuaire Service-public.fr</t>
        </is>
      </c>
      <c r="R236" t="inlineStr"/>
      <c r="S236" t="inlineStr"/>
      <c r="T236" t="inlineStr"/>
    </row>
    <row r="237">
      <c r="A237" t="inlineStr">
        <is>
          <t>CA Terres de Montaigu</t>
        </is>
      </c>
      <c r="B237" t="inlineStr">
        <is>
          <t>Communauté d’agglomération</t>
        </is>
      </c>
      <c r="C237" t="inlineStr">
        <is>
          <t>200070233</t>
        </is>
      </c>
      <c r="D237" t="inlineStr">
        <is>
          <t>85</t>
        </is>
      </c>
      <c r="E237" t="inlineStr">
        <is>
          <t>Vendée</t>
        </is>
      </c>
      <c r="F237" t="inlineStr">
        <is>
          <t>Pays de la Loire</t>
        </is>
      </c>
      <c r="G237" s="3" t="n">
        <v>50547</v>
      </c>
      <c r="H237" t="n">
        <v>9</v>
      </c>
      <c r="I237" t="inlineStr">
        <is>
          <t>440 rue du Mondial</t>
        </is>
      </c>
      <c r="J237" t="inlineStr">
        <is>
          <t>85607</t>
        </is>
      </c>
      <c r="K237" t="inlineStr">
        <is>
          <t>Montaigu-Vendée</t>
        </is>
      </c>
      <c r="L237" t="inlineStr">
        <is>
          <t>02 51 46 45 45</t>
        </is>
      </c>
      <c r="M237" s="4" t="inlineStr">
        <is>
          <t>contact@terresdemontaigu.fr</t>
        </is>
      </c>
      <c r="N237" s="4" t="inlineStr">
        <is>
          <t>https://www.terresdemontaigu.fr/</t>
        </is>
      </c>
      <c r="O237" s="4" t="inlineStr">
        <is>
          <t>https://www.terresdemontaigu.fr/contact/</t>
        </is>
      </c>
      <c r="P237" s="4" t="inlineStr">
        <is>
          <t>https://lannuaire.service-public.gouv.fr/pays-de-la-loire/vendee/596ed788-401e-46f2-a5c7-5ba4eebc3a35</t>
        </is>
      </c>
      <c r="Q237" t="inlineStr">
        <is>
          <t>Annuaire Service-public.fr</t>
        </is>
      </c>
      <c r="R237" t="inlineStr"/>
      <c r="S237" t="inlineStr"/>
      <c r="T237" t="inlineStr"/>
    </row>
    <row r="238">
      <c r="A238" t="inlineStr">
        <is>
          <t>CA du Pays de Saint-Gilles-Croix-de-Vie</t>
        </is>
      </c>
      <c r="B238" t="inlineStr">
        <is>
          <t>Communauté d’agglomération</t>
        </is>
      </c>
      <c r="C238" t="inlineStr">
        <is>
          <t>200023778</t>
        </is>
      </c>
      <c r="D238" t="inlineStr">
        <is>
          <t>85</t>
        </is>
      </c>
      <c r="E238" t="inlineStr">
        <is>
          <t>Vendée</t>
        </is>
      </c>
      <c r="F238" t="inlineStr">
        <is>
          <t>Pays de la Loire</t>
        </is>
      </c>
      <c r="G238" s="3" t="n">
        <v>53176</v>
      </c>
      <c r="H238" t="n">
        <v>14</v>
      </c>
      <c r="I238" t="inlineStr">
        <is>
          <t>ZAE Le Soleil Levant</t>
        </is>
      </c>
      <c r="J238" t="inlineStr">
        <is>
          <t>85800</t>
        </is>
      </c>
      <c r="K238" t="inlineStr">
        <is>
          <t>Saint-Gilles-Croix-de-Vie</t>
        </is>
      </c>
      <c r="L238" t="inlineStr">
        <is>
          <t>02 51 55 55 55</t>
        </is>
      </c>
      <c r="M238" s="4" t="inlineStr">
        <is>
          <t>accueil@payssaintgilles.fr</t>
        </is>
      </c>
      <c r="N238" s="4" t="inlineStr">
        <is>
          <t>https://payssaintgilles.fr/</t>
        </is>
      </c>
      <c r="O238" s="4" t="inlineStr">
        <is>
          <t>https://payssaintgilles.fr/contact/</t>
        </is>
      </c>
      <c r="P238" s="4" t="inlineStr">
        <is>
          <t>https://lannuaire.service-public.gouv.fr/pays-de-la-loire/vendee/49fab78b-d1fd-48d8-8eca-892455177b28</t>
        </is>
      </c>
      <c r="Q238" t="inlineStr">
        <is>
          <t>Annuaire Service-public.fr</t>
        </is>
      </c>
      <c r="R238" t="inlineStr"/>
      <c r="S238" t="inlineStr"/>
      <c r="T238" t="inlineStr"/>
    </row>
    <row r="239">
      <c r="A239" t="inlineStr">
        <is>
          <t>CA Grand Châtellerault</t>
        </is>
      </c>
      <c r="B239" t="inlineStr">
        <is>
          <t>Communauté d’agglomération</t>
        </is>
      </c>
      <c r="C239" t="inlineStr">
        <is>
          <t>248600413</t>
        </is>
      </c>
      <c r="D239" t="inlineStr">
        <is>
          <t>86</t>
        </is>
      </c>
      <c r="E239" t="inlineStr">
        <is>
          <t>Vienne</t>
        </is>
      </c>
      <c r="F239" t="inlineStr">
        <is>
          <t>Nouvelle-Aquitaine</t>
        </is>
      </c>
      <c r="G239" s="3" t="n">
        <v>82964</v>
      </c>
      <c r="H239" t="n">
        <v>47</v>
      </c>
      <c r="I239" t="inlineStr">
        <is>
          <t>5 rue Jean-Perrin</t>
        </is>
      </c>
      <c r="J239" t="inlineStr">
        <is>
          <t>86100</t>
        </is>
      </c>
      <c r="K239" t="inlineStr">
        <is>
          <t>Châtellerault</t>
        </is>
      </c>
      <c r="L239" t="inlineStr">
        <is>
          <t>05 49 20 30 03</t>
        </is>
      </c>
      <c r="M239" s="4" t="inlineStr">
        <is>
          <t>communication@grand-chatellerault.fr</t>
        </is>
      </c>
      <c r="N239" s="4" t="inlineStr">
        <is>
          <t>https://www.grand-chatellerault.fr</t>
        </is>
      </c>
      <c r="O239" t="inlineStr"/>
      <c r="P239" s="4" t="inlineStr">
        <is>
          <t>https://lannuaire.service-public.gouv.fr/nouvelle-aquitaine/vienne/c585cbd5-65a3-41a5-b1c6-303320e6a532</t>
        </is>
      </c>
      <c r="Q239" t="inlineStr">
        <is>
          <t>Annuaire Service-public.fr</t>
        </is>
      </c>
      <c r="R239" t="inlineStr"/>
      <c r="S239" t="inlineStr"/>
      <c r="T239" t="inlineStr"/>
    </row>
    <row r="240">
      <c r="A240" t="inlineStr">
        <is>
          <t>CU du Grand Poitiers</t>
        </is>
      </c>
      <c r="B240" t="inlineStr">
        <is>
          <t>Communauté urbaine</t>
        </is>
      </c>
      <c r="C240" t="inlineStr">
        <is>
          <t>200069854</t>
        </is>
      </c>
      <c r="D240" t="inlineStr">
        <is>
          <t>86</t>
        </is>
      </c>
      <c r="E240" t="inlineStr">
        <is>
          <t>Vienne</t>
        </is>
      </c>
      <c r="F240" t="inlineStr">
        <is>
          <t>Nouvelle-Aquitaine</t>
        </is>
      </c>
      <c r="G240" s="3" t="n">
        <v>196849</v>
      </c>
      <c r="H240" t="n">
        <v>40</v>
      </c>
      <c r="I240" t="inlineStr">
        <is>
          <t>84 rue des Carmélites</t>
        </is>
      </c>
      <c r="J240" t="inlineStr">
        <is>
          <t>86000</t>
        </is>
      </c>
      <c r="K240" t="inlineStr">
        <is>
          <t>Poitiers</t>
        </is>
      </c>
      <c r="L240" t="inlineStr">
        <is>
          <t>05 49 52 35 35</t>
        </is>
      </c>
      <c r="M240" s="4" t="inlineStr">
        <is>
          <t>communication@grandpoitiers.fr</t>
        </is>
      </c>
      <c r="N240" s="4" t="inlineStr">
        <is>
          <t>https://www.grandpoitiers.fr/</t>
        </is>
      </c>
      <c r="O240" s="4" t="inlineStr">
        <is>
          <t>https://www.grandpoitiers.fr/informations-pratiques/contact</t>
        </is>
      </c>
      <c r="P240" s="4" t="inlineStr">
        <is>
          <t>https://lannuaire.service-public.gouv.fr/nouvelle-aquitaine/vienne/24e7b7c8-6a27-474b-8542-42ee50759869</t>
        </is>
      </c>
      <c r="Q240" t="inlineStr">
        <is>
          <t>Annuaire Service-public.fr</t>
        </is>
      </c>
      <c r="R240" t="inlineStr"/>
      <c r="S240" t="inlineStr"/>
      <c r="T240" t="inlineStr"/>
    </row>
    <row r="241">
      <c r="A241" t="inlineStr">
        <is>
          <t>CU Limoges Métropole</t>
        </is>
      </c>
      <c r="B241" t="inlineStr">
        <is>
          <t>Communauté urbaine</t>
        </is>
      </c>
      <c r="C241" t="inlineStr">
        <is>
          <t>248719312</t>
        </is>
      </c>
      <c r="D241" t="inlineStr">
        <is>
          <t>87</t>
        </is>
      </c>
      <c r="E241" t="inlineStr">
        <is>
          <t>Haute-Vienne</t>
        </is>
      </c>
      <c r="F241" t="inlineStr">
        <is>
          <t>Nouvelle-Aquitaine</t>
        </is>
      </c>
      <c r="G241" s="3" t="n">
        <v>207147</v>
      </c>
      <c r="H241" t="n">
        <v>20</v>
      </c>
      <c r="I241" t="inlineStr">
        <is>
          <t>19 rue Bernard-Palissy</t>
        </is>
      </c>
      <c r="J241" t="inlineStr">
        <is>
          <t>87031</t>
        </is>
      </c>
      <c r="K241" t="inlineStr">
        <is>
          <t>Limoges</t>
        </is>
      </c>
      <c r="L241" t="inlineStr">
        <is>
          <t>05 55 45 79 00</t>
        </is>
      </c>
      <c r="M241" s="4" t="inlineStr">
        <is>
          <t>communaute-urbaine@limoges-metropole.fr</t>
        </is>
      </c>
      <c r="N241" s="4" t="inlineStr">
        <is>
          <t>https://www.limoges-metropole.fr</t>
        </is>
      </c>
      <c r="O241" s="4" t="inlineStr">
        <is>
          <t>https://www.limoges-metropole.fr/informations-pratiques/nous-contacter</t>
        </is>
      </c>
      <c r="P241" s="4" t="inlineStr">
        <is>
          <t>https://lannuaire.service-public.gouv.fr/nouvelle-aquitaine/haute-vienne/e85a63e9-98d7-4172-b885-f483445de877</t>
        </is>
      </c>
      <c r="Q241" t="inlineStr">
        <is>
          <t>Annuaire Service-public.fr</t>
        </is>
      </c>
      <c r="R241" t="inlineStr"/>
      <c r="S241" t="inlineStr"/>
      <c r="T241" t="inlineStr"/>
    </row>
    <row r="242">
      <c r="A242" t="inlineStr">
        <is>
          <t>CA d'Epinal</t>
        </is>
      </c>
      <c r="B242" t="inlineStr">
        <is>
          <t>Communauté d’agglomération</t>
        </is>
      </c>
      <c r="C242" t="inlineStr">
        <is>
          <t>200068757</t>
        </is>
      </c>
      <c r="D242" t="inlineStr">
        <is>
          <t>88</t>
        </is>
      </c>
      <c r="E242" t="inlineStr">
        <is>
          <t>Vosges</t>
        </is>
      </c>
      <c r="F242" t="inlineStr">
        <is>
          <t>Grand Est</t>
        </is>
      </c>
      <c r="G242" s="3" t="n">
        <v>110099</v>
      </c>
      <c r="H242" t="n">
        <v>78</v>
      </c>
      <c r="I242" t="inlineStr">
        <is>
          <t>1 avenue  Dutac</t>
        </is>
      </c>
      <c r="J242" t="inlineStr">
        <is>
          <t>88000</t>
        </is>
      </c>
      <c r="K242" t="inlineStr">
        <is>
          <t>Epinal</t>
        </is>
      </c>
      <c r="L242" t="inlineStr">
        <is>
          <t>03 29 37 54 60</t>
        </is>
      </c>
      <c r="M242" s="4" t="inlineStr">
        <is>
          <t>direction@agglo-epinal.fr</t>
        </is>
      </c>
      <c r="N242" s="4" t="inlineStr">
        <is>
          <t>https://www.agglo-epinal.fr/</t>
        </is>
      </c>
      <c r="O242" s="4" t="inlineStr">
        <is>
          <t>https://www.agglo-epinal.fr/nous-contacter/</t>
        </is>
      </c>
      <c r="P242" s="4" t="inlineStr">
        <is>
          <t>https://lannuaire.service-public.gouv.fr/grand-est/vosges/58c63a10-6527-4e6b-8ab3-17d8c26a6ffe</t>
        </is>
      </c>
      <c r="Q242" t="inlineStr">
        <is>
          <t>Annuaire Service-public.fr</t>
        </is>
      </c>
      <c r="R242" t="inlineStr"/>
      <c r="S242" t="inlineStr"/>
      <c r="T242" t="inlineStr"/>
    </row>
    <row r="243">
      <c r="A243" t="inlineStr">
        <is>
          <t>CA de l'Auxerrois</t>
        </is>
      </c>
      <c r="B243" t="inlineStr">
        <is>
          <t>Communauté d’agglomération</t>
        </is>
      </c>
      <c r="C243" t="inlineStr">
        <is>
          <t>200067114</t>
        </is>
      </c>
      <c r="D243" t="inlineStr">
        <is>
          <t>89</t>
        </is>
      </c>
      <c r="E243" t="inlineStr">
        <is>
          <t>Yonne</t>
        </is>
      </c>
      <c r="F243" t="inlineStr">
        <is>
          <t>Bourgogne-Franche-Comté</t>
        </is>
      </c>
      <c r="G243" s="3" t="n">
        <v>68012</v>
      </c>
      <c r="H243" t="n">
        <v>29</v>
      </c>
      <c r="I243" t="inlineStr">
        <is>
          <t>6 bis du Maréchal-Leclerc</t>
        </is>
      </c>
      <c r="J243" t="inlineStr">
        <is>
          <t>89010</t>
        </is>
      </c>
      <c r="K243" t="inlineStr">
        <is>
          <t>Auxerre Cedex</t>
        </is>
      </c>
      <c r="L243" t="inlineStr">
        <is>
          <t>03 86 72 43 00</t>
        </is>
      </c>
      <c r="M243" s="4" t="inlineStr">
        <is>
          <t>contact@agglo-auxerrois.fr</t>
        </is>
      </c>
      <c r="N243" s="4" t="inlineStr">
        <is>
          <t>https://www.agglo-auxerrois.fr</t>
        </is>
      </c>
      <c r="O243" s="4" t="inlineStr">
        <is>
          <t>https://www.agglo-auxerrois.fr/nous-contacter-0</t>
        </is>
      </c>
      <c r="P243" s="4" t="inlineStr">
        <is>
          <t>https://lannuaire.service-public.gouv.fr/bourgogne-franche-comte/yonne/a113637f-5ba3-48d7-8ea2-148d4e0099c1</t>
        </is>
      </c>
      <c r="Q243" t="inlineStr">
        <is>
          <t>Annuaire Service-public.fr</t>
        </is>
      </c>
      <c r="R243" t="inlineStr"/>
      <c r="S243" t="inlineStr"/>
      <c r="T243" t="inlineStr"/>
    </row>
    <row r="244">
      <c r="A244" t="inlineStr">
        <is>
          <t>CA du Grand Sénonais</t>
        </is>
      </c>
      <c r="B244" t="inlineStr">
        <is>
          <t>Communauté d’agglomération</t>
        </is>
      </c>
      <c r="C244" t="inlineStr">
        <is>
          <t>248900334</t>
        </is>
      </c>
      <c r="D244" t="inlineStr">
        <is>
          <t>89</t>
        </is>
      </c>
      <c r="E244" t="inlineStr">
        <is>
          <t>Yonne</t>
        </is>
      </c>
      <c r="F244" t="inlineStr">
        <is>
          <t>Bourgogne-Franche-Comté</t>
        </is>
      </c>
      <c r="G244" s="3" t="n">
        <v>59911</v>
      </c>
      <c r="H244" t="n">
        <v>27</v>
      </c>
      <c r="I244" t="inlineStr">
        <is>
          <t>21 boulevard du 14-Juillet, CS 80552</t>
        </is>
      </c>
      <c r="J244" t="inlineStr">
        <is>
          <t>89105</t>
        </is>
      </c>
      <c r="K244" t="inlineStr">
        <is>
          <t>Sens Cedex</t>
        </is>
      </c>
      <c r="L244" t="inlineStr">
        <is>
          <t>03 86 65 89 00</t>
        </is>
      </c>
      <c r="M244" s="4" t="inlineStr">
        <is>
          <t>courrier@grand-senonais.fr</t>
        </is>
      </c>
      <c r="N244" s="4" t="inlineStr">
        <is>
          <t>https://www.grand-senonais.fr</t>
        </is>
      </c>
      <c r="O244" s="4" t="inlineStr">
        <is>
          <t>https://www.grand-senonais.fr/contact/</t>
        </is>
      </c>
      <c r="P244" s="4" t="inlineStr">
        <is>
          <t>https://lannuaire.service-public.gouv.fr/bourgogne-franche-comte/yonne/931df22e-72d8-4d50-8245-52ca90c884fc</t>
        </is>
      </c>
      <c r="Q244" t="inlineStr">
        <is>
          <t>Annuaire Service-public.fr</t>
        </is>
      </c>
      <c r="R244" t="inlineStr"/>
      <c r="S244" t="inlineStr"/>
      <c r="T244" t="inlineStr"/>
    </row>
    <row r="245">
      <c r="A245" t="inlineStr">
        <is>
          <t>CA Grand Belfort</t>
        </is>
      </c>
      <c r="B245" t="inlineStr">
        <is>
          <t>Communauté d’agglomération</t>
        </is>
      </c>
      <c r="C245" t="inlineStr">
        <is>
          <t>200069052</t>
        </is>
      </c>
      <c r="D245" t="inlineStr">
        <is>
          <t>90</t>
        </is>
      </c>
      <c r="E245" t="inlineStr">
        <is>
          <t>Territoire de Belfort</t>
        </is>
      </c>
      <c r="F245" t="inlineStr">
        <is>
          <t>Bourgogne-Franche-Comté</t>
        </is>
      </c>
      <c r="G245" s="3" t="n">
        <v>101451</v>
      </c>
      <c r="H245" t="n">
        <v>52</v>
      </c>
      <c r="I245" t="inlineStr">
        <is>
          <t>Place d'Armes</t>
        </is>
      </c>
      <c r="J245" t="inlineStr">
        <is>
          <t>90020</t>
        </is>
      </c>
      <c r="K245" t="inlineStr">
        <is>
          <t>Belfort</t>
        </is>
      </c>
      <c r="L245" t="inlineStr">
        <is>
          <t>03 84 54 24 24</t>
        </is>
      </c>
      <c r="M245" s="4" t="inlineStr">
        <is>
          <t>courrier@grandbelfort.fr</t>
        </is>
      </c>
      <c r="N245" s="4" t="inlineStr">
        <is>
          <t>https://www.grandbelfort.fr/</t>
        </is>
      </c>
      <c r="O245" s="4" t="inlineStr">
        <is>
          <t>https://www.grandbelfort.fr/contact.html</t>
        </is>
      </c>
      <c r="P245" s="4" t="inlineStr">
        <is>
          <t>https://lannuaire.service-public.gouv.fr/bourgogne-franche-comte/territoire-de-belfort/70434e10-3df2-45fe-9ec3-04c4570d03f4</t>
        </is>
      </c>
      <c r="Q245" t="inlineStr">
        <is>
          <t>Annuaire Service-public.fr</t>
        </is>
      </c>
      <c r="R245" t="inlineStr"/>
      <c r="S245" t="inlineStr"/>
      <c r="T245" t="inlineStr"/>
    </row>
    <row r="246">
      <c r="A246" t="inlineStr">
        <is>
          <t>CA Coeur d'Essonne Agglomération</t>
        </is>
      </c>
      <c r="B246" t="inlineStr">
        <is>
          <t>Communauté d’agglomération</t>
        </is>
      </c>
      <c r="C246" t="inlineStr">
        <is>
          <t>200057859</t>
        </is>
      </c>
      <c r="D246" t="inlineStr">
        <is>
          <t>91</t>
        </is>
      </c>
      <c r="E246" t="inlineStr">
        <is>
          <t>Essonne</t>
        </is>
      </c>
      <c r="F246" t="inlineStr">
        <is>
          <t>Île-de-France</t>
        </is>
      </c>
      <c r="G246" s="3" t="n">
        <v>208019</v>
      </c>
      <c r="H246" t="n">
        <v>21</v>
      </c>
      <c r="I246" t="inlineStr">
        <is>
          <t>1 place Saint-Exupéry</t>
        </is>
      </c>
      <c r="J246" t="inlineStr">
        <is>
          <t>91700</t>
        </is>
      </c>
      <c r="K246" t="inlineStr">
        <is>
          <t>Sainte-Geneviève-des-Bois</t>
        </is>
      </c>
      <c r="L246" t="inlineStr">
        <is>
          <t>01 69 72 18 00</t>
        </is>
      </c>
      <c r="M246" s="4" t="inlineStr">
        <is>
          <t>communaute@coeuressonne.fr</t>
        </is>
      </c>
      <c r="N246" s="4" t="inlineStr">
        <is>
          <t>https://www.coeuressonne.fr/</t>
        </is>
      </c>
      <c r="O246" s="4" t="inlineStr">
        <is>
          <t>https://www.coeuressonne.fr/nous-contacter/</t>
        </is>
      </c>
      <c r="P246" s="4" t="inlineStr">
        <is>
          <t>https://lannuaire.service-public.gouv.fr/ile-de-france/essonne/7a59e3bb-f911-48b8-abc3-29a576caf321</t>
        </is>
      </c>
      <c r="Q246" t="inlineStr">
        <is>
          <t>Annuaire Service-public.fr</t>
        </is>
      </c>
      <c r="R246" t="inlineStr"/>
      <c r="S246" t="inlineStr"/>
      <c r="T246" t="inlineStr"/>
    </row>
    <row r="247">
      <c r="A247" t="inlineStr">
        <is>
          <t>CA Communauté Paris-Saclay</t>
        </is>
      </c>
      <c r="B247" t="inlineStr">
        <is>
          <t>Communauté d’agglomération</t>
        </is>
      </c>
      <c r="C247" t="inlineStr">
        <is>
          <t>200056232</t>
        </is>
      </c>
      <c r="D247" t="inlineStr">
        <is>
          <t>91</t>
        </is>
      </c>
      <c r="E247" t="inlineStr">
        <is>
          <t>Essonne</t>
        </is>
      </c>
      <c r="F247" t="inlineStr">
        <is>
          <t>Île-de-France</t>
        </is>
      </c>
      <c r="G247" s="3" t="n">
        <v>319695</v>
      </c>
      <c r="H247" t="n">
        <v>27</v>
      </c>
      <c r="I247" t="inlineStr">
        <is>
          <t>21 rue Jean-Rostand</t>
        </is>
      </c>
      <c r="J247" t="inlineStr">
        <is>
          <t>91898</t>
        </is>
      </c>
      <c r="K247" t="inlineStr">
        <is>
          <t>Orsay</t>
        </is>
      </c>
      <c r="L247" t="inlineStr">
        <is>
          <t>01 69 35 60 60</t>
        </is>
      </c>
      <c r="M247" s="4" t="inlineStr">
        <is>
          <t>contact@paris-saclay.com</t>
        </is>
      </c>
      <c r="N247" s="4" t="inlineStr">
        <is>
          <t>https://www.paris-saclay.com/accueil-3.html</t>
        </is>
      </c>
      <c r="O247" s="4" t="inlineStr">
        <is>
          <t>https://www.paris-saclay.com/contact-9.html</t>
        </is>
      </c>
      <c r="P247" s="4" t="inlineStr">
        <is>
          <t>https://lannuaire.service-public.gouv.fr/ile-de-france/essonne/1cf28bfe-a8f1-4340-83b4-d3bd46acf644</t>
        </is>
      </c>
      <c r="Q247" t="inlineStr">
        <is>
          <t>Annuaire Service-public.fr</t>
        </is>
      </c>
      <c r="R247" t="inlineStr"/>
      <c r="S247" t="inlineStr"/>
      <c r="T247" t="inlineStr"/>
    </row>
    <row r="248">
      <c r="A248" t="inlineStr">
        <is>
          <t>CA Val d'Yerres Val de Seine</t>
        </is>
      </c>
      <c r="B248" t="inlineStr">
        <is>
          <t>Communauté d’agglomération</t>
        </is>
      </c>
      <c r="C248" t="inlineStr">
        <is>
          <t>200058477</t>
        </is>
      </c>
      <c r="D248" t="inlineStr">
        <is>
          <t>91</t>
        </is>
      </c>
      <c r="E248" t="inlineStr">
        <is>
          <t>Essonne</t>
        </is>
      </c>
      <c r="F248" t="inlineStr">
        <is>
          <t>Île-de-France</t>
        </is>
      </c>
      <c r="G248" s="3" t="n">
        <v>177954</v>
      </c>
      <c r="H248" t="n">
        <v>9</v>
      </c>
      <c r="I248" t="inlineStr">
        <is>
          <t>78 route nationale 6</t>
        </is>
      </c>
      <c r="J248" t="inlineStr">
        <is>
          <t>91805</t>
        </is>
      </c>
      <c r="K248" t="inlineStr">
        <is>
          <t>Brunoy</t>
        </is>
      </c>
      <c r="L248" t="inlineStr">
        <is>
          <t>01 60 47 94 20</t>
        </is>
      </c>
      <c r="M248" s="4" t="inlineStr">
        <is>
          <t>accueil@vyvs.fr</t>
        </is>
      </c>
      <c r="N248" s="4" t="inlineStr">
        <is>
          <t>https://www.vyvs.fr/</t>
        </is>
      </c>
      <c r="O248" t="inlineStr"/>
      <c r="P248" s="4" t="inlineStr">
        <is>
          <t>https://lannuaire.service-public.gouv.fr/ile-de-france/essonne/a2294a3e-a979-45ea-b8f7-75910e11ea67</t>
        </is>
      </c>
      <c r="Q248" t="inlineStr">
        <is>
          <t>Annuaire Service-public.fr</t>
        </is>
      </c>
      <c r="R248" t="inlineStr"/>
      <c r="S248" t="inlineStr"/>
      <c r="T248" t="inlineStr"/>
    </row>
    <row r="249">
      <c r="A249" t="inlineStr">
        <is>
          <t>CA Étampois Sud Essonne</t>
        </is>
      </c>
      <c r="B249" t="inlineStr">
        <is>
          <t>Communauté d’agglomération</t>
        </is>
      </c>
      <c r="C249" t="inlineStr">
        <is>
          <t>200017846</t>
        </is>
      </c>
      <c r="D249" t="inlineStr">
        <is>
          <t>91</t>
        </is>
      </c>
      <c r="E249" t="inlineStr">
        <is>
          <t>Essonne</t>
        </is>
      </c>
      <c r="F249" t="inlineStr">
        <is>
          <t>Île-de-France</t>
        </is>
      </c>
      <c r="G249" s="3" t="n">
        <v>55848</v>
      </c>
      <c r="H249" t="n">
        <v>37</v>
      </c>
      <c r="I249" t="inlineStr">
        <is>
          <t>76 rue Saint-Jacques</t>
        </is>
      </c>
      <c r="J249" t="inlineStr">
        <is>
          <t>91150</t>
        </is>
      </c>
      <c r="K249" t="inlineStr">
        <is>
          <t>Étampes</t>
        </is>
      </c>
      <c r="L249" t="inlineStr">
        <is>
          <t>01 64 59 26 72</t>
        </is>
      </c>
      <c r="M249" s="4" t="inlineStr">
        <is>
          <t>contact@caese.fr</t>
        </is>
      </c>
      <c r="N249" s="4" t="inlineStr">
        <is>
          <t>https://www.caese.fr/</t>
        </is>
      </c>
      <c r="O249" s="4" t="inlineStr">
        <is>
          <t>https://www.caese.fr/nous-contacter/</t>
        </is>
      </c>
      <c r="P249" s="4" t="inlineStr">
        <is>
          <t>https://lannuaire.service-public.gouv.fr/ile-de-france/essonne/e1a0f770-0bb1-4543-b787-8df2a511781a</t>
        </is>
      </c>
      <c r="Q249" t="inlineStr">
        <is>
          <t>Annuaire Service-public.fr</t>
        </is>
      </c>
      <c r="R249" t="inlineStr"/>
      <c r="S249" t="inlineStr"/>
      <c r="T249" t="inlineStr"/>
    </row>
    <row r="250">
      <c r="A250" t="inlineStr">
        <is>
          <t>CA Plaine Vallée</t>
        </is>
      </c>
      <c r="B250" t="inlineStr">
        <is>
          <t>Communauté d’agglomération</t>
        </is>
      </c>
      <c r="C250" t="inlineStr">
        <is>
          <t>200056380</t>
        </is>
      </c>
      <c r="D250" t="inlineStr">
        <is>
          <t>95</t>
        </is>
      </c>
      <c r="E250" t="inlineStr">
        <is>
          <t>Val-d'Oise</t>
        </is>
      </c>
      <c r="F250" t="inlineStr">
        <is>
          <t>Île-de-France</t>
        </is>
      </c>
      <c r="G250" s="3" t="n">
        <v>186216</v>
      </c>
      <c r="H250" t="n">
        <v>18</v>
      </c>
      <c r="I250" t="inlineStr">
        <is>
          <t>1 rue de lÉgalité</t>
        </is>
      </c>
      <c r="J250" t="inlineStr">
        <is>
          <t>95230</t>
        </is>
      </c>
      <c r="K250" t="inlineStr">
        <is>
          <t>Soisy-sous-Montmorency</t>
        </is>
      </c>
      <c r="L250" t="inlineStr">
        <is>
          <t>01 30 10 91 61</t>
        </is>
      </c>
      <c r="M250" s="4" t="inlineStr">
        <is>
          <t>contact@agglo-plainevallee.fr</t>
        </is>
      </c>
      <c r="N250" s="4" t="inlineStr">
        <is>
          <t>https://www.agglo-plainevallee.fr</t>
        </is>
      </c>
      <c r="O250" s="4" t="inlineStr">
        <is>
          <t>https://www.agglo-plainevallee.fr/nous-contacter/</t>
        </is>
      </c>
      <c r="P250" s="4" t="inlineStr">
        <is>
          <t>https://lannuaire.service-public.gouv.fr/ile-de-france/val-d-oise/8c33ac93-a890-4ce7-8faf-65e0d09c9634</t>
        </is>
      </c>
      <c r="Q250" t="inlineStr">
        <is>
          <t>Annuaire Service-public.fr</t>
        </is>
      </c>
      <c r="R250" t="inlineStr"/>
      <c r="S250" t="inlineStr"/>
      <c r="T250" t="inlineStr"/>
    </row>
    <row r="251">
      <c r="A251" t="inlineStr">
        <is>
          <t>CA Val Parisis</t>
        </is>
      </c>
      <c r="B251" t="inlineStr">
        <is>
          <t>Communauté d’agglomération</t>
        </is>
      </c>
      <c r="C251" t="inlineStr">
        <is>
          <t>200058485</t>
        </is>
      </c>
      <c r="D251" t="inlineStr">
        <is>
          <t>95</t>
        </is>
      </c>
      <c r="E251" t="inlineStr">
        <is>
          <t>Val-d'Oise</t>
        </is>
      </c>
      <c r="F251" t="inlineStr">
        <is>
          <t>Île-de-France</t>
        </is>
      </c>
      <c r="G251" s="3" t="n">
        <v>288829</v>
      </c>
      <c r="H251" t="n">
        <v>15</v>
      </c>
      <c r="I251" t="inlineStr">
        <is>
          <t>271 chaussée Jules-César</t>
        </is>
      </c>
      <c r="J251" t="inlineStr">
        <is>
          <t>95250</t>
        </is>
      </c>
      <c r="K251" t="inlineStr">
        <is>
          <t>Beauchamp</t>
        </is>
      </c>
      <c r="L251" t="inlineStr">
        <is>
          <t>01 30 26 39 41</t>
        </is>
      </c>
      <c r="M251" s="4" t="inlineStr">
        <is>
          <t>communication@valparisis.fr</t>
        </is>
      </c>
      <c r="N251" s="4" t="inlineStr">
        <is>
          <t>https://valparisis.fr/</t>
        </is>
      </c>
      <c r="O251" s="4" t="inlineStr">
        <is>
          <t>https://valparisis.fr/contact</t>
        </is>
      </c>
      <c r="P251" s="4" t="inlineStr">
        <is>
          <t>https://lannuaire.service-public.gouv.fr/ile-de-france/val-d-oise/a0c620c2-2687-4f3f-b06d-6ead390d41d0</t>
        </is>
      </c>
      <c r="Q251" t="inlineStr">
        <is>
          <t>Annuaire Service-public.fr</t>
        </is>
      </c>
      <c r="R251" t="inlineStr"/>
      <c r="S251" t="inlineStr"/>
      <c r="T251" t="inlineStr"/>
    </row>
    <row r="252">
      <c r="A252" t="inlineStr">
        <is>
          <t>CA CAP Excellence</t>
        </is>
      </c>
      <c r="B252" t="inlineStr">
        <is>
          <t>Communauté d’agglomération</t>
        </is>
      </c>
      <c r="C252" t="inlineStr">
        <is>
          <t>200018653</t>
        </is>
      </c>
      <c r="D252" t="inlineStr">
        <is>
          <t>971</t>
        </is>
      </c>
      <c r="E252" t="inlineStr">
        <is>
          <t>Guadeloupe</t>
        </is>
      </c>
      <c r="F252" t="inlineStr">
        <is>
          <t>Guadeloupe</t>
        </is>
      </c>
      <c r="G252" s="3" t="n">
        <v>97558</v>
      </c>
      <c r="H252" t="n">
        <v>3</v>
      </c>
      <c r="I252" t="inlineStr">
        <is>
          <t>18 boulevard Légitimus</t>
        </is>
      </c>
      <c r="J252" t="inlineStr">
        <is>
          <t>97110</t>
        </is>
      </c>
      <c r="K252" t="inlineStr">
        <is>
          <t>Pointe-à-Pitre</t>
        </is>
      </c>
      <c r="L252" t="inlineStr">
        <is>
          <t>05 90 68 92 92</t>
        </is>
      </c>
      <c r="M252" s="4" t="inlineStr">
        <is>
          <t>contact@capexcellence.net</t>
        </is>
      </c>
      <c r="N252" s="4" t="inlineStr">
        <is>
          <t>https://www.capexcellence.net/</t>
        </is>
      </c>
      <c r="O252" t="inlineStr"/>
      <c r="P252" s="4" t="inlineStr">
        <is>
          <t>https://lannuaire.service-public.gouv.fr/guadeloupe/guadeloupe/80e7600c-a7e6-47d3-a0b9-665f6d9e4394</t>
        </is>
      </c>
      <c r="Q252" t="inlineStr">
        <is>
          <t>Annuaire Service-public.fr</t>
        </is>
      </c>
      <c r="R252" t="inlineStr"/>
      <c r="S252" t="inlineStr"/>
      <c r="T252" t="inlineStr"/>
    </row>
    <row r="253">
      <c r="A253" t="inlineStr">
        <is>
          <t>CA Grand Sud Caraïbe</t>
        </is>
      </c>
      <c r="B253" t="inlineStr">
        <is>
          <t>Communauté d’agglomération</t>
        </is>
      </c>
      <c r="C253" t="inlineStr">
        <is>
          <t>249710070</t>
        </is>
      </c>
      <c r="D253" t="inlineStr">
        <is>
          <t>971</t>
        </is>
      </c>
      <c r="E253" t="inlineStr">
        <is>
          <t>Guadeloupe</t>
        </is>
      </c>
      <c r="F253" t="inlineStr">
        <is>
          <t>Guadeloupe</t>
        </is>
      </c>
      <c r="G253" s="3" t="n">
        <v>75104</v>
      </c>
      <c r="H253" t="n">
        <v>11</v>
      </c>
      <c r="I253" t="inlineStr">
        <is>
          <t>Place du Père-Magloire, 2 rue Auguste BEBIAN</t>
        </is>
      </c>
      <c r="J253" t="inlineStr">
        <is>
          <t>97100</t>
        </is>
      </c>
      <c r="K253" t="inlineStr">
        <is>
          <t>Basse-Terre</t>
        </is>
      </c>
      <c r="L253" t="inlineStr">
        <is>
          <t>05 90 99 63 20</t>
        </is>
      </c>
      <c r="M253" s="4" t="inlineStr">
        <is>
          <t>ccsbt2@wanadoo.fr</t>
        </is>
      </c>
      <c r="N253" s="4" t="inlineStr">
        <is>
          <t>https://www.grandsudcaraibe.fr/</t>
        </is>
      </c>
      <c r="O253" s="4" t="inlineStr">
        <is>
          <t>https://www.grandsudcaraibe.fr/non-classe/contactez-nous/</t>
        </is>
      </c>
      <c r="P253" s="4" t="inlineStr">
        <is>
          <t>https://lannuaire.service-public.gouv.fr/guadeloupe/guadeloupe/85d64ea4-9595-4f82-87c7-365285222ea8</t>
        </is>
      </c>
      <c r="Q253" t="inlineStr">
        <is>
          <t>Annuaire Service-public.fr</t>
        </is>
      </c>
      <c r="R253" t="inlineStr"/>
      <c r="S253" t="inlineStr"/>
      <c r="T253" t="inlineStr"/>
    </row>
    <row r="254">
      <c r="A254" t="inlineStr">
        <is>
          <t>CA La Riviéra du Levant</t>
        </is>
      </c>
      <c r="B254" t="inlineStr">
        <is>
          <t>Communauté d’agglomération</t>
        </is>
      </c>
      <c r="C254" t="inlineStr">
        <is>
          <t>200041507</t>
        </is>
      </c>
      <c r="D254" t="inlineStr">
        <is>
          <t>971</t>
        </is>
      </c>
      <c r="E254" t="inlineStr">
        <is>
          <t>Guadeloupe</t>
        </is>
      </c>
      <c r="F254" t="inlineStr">
        <is>
          <t>Guadeloupe</t>
        </is>
      </c>
      <c r="G254" s="3" t="n">
        <v>66218</v>
      </c>
      <c r="H254" t="n">
        <v>4</v>
      </c>
      <c r="I254" t="inlineStr">
        <is>
          <t>93 boulevard du Général-de-Gaulle</t>
        </is>
      </c>
      <c r="J254" t="inlineStr">
        <is>
          <t>97190</t>
        </is>
      </c>
      <c r="K254" t="inlineStr">
        <is>
          <t>Le Gosier</t>
        </is>
      </c>
      <c r="L254" t="inlineStr">
        <is>
          <t>05 90 48 47 47</t>
        </is>
      </c>
      <c r="M254" s="4" t="inlineStr">
        <is>
          <t>carl@rivieradulevant.fr</t>
        </is>
      </c>
      <c r="N254" s="4" t="inlineStr">
        <is>
          <t>https://www.rivieradulevant.fr</t>
        </is>
      </c>
      <c r="O254" t="inlineStr"/>
      <c r="P254" s="4" t="inlineStr">
        <is>
          <t>https://lannuaire.service-public.gouv.fr/guadeloupe/guadeloupe/f7fa91b0-a8d5-4fb1-b7a3-b33802927351</t>
        </is>
      </c>
      <c r="Q254" t="inlineStr">
        <is>
          <t>Annuaire Service-public.fr</t>
        </is>
      </c>
      <c r="R254" t="inlineStr"/>
      <c r="S254" t="inlineStr"/>
      <c r="T254" t="inlineStr"/>
    </row>
    <row r="255">
      <c r="A255" t="inlineStr">
        <is>
          <t>CA du Nord Basse-Terre</t>
        </is>
      </c>
      <c r="B255" t="inlineStr">
        <is>
          <t>Communauté d’agglomération</t>
        </is>
      </c>
      <c r="C255" t="inlineStr">
        <is>
          <t>249710062</t>
        </is>
      </c>
      <c r="D255" t="inlineStr">
        <is>
          <t>971</t>
        </is>
      </c>
      <c r="E255" t="inlineStr">
        <is>
          <t>Guadeloupe</t>
        </is>
      </c>
      <c r="F255" t="inlineStr">
        <is>
          <t>Guadeloupe</t>
        </is>
      </c>
      <c r="G255" s="3" t="n">
        <v>77475</v>
      </c>
      <c r="H255" t="n">
        <v>6</v>
      </c>
      <c r="I255" t="inlineStr">
        <is>
          <t>ZAC de Nolivier</t>
        </is>
      </c>
      <c r="J255" t="inlineStr">
        <is>
          <t>97115</t>
        </is>
      </c>
      <c r="K255" t="inlineStr">
        <is>
          <t>Sainte-Rose</t>
        </is>
      </c>
      <c r="L255" t="inlineStr">
        <is>
          <t>05 90 01 00 81</t>
        </is>
      </c>
      <c r="M255" s="4" t="inlineStr">
        <is>
          <t>contact@canbt.fr</t>
        </is>
      </c>
      <c r="N255" s="4" t="inlineStr">
        <is>
          <t>https://canbt.fr/</t>
        </is>
      </c>
      <c r="O255" t="inlineStr"/>
      <c r="P255" s="4" t="inlineStr">
        <is>
          <t>https://lannuaire.service-public.gouv.fr/guadeloupe/guadeloupe/e68a4a8d-872b-4470-a2eb-b630680d7ada</t>
        </is>
      </c>
      <c r="Q255" t="inlineStr">
        <is>
          <t>Annuaire Service-public.fr</t>
        </is>
      </c>
      <c r="R255" t="inlineStr"/>
      <c r="S255" t="inlineStr"/>
      <c r="T255" t="inlineStr"/>
    </row>
    <row r="256">
      <c r="A256" t="inlineStr">
        <is>
          <t>CA du Nord Grande Terre</t>
        </is>
      </c>
      <c r="B256" t="inlineStr">
        <is>
          <t>Communauté d’agglomération</t>
        </is>
      </c>
      <c r="C256" t="inlineStr">
        <is>
          <t>200044691</t>
        </is>
      </c>
      <c r="D256" t="inlineStr">
        <is>
          <t>971</t>
        </is>
      </c>
      <c r="E256" t="inlineStr">
        <is>
          <t>Guadeloupe</t>
        </is>
      </c>
      <c r="F256" t="inlineStr">
        <is>
          <t>Guadeloupe</t>
        </is>
      </c>
      <c r="G256" s="3" t="n">
        <v>56792</v>
      </c>
      <c r="H256" t="n">
        <v>5</v>
      </c>
      <c r="I256" t="inlineStr">
        <is>
          <t>2 lotissement Vallée-de-Roujol, Pôle administratif</t>
        </is>
      </c>
      <c r="J256" t="inlineStr">
        <is>
          <t>97131</t>
        </is>
      </c>
      <c r="K256" t="inlineStr">
        <is>
          <t>Petit-Canal</t>
        </is>
      </c>
      <c r="L256" t="inlineStr">
        <is>
          <t>05 90 48 77 80</t>
        </is>
      </c>
      <c r="M256" s="4" t="inlineStr">
        <is>
          <t>communaute@cangt-guadeloupe.fr</t>
        </is>
      </c>
      <c r="N256" s="4" t="inlineStr">
        <is>
          <t>https://www.cangt.fr/</t>
        </is>
      </c>
      <c r="O256" s="4" t="inlineStr">
        <is>
          <t>https://www.cangt.fr/contact-mairie-de-cangt/</t>
        </is>
      </c>
      <c r="P256" s="4" t="inlineStr">
        <is>
          <t>https://lannuaire.service-public.gouv.fr/guadeloupe/guadeloupe/50468cee-7965-439d-831d-c76c928318a5</t>
        </is>
      </c>
      <c r="Q256" t="inlineStr">
        <is>
          <t>Annuaire Service-public.fr</t>
        </is>
      </c>
      <c r="R256" t="inlineStr"/>
      <c r="S256" t="inlineStr"/>
      <c r="T256" t="inlineStr"/>
    </row>
    <row r="257">
      <c r="A257" t="inlineStr">
        <is>
          <t>CA de l'Espace Sud de la Martinique</t>
        </is>
      </c>
      <c r="B257" t="inlineStr">
        <is>
          <t>Communauté d’agglomération</t>
        </is>
      </c>
      <c r="C257" t="inlineStr">
        <is>
          <t>249720053</t>
        </is>
      </c>
      <c r="D257" t="inlineStr">
        <is>
          <t>972</t>
        </is>
      </c>
      <c r="E257" t="inlineStr">
        <is>
          <t>Martinique</t>
        </is>
      </c>
      <c r="F257" t="inlineStr">
        <is>
          <t>Martinique</t>
        </is>
      </c>
      <c r="G257" s="3" t="n">
        <v>115038</v>
      </c>
      <c r="H257" t="n">
        <v>12</v>
      </c>
      <c r="I257" t="inlineStr">
        <is>
          <t>Zone d'actvité de Maupéou, Espace sud</t>
        </is>
      </c>
      <c r="J257" t="inlineStr">
        <is>
          <t>97228</t>
        </is>
      </c>
      <c r="K257" t="inlineStr">
        <is>
          <t>Sainte-Luce</t>
        </is>
      </c>
      <c r="L257" t="inlineStr">
        <is>
          <t>05 96 62 53 53</t>
        </is>
      </c>
      <c r="M257" s="4" t="inlineStr">
        <is>
          <t>caesm@espacesud.fr</t>
        </is>
      </c>
      <c r="N257" s="4" t="inlineStr">
        <is>
          <t>https://espacesud.fr/</t>
        </is>
      </c>
      <c r="O257" t="inlineStr"/>
      <c r="P257" s="4" t="inlineStr">
        <is>
          <t>https://lannuaire.service-public.gouv.fr/martinique/martinique/429a43d1-b34c-4fe6-b3f4-e67a867b03d8</t>
        </is>
      </c>
      <c r="Q257" t="inlineStr">
        <is>
          <t>Annuaire Service-public.fr</t>
        </is>
      </c>
      <c r="R257" t="inlineStr"/>
      <c r="S257" t="inlineStr"/>
      <c r="T257" t="inlineStr"/>
    </row>
    <row r="258">
      <c r="A258" t="inlineStr">
        <is>
          <t>CA du Centre de la Martinique</t>
        </is>
      </c>
      <c r="B258" t="inlineStr">
        <is>
          <t>Communauté d’agglomération</t>
        </is>
      </c>
      <c r="C258" t="inlineStr">
        <is>
          <t>249720061</t>
        </is>
      </c>
      <c r="D258" t="inlineStr">
        <is>
          <t>972</t>
        </is>
      </c>
      <c r="E258" t="inlineStr">
        <is>
          <t>Martinique</t>
        </is>
      </c>
      <c r="F258" t="inlineStr">
        <is>
          <t>Martinique</t>
        </is>
      </c>
      <c r="G258" s="3" t="n">
        <v>150323</v>
      </c>
      <c r="H258" t="n">
        <v>4</v>
      </c>
      <c r="I258" t="inlineStr">
        <is>
          <t>Immeuble Cascade 3, Place François-Mitterrand, BP 407</t>
        </is>
      </c>
      <c r="J258" t="inlineStr">
        <is>
          <t>97204</t>
        </is>
      </c>
      <c r="K258" t="inlineStr">
        <is>
          <t>Fort-de-France Cedex</t>
        </is>
      </c>
      <c r="L258" t="inlineStr">
        <is>
          <t>05 96 75 82 72</t>
        </is>
      </c>
      <c r="M258" s="4" t="inlineStr">
        <is>
          <t>contact@cacem-mq.org</t>
        </is>
      </c>
      <c r="N258" s="4" t="inlineStr">
        <is>
          <t>https://www.cacem.org/</t>
        </is>
      </c>
      <c r="O258" s="4" t="inlineStr">
        <is>
          <t>https://www.cacem.org/contact/</t>
        </is>
      </c>
      <c r="P258" s="4" t="inlineStr">
        <is>
          <t>https://lannuaire.service-public.gouv.fr/martinique/martinique/3c58359a-4232-4f56-898e-d98c4c3581c4</t>
        </is>
      </c>
      <c r="Q258" t="inlineStr">
        <is>
          <t>Annuaire Service-public.fr</t>
        </is>
      </c>
      <c r="R258" t="inlineStr"/>
      <c r="S258" t="inlineStr"/>
      <c r="T258" t="inlineStr"/>
    </row>
    <row r="259">
      <c r="A259" t="inlineStr">
        <is>
          <t>CA du Pays Nord Martinique</t>
        </is>
      </c>
      <c r="B259" t="inlineStr">
        <is>
          <t>Communauté d’agglomération</t>
        </is>
      </c>
      <c r="C259" t="inlineStr">
        <is>
          <t>200041788</t>
        </is>
      </c>
      <c r="D259" t="inlineStr">
        <is>
          <t>972</t>
        </is>
      </c>
      <c r="E259" t="inlineStr">
        <is>
          <t>Martinique</t>
        </is>
      </c>
      <c r="F259" t="inlineStr">
        <is>
          <t>Martinique</t>
        </is>
      </c>
      <c r="G259" s="3" t="n">
        <v>95658</v>
      </c>
      <c r="H259" t="n">
        <v>18</v>
      </c>
      <c r="I259" t="inlineStr">
        <is>
          <t>39 lotissement la Marie</t>
        </is>
      </c>
      <c r="J259" t="inlineStr">
        <is>
          <t>97225</t>
        </is>
      </c>
      <c r="K259" t="inlineStr">
        <is>
          <t>Le Marigot</t>
        </is>
      </c>
      <c r="L259" t="inlineStr">
        <is>
          <t>05 96 53 50 23</t>
        </is>
      </c>
      <c r="M259" s="4" t="inlineStr">
        <is>
          <t>contact@capnordmartinique.fr</t>
        </is>
      </c>
      <c r="N259" s="4" t="inlineStr">
        <is>
          <t>http://www.capnordmartinique.fr</t>
        </is>
      </c>
      <c r="O259" s="4" t="inlineStr">
        <is>
          <t>http://www.capnordmartinique.fr/contact</t>
        </is>
      </c>
      <c r="P259" s="4" t="inlineStr">
        <is>
          <t>https://lannuaire.service-public.gouv.fr/martinique/martinique/b22db8ba-c4c5-4cac-8b0c-ffdc6c5209c1</t>
        </is>
      </c>
      <c r="Q259" t="inlineStr">
        <is>
          <t>Annuaire Service-public.fr</t>
        </is>
      </c>
      <c r="R259" t="inlineStr"/>
      <c r="S259" t="inlineStr"/>
      <c r="T259" t="inlineStr"/>
    </row>
    <row r="260">
      <c r="A260" t="inlineStr">
        <is>
          <t>CA du Centre Littoral</t>
        </is>
      </c>
      <c r="B260" t="inlineStr">
        <is>
          <t>Communauté d’agglomération</t>
        </is>
      </c>
      <c r="C260" t="inlineStr">
        <is>
          <t>249730045</t>
        </is>
      </c>
      <c r="D260" t="inlineStr">
        <is>
          <t>973</t>
        </is>
      </c>
      <c r="E260" t="inlineStr">
        <is>
          <t>Guyane</t>
        </is>
      </c>
      <c r="F260" t="inlineStr">
        <is>
          <t>Guyane</t>
        </is>
      </c>
      <c r="G260" s="3" t="n">
        <v>152190</v>
      </c>
      <c r="H260" t="n">
        <v>6</v>
      </c>
      <c r="I260" t="inlineStr">
        <is>
          <t>4 esplanade de la Cité-d'Affaires</t>
        </is>
      </c>
      <c r="J260" t="inlineStr">
        <is>
          <t>97351</t>
        </is>
      </c>
      <c r="K260" t="inlineStr">
        <is>
          <t>Matoury</t>
        </is>
      </c>
      <c r="L260" t="inlineStr">
        <is>
          <t>05 94 28 28 28</t>
        </is>
      </c>
      <c r="M260" s="4" t="inlineStr">
        <is>
          <t>infos@cacl-guyane.fr</t>
        </is>
      </c>
      <c r="N260" s="4" t="inlineStr">
        <is>
          <t>https://www.cacl-guyane.fr/</t>
        </is>
      </c>
      <c r="O260" s="4" t="inlineStr">
        <is>
          <t>https://www.cacl-guyane.fr/</t>
        </is>
      </c>
      <c r="P260" s="4" t="inlineStr">
        <is>
          <t>https://lannuaire.service-public.gouv.fr/guyane/guyane/d6fc63a0-9d09-44d3-afb1-ad471694bc01</t>
        </is>
      </c>
      <c r="Q260" t="inlineStr">
        <is>
          <t>Annuaire Service-public.fr</t>
        </is>
      </c>
      <c r="R260" t="inlineStr"/>
      <c r="S260" t="inlineStr"/>
      <c r="T260" t="inlineStr"/>
    </row>
    <row r="261">
      <c r="A261" t="inlineStr">
        <is>
          <t>CA CIVIS (Communauté Intercommunale des Villes Solidaires)</t>
        </is>
      </c>
      <c r="B261" t="inlineStr">
        <is>
          <t>Communauté d’agglomération</t>
        </is>
      </c>
      <c r="C261" t="inlineStr">
        <is>
          <t>249740077</t>
        </is>
      </c>
      <c r="D261" t="inlineStr">
        <is>
          <t>974</t>
        </is>
      </c>
      <c r="E261" t="inlineStr">
        <is>
          <t>La Réunion</t>
        </is>
      </c>
      <c r="F261" t="inlineStr">
        <is>
          <t>La Réunion</t>
        </is>
      </c>
      <c r="G261" s="3" t="n">
        <v>183641</v>
      </c>
      <c r="H261" t="n">
        <v>6</v>
      </c>
      <c r="I261" t="inlineStr">
        <is>
          <t>29 route de l'Entre-Deux</t>
        </is>
      </c>
      <c r="J261" t="inlineStr">
        <is>
          <t>97410</t>
        </is>
      </c>
      <c r="K261" t="inlineStr">
        <is>
          <t>Saint-Pierre-Pierrefonds</t>
        </is>
      </c>
      <c r="L261" t="inlineStr">
        <is>
          <t>02 62 49 96 00</t>
        </is>
      </c>
      <c r="M261" s="4" t="inlineStr">
        <is>
          <t>accueil@civis.re</t>
        </is>
      </c>
      <c r="N261" s="4" t="inlineStr">
        <is>
          <t>https://www.civis.re/</t>
        </is>
      </c>
      <c r="O261" t="inlineStr"/>
      <c r="P261" s="4" t="inlineStr">
        <is>
          <t>https://lannuaire.service-public.gouv.fr/la-reunion/la-reunion/c4e462e5-7603-4569-9be4-a2c887951483</t>
        </is>
      </c>
      <c r="Q261" t="inlineStr">
        <is>
          <t>Annuaire Service-public.fr</t>
        </is>
      </c>
      <c r="R261" t="inlineStr"/>
      <c r="S261" t="inlineStr"/>
      <c r="T261" t="inlineStr"/>
    </row>
    <row r="262">
      <c r="A262" t="inlineStr">
        <is>
          <t>CA Intercommunale de la Réunion Est (CIREST)</t>
        </is>
      </c>
      <c r="B262" t="inlineStr">
        <is>
          <t>Communauté d’agglomération</t>
        </is>
      </c>
      <c r="C262" t="inlineStr">
        <is>
          <t>249740093</t>
        </is>
      </c>
      <c r="D262" t="inlineStr">
        <is>
          <t>974</t>
        </is>
      </c>
      <c r="E262" t="inlineStr">
        <is>
          <t>La Réunion</t>
        </is>
      </c>
      <c r="F262" t="inlineStr">
        <is>
          <t>La Réunion</t>
        </is>
      </c>
      <c r="G262" s="3" t="n">
        <v>128965</v>
      </c>
      <c r="H262" t="n">
        <v>6</v>
      </c>
      <c r="I262" t="inlineStr">
        <is>
          <t>28 rue des Tamarins, pôle bois</t>
        </is>
      </c>
      <c r="J262" t="inlineStr">
        <is>
          <t>97470</t>
        </is>
      </c>
      <c r="K262" t="inlineStr">
        <is>
          <t>Saint-Benoît</t>
        </is>
      </c>
      <c r="L262" t="inlineStr">
        <is>
          <t>02 62 94 70 00</t>
        </is>
      </c>
      <c r="M262" s="4" t="inlineStr">
        <is>
          <t>cirest@cirest.fr</t>
        </is>
      </c>
      <c r="N262" s="4" t="inlineStr">
        <is>
          <t>https://www.cirest.fr/</t>
        </is>
      </c>
      <c r="O262" s="4" t="inlineStr">
        <is>
          <t>https://www.cirest.fr/contact/</t>
        </is>
      </c>
      <c r="P262" s="4" t="inlineStr">
        <is>
          <t>https://lannuaire.service-public.gouv.fr/la-reunion/la-reunion/629659a0-949b-445b-9004-dfe32147b5d9</t>
        </is>
      </c>
      <c r="Q262" t="inlineStr">
        <is>
          <t>Annuaire Service-public.fr</t>
        </is>
      </c>
      <c r="R262" t="inlineStr"/>
      <c r="S262" t="inlineStr"/>
      <c r="T262" t="inlineStr"/>
    </row>
    <row r="263">
      <c r="A263" t="inlineStr">
        <is>
          <t>CA Intercommunale du Nord de la Réunion (CINOR)</t>
        </is>
      </c>
      <c r="B263" t="inlineStr">
        <is>
          <t>Communauté d’agglomération</t>
        </is>
      </c>
      <c r="C263" t="inlineStr">
        <is>
          <t>249740119</t>
        </is>
      </c>
      <c r="D263" t="inlineStr">
        <is>
          <t>974</t>
        </is>
      </c>
      <c r="E263" t="inlineStr">
        <is>
          <t>La Réunion</t>
        </is>
      </c>
      <c r="F263" t="inlineStr">
        <is>
          <t>La Réunion</t>
        </is>
      </c>
      <c r="G263" s="3" t="n">
        <v>216588</v>
      </c>
      <c r="H263" t="n">
        <v>3</v>
      </c>
      <c r="I263" t="inlineStr">
        <is>
          <t>3 rue de la Solidarité, CS 61025</t>
        </is>
      </c>
      <c r="J263" t="inlineStr">
        <is>
          <t>97495</t>
        </is>
      </c>
      <c r="K263" t="inlineStr">
        <is>
          <t>Sainte-Clotilde Cedex</t>
        </is>
      </c>
      <c r="L263" t="inlineStr">
        <is>
          <t>02 62 92 49 00</t>
        </is>
      </c>
      <c r="M263" s="4" t="inlineStr">
        <is>
          <t>direction.generale@cinor.org</t>
        </is>
      </c>
      <c r="N263" s="4" t="inlineStr">
        <is>
          <t>https://www.cinor.re/</t>
        </is>
      </c>
      <c r="O263" s="4" t="inlineStr">
        <is>
          <t>https://www.cinor.re/contact/</t>
        </is>
      </c>
      <c r="P263" s="4" t="inlineStr">
        <is>
          <t>https://lannuaire.service-public.gouv.fr/la-reunion/la-reunion/4a664769-1a44-49fe-aab5-b7c4b350db34</t>
        </is>
      </c>
      <c r="Q263" t="inlineStr">
        <is>
          <t>Annuaire Service-public.fr</t>
        </is>
      </c>
      <c r="R263" t="inlineStr"/>
      <c r="S263" t="inlineStr"/>
      <c r="T263" t="inlineStr"/>
    </row>
    <row r="264">
      <c r="A264" t="inlineStr">
        <is>
          <t>CA Territoire de la Côte Ouest (TCO)</t>
        </is>
      </c>
      <c r="B264" t="inlineStr">
        <is>
          <t>Communauté d’agglomération</t>
        </is>
      </c>
      <c r="C264" t="inlineStr">
        <is>
          <t>249740101</t>
        </is>
      </c>
      <c r="D264" t="inlineStr">
        <is>
          <t>974</t>
        </is>
      </c>
      <c r="E264" t="inlineStr">
        <is>
          <t>La Réunion</t>
        </is>
      </c>
      <c r="F264" t="inlineStr">
        <is>
          <t>La Réunion</t>
        </is>
      </c>
      <c r="G264" s="3" t="n">
        <v>218990</v>
      </c>
      <c r="H264" t="n">
        <v>5</v>
      </c>
      <c r="I264" t="inlineStr">
        <is>
          <t>1 rue Eliard-Laude</t>
        </is>
      </c>
      <c r="J264" t="inlineStr">
        <is>
          <t>97420</t>
        </is>
      </c>
      <c r="K264" t="inlineStr">
        <is>
          <t>Le Port</t>
        </is>
      </c>
      <c r="L264" t="inlineStr">
        <is>
          <t>02 62 32 12 12</t>
        </is>
      </c>
      <c r="M264" s="4" t="inlineStr">
        <is>
          <t>courrier@tco.re</t>
        </is>
      </c>
      <c r="N264" s="4" t="inlineStr">
        <is>
          <t>https://www.tco.re/</t>
        </is>
      </c>
      <c r="O264" t="inlineStr"/>
      <c r="P264" s="4" t="inlineStr">
        <is>
          <t>https://lannuaire.service-public.gouv.fr/la-reunion/la-reunion/1cd57a4f-44c8-4435-8f32-18b0cdd9e225</t>
        </is>
      </c>
      <c r="Q264" t="inlineStr">
        <is>
          <t>Annuaire Service-public.fr</t>
        </is>
      </c>
      <c r="R264" t="inlineStr"/>
      <c r="S264" t="inlineStr"/>
      <c r="T264" t="inlineStr"/>
    </row>
    <row r="265">
      <c r="A265" t="inlineStr">
        <is>
          <t>CA du Sud</t>
        </is>
      </c>
      <c r="B265" t="inlineStr">
        <is>
          <t>Communauté d’agglomération</t>
        </is>
      </c>
      <c r="C265" t="inlineStr">
        <is>
          <t>249740085</t>
        </is>
      </c>
      <c r="D265" t="inlineStr">
        <is>
          <t>974</t>
        </is>
      </c>
      <c r="E265" t="inlineStr">
        <is>
          <t>La Réunion</t>
        </is>
      </c>
      <c r="F265" t="inlineStr">
        <is>
          <t>La Réunion</t>
        </is>
      </c>
      <c r="G265" s="3" t="n">
        <v>133164</v>
      </c>
      <c r="H265" t="n">
        <v>4</v>
      </c>
      <c r="I265" t="inlineStr">
        <is>
          <t>379 rue Hubert-Delisle, BP 437</t>
        </is>
      </c>
      <c r="J265" t="inlineStr">
        <is>
          <t>97430</t>
        </is>
      </c>
      <c r="K265" t="inlineStr">
        <is>
          <t>Le Tampon</t>
        </is>
      </c>
      <c r="L265" t="inlineStr">
        <is>
          <t>02 62 57 97 77</t>
        </is>
      </c>
      <c r="M265" s="4" t="inlineStr">
        <is>
          <t>contact@casud.re</t>
        </is>
      </c>
      <c r="N265" s="4" t="inlineStr">
        <is>
          <t>https://www.casud.re/</t>
        </is>
      </c>
      <c r="O265" s="4" t="inlineStr">
        <is>
          <t>https://www.casud.re/contactez-nous</t>
        </is>
      </c>
      <c r="P265" s="4" t="inlineStr">
        <is>
          <t>https://lannuaire.service-public.gouv.fr/la-reunion/la-reunion/72c04217-fc47-4cd8-93bf-35f9f363ad93</t>
        </is>
      </c>
      <c r="Q265" t="inlineStr">
        <is>
          <t>Annuaire Service-public.fr</t>
        </is>
      </c>
      <c r="R265" t="inlineStr"/>
      <c r="S265" t="inlineStr"/>
      <c r="T265" t="inlineStr"/>
    </row>
    <row r="266">
      <c r="A266" t="inlineStr">
        <is>
          <t>CA de Dembeni / Mamoudzou</t>
        </is>
      </c>
      <c r="B266" t="inlineStr">
        <is>
          <t>Communauté d’agglomération</t>
        </is>
      </c>
      <c r="C266" t="inlineStr">
        <is>
          <t>200060457</t>
        </is>
      </c>
      <c r="D266" t="inlineStr">
        <is>
          <t>976</t>
        </is>
      </c>
      <c r="E266" t="inlineStr">
        <is>
          <t>Mayotte</t>
        </is>
      </c>
      <c r="F266" t="inlineStr">
        <is>
          <t>Mayotte</t>
        </is>
      </c>
      <c r="G266" s="3" t="n">
        <v>87285</v>
      </c>
      <c r="H266" t="n">
        <v>2</v>
      </c>
      <c r="I266" t="inlineStr">
        <is>
          <t>106 Boulevard Halidi, Sélémani</t>
        </is>
      </c>
      <c r="J266" t="inlineStr">
        <is>
          <t>97600</t>
        </is>
      </c>
      <c r="K266" t="inlineStr">
        <is>
          <t>Mamoudzou</t>
        </is>
      </c>
      <c r="L266" t="inlineStr">
        <is>
          <t>02 69 53 00 00</t>
        </is>
      </c>
      <c r="M266" s="4" t="inlineStr">
        <is>
          <t>contact@cadema.yt</t>
        </is>
      </c>
      <c r="N266" s="4" t="inlineStr">
        <is>
          <t>https://cadema.yt/</t>
        </is>
      </c>
      <c r="O266" s="4" t="inlineStr">
        <is>
          <t>https://cadema.yt/nous-contacter/</t>
        </is>
      </c>
      <c r="P266" s="4" t="inlineStr">
        <is>
          <t>https://lannuaire.service-public.gouv.fr/mayotte/mayotte/7e8faba9-b32b-4f05-b160-4f89dc64b910</t>
        </is>
      </c>
      <c r="Q266" t="inlineStr">
        <is>
          <t>Annuaire Service-public.fr</t>
        </is>
      </c>
      <c r="R266" t="inlineStr"/>
      <c r="S266" t="inlineStr"/>
      <c r="T266" t="inlineStr"/>
    </row>
    <row r="267">
      <c r="A267" t="inlineStr">
        <is>
          <t>CA du Grand Nord de Mayotte</t>
        </is>
      </c>
      <c r="B267" t="inlineStr">
        <is>
          <t>Communauté d’agglomération</t>
        </is>
      </c>
      <c r="C267" t="inlineStr">
        <is>
          <t>200060465</t>
        </is>
      </c>
      <c r="D267" t="inlineStr">
        <is>
          <t>976</t>
        </is>
      </c>
      <c r="E267" t="inlineStr">
        <is>
          <t>Mayotte</t>
        </is>
      </c>
      <c r="F267" t="inlineStr">
        <is>
          <t>Mayotte</t>
        </is>
      </c>
      <c r="G267" s="3" t="n">
        <v>59042</v>
      </c>
      <c r="H267" t="n">
        <v>4</v>
      </c>
      <c r="I267" t="inlineStr">
        <is>
          <t>Impasse Bouyouni Maternelle</t>
        </is>
      </c>
      <c r="J267" t="inlineStr">
        <is>
          <t>97650</t>
        </is>
      </c>
      <c r="K267" t="inlineStr">
        <is>
          <t>Bandraboua</t>
        </is>
      </c>
      <c r="L267" t="inlineStr">
        <is>
          <t>06 39 68 88 55</t>
        </is>
      </c>
      <c r="M267" s="4" t="inlineStr">
        <is>
          <t>communication.cagnm@cagnm.fr</t>
        </is>
      </c>
      <c r="N267" s="4" t="inlineStr">
        <is>
          <t>https://www.cagnm.yt</t>
        </is>
      </c>
      <c r="O267" s="4" t="inlineStr">
        <is>
          <t>https://www.cagnm.yt/nous-contacter/</t>
        </is>
      </c>
      <c r="P267" s="4" t="inlineStr">
        <is>
          <t>https://lannuaire.service-public.gouv.fr/mayotte/mayotte/9029bd0a-5953-4aab-ab34-c592eb6d724b</t>
        </is>
      </c>
      <c r="Q267" t="inlineStr">
        <is>
          <t>Annuaire Service-public.fr</t>
        </is>
      </c>
      <c r="R267" t="inlineStr"/>
      <c r="S267" t="inlineStr"/>
      <c r="T267" t="inlineStr"/>
    </row>
  </sheetData>
  <autoFilter ref="A1:T267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M3" r:id="rId5"/>
    <hyperlink xmlns:r="http://schemas.openxmlformats.org/officeDocument/2006/relationships" ref="N3" r:id="rId6"/>
    <hyperlink xmlns:r="http://schemas.openxmlformats.org/officeDocument/2006/relationships" ref="O3" r:id="rId7"/>
    <hyperlink xmlns:r="http://schemas.openxmlformats.org/officeDocument/2006/relationships" ref="P3" r:id="rId8"/>
    <hyperlink xmlns:r="http://schemas.openxmlformats.org/officeDocument/2006/relationships" ref="M4" r:id="rId9"/>
    <hyperlink xmlns:r="http://schemas.openxmlformats.org/officeDocument/2006/relationships" ref="N4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M5" r:id="rId13"/>
    <hyperlink xmlns:r="http://schemas.openxmlformats.org/officeDocument/2006/relationships" ref="N5" r:id="rId14"/>
    <hyperlink xmlns:r="http://schemas.openxmlformats.org/officeDocument/2006/relationships" ref="O5" r:id="rId15"/>
    <hyperlink xmlns:r="http://schemas.openxmlformats.org/officeDocument/2006/relationships" ref="P5" r:id="rId16"/>
    <hyperlink xmlns:r="http://schemas.openxmlformats.org/officeDocument/2006/relationships" ref="M6" r:id="rId17"/>
    <hyperlink xmlns:r="http://schemas.openxmlformats.org/officeDocument/2006/relationships" ref="N6" r:id="rId18"/>
    <hyperlink xmlns:r="http://schemas.openxmlformats.org/officeDocument/2006/relationships" ref="O6" r:id="rId19"/>
    <hyperlink xmlns:r="http://schemas.openxmlformats.org/officeDocument/2006/relationships" ref="P6" r:id="rId20"/>
    <hyperlink xmlns:r="http://schemas.openxmlformats.org/officeDocument/2006/relationships" ref="M7" r:id="rId21"/>
    <hyperlink xmlns:r="http://schemas.openxmlformats.org/officeDocument/2006/relationships" ref="N7" r:id="rId22"/>
    <hyperlink xmlns:r="http://schemas.openxmlformats.org/officeDocument/2006/relationships" ref="P7" r:id="rId23"/>
    <hyperlink xmlns:r="http://schemas.openxmlformats.org/officeDocument/2006/relationships" ref="M8" r:id="rId24"/>
    <hyperlink xmlns:r="http://schemas.openxmlformats.org/officeDocument/2006/relationships" ref="N8" r:id="rId25"/>
    <hyperlink xmlns:r="http://schemas.openxmlformats.org/officeDocument/2006/relationships" ref="O8" r:id="rId26"/>
    <hyperlink xmlns:r="http://schemas.openxmlformats.org/officeDocument/2006/relationships" ref="P8" r:id="rId27"/>
    <hyperlink xmlns:r="http://schemas.openxmlformats.org/officeDocument/2006/relationships" ref="M9" r:id="rId28"/>
    <hyperlink xmlns:r="http://schemas.openxmlformats.org/officeDocument/2006/relationships" ref="N9" r:id="rId29"/>
    <hyperlink xmlns:r="http://schemas.openxmlformats.org/officeDocument/2006/relationships" ref="O9" r:id="rId30"/>
    <hyperlink xmlns:r="http://schemas.openxmlformats.org/officeDocument/2006/relationships" ref="P9" r:id="rId31"/>
    <hyperlink xmlns:r="http://schemas.openxmlformats.org/officeDocument/2006/relationships" ref="M10" r:id="rId32"/>
    <hyperlink xmlns:r="http://schemas.openxmlformats.org/officeDocument/2006/relationships" ref="N10" r:id="rId33"/>
    <hyperlink xmlns:r="http://schemas.openxmlformats.org/officeDocument/2006/relationships" ref="O10" r:id="rId34"/>
    <hyperlink xmlns:r="http://schemas.openxmlformats.org/officeDocument/2006/relationships" ref="P10" r:id="rId35"/>
    <hyperlink xmlns:r="http://schemas.openxmlformats.org/officeDocument/2006/relationships" ref="M11" r:id="rId36"/>
    <hyperlink xmlns:r="http://schemas.openxmlformats.org/officeDocument/2006/relationships" ref="N11" r:id="rId37"/>
    <hyperlink xmlns:r="http://schemas.openxmlformats.org/officeDocument/2006/relationships" ref="O11" r:id="rId38"/>
    <hyperlink xmlns:r="http://schemas.openxmlformats.org/officeDocument/2006/relationships" ref="P11" r:id="rId39"/>
    <hyperlink xmlns:r="http://schemas.openxmlformats.org/officeDocument/2006/relationships" ref="M12" r:id="rId40"/>
    <hyperlink xmlns:r="http://schemas.openxmlformats.org/officeDocument/2006/relationships" ref="N12" r:id="rId41"/>
    <hyperlink xmlns:r="http://schemas.openxmlformats.org/officeDocument/2006/relationships" ref="O12" r:id="rId42"/>
    <hyperlink xmlns:r="http://schemas.openxmlformats.org/officeDocument/2006/relationships" ref="P12" r:id="rId43"/>
    <hyperlink xmlns:r="http://schemas.openxmlformats.org/officeDocument/2006/relationships" ref="M13" r:id="rId44"/>
    <hyperlink xmlns:r="http://schemas.openxmlformats.org/officeDocument/2006/relationships" ref="N13" r:id="rId45"/>
    <hyperlink xmlns:r="http://schemas.openxmlformats.org/officeDocument/2006/relationships" ref="O13" r:id="rId46"/>
    <hyperlink xmlns:r="http://schemas.openxmlformats.org/officeDocument/2006/relationships" ref="P13" r:id="rId47"/>
    <hyperlink xmlns:r="http://schemas.openxmlformats.org/officeDocument/2006/relationships" ref="M14" r:id="rId48"/>
    <hyperlink xmlns:r="http://schemas.openxmlformats.org/officeDocument/2006/relationships" ref="N14" r:id="rId49"/>
    <hyperlink xmlns:r="http://schemas.openxmlformats.org/officeDocument/2006/relationships" ref="O14" r:id="rId50"/>
    <hyperlink xmlns:r="http://schemas.openxmlformats.org/officeDocument/2006/relationships" ref="P14" r:id="rId51"/>
    <hyperlink xmlns:r="http://schemas.openxmlformats.org/officeDocument/2006/relationships" ref="M15" r:id="rId52"/>
    <hyperlink xmlns:r="http://schemas.openxmlformats.org/officeDocument/2006/relationships" ref="N15" r:id="rId53"/>
    <hyperlink xmlns:r="http://schemas.openxmlformats.org/officeDocument/2006/relationships" ref="O15" r:id="rId54"/>
    <hyperlink xmlns:r="http://schemas.openxmlformats.org/officeDocument/2006/relationships" ref="P15" r:id="rId55"/>
    <hyperlink xmlns:r="http://schemas.openxmlformats.org/officeDocument/2006/relationships" ref="M16" r:id="rId56"/>
    <hyperlink xmlns:r="http://schemas.openxmlformats.org/officeDocument/2006/relationships" ref="N16" r:id="rId57"/>
    <hyperlink xmlns:r="http://schemas.openxmlformats.org/officeDocument/2006/relationships" ref="P16" r:id="rId58"/>
    <hyperlink xmlns:r="http://schemas.openxmlformats.org/officeDocument/2006/relationships" ref="M17" r:id="rId59"/>
    <hyperlink xmlns:r="http://schemas.openxmlformats.org/officeDocument/2006/relationships" ref="N17" r:id="rId60"/>
    <hyperlink xmlns:r="http://schemas.openxmlformats.org/officeDocument/2006/relationships" ref="O17" r:id="rId61"/>
    <hyperlink xmlns:r="http://schemas.openxmlformats.org/officeDocument/2006/relationships" ref="P17" r:id="rId62"/>
    <hyperlink xmlns:r="http://schemas.openxmlformats.org/officeDocument/2006/relationships" ref="M18" r:id="rId63"/>
    <hyperlink xmlns:r="http://schemas.openxmlformats.org/officeDocument/2006/relationships" ref="N18" r:id="rId64"/>
    <hyperlink xmlns:r="http://schemas.openxmlformats.org/officeDocument/2006/relationships" ref="O18" r:id="rId65"/>
    <hyperlink xmlns:r="http://schemas.openxmlformats.org/officeDocument/2006/relationships" ref="P18" r:id="rId66"/>
    <hyperlink xmlns:r="http://schemas.openxmlformats.org/officeDocument/2006/relationships" ref="M19" r:id="rId67"/>
    <hyperlink xmlns:r="http://schemas.openxmlformats.org/officeDocument/2006/relationships" ref="N19" r:id="rId68"/>
    <hyperlink xmlns:r="http://schemas.openxmlformats.org/officeDocument/2006/relationships" ref="O19" r:id="rId69"/>
    <hyperlink xmlns:r="http://schemas.openxmlformats.org/officeDocument/2006/relationships" ref="P19" r:id="rId70"/>
    <hyperlink xmlns:r="http://schemas.openxmlformats.org/officeDocument/2006/relationships" ref="M20" r:id="rId71"/>
    <hyperlink xmlns:r="http://schemas.openxmlformats.org/officeDocument/2006/relationships" ref="N20" r:id="rId72"/>
    <hyperlink xmlns:r="http://schemas.openxmlformats.org/officeDocument/2006/relationships" ref="P20" r:id="rId73"/>
    <hyperlink xmlns:r="http://schemas.openxmlformats.org/officeDocument/2006/relationships" ref="M21" r:id="rId74"/>
    <hyperlink xmlns:r="http://schemas.openxmlformats.org/officeDocument/2006/relationships" ref="N21" r:id="rId75"/>
    <hyperlink xmlns:r="http://schemas.openxmlformats.org/officeDocument/2006/relationships" ref="P21" r:id="rId76"/>
    <hyperlink xmlns:r="http://schemas.openxmlformats.org/officeDocument/2006/relationships" ref="N22" r:id="rId77"/>
    <hyperlink xmlns:r="http://schemas.openxmlformats.org/officeDocument/2006/relationships" ref="O22" r:id="rId78"/>
    <hyperlink xmlns:r="http://schemas.openxmlformats.org/officeDocument/2006/relationships" ref="P22" r:id="rId79"/>
    <hyperlink xmlns:r="http://schemas.openxmlformats.org/officeDocument/2006/relationships" ref="M23" r:id="rId80"/>
    <hyperlink xmlns:r="http://schemas.openxmlformats.org/officeDocument/2006/relationships" ref="N23" r:id="rId81"/>
    <hyperlink xmlns:r="http://schemas.openxmlformats.org/officeDocument/2006/relationships" ref="O23" r:id="rId82"/>
    <hyperlink xmlns:r="http://schemas.openxmlformats.org/officeDocument/2006/relationships" ref="P23" r:id="rId83"/>
    <hyperlink xmlns:r="http://schemas.openxmlformats.org/officeDocument/2006/relationships" ref="M24" r:id="rId84"/>
    <hyperlink xmlns:r="http://schemas.openxmlformats.org/officeDocument/2006/relationships" ref="N24" r:id="rId85"/>
    <hyperlink xmlns:r="http://schemas.openxmlformats.org/officeDocument/2006/relationships" ref="O24" r:id="rId86"/>
    <hyperlink xmlns:r="http://schemas.openxmlformats.org/officeDocument/2006/relationships" ref="P24" r:id="rId87"/>
    <hyperlink xmlns:r="http://schemas.openxmlformats.org/officeDocument/2006/relationships" ref="M25" r:id="rId88"/>
    <hyperlink xmlns:r="http://schemas.openxmlformats.org/officeDocument/2006/relationships" ref="N25" r:id="rId89"/>
    <hyperlink xmlns:r="http://schemas.openxmlformats.org/officeDocument/2006/relationships" ref="O25" r:id="rId90"/>
    <hyperlink xmlns:r="http://schemas.openxmlformats.org/officeDocument/2006/relationships" ref="P25" r:id="rId91"/>
    <hyperlink xmlns:r="http://schemas.openxmlformats.org/officeDocument/2006/relationships" ref="M26" r:id="rId92"/>
    <hyperlink xmlns:r="http://schemas.openxmlformats.org/officeDocument/2006/relationships" ref="N26" r:id="rId93"/>
    <hyperlink xmlns:r="http://schemas.openxmlformats.org/officeDocument/2006/relationships" ref="O26" r:id="rId94"/>
    <hyperlink xmlns:r="http://schemas.openxmlformats.org/officeDocument/2006/relationships" ref="P26" r:id="rId95"/>
    <hyperlink xmlns:r="http://schemas.openxmlformats.org/officeDocument/2006/relationships" ref="M27" r:id="rId96"/>
    <hyperlink xmlns:r="http://schemas.openxmlformats.org/officeDocument/2006/relationships" ref="N27" r:id="rId97"/>
    <hyperlink xmlns:r="http://schemas.openxmlformats.org/officeDocument/2006/relationships" ref="O27" r:id="rId98"/>
    <hyperlink xmlns:r="http://schemas.openxmlformats.org/officeDocument/2006/relationships" ref="P27" r:id="rId99"/>
    <hyperlink xmlns:r="http://schemas.openxmlformats.org/officeDocument/2006/relationships" ref="M28" r:id="rId100"/>
    <hyperlink xmlns:r="http://schemas.openxmlformats.org/officeDocument/2006/relationships" ref="N28" r:id="rId101"/>
    <hyperlink xmlns:r="http://schemas.openxmlformats.org/officeDocument/2006/relationships" ref="P28" r:id="rId102"/>
    <hyperlink xmlns:r="http://schemas.openxmlformats.org/officeDocument/2006/relationships" ref="M29" r:id="rId103"/>
    <hyperlink xmlns:r="http://schemas.openxmlformats.org/officeDocument/2006/relationships" ref="N29" r:id="rId104"/>
    <hyperlink xmlns:r="http://schemas.openxmlformats.org/officeDocument/2006/relationships" ref="O29" r:id="rId105"/>
    <hyperlink xmlns:r="http://schemas.openxmlformats.org/officeDocument/2006/relationships" ref="P29" r:id="rId106"/>
    <hyperlink xmlns:r="http://schemas.openxmlformats.org/officeDocument/2006/relationships" ref="M30" r:id="rId107"/>
    <hyperlink xmlns:r="http://schemas.openxmlformats.org/officeDocument/2006/relationships" ref="N30" r:id="rId108"/>
    <hyperlink xmlns:r="http://schemas.openxmlformats.org/officeDocument/2006/relationships" ref="O30" r:id="rId109"/>
    <hyperlink xmlns:r="http://schemas.openxmlformats.org/officeDocument/2006/relationships" ref="P30" r:id="rId110"/>
    <hyperlink xmlns:r="http://schemas.openxmlformats.org/officeDocument/2006/relationships" ref="M31" r:id="rId111"/>
    <hyperlink xmlns:r="http://schemas.openxmlformats.org/officeDocument/2006/relationships" ref="N31" r:id="rId112"/>
    <hyperlink xmlns:r="http://schemas.openxmlformats.org/officeDocument/2006/relationships" ref="O31" r:id="rId113"/>
    <hyperlink xmlns:r="http://schemas.openxmlformats.org/officeDocument/2006/relationships" ref="P31" r:id="rId114"/>
    <hyperlink xmlns:r="http://schemas.openxmlformats.org/officeDocument/2006/relationships" ref="M32" r:id="rId115"/>
    <hyperlink xmlns:r="http://schemas.openxmlformats.org/officeDocument/2006/relationships" ref="N32" r:id="rId116"/>
    <hyperlink xmlns:r="http://schemas.openxmlformats.org/officeDocument/2006/relationships" ref="O32" r:id="rId117"/>
    <hyperlink xmlns:r="http://schemas.openxmlformats.org/officeDocument/2006/relationships" ref="P32" r:id="rId118"/>
    <hyperlink xmlns:r="http://schemas.openxmlformats.org/officeDocument/2006/relationships" ref="M33" r:id="rId119"/>
    <hyperlink xmlns:r="http://schemas.openxmlformats.org/officeDocument/2006/relationships" ref="N33" r:id="rId120"/>
    <hyperlink xmlns:r="http://schemas.openxmlformats.org/officeDocument/2006/relationships" ref="P33" r:id="rId121"/>
    <hyperlink xmlns:r="http://schemas.openxmlformats.org/officeDocument/2006/relationships" ref="N34" r:id="rId122"/>
    <hyperlink xmlns:r="http://schemas.openxmlformats.org/officeDocument/2006/relationships" ref="O34" r:id="rId123"/>
    <hyperlink xmlns:r="http://schemas.openxmlformats.org/officeDocument/2006/relationships" ref="P34" r:id="rId124"/>
    <hyperlink xmlns:r="http://schemas.openxmlformats.org/officeDocument/2006/relationships" ref="M35" r:id="rId125"/>
    <hyperlink xmlns:r="http://schemas.openxmlformats.org/officeDocument/2006/relationships" ref="N35" r:id="rId126"/>
    <hyperlink xmlns:r="http://schemas.openxmlformats.org/officeDocument/2006/relationships" ref="O35" r:id="rId127"/>
    <hyperlink xmlns:r="http://schemas.openxmlformats.org/officeDocument/2006/relationships" ref="P35" r:id="rId128"/>
    <hyperlink xmlns:r="http://schemas.openxmlformats.org/officeDocument/2006/relationships" ref="M36" r:id="rId129"/>
    <hyperlink xmlns:r="http://schemas.openxmlformats.org/officeDocument/2006/relationships" ref="N36" r:id="rId130"/>
    <hyperlink xmlns:r="http://schemas.openxmlformats.org/officeDocument/2006/relationships" ref="O36" r:id="rId131"/>
    <hyperlink xmlns:r="http://schemas.openxmlformats.org/officeDocument/2006/relationships" ref="P36" r:id="rId132"/>
    <hyperlink xmlns:r="http://schemas.openxmlformats.org/officeDocument/2006/relationships" ref="M37" r:id="rId133"/>
    <hyperlink xmlns:r="http://schemas.openxmlformats.org/officeDocument/2006/relationships" ref="N37" r:id="rId134"/>
    <hyperlink xmlns:r="http://schemas.openxmlformats.org/officeDocument/2006/relationships" ref="O37" r:id="rId135"/>
    <hyperlink xmlns:r="http://schemas.openxmlformats.org/officeDocument/2006/relationships" ref="P37" r:id="rId136"/>
    <hyperlink xmlns:r="http://schemas.openxmlformats.org/officeDocument/2006/relationships" ref="M38" r:id="rId137"/>
    <hyperlink xmlns:r="http://schemas.openxmlformats.org/officeDocument/2006/relationships" ref="N38" r:id="rId138"/>
    <hyperlink xmlns:r="http://schemas.openxmlformats.org/officeDocument/2006/relationships" ref="P38" r:id="rId139"/>
    <hyperlink xmlns:r="http://schemas.openxmlformats.org/officeDocument/2006/relationships" ref="M39" r:id="rId140"/>
    <hyperlink xmlns:r="http://schemas.openxmlformats.org/officeDocument/2006/relationships" ref="N39" r:id="rId141"/>
    <hyperlink xmlns:r="http://schemas.openxmlformats.org/officeDocument/2006/relationships" ref="O39" r:id="rId142"/>
    <hyperlink xmlns:r="http://schemas.openxmlformats.org/officeDocument/2006/relationships" ref="P39" r:id="rId143"/>
    <hyperlink xmlns:r="http://schemas.openxmlformats.org/officeDocument/2006/relationships" ref="M40" r:id="rId144"/>
    <hyperlink xmlns:r="http://schemas.openxmlformats.org/officeDocument/2006/relationships" ref="N40" r:id="rId145"/>
    <hyperlink xmlns:r="http://schemas.openxmlformats.org/officeDocument/2006/relationships" ref="P40" r:id="rId146"/>
    <hyperlink xmlns:r="http://schemas.openxmlformats.org/officeDocument/2006/relationships" ref="M41" r:id="rId147"/>
    <hyperlink xmlns:r="http://schemas.openxmlformats.org/officeDocument/2006/relationships" ref="N41" r:id="rId148"/>
    <hyperlink xmlns:r="http://schemas.openxmlformats.org/officeDocument/2006/relationships" ref="O41" r:id="rId149"/>
    <hyperlink xmlns:r="http://schemas.openxmlformats.org/officeDocument/2006/relationships" ref="P41" r:id="rId150"/>
    <hyperlink xmlns:r="http://schemas.openxmlformats.org/officeDocument/2006/relationships" ref="M42" r:id="rId151"/>
    <hyperlink xmlns:r="http://schemas.openxmlformats.org/officeDocument/2006/relationships" ref="N42" r:id="rId152"/>
    <hyperlink xmlns:r="http://schemas.openxmlformats.org/officeDocument/2006/relationships" ref="P42" r:id="rId153"/>
    <hyperlink xmlns:r="http://schemas.openxmlformats.org/officeDocument/2006/relationships" ref="M43" r:id="rId154"/>
    <hyperlink xmlns:r="http://schemas.openxmlformats.org/officeDocument/2006/relationships" ref="N43" r:id="rId155"/>
    <hyperlink xmlns:r="http://schemas.openxmlformats.org/officeDocument/2006/relationships" ref="O43" r:id="rId156"/>
    <hyperlink xmlns:r="http://schemas.openxmlformats.org/officeDocument/2006/relationships" ref="P43" r:id="rId157"/>
    <hyperlink xmlns:r="http://schemas.openxmlformats.org/officeDocument/2006/relationships" ref="M44" r:id="rId158"/>
    <hyperlink xmlns:r="http://schemas.openxmlformats.org/officeDocument/2006/relationships" ref="N44" r:id="rId159"/>
    <hyperlink xmlns:r="http://schemas.openxmlformats.org/officeDocument/2006/relationships" ref="P44" r:id="rId160"/>
    <hyperlink xmlns:r="http://schemas.openxmlformats.org/officeDocument/2006/relationships" ref="M45" r:id="rId161"/>
    <hyperlink xmlns:r="http://schemas.openxmlformats.org/officeDocument/2006/relationships" ref="N45" r:id="rId162"/>
    <hyperlink xmlns:r="http://schemas.openxmlformats.org/officeDocument/2006/relationships" ref="O45" r:id="rId163"/>
    <hyperlink xmlns:r="http://schemas.openxmlformats.org/officeDocument/2006/relationships" ref="P45" r:id="rId164"/>
    <hyperlink xmlns:r="http://schemas.openxmlformats.org/officeDocument/2006/relationships" ref="M46" r:id="rId165"/>
    <hyperlink xmlns:r="http://schemas.openxmlformats.org/officeDocument/2006/relationships" ref="N46" r:id="rId166"/>
    <hyperlink xmlns:r="http://schemas.openxmlformats.org/officeDocument/2006/relationships" ref="O46" r:id="rId167"/>
    <hyperlink xmlns:r="http://schemas.openxmlformats.org/officeDocument/2006/relationships" ref="P46" r:id="rId168"/>
    <hyperlink xmlns:r="http://schemas.openxmlformats.org/officeDocument/2006/relationships" ref="M47" r:id="rId169"/>
    <hyperlink xmlns:r="http://schemas.openxmlformats.org/officeDocument/2006/relationships" ref="N47" r:id="rId170"/>
    <hyperlink xmlns:r="http://schemas.openxmlformats.org/officeDocument/2006/relationships" ref="P47" r:id="rId171"/>
    <hyperlink xmlns:r="http://schemas.openxmlformats.org/officeDocument/2006/relationships" ref="M48" r:id="rId172"/>
    <hyperlink xmlns:r="http://schemas.openxmlformats.org/officeDocument/2006/relationships" ref="N48" r:id="rId173"/>
    <hyperlink xmlns:r="http://schemas.openxmlformats.org/officeDocument/2006/relationships" ref="O48" r:id="rId174"/>
    <hyperlink xmlns:r="http://schemas.openxmlformats.org/officeDocument/2006/relationships" ref="P48" r:id="rId175"/>
    <hyperlink xmlns:r="http://schemas.openxmlformats.org/officeDocument/2006/relationships" ref="M49" r:id="rId176"/>
    <hyperlink xmlns:r="http://schemas.openxmlformats.org/officeDocument/2006/relationships" ref="N49" r:id="rId177"/>
    <hyperlink xmlns:r="http://schemas.openxmlformats.org/officeDocument/2006/relationships" ref="O49" r:id="rId178"/>
    <hyperlink xmlns:r="http://schemas.openxmlformats.org/officeDocument/2006/relationships" ref="P49" r:id="rId179"/>
    <hyperlink xmlns:r="http://schemas.openxmlformats.org/officeDocument/2006/relationships" ref="M50" r:id="rId180"/>
    <hyperlink xmlns:r="http://schemas.openxmlformats.org/officeDocument/2006/relationships" ref="N50" r:id="rId181"/>
    <hyperlink xmlns:r="http://schemas.openxmlformats.org/officeDocument/2006/relationships" ref="O50" r:id="rId182"/>
    <hyperlink xmlns:r="http://schemas.openxmlformats.org/officeDocument/2006/relationships" ref="P50" r:id="rId183"/>
    <hyperlink xmlns:r="http://schemas.openxmlformats.org/officeDocument/2006/relationships" ref="M51" r:id="rId184"/>
    <hyperlink xmlns:r="http://schemas.openxmlformats.org/officeDocument/2006/relationships" ref="N51" r:id="rId185"/>
    <hyperlink xmlns:r="http://schemas.openxmlformats.org/officeDocument/2006/relationships" ref="P51" r:id="rId186"/>
    <hyperlink xmlns:r="http://schemas.openxmlformats.org/officeDocument/2006/relationships" ref="M52" r:id="rId187"/>
    <hyperlink xmlns:r="http://schemas.openxmlformats.org/officeDocument/2006/relationships" ref="N52" r:id="rId188"/>
    <hyperlink xmlns:r="http://schemas.openxmlformats.org/officeDocument/2006/relationships" ref="O52" r:id="rId189"/>
    <hyperlink xmlns:r="http://schemas.openxmlformats.org/officeDocument/2006/relationships" ref="P52" r:id="rId190"/>
    <hyperlink xmlns:r="http://schemas.openxmlformats.org/officeDocument/2006/relationships" ref="M53" r:id="rId191"/>
    <hyperlink xmlns:r="http://schemas.openxmlformats.org/officeDocument/2006/relationships" ref="N53" r:id="rId192"/>
    <hyperlink xmlns:r="http://schemas.openxmlformats.org/officeDocument/2006/relationships" ref="O53" r:id="rId193"/>
    <hyperlink xmlns:r="http://schemas.openxmlformats.org/officeDocument/2006/relationships" ref="P53" r:id="rId194"/>
    <hyperlink xmlns:r="http://schemas.openxmlformats.org/officeDocument/2006/relationships" ref="M54" r:id="rId195"/>
    <hyperlink xmlns:r="http://schemas.openxmlformats.org/officeDocument/2006/relationships" ref="N54" r:id="rId196"/>
    <hyperlink xmlns:r="http://schemas.openxmlformats.org/officeDocument/2006/relationships" ref="P54" r:id="rId197"/>
    <hyperlink xmlns:r="http://schemas.openxmlformats.org/officeDocument/2006/relationships" ref="M55" r:id="rId198"/>
    <hyperlink xmlns:r="http://schemas.openxmlformats.org/officeDocument/2006/relationships" ref="N55" r:id="rId199"/>
    <hyperlink xmlns:r="http://schemas.openxmlformats.org/officeDocument/2006/relationships" ref="O55" r:id="rId200"/>
    <hyperlink xmlns:r="http://schemas.openxmlformats.org/officeDocument/2006/relationships" ref="P55" r:id="rId201"/>
    <hyperlink xmlns:r="http://schemas.openxmlformats.org/officeDocument/2006/relationships" ref="M56" r:id="rId202"/>
    <hyperlink xmlns:r="http://schemas.openxmlformats.org/officeDocument/2006/relationships" ref="N56" r:id="rId203"/>
    <hyperlink xmlns:r="http://schemas.openxmlformats.org/officeDocument/2006/relationships" ref="O56" r:id="rId204"/>
    <hyperlink xmlns:r="http://schemas.openxmlformats.org/officeDocument/2006/relationships" ref="P56" r:id="rId205"/>
    <hyperlink xmlns:r="http://schemas.openxmlformats.org/officeDocument/2006/relationships" ref="N57" r:id="rId206"/>
    <hyperlink xmlns:r="http://schemas.openxmlformats.org/officeDocument/2006/relationships" ref="O57" r:id="rId207"/>
    <hyperlink xmlns:r="http://schemas.openxmlformats.org/officeDocument/2006/relationships" ref="P57" r:id="rId208"/>
    <hyperlink xmlns:r="http://schemas.openxmlformats.org/officeDocument/2006/relationships" ref="M58" r:id="rId209"/>
    <hyperlink xmlns:r="http://schemas.openxmlformats.org/officeDocument/2006/relationships" ref="N58" r:id="rId210"/>
    <hyperlink xmlns:r="http://schemas.openxmlformats.org/officeDocument/2006/relationships" ref="O58" r:id="rId211"/>
    <hyperlink xmlns:r="http://schemas.openxmlformats.org/officeDocument/2006/relationships" ref="P58" r:id="rId212"/>
    <hyperlink xmlns:r="http://schemas.openxmlformats.org/officeDocument/2006/relationships" ref="M59" r:id="rId213"/>
    <hyperlink xmlns:r="http://schemas.openxmlformats.org/officeDocument/2006/relationships" ref="N59" r:id="rId214"/>
    <hyperlink xmlns:r="http://schemas.openxmlformats.org/officeDocument/2006/relationships" ref="O59" r:id="rId215"/>
    <hyperlink xmlns:r="http://schemas.openxmlformats.org/officeDocument/2006/relationships" ref="P59" r:id="rId216"/>
    <hyperlink xmlns:r="http://schemas.openxmlformats.org/officeDocument/2006/relationships" ref="M60" r:id="rId217"/>
    <hyperlink xmlns:r="http://schemas.openxmlformats.org/officeDocument/2006/relationships" ref="N60" r:id="rId218"/>
    <hyperlink xmlns:r="http://schemas.openxmlformats.org/officeDocument/2006/relationships" ref="P60" r:id="rId219"/>
    <hyperlink xmlns:r="http://schemas.openxmlformats.org/officeDocument/2006/relationships" ref="M61" r:id="rId220"/>
    <hyperlink xmlns:r="http://schemas.openxmlformats.org/officeDocument/2006/relationships" ref="N61" r:id="rId221"/>
    <hyperlink xmlns:r="http://schemas.openxmlformats.org/officeDocument/2006/relationships" ref="O61" r:id="rId222"/>
    <hyperlink xmlns:r="http://schemas.openxmlformats.org/officeDocument/2006/relationships" ref="P61" r:id="rId223"/>
    <hyperlink xmlns:r="http://schemas.openxmlformats.org/officeDocument/2006/relationships" ref="M62" r:id="rId224"/>
    <hyperlink xmlns:r="http://schemas.openxmlformats.org/officeDocument/2006/relationships" ref="N62" r:id="rId225"/>
    <hyperlink xmlns:r="http://schemas.openxmlformats.org/officeDocument/2006/relationships" ref="P62" r:id="rId226"/>
    <hyperlink xmlns:r="http://schemas.openxmlformats.org/officeDocument/2006/relationships" ref="M63" r:id="rId227"/>
    <hyperlink xmlns:r="http://schemas.openxmlformats.org/officeDocument/2006/relationships" ref="N63" r:id="rId228"/>
    <hyperlink xmlns:r="http://schemas.openxmlformats.org/officeDocument/2006/relationships" ref="O63" r:id="rId229"/>
    <hyperlink xmlns:r="http://schemas.openxmlformats.org/officeDocument/2006/relationships" ref="P63" r:id="rId230"/>
    <hyperlink xmlns:r="http://schemas.openxmlformats.org/officeDocument/2006/relationships" ref="M64" r:id="rId231"/>
    <hyperlink xmlns:r="http://schemas.openxmlformats.org/officeDocument/2006/relationships" ref="N64" r:id="rId232"/>
    <hyperlink xmlns:r="http://schemas.openxmlformats.org/officeDocument/2006/relationships" ref="O64" r:id="rId233"/>
    <hyperlink xmlns:r="http://schemas.openxmlformats.org/officeDocument/2006/relationships" ref="P64" r:id="rId234"/>
    <hyperlink xmlns:r="http://schemas.openxmlformats.org/officeDocument/2006/relationships" ref="M65" r:id="rId235"/>
    <hyperlink xmlns:r="http://schemas.openxmlformats.org/officeDocument/2006/relationships" ref="N65" r:id="rId236"/>
    <hyperlink xmlns:r="http://schemas.openxmlformats.org/officeDocument/2006/relationships" ref="O65" r:id="rId237"/>
    <hyperlink xmlns:r="http://schemas.openxmlformats.org/officeDocument/2006/relationships" ref="P65" r:id="rId238"/>
    <hyperlink xmlns:r="http://schemas.openxmlformats.org/officeDocument/2006/relationships" ref="M66" r:id="rId239"/>
    <hyperlink xmlns:r="http://schemas.openxmlformats.org/officeDocument/2006/relationships" ref="N66" r:id="rId240"/>
    <hyperlink xmlns:r="http://schemas.openxmlformats.org/officeDocument/2006/relationships" ref="O66" r:id="rId241"/>
    <hyperlink xmlns:r="http://schemas.openxmlformats.org/officeDocument/2006/relationships" ref="P66" r:id="rId242"/>
    <hyperlink xmlns:r="http://schemas.openxmlformats.org/officeDocument/2006/relationships" ref="M67" r:id="rId243"/>
    <hyperlink xmlns:r="http://schemas.openxmlformats.org/officeDocument/2006/relationships" ref="N67" r:id="rId244"/>
    <hyperlink xmlns:r="http://schemas.openxmlformats.org/officeDocument/2006/relationships" ref="O67" r:id="rId245"/>
    <hyperlink xmlns:r="http://schemas.openxmlformats.org/officeDocument/2006/relationships" ref="P67" r:id="rId246"/>
    <hyperlink xmlns:r="http://schemas.openxmlformats.org/officeDocument/2006/relationships" ref="M68" r:id="rId247"/>
    <hyperlink xmlns:r="http://schemas.openxmlformats.org/officeDocument/2006/relationships" ref="N68" r:id="rId248"/>
    <hyperlink xmlns:r="http://schemas.openxmlformats.org/officeDocument/2006/relationships" ref="O68" r:id="rId249"/>
    <hyperlink xmlns:r="http://schemas.openxmlformats.org/officeDocument/2006/relationships" ref="P68" r:id="rId250"/>
    <hyperlink xmlns:r="http://schemas.openxmlformats.org/officeDocument/2006/relationships" ref="M69" r:id="rId251"/>
    <hyperlink xmlns:r="http://schemas.openxmlformats.org/officeDocument/2006/relationships" ref="N69" r:id="rId252"/>
    <hyperlink xmlns:r="http://schemas.openxmlformats.org/officeDocument/2006/relationships" ref="O69" r:id="rId253"/>
    <hyperlink xmlns:r="http://schemas.openxmlformats.org/officeDocument/2006/relationships" ref="P69" r:id="rId254"/>
    <hyperlink xmlns:r="http://schemas.openxmlformats.org/officeDocument/2006/relationships" ref="M70" r:id="rId255"/>
    <hyperlink xmlns:r="http://schemas.openxmlformats.org/officeDocument/2006/relationships" ref="N70" r:id="rId256"/>
    <hyperlink xmlns:r="http://schemas.openxmlformats.org/officeDocument/2006/relationships" ref="O70" r:id="rId257"/>
    <hyperlink xmlns:r="http://schemas.openxmlformats.org/officeDocument/2006/relationships" ref="P70" r:id="rId258"/>
    <hyperlink xmlns:r="http://schemas.openxmlformats.org/officeDocument/2006/relationships" ref="M71" r:id="rId259"/>
    <hyperlink xmlns:r="http://schemas.openxmlformats.org/officeDocument/2006/relationships" ref="N71" r:id="rId260"/>
    <hyperlink xmlns:r="http://schemas.openxmlformats.org/officeDocument/2006/relationships" ref="O71" r:id="rId261"/>
    <hyperlink xmlns:r="http://schemas.openxmlformats.org/officeDocument/2006/relationships" ref="P71" r:id="rId262"/>
    <hyperlink xmlns:r="http://schemas.openxmlformats.org/officeDocument/2006/relationships" ref="M72" r:id="rId263"/>
    <hyperlink xmlns:r="http://schemas.openxmlformats.org/officeDocument/2006/relationships" ref="N72" r:id="rId264"/>
    <hyperlink xmlns:r="http://schemas.openxmlformats.org/officeDocument/2006/relationships" ref="P72" r:id="rId265"/>
    <hyperlink xmlns:r="http://schemas.openxmlformats.org/officeDocument/2006/relationships" ref="M73" r:id="rId266"/>
    <hyperlink xmlns:r="http://schemas.openxmlformats.org/officeDocument/2006/relationships" ref="N73" r:id="rId267"/>
    <hyperlink xmlns:r="http://schemas.openxmlformats.org/officeDocument/2006/relationships" ref="O73" r:id="rId268"/>
    <hyperlink xmlns:r="http://schemas.openxmlformats.org/officeDocument/2006/relationships" ref="P73" r:id="rId269"/>
    <hyperlink xmlns:r="http://schemas.openxmlformats.org/officeDocument/2006/relationships" ref="M74" r:id="rId270"/>
    <hyperlink xmlns:r="http://schemas.openxmlformats.org/officeDocument/2006/relationships" ref="N74" r:id="rId271"/>
    <hyperlink xmlns:r="http://schemas.openxmlformats.org/officeDocument/2006/relationships" ref="O74" r:id="rId272"/>
    <hyperlink xmlns:r="http://schemas.openxmlformats.org/officeDocument/2006/relationships" ref="P74" r:id="rId273"/>
    <hyperlink xmlns:r="http://schemas.openxmlformats.org/officeDocument/2006/relationships" ref="N75" r:id="rId274"/>
    <hyperlink xmlns:r="http://schemas.openxmlformats.org/officeDocument/2006/relationships" ref="O75" r:id="rId275"/>
    <hyperlink xmlns:r="http://schemas.openxmlformats.org/officeDocument/2006/relationships" ref="P75" r:id="rId276"/>
    <hyperlink xmlns:r="http://schemas.openxmlformats.org/officeDocument/2006/relationships" ref="M76" r:id="rId277"/>
    <hyperlink xmlns:r="http://schemas.openxmlformats.org/officeDocument/2006/relationships" ref="N76" r:id="rId278"/>
    <hyperlink xmlns:r="http://schemas.openxmlformats.org/officeDocument/2006/relationships" ref="O76" r:id="rId279"/>
    <hyperlink xmlns:r="http://schemas.openxmlformats.org/officeDocument/2006/relationships" ref="P76" r:id="rId280"/>
    <hyperlink xmlns:r="http://schemas.openxmlformats.org/officeDocument/2006/relationships" ref="M77" r:id="rId281"/>
    <hyperlink xmlns:r="http://schemas.openxmlformats.org/officeDocument/2006/relationships" ref="N77" r:id="rId282"/>
    <hyperlink xmlns:r="http://schemas.openxmlformats.org/officeDocument/2006/relationships" ref="O77" r:id="rId283"/>
    <hyperlink xmlns:r="http://schemas.openxmlformats.org/officeDocument/2006/relationships" ref="P77" r:id="rId284"/>
    <hyperlink xmlns:r="http://schemas.openxmlformats.org/officeDocument/2006/relationships" ref="M78" r:id="rId285"/>
    <hyperlink xmlns:r="http://schemas.openxmlformats.org/officeDocument/2006/relationships" ref="N78" r:id="rId286"/>
    <hyperlink xmlns:r="http://schemas.openxmlformats.org/officeDocument/2006/relationships" ref="P78" r:id="rId287"/>
    <hyperlink xmlns:r="http://schemas.openxmlformats.org/officeDocument/2006/relationships" ref="M79" r:id="rId288"/>
    <hyperlink xmlns:r="http://schemas.openxmlformats.org/officeDocument/2006/relationships" ref="N79" r:id="rId289"/>
    <hyperlink xmlns:r="http://schemas.openxmlformats.org/officeDocument/2006/relationships" ref="O79" r:id="rId290"/>
    <hyperlink xmlns:r="http://schemas.openxmlformats.org/officeDocument/2006/relationships" ref="P79" r:id="rId291"/>
    <hyperlink xmlns:r="http://schemas.openxmlformats.org/officeDocument/2006/relationships" ref="M80" r:id="rId292"/>
    <hyperlink xmlns:r="http://schemas.openxmlformats.org/officeDocument/2006/relationships" ref="N80" r:id="rId293"/>
    <hyperlink xmlns:r="http://schemas.openxmlformats.org/officeDocument/2006/relationships" ref="O80" r:id="rId294"/>
    <hyperlink xmlns:r="http://schemas.openxmlformats.org/officeDocument/2006/relationships" ref="P80" r:id="rId295"/>
    <hyperlink xmlns:r="http://schemas.openxmlformats.org/officeDocument/2006/relationships" ref="M81" r:id="rId296"/>
    <hyperlink xmlns:r="http://schemas.openxmlformats.org/officeDocument/2006/relationships" ref="N81" r:id="rId297"/>
    <hyperlink xmlns:r="http://schemas.openxmlformats.org/officeDocument/2006/relationships" ref="O81" r:id="rId298"/>
    <hyperlink xmlns:r="http://schemas.openxmlformats.org/officeDocument/2006/relationships" ref="P81" r:id="rId299"/>
    <hyperlink xmlns:r="http://schemas.openxmlformats.org/officeDocument/2006/relationships" ref="N82" r:id="rId300"/>
    <hyperlink xmlns:r="http://schemas.openxmlformats.org/officeDocument/2006/relationships" ref="O82" r:id="rId301"/>
    <hyperlink xmlns:r="http://schemas.openxmlformats.org/officeDocument/2006/relationships" ref="P82" r:id="rId302"/>
    <hyperlink xmlns:r="http://schemas.openxmlformats.org/officeDocument/2006/relationships" ref="M83" r:id="rId303"/>
    <hyperlink xmlns:r="http://schemas.openxmlformats.org/officeDocument/2006/relationships" ref="N83" r:id="rId304"/>
    <hyperlink xmlns:r="http://schemas.openxmlformats.org/officeDocument/2006/relationships" ref="O83" r:id="rId305"/>
    <hyperlink xmlns:r="http://schemas.openxmlformats.org/officeDocument/2006/relationships" ref="P83" r:id="rId306"/>
    <hyperlink xmlns:r="http://schemas.openxmlformats.org/officeDocument/2006/relationships" ref="M84" r:id="rId307"/>
    <hyperlink xmlns:r="http://schemas.openxmlformats.org/officeDocument/2006/relationships" ref="N84" r:id="rId308"/>
    <hyperlink xmlns:r="http://schemas.openxmlformats.org/officeDocument/2006/relationships" ref="O84" r:id="rId309"/>
    <hyperlink xmlns:r="http://schemas.openxmlformats.org/officeDocument/2006/relationships" ref="P84" r:id="rId310"/>
    <hyperlink xmlns:r="http://schemas.openxmlformats.org/officeDocument/2006/relationships" ref="M85" r:id="rId311"/>
    <hyperlink xmlns:r="http://schemas.openxmlformats.org/officeDocument/2006/relationships" ref="N85" r:id="rId312"/>
    <hyperlink xmlns:r="http://schemas.openxmlformats.org/officeDocument/2006/relationships" ref="O85" r:id="rId313"/>
    <hyperlink xmlns:r="http://schemas.openxmlformats.org/officeDocument/2006/relationships" ref="P85" r:id="rId314"/>
    <hyperlink xmlns:r="http://schemas.openxmlformats.org/officeDocument/2006/relationships" ref="M86" r:id="rId315"/>
    <hyperlink xmlns:r="http://schemas.openxmlformats.org/officeDocument/2006/relationships" ref="N86" r:id="rId316"/>
    <hyperlink xmlns:r="http://schemas.openxmlformats.org/officeDocument/2006/relationships" ref="O86" r:id="rId317"/>
    <hyperlink xmlns:r="http://schemas.openxmlformats.org/officeDocument/2006/relationships" ref="P86" r:id="rId318"/>
    <hyperlink xmlns:r="http://schemas.openxmlformats.org/officeDocument/2006/relationships" ref="M87" r:id="rId319"/>
    <hyperlink xmlns:r="http://schemas.openxmlformats.org/officeDocument/2006/relationships" ref="N87" r:id="rId320"/>
    <hyperlink xmlns:r="http://schemas.openxmlformats.org/officeDocument/2006/relationships" ref="O87" r:id="rId321"/>
    <hyperlink xmlns:r="http://schemas.openxmlformats.org/officeDocument/2006/relationships" ref="P87" r:id="rId322"/>
    <hyperlink xmlns:r="http://schemas.openxmlformats.org/officeDocument/2006/relationships" ref="M88" r:id="rId323"/>
    <hyperlink xmlns:r="http://schemas.openxmlformats.org/officeDocument/2006/relationships" ref="N88" r:id="rId324"/>
    <hyperlink xmlns:r="http://schemas.openxmlformats.org/officeDocument/2006/relationships" ref="P88" r:id="rId325"/>
    <hyperlink xmlns:r="http://schemas.openxmlformats.org/officeDocument/2006/relationships" ref="M89" r:id="rId326"/>
    <hyperlink xmlns:r="http://schemas.openxmlformats.org/officeDocument/2006/relationships" ref="N89" r:id="rId327"/>
    <hyperlink xmlns:r="http://schemas.openxmlformats.org/officeDocument/2006/relationships" ref="P89" r:id="rId328"/>
    <hyperlink xmlns:r="http://schemas.openxmlformats.org/officeDocument/2006/relationships" ref="M90" r:id="rId329"/>
    <hyperlink xmlns:r="http://schemas.openxmlformats.org/officeDocument/2006/relationships" ref="N90" r:id="rId330"/>
    <hyperlink xmlns:r="http://schemas.openxmlformats.org/officeDocument/2006/relationships" ref="O90" r:id="rId331"/>
    <hyperlink xmlns:r="http://schemas.openxmlformats.org/officeDocument/2006/relationships" ref="P90" r:id="rId332"/>
    <hyperlink xmlns:r="http://schemas.openxmlformats.org/officeDocument/2006/relationships" ref="M91" r:id="rId333"/>
    <hyperlink xmlns:r="http://schemas.openxmlformats.org/officeDocument/2006/relationships" ref="N91" r:id="rId334"/>
    <hyperlink xmlns:r="http://schemas.openxmlformats.org/officeDocument/2006/relationships" ref="P91" r:id="rId335"/>
    <hyperlink xmlns:r="http://schemas.openxmlformats.org/officeDocument/2006/relationships" ref="M92" r:id="rId336"/>
    <hyperlink xmlns:r="http://schemas.openxmlformats.org/officeDocument/2006/relationships" ref="N92" r:id="rId337"/>
    <hyperlink xmlns:r="http://schemas.openxmlformats.org/officeDocument/2006/relationships" ref="O92" r:id="rId338"/>
    <hyperlink xmlns:r="http://schemas.openxmlformats.org/officeDocument/2006/relationships" ref="P92" r:id="rId339"/>
    <hyperlink xmlns:r="http://schemas.openxmlformats.org/officeDocument/2006/relationships" ref="M93" r:id="rId340"/>
    <hyperlink xmlns:r="http://schemas.openxmlformats.org/officeDocument/2006/relationships" ref="N93" r:id="rId341"/>
    <hyperlink xmlns:r="http://schemas.openxmlformats.org/officeDocument/2006/relationships" ref="O93" r:id="rId342"/>
    <hyperlink xmlns:r="http://schemas.openxmlformats.org/officeDocument/2006/relationships" ref="P93" r:id="rId343"/>
    <hyperlink xmlns:r="http://schemas.openxmlformats.org/officeDocument/2006/relationships" ref="M94" r:id="rId344"/>
    <hyperlink xmlns:r="http://schemas.openxmlformats.org/officeDocument/2006/relationships" ref="N94" r:id="rId345"/>
    <hyperlink xmlns:r="http://schemas.openxmlformats.org/officeDocument/2006/relationships" ref="O94" r:id="rId346"/>
    <hyperlink xmlns:r="http://schemas.openxmlformats.org/officeDocument/2006/relationships" ref="P94" r:id="rId347"/>
    <hyperlink xmlns:r="http://schemas.openxmlformats.org/officeDocument/2006/relationships" ref="M95" r:id="rId348"/>
    <hyperlink xmlns:r="http://schemas.openxmlformats.org/officeDocument/2006/relationships" ref="N95" r:id="rId349"/>
    <hyperlink xmlns:r="http://schemas.openxmlformats.org/officeDocument/2006/relationships" ref="O95" r:id="rId350"/>
    <hyperlink xmlns:r="http://schemas.openxmlformats.org/officeDocument/2006/relationships" ref="P95" r:id="rId351"/>
    <hyperlink xmlns:r="http://schemas.openxmlformats.org/officeDocument/2006/relationships" ref="M96" r:id="rId352"/>
    <hyperlink xmlns:r="http://schemas.openxmlformats.org/officeDocument/2006/relationships" ref="N96" r:id="rId353"/>
    <hyperlink xmlns:r="http://schemas.openxmlformats.org/officeDocument/2006/relationships" ref="P96" r:id="rId354"/>
    <hyperlink xmlns:r="http://schemas.openxmlformats.org/officeDocument/2006/relationships" ref="M97" r:id="rId355"/>
    <hyperlink xmlns:r="http://schemas.openxmlformats.org/officeDocument/2006/relationships" ref="N97" r:id="rId356"/>
    <hyperlink xmlns:r="http://schemas.openxmlformats.org/officeDocument/2006/relationships" ref="O97" r:id="rId357"/>
    <hyperlink xmlns:r="http://schemas.openxmlformats.org/officeDocument/2006/relationships" ref="P97" r:id="rId358"/>
    <hyperlink xmlns:r="http://schemas.openxmlformats.org/officeDocument/2006/relationships" ref="M98" r:id="rId359"/>
    <hyperlink xmlns:r="http://schemas.openxmlformats.org/officeDocument/2006/relationships" ref="N98" r:id="rId360"/>
    <hyperlink xmlns:r="http://schemas.openxmlformats.org/officeDocument/2006/relationships" ref="O98" r:id="rId361"/>
    <hyperlink xmlns:r="http://schemas.openxmlformats.org/officeDocument/2006/relationships" ref="P98" r:id="rId362"/>
    <hyperlink xmlns:r="http://schemas.openxmlformats.org/officeDocument/2006/relationships" ref="M99" r:id="rId363"/>
    <hyperlink xmlns:r="http://schemas.openxmlformats.org/officeDocument/2006/relationships" ref="N99" r:id="rId364"/>
    <hyperlink xmlns:r="http://schemas.openxmlformats.org/officeDocument/2006/relationships" ref="O99" r:id="rId365"/>
    <hyperlink xmlns:r="http://schemas.openxmlformats.org/officeDocument/2006/relationships" ref="P99" r:id="rId366"/>
    <hyperlink xmlns:r="http://schemas.openxmlformats.org/officeDocument/2006/relationships" ref="M100" r:id="rId367"/>
    <hyperlink xmlns:r="http://schemas.openxmlformats.org/officeDocument/2006/relationships" ref="N100" r:id="rId368"/>
    <hyperlink xmlns:r="http://schemas.openxmlformats.org/officeDocument/2006/relationships" ref="O100" r:id="rId369"/>
    <hyperlink xmlns:r="http://schemas.openxmlformats.org/officeDocument/2006/relationships" ref="P100" r:id="rId370"/>
    <hyperlink xmlns:r="http://schemas.openxmlformats.org/officeDocument/2006/relationships" ref="M101" r:id="rId371"/>
    <hyperlink xmlns:r="http://schemas.openxmlformats.org/officeDocument/2006/relationships" ref="N101" r:id="rId372"/>
    <hyperlink xmlns:r="http://schemas.openxmlformats.org/officeDocument/2006/relationships" ref="O101" r:id="rId373"/>
    <hyperlink xmlns:r="http://schemas.openxmlformats.org/officeDocument/2006/relationships" ref="P101" r:id="rId374"/>
    <hyperlink xmlns:r="http://schemas.openxmlformats.org/officeDocument/2006/relationships" ref="N102" r:id="rId375"/>
    <hyperlink xmlns:r="http://schemas.openxmlformats.org/officeDocument/2006/relationships" ref="O102" r:id="rId376"/>
    <hyperlink xmlns:r="http://schemas.openxmlformats.org/officeDocument/2006/relationships" ref="P102" r:id="rId377"/>
    <hyperlink xmlns:r="http://schemas.openxmlformats.org/officeDocument/2006/relationships" ref="M103" r:id="rId378"/>
    <hyperlink xmlns:r="http://schemas.openxmlformats.org/officeDocument/2006/relationships" ref="N103" r:id="rId379"/>
    <hyperlink xmlns:r="http://schemas.openxmlformats.org/officeDocument/2006/relationships" ref="P103" r:id="rId380"/>
    <hyperlink xmlns:r="http://schemas.openxmlformats.org/officeDocument/2006/relationships" ref="M104" r:id="rId381"/>
    <hyperlink xmlns:r="http://schemas.openxmlformats.org/officeDocument/2006/relationships" ref="N104" r:id="rId382"/>
    <hyperlink xmlns:r="http://schemas.openxmlformats.org/officeDocument/2006/relationships" ref="O104" r:id="rId383"/>
    <hyperlink xmlns:r="http://schemas.openxmlformats.org/officeDocument/2006/relationships" ref="P104" r:id="rId384"/>
    <hyperlink xmlns:r="http://schemas.openxmlformats.org/officeDocument/2006/relationships" ref="M105" r:id="rId385"/>
    <hyperlink xmlns:r="http://schemas.openxmlformats.org/officeDocument/2006/relationships" ref="N105" r:id="rId386"/>
    <hyperlink xmlns:r="http://schemas.openxmlformats.org/officeDocument/2006/relationships" ref="P105" r:id="rId387"/>
    <hyperlink xmlns:r="http://schemas.openxmlformats.org/officeDocument/2006/relationships" ref="M106" r:id="rId388"/>
    <hyperlink xmlns:r="http://schemas.openxmlformats.org/officeDocument/2006/relationships" ref="N106" r:id="rId389"/>
    <hyperlink xmlns:r="http://schemas.openxmlformats.org/officeDocument/2006/relationships" ref="O106" r:id="rId390"/>
    <hyperlink xmlns:r="http://schemas.openxmlformats.org/officeDocument/2006/relationships" ref="P106" r:id="rId391"/>
    <hyperlink xmlns:r="http://schemas.openxmlformats.org/officeDocument/2006/relationships" ref="M107" r:id="rId392"/>
    <hyperlink xmlns:r="http://schemas.openxmlformats.org/officeDocument/2006/relationships" ref="N107" r:id="rId393"/>
    <hyperlink xmlns:r="http://schemas.openxmlformats.org/officeDocument/2006/relationships" ref="O107" r:id="rId394"/>
    <hyperlink xmlns:r="http://schemas.openxmlformats.org/officeDocument/2006/relationships" ref="P107" r:id="rId395"/>
    <hyperlink xmlns:r="http://schemas.openxmlformats.org/officeDocument/2006/relationships" ref="M108" r:id="rId396"/>
    <hyperlink xmlns:r="http://schemas.openxmlformats.org/officeDocument/2006/relationships" ref="N108" r:id="rId397"/>
    <hyperlink xmlns:r="http://schemas.openxmlformats.org/officeDocument/2006/relationships" ref="O108" r:id="rId398"/>
    <hyperlink xmlns:r="http://schemas.openxmlformats.org/officeDocument/2006/relationships" ref="P108" r:id="rId399"/>
    <hyperlink xmlns:r="http://schemas.openxmlformats.org/officeDocument/2006/relationships" ref="M109" r:id="rId400"/>
    <hyperlink xmlns:r="http://schemas.openxmlformats.org/officeDocument/2006/relationships" ref="N109" r:id="rId401"/>
    <hyperlink xmlns:r="http://schemas.openxmlformats.org/officeDocument/2006/relationships" ref="P109" r:id="rId402"/>
    <hyperlink xmlns:r="http://schemas.openxmlformats.org/officeDocument/2006/relationships" ref="M110" r:id="rId403"/>
    <hyperlink xmlns:r="http://schemas.openxmlformats.org/officeDocument/2006/relationships" ref="N110" r:id="rId404"/>
    <hyperlink xmlns:r="http://schemas.openxmlformats.org/officeDocument/2006/relationships" ref="O110" r:id="rId405"/>
    <hyperlink xmlns:r="http://schemas.openxmlformats.org/officeDocument/2006/relationships" ref="P110" r:id="rId406"/>
    <hyperlink xmlns:r="http://schemas.openxmlformats.org/officeDocument/2006/relationships" ref="M111" r:id="rId407"/>
    <hyperlink xmlns:r="http://schemas.openxmlformats.org/officeDocument/2006/relationships" ref="N111" r:id="rId408"/>
    <hyperlink xmlns:r="http://schemas.openxmlformats.org/officeDocument/2006/relationships" ref="O111" r:id="rId409"/>
    <hyperlink xmlns:r="http://schemas.openxmlformats.org/officeDocument/2006/relationships" ref="P111" r:id="rId410"/>
    <hyperlink xmlns:r="http://schemas.openxmlformats.org/officeDocument/2006/relationships" ref="M112" r:id="rId411"/>
    <hyperlink xmlns:r="http://schemas.openxmlformats.org/officeDocument/2006/relationships" ref="N112" r:id="rId412"/>
    <hyperlink xmlns:r="http://schemas.openxmlformats.org/officeDocument/2006/relationships" ref="O112" r:id="rId413"/>
    <hyperlink xmlns:r="http://schemas.openxmlformats.org/officeDocument/2006/relationships" ref="P112" r:id="rId414"/>
    <hyperlink xmlns:r="http://schemas.openxmlformats.org/officeDocument/2006/relationships" ref="M113" r:id="rId415"/>
    <hyperlink xmlns:r="http://schemas.openxmlformats.org/officeDocument/2006/relationships" ref="N113" r:id="rId416"/>
    <hyperlink xmlns:r="http://schemas.openxmlformats.org/officeDocument/2006/relationships" ref="O113" r:id="rId417"/>
    <hyperlink xmlns:r="http://schemas.openxmlformats.org/officeDocument/2006/relationships" ref="P113" r:id="rId418"/>
    <hyperlink xmlns:r="http://schemas.openxmlformats.org/officeDocument/2006/relationships" ref="M114" r:id="rId419"/>
    <hyperlink xmlns:r="http://schemas.openxmlformats.org/officeDocument/2006/relationships" ref="N114" r:id="rId420"/>
    <hyperlink xmlns:r="http://schemas.openxmlformats.org/officeDocument/2006/relationships" ref="O114" r:id="rId421"/>
    <hyperlink xmlns:r="http://schemas.openxmlformats.org/officeDocument/2006/relationships" ref="P114" r:id="rId422"/>
    <hyperlink xmlns:r="http://schemas.openxmlformats.org/officeDocument/2006/relationships" ref="M115" r:id="rId423"/>
    <hyperlink xmlns:r="http://schemas.openxmlformats.org/officeDocument/2006/relationships" ref="N115" r:id="rId424"/>
    <hyperlink xmlns:r="http://schemas.openxmlformats.org/officeDocument/2006/relationships" ref="O115" r:id="rId425"/>
    <hyperlink xmlns:r="http://schemas.openxmlformats.org/officeDocument/2006/relationships" ref="P115" r:id="rId426"/>
    <hyperlink xmlns:r="http://schemas.openxmlformats.org/officeDocument/2006/relationships" ref="M116" r:id="rId427"/>
    <hyperlink xmlns:r="http://schemas.openxmlformats.org/officeDocument/2006/relationships" ref="N116" r:id="rId428"/>
    <hyperlink xmlns:r="http://schemas.openxmlformats.org/officeDocument/2006/relationships" ref="O116" r:id="rId429"/>
    <hyperlink xmlns:r="http://schemas.openxmlformats.org/officeDocument/2006/relationships" ref="P116" r:id="rId430"/>
    <hyperlink xmlns:r="http://schemas.openxmlformats.org/officeDocument/2006/relationships" ref="M117" r:id="rId431"/>
    <hyperlink xmlns:r="http://schemas.openxmlformats.org/officeDocument/2006/relationships" ref="N117" r:id="rId432"/>
    <hyperlink xmlns:r="http://schemas.openxmlformats.org/officeDocument/2006/relationships" ref="P117" r:id="rId433"/>
    <hyperlink xmlns:r="http://schemas.openxmlformats.org/officeDocument/2006/relationships" ref="M118" r:id="rId434"/>
    <hyperlink xmlns:r="http://schemas.openxmlformats.org/officeDocument/2006/relationships" ref="N118" r:id="rId435"/>
    <hyperlink xmlns:r="http://schemas.openxmlformats.org/officeDocument/2006/relationships" ref="P118" r:id="rId436"/>
    <hyperlink xmlns:r="http://schemas.openxmlformats.org/officeDocument/2006/relationships" ref="M119" r:id="rId437"/>
    <hyperlink xmlns:r="http://schemas.openxmlformats.org/officeDocument/2006/relationships" ref="N119" r:id="rId438"/>
    <hyperlink xmlns:r="http://schemas.openxmlformats.org/officeDocument/2006/relationships" ref="O119" r:id="rId439"/>
    <hyperlink xmlns:r="http://schemas.openxmlformats.org/officeDocument/2006/relationships" ref="P119" r:id="rId440"/>
    <hyperlink xmlns:r="http://schemas.openxmlformats.org/officeDocument/2006/relationships" ref="M120" r:id="rId441"/>
    <hyperlink xmlns:r="http://schemas.openxmlformats.org/officeDocument/2006/relationships" ref="N120" r:id="rId442"/>
    <hyperlink xmlns:r="http://schemas.openxmlformats.org/officeDocument/2006/relationships" ref="O120" r:id="rId443"/>
    <hyperlink xmlns:r="http://schemas.openxmlformats.org/officeDocument/2006/relationships" ref="P120" r:id="rId444"/>
    <hyperlink xmlns:r="http://schemas.openxmlformats.org/officeDocument/2006/relationships" ref="M121" r:id="rId445"/>
    <hyperlink xmlns:r="http://schemas.openxmlformats.org/officeDocument/2006/relationships" ref="N121" r:id="rId446"/>
    <hyperlink xmlns:r="http://schemas.openxmlformats.org/officeDocument/2006/relationships" ref="O121" r:id="rId447"/>
    <hyperlink xmlns:r="http://schemas.openxmlformats.org/officeDocument/2006/relationships" ref="P121" r:id="rId448"/>
    <hyperlink xmlns:r="http://schemas.openxmlformats.org/officeDocument/2006/relationships" ref="M122" r:id="rId449"/>
    <hyperlink xmlns:r="http://schemas.openxmlformats.org/officeDocument/2006/relationships" ref="N122" r:id="rId450"/>
    <hyperlink xmlns:r="http://schemas.openxmlformats.org/officeDocument/2006/relationships" ref="O122" r:id="rId451"/>
    <hyperlink xmlns:r="http://schemas.openxmlformats.org/officeDocument/2006/relationships" ref="P122" r:id="rId452"/>
    <hyperlink xmlns:r="http://schemas.openxmlformats.org/officeDocument/2006/relationships" ref="M123" r:id="rId453"/>
    <hyperlink xmlns:r="http://schemas.openxmlformats.org/officeDocument/2006/relationships" ref="N123" r:id="rId454"/>
    <hyperlink xmlns:r="http://schemas.openxmlformats.org/officeDocument/2006/relationships" ref="O123" r:id="rId455"/>
    <hyperlink xmlns:r="http://schemas.openxmlformats.org/officeDocument/2006/relationships" ref="P123" r:id="rId456"/>
    <hyperlink xmlns:r="http://schemas.openxmlformats.org/officeDocument/2006/relationships" ref="M124" r:id="rId457"/>
    <hyperlink xmlns:r="http://schemas.openxmlformats.org/officeDocument/2006/relationships" ref="N124" r:id="rId458"/>
    <hyperlink xmlns:r="http://schemas.openxmlformats.org/officeDocument/2006/relationships" ref="P124" r:id="rId459"/>
    <hyperlink xmlns:r="http://schemas.openxmlformats.org/officeDocument/2006/relationships" ref="M125" r:id="rId460"/>
    <hyperlink xmlns:r="http://schemas.openxmlformats.org/officeDocument/2006/relationships" ref="N125" r:id="rId461"/>
    <hyperlink xmlns:r="http://schemas.openxmlformats.org/officeDocument/2006/relationships" ref="P125" r:id="rId462"/>
    <hyperlink xmlns:r="http://schemas.openxmlformats.org/officeDocument/2006/relationships" ref="M126" r:id="rId463"/>
    <hyperlink xmlns:r="http://schemas.openxmlformats.org/officeDocument/2006/relationships" ref="N126" r:id="rId464"/>
    <hyperlink xmlns:r="http://schemas.openxmlformats.org/officeDocument/2006/relationships" ref="O126" r:id="rId465"/>
    <hyperlink xmlns:r="http://schemas.openxmlformats.org/officeDocument/2006/relationships" ref="P126" r:id="rId466"/>
    <hyperlink xmlns:r="http://schemas.openxmlformats.org/officeDocument/2006/relationships" ref="N127" r:id="rId467"/>
    <hyperlink xmlns:r="http://schemas.openxmlformats.org/officeDocument/2006/relationships" ref="O127" r:id="rId468"/>
    <hyperlink xmlns:r="http://schemas.openxmlformats.org/officeDocument/2006/relationships" ref="P127" r:id="rId469"/>
    <hyperlink xmlns:r="http://schemas.openxmlformats.org/officeDocument/2006/relationships" ref="M128" r:id="rId470"/>
    <hyperlink xmlns:r="http://schemas.openxmlformats.org/officeDocument/2006/relationships" ref="N128" r:id="rId471"/>
    <hyperlink xmlns:r="http://schemas.openxmlformats.org/officeDocument/2006/relationships" ref="O128" r:id="rId472"/>
    <hyperlink xmlns:r="http://schemas.openxmlformats.org/officeDocument/2006/relationships" ref="P128" r:id="rId473"/>
    <hyperlink xmlns:r="http://schemas.openxmlformats.org/officeDocument/2006/relationships" ref="M129" r:id="rId474"/>
    <hyperlink xmlns:r="http://schemas.openxmlformats.org/officeDocument/2006/relationships" ref="N129" r:id="rId475"/>
    <hyperlink xmlns:r="http://schemas.openxmlformats.org/officeDocument/2006/relationships" ref="O129" r:id="rId476"/>
    <hyperlink xmlns:r="http://schemas.openxmlformats.org/officeDocument/2006/relationships" ref="P129" r:id="rId477"/>
    <hyperlink xmlns:r="http://schemas.openxmlformats.org/officeDocument/2006/relationships" ref="M130" r:id="rId478"/>
    <hyperlink xmlns:r="http://schemas.openxmlformats.org/officeDocument/2006/relationships" ref="N130" r:id="rId479"/>
    <hyperlink xmlns:r="http://schemas.openxmlformats.org/officeDocument/2006/relationships" ref="O130" r:id="rId480"/>
    <hyperlink xmlns:r="http://schemas.openxmlformats.org/officeDocument/2006/relationships" ref="P130" r:id="rId481"/>
    <hyperlink xmlns:r="http://schemas.openxmlformats.org/officeDocument/2006/relationships" ref="M131" r:id="rId482"/>
    <hyperlink xmlns:r="http://schemas.openxmlformats.org/officeDocument/2006/relationships" ref="N131" r:id="rId483"/>
    <hyperlink xmlns:r="http://schemas.openxmlformats.org/officeDocument/2006/relationships" ref="P131" r:id="rId484"/>
    <hyperlink xmlns:r="http://schemas.openxmlformats.org/officeDocument/2006/relationships" ref="M132" r:id="rId485"/>
    <hyperlink xmlns:r="http://schemas.openxmlformats.org/officeDocument/2006/relationships" ref="N132" r:id="rId486"/>
    <hyperlink xmlns:r="http://schemas.openxmlformats.org/officeDocument/2006/relationships" ref="O132" r:id="rId487"/>
    <hyperlink xmlns:r="http://schemas.openxmlformats.org/officeDocument/2006/relationships" ref="P132" r:id="rId488"/>
    <hyperlink xmlns:r="http://schemas.openxmlformats.org/officeDocument/2006/relationships" ref="M133" r:id="rId489"/>
    <hyperlink xmlns:r="http://schemas.openxmlformats.org/officeDocument/2006/relationships" ref="N133" r:id="rId490"/>
    <hyperlink xmlns:r="http://schemas.openxmlformats.org/officeDocument/2006/relationships" ref="O133" r:id="rId491"/>
    <hyperlink xmlns:r="http://schemas.openxmlformats.org/officeDocument/2006/relationships" ref="P133" r:id="rId492"/>
    <hyperlink xmlns:r="http://schemas.openxmlformats.org/officeDocument/2006/relationships" ref="M134" r:id="rId493"/>
    <hyperlink xmlns:r="http://schemas.openxmlformats.org/officeDocument/2006/relationships" ref="N134" r:id="rId494"/>
    <hyperlink xmlns:r="http://schemas.openxmlformats.org/officeDocument/2006/relationships" ref="O134" r:id="rId495"/>
    <hyperlink xmlns:r="http://schemas.openxmlformats.org/officeDocument/2006/relationships" ref="P134" r:id="rId496"/>
    <hyperlink xmlns:r="http://schemas.openxmlformats.org/officeDocument/2006/relationships" ref="M135" r:id="rId497"/>
    <hyperlink xmlns:r="http://schemas.openxmlformats.org/officeDocument/2006/relationships" ref="N135" r:id="rId498"/>
    <hyperlink xmlns:r="http://schemas.openxmlformats.org/officeDocument/2006/relationships" ref="O135" r:id="rId499"/>
    <hyperlink xmlns:r="http://schemas.openxmlformats.org/officeDocument/2006/relationships" ref="P135" r:id="rId500"/>
    <hyperlink xmlns:r="http://schemas.openxmlformats.org/officeDocument/2006/relationships" ref="M136" r:id="rId501"/>
    <hyperlink xmlns:r="http://schemas.openxmlformats.org/officeDocument/2006/relationships" ref="N136" r:id="rId502"/>
    <hyperlink xmlns:r="http://schemas.openxmlformats.org/officeDocument/2006/relationships" ref="O136" r:id="rId503"/>
    <hyperlink xmlns:r="http://schemas.openxmlformats.org/officeDocument/2006/relationships" ref="P136" r:id="rId504"/>
    <hyperlink xmlns:r="http://schemas.openxmlformats.org/officeDocument/2006/relationships" ref="N137" r:id="rId505"/>
    <hyperlink xmlns:r="http://schemas.openxmlformats.org/officeDocument/2006/relationships" ref="O137" r:id="rId506"/>
    <hyperlink xmlns:r="http://schemas.openxmlformats.org/officeDocument/2006/relationships" ref="P137" r:id="rId507"/>
    <hyperlink xmlns:r="http://schemas.openxmlformats.org/officeDocument/2006/relationships" ref="M138" r:id="rId508"/>
    <hyperlink xmlns:r="http://schemas.openxmlformats.org/officeDocument/2006/relationships" ref="N138" r:id="rId509"/>
    <hyperlink xmlns:r="http://schemas.openxmlformats.org/officeDocument/2006/relationships" ref="P138" r:id="rId510"/>
    <hyperlink xmlns:r="http://schemas.openxmlformats.org/officeDocument/2006/relationships" ref="N139" r:id="rId511"/>
    <hyperlink xmlns:r="http://schemas.openxmlformats.org/officeDocument/2006/relationships" ref="O139" r:id="rId512"/>
    <hyperlink xmlns:r="http://schemas.openxmlformats.org/officeDocument/2006/relationships" ref="P139" r:id="rId513"/>
    <hyperlink xmlns:r="http://schemas.openxmlformats.org/officeDocument/2006/relationships" ref="M140" r:id="rId514"/>
    <hyperlink xmlns:r="http://schemas.openxmlformats.org/officeDocument/2006/relationships" ref="N140" r:id="rId515"/>
    <hyperlink xmlns:r="http://schemas.openxmlformats.org/officeDocument/2006/relationships" ref="O140" r:id="rId516"/>
    <hyperlink xmlns:r="http://schemas.openxmlformats.org/officeDocument/2006/relationships" ref="P140" r:id="rId517"/>
    <hyperlink xmlns:r="http://schemas.openxmlformats.org/officeDocument/2006/relationships" ref="M141" r:id="rId518"/>
    <hyperlink xmlns:r="http://schemas.openxmlformats.org/officeDocument/2006/relationships" ref="N141" r:id="rId519"/>
    <hyperlink xmlns:r="http://schemas.openxmlformats.org/officeDocument/2006/relationships" ref="O141" r:id="rId520"/>
    <hyperlink xmlns:r="http://schemas.openxmlformats.org/officeDocument/2006/relationships" ref="P141" r:id="rId521"/>
    <hyperlink xmlns:r="http://schemas.openxmlformats.org/officeDocument/2006/relationships" ref="M142" r:id="rId522"/>
    <hyperlink xmlns:r="http://schemas.openxmlformats.org/officeDocument/2006/relationships" ref="N142" r:id="rId523"/>
    <hyperlink xmlns:r="http://schemas.openxmlformats.org/officeDocument/2006/relationships" ref="O142" r:id="rId524"/>
    <hyperlink xmlns:r="http://schemas.openxmlformats.org/officeDocument/2006/relationships" ref="P142" r:id="rId525"/>
    <hyperlink xmlns:r="http://schemas.openxmlformats.org/officeDocument/2006/relationships" ref="M143" r:id="rId526"/>
    <hyperlink xmlns:r="http://schemas.openxmlformats.org/officeDocument/2006/relationships" ref="N143" r:id="rId527"/>
    <hyperlink xmlns:r="http://schemas.openxmlformats.org/officeDocument/2006/relationships" ref="O143" r:id="rId528"/>
    <hyperlink xmlns:r="http://schemas.openxmlformats.org/officeDocument/2006/relationships" ref="P143" r:id="rId529"/>
    <hyperlink xmlns:r="http://schemas.openxmlformats.org/officeDocument/2006/relationships" ref="M145" r:id="rId530"/>
    <hyperlink xmlns:r="http://schemas.openxmlformats.org/officeDocument/2006/relationships" ref="N145" r:id="rId531"/>
    <hyperlink xmlns:r="http://schemas.openxmlformats.org/officeDocument/2006/relationships" ref="O145" r:id="rId532"/>
    <hyperlink xmlns:r="http://schemas.openxmlformats.org/officeDocument/2006/relationships" ref="P145" r:id="rId533"/>
    <hyperlink xmlns:r="http://schemas.openxmlformats.org/officeDocument/2006/relationships" ref="M146" r:id="rId534"/>
    <hyperlink xmlns:r="http://schemas.openxmlformats.org/officeDocument/2006/relationships" ref="N146" r:id="rId535"/>
    <hyperlink xmlns:r="http://schemas.openxmlformats.org/officeDocument/2006/relationships" ref="O146" r:id="rId536"/>
    <hyperlink xmlns:r="http://schemas.openxmlformats.org/officeDocument/2006/relationships" ref="P146" r:id="rId537"/>
    <hyperlink xmlns:r="http://schemas.openxmlformats.org/officeDocument/2006/relationships" ref="M147" r:id="rId538"/>
    <hyperlink xmlns:r="http://schemas.openxmlformats.org/officeDocument/2006/relationships" ref="N147" r:id="rId539"/>
    <hyperlink xmlns:r="http://schemas.openxmlformats.org/officeDocument/2006/relationships" ref="O147" r:id="rId540"/>
    <hyperlink xmlns:r="http://schemas.openxmlformats.org/officeDocument/2006/relationships" ref="P147" r:id="rId541"/>
    <hyperlink xmlns:r="http://schemas.openxmlformats.org/officeDocument/2006/relationships" ref="M149" r:id="rId542"/>
    <hyperlink xmlns:r="http://schemas.openxmlformats.org/officeDocument/2006/relationships" ref="N149" r:id="rId543"/>
    <hyperlink xmlns:r="http://schemas.openxmlformats.org/officeDocument/2006/relationships" ref="O149" r:id="rId544"/>
    <hyperlink xmlns:r="http://schemas.openxmlformats.org/officeDocument/2006/relationships" ref="P149" r:id="rId545"/>
    <hyperlink xmlns:r="http://schemas.openxmlformats.org/officeDocument/2006/relationships" ref="M150" r:id="rId546"/>
    <hyperlink xmlns:r="http://schemas.openxmlformats.org/officeDocument/2006/relationships" ref="N150" r:id="rId547"/>
    <hyperlink xmlns:r="http://schemas.openxmlformats.org/officeDocument/2006/relationships" ref="P150" r:id="rId548"/>
    <hyperlink xmlns:r="http://schemas.openxmlformats.org/officeDocument/2006/relationships" ref="M151" r:id="rId549"/>
    <hyperlink xmlns:r="http://schemas.openxmlformats.org/officeDocument/2006/relationships" ref="N151" r:id="rId550"/>
    <hyperlink xmlns:r="http://schemas.openxmlformats.org/officeDocument/2006/relationships" ref="O151" r:id="rId551"/>
    <hyperlink xmlns:r="http://schemas.openxmlformats.org/officeDocument/2006/relationships" ref="P151" r:id="rId552"/>
    <hyperlink xmlns:r="http://schemas.openxmlformats.org/officeDocument/2006/relationships" ref="M152" r:id="rId553"/>
    <hyperlink xmlns:r="http://schemas.openxmlformats.org/officeDocument/2006/relationships" ref="N152" r:id="rId554"/>
    <hyperlink xmlns:r="http://schemas.openxmlformats.org/officeDocument/2006/relationships" ref="P152" r:id="rId555"/>
    <hyperlink xmlns:r="http://schemas.openxmlformats.org/officeDocument/2006/relationships" ref="M153" r:id="rId556"/>
    <hyperlink xmlns:r="http://schemas.openxmlformats.org/officeDocument/2006/relationships" ref="N153" r:id="rId557"/>
    <hyperlink xmlns:r="http://schemas.openxmlformats.org/officeDocument/2006/relationships" ref="O153" r:id="rId558"/>
    <hyperlink xmlns:r="http://schemas.openxmlformats.org/officeDocument/2006/relationships" ref="P153" r:id="rId559"/>
    <hyperlink xmlns:r="http://schemas.openxmlformats.org/officeDocument/2006/relationships" ref="M154" r:id="rId560"/>
    <hyperlink xmlns:r="http://schemas.openxmlformats.org/officeDocument/2006/relationships" ref="N154" r:id="rId561"/>
    <hyperlink xmlns:r="http://schemas.openxmlformats.org/officeDocument/2006/relationships" ref="O154" r:id="rId562"/>
    <hyperlink xmlns:r="http://schemas.openxmlformats.org/officeDocument/2006/relationships" ref="P154" r:id="rId563"/>
    <hyperlink xmlns:r="http://schemas.openxmlformats.org/officeDocument/2006/relationships" ref="M155" r:id="rId564"/>
    <hyperlink xmlns:r="http://schemas.openxmlformats.org/officeDocument/2006/relationships" ref="N155" r:id="rId565"/>
    <hyperlink xmlns:r="http://schemas.openxmlformats.org/officeDocument/2006/relationships" ref="O155" r:id="rId566"/>
    <hyperlink xmlns:r="http://schemas.openxmlformats.org/officeDocument/2006/relationships" ref="P155" r:id="rId567"/>
    <hyperlink xmlns:r="http://schemas.openxmlformats.org/officeDocument/2006/relationships" ref="M156" r:id="rId568"/>
    <hyperlink xmlns:r="http://schemas.openxmlformats.org/officeDocument/2006/relationships" ref="N156" r:id="rId569"/>
    <hyperlink xmlns:r="http://schemas.openxmlformats.org/officeDocument/2006/relationships" ref="P156" r:id="rId570"/>
    <hyperlink xmlns:r="http://schemas.openxmlformats.org/officeDocument/2006/relationships" ref="M157" r:id="rId571"/>
    <hyperlink xmlns:r="http://schemas.openxmlformats.org/officeDocument/2006/relationships" ref="N157" r:id="rId572"/>
    <hyperlink xmlns:r="http://schemas.openxmlformats.org/officeDocument/2006/relationships" ref="P157" r:id="rId573"/>
    <hyperlink xmlns:r="http://schemas.openxmlformats.org/officeDocument/2006/relationships" ref="M158" r:id="rId574"/>
    <hyperlink xmlns:r="http://schemas.openxmlformats.org/officeDocument/2006/relationships" ref="N158" r:id="rId575"/>
    <hyperlink xmlns:r="http://schemas.openxmlformats.org/officeDocument/2006/relationships" ref="O158" r:id="rId576"/>
    <hyperlink xmlns:r="http://schemas.openxmlformats.org/officeDocument/2006/relationships" ref="P158" r:id="rId577"/>
    <hyperlink xmlns:r="http://schemas.openxmlformats.org/officeDocument/2006/relationships" ref="M159" r:id="rId578"/>
    <hyperlink xmlns:r="http://schemas.openxmlformats.org/officeDocument/2006/relationships" ref="N159" r:id="rId579"/>
    <hyperlink xmlns:r="http://schemas.openxmlformats.org/officeDocument/2006/relationships" ref="O159" r:id="rId580"/>
    <hyperlink xmlns:r="http://schemas.openxmlformats.org/officeDocument/2006/relationships" ref="P159" r:id="rId581"/>
    <hyperlink xmlns:r="http://schemas.openxmlformats.org/officeDocument/2006/relationships" ref="M160" r:id="rId582"/>
    <hyperlink xmlns:r="http://schemas.openxmlformats.org/officeDocument/2006/relationships" ref="N160" r:id="rId583"/>
    <hyperlink xmlns:r="http://schemas.openxmlformats.org/officeDocument/2006/relationships" ref="P160" r:id="rId584"/>
    <hyperlink xmlns:r="http://schemas.openxmlformats.org/officeDocument/2006/relationships" ref="M161" r:id="rId585"/>
    <hyperlink xmlns:r="http://schemas.openxmlformats.org/officeDocument/2006/relationships" ref="N161" r:id="rId586"/>
    <hyperlink xmlns:r="http://schemas.openxmlformats.org/officeDocument/2006/relationships" ref="O161" r:id="rId587"/>
    <hyperlink xmlns:r="http://schemas.openxmlformats.org/officeDocument/2006/relationships" ref="P161" r:id="rId588"/>
    <hyperlink xmlns:r="http://schemas.openxmlformats.org/officeDocument/2006/relationships" ref="M162" r:id="rId589"/>
    <hyperlink xmlns:r="http://schemas.openxmlformats.org/officeDocument/2006/relationships" ref="N162" r:id="rId590"/>
    <hyperlink xmlns:r="http://schemas.openxmlformats.org/officeDocument/2006/relationships" ref="O162" r:id="rId591"/>
    <hyperlink xmlns:r="http://schemas.openxmlformats.org/officeDocument/2006/relationships" ref="P162" r:id="rId592"/>
    <hyperlink xmlns:r="http://schemas.openxmlformats.org/officeDocument/2006/relationships" ref="M163" r:id="rId593"/>
    <hyperlink xmlns:r="http://schemas.openxmlformats.org/officeDocument/2006/relationships" ref="N163" r:id="rId594"/>
    <hyperlink xmlns:r="http://schemas.openxmlformats.org/officeDocument/2006/relationships" ref="O163" r:id="rId595"/>
    <hyperlink xmlns:r="http://schemas.openxmlformats.org/officeDocument/2006/relationships" ref="P163" r:id="rId596"/>
    <hyperlink xmlns:r="http://schemas.openxmlformats.org/officeDocument/2006/relationships" ref="M164" r:id="rId597"/>
    <hyperlink xmlns:r="http://schemas.openxmlformats.org/officeDocument/2006/relationships" ref="N164" r:id="rId598"/>
    <hyperlink xmlns:r="http://schemas.openxmlformats.org/officeDocument/2006/relationships" ref="O164" r:id="rId599"/>
    <hyperlink xmlns:r="http://schemas.openxmlformats.org/officeDocument/2006/relationships" ref="P164" r:id="rId600"/>
    <hyperlink xmlns:r="http://schemas.openxmlformats.org/officeDocument/2006/relationships" ref="M165" r:id="rId601"/>
    <hyperlink xmlns:r="http://schemas.openxmlformats.org/officeDocument/2006/relationships" ref="N165" r:id="rId602"/>
    <hyperlink xmlns:r="http://schemas.openxmlformats.org/officeDocument/2006/relationships" ref="O165" r:id="rId603"/>
    <hyperlink xmlns:r="http://schemas.openxmlformats.org/officeDocument/2006/relationships" ref="P165" r:id="rId604"/>
    <hyperlink xmlns:r="http://schemas.openxmlformats.org/officeDocument/2006/relationships" ref="M166" r:id="rId605"/>
    <hyperlink xmlns:r="http://schemas.openxmlformats.org/officeDocument/2006/relationships" ref="N166" r:id="rId606"/>
    <hyperlink xmlns:r="http://schemas.openxmlformats.org/officeDocument/2006/relationships" ref="O166" r:id="rId607"/>
    <hyperlink xmlns:r="http://schemas.openxmlformats.org/officeDocument/2006/relationships" ref="P166" r:id="rId608"/>
    <hyperlink xmlns:r="http://schemas.openxmlformats.org/officeDocument/2006/relationships" ref="M167" r:id="rId609"/>
    <hyperlink xmlns:r="http://schemas.openxmlformats.org/officeDocument/2006/relationships" ref="N167" r:id="rId610"/>
    <hyperlink xmlns:r="http://schemas.openxmlformats.org/officeDocument/2006/relationships" ref="O167" r:id="rId611"/>
    <hyperlink xmlns:r="http://schemas.openxmlformats.org/officeDocument/2006/relationships" ref="P167" r:id="rId612"/>
    <hyperlink xmlns:r="http://schemas.openxmlformats.org/officeDocument/2006/relationships" ref="M168" r:id="rId613"/>
    <hyperlink xmlns:r="http://schemas.openxmlformats.org/officeDocument/2006/relationships" ref="N168" r:id="rId614"/>
    <hyperlink xmlns:r="http://schemas.openxmlformats.org/officeDocument/2006/relationships" ref="O168" r:id="rId615"/>
    <hyperlink xmlns:r="http://schemas.openxmlformats.org/officeDocument/2006/relationships" ref="P168" r:id="rId616"/>
    <hyperlink xmlns:r="http://schemas.openxmlformats.org/officeDocument/2006/relationships" ref="M169" r:id="rId617"/>
    <hyperlink xmlns:r="http://schemas.openxmlformats.org/officeDocument/2006/relationships" ref="N169" r:id="rId618"/>
    <hyperlink xmlns:r="http://schemas.openxmlformats.org/officeDocument/2006/relationships" ref="O169" r:id="rId619"/>
    <hyperlink xmlns:r="http://schemas.openxmlformats.org/officeDocument/2006/relationships" ref="P169" r:id="rId620"/>
    <hyperlink xmlns:r="http://schemas.openxmlformats.org/officeDocument/2006/relationships" ref="M170" r:id="rId621"/>
    <hyperlink xmlns:r="http://schemas.openxmlformats.org/officeDocument/2006/relationships" ref="N170" r:id="rId622"/>
    <hyperlink xmlns:r="http://schemas.openxmlformats.org/officeDocument/2006/relationships" ref="P170" r:id="rId623"/>
    <hyperlink xmlns:r="http://schemas.openxmlformats.org/officeDocument/2006/relationships" ref="M171" r:id="rId624"/>
    <hyperlink xmlns:r="http://schemas.openxmlformats.org/officeDocument/2006/relationships" ref="N171" r:id="rId625"/>
    <hyperlink xmlns:r="http://schemas.openxmlformats.org/officeDocument/2006/relationships" ref="O171" r:id="rId626"/>
    <hyperlink xmlns:r="http://schemas.openxmlformats.org/officeDocument/2006/relationships" ref="P171" r:id="rId627"/>
    <hyperlink xmlns:r="http://schemas.openxmlformats.org/officeDocument/2006/relationships" ref="M172" r:id="rId628"/>
    <hyperlink xmlns:r="http://schemas.openxmlformats.org/officeDocument/2006/relationships" ref="N172" r:id="rId629"/>
    <hyperlink xmlns:r="http://schemas.openxmlformats.org/officeDocument/2006/relationships" ref="O172" r:id="rId630"/>
    <hyperlink xmlns:r="http://schemas.openxmlformats.org/officeDocument/2006/relationships" ref="P172" r:id="rId631"/>
    <hyperlink xmlns:r="http://schemas.openxmlformats.org/officeDocument/2006/relationships" ref="M173" r:id="rId632"/>
    <hyperlink xmlns:r="http://schemas.openxmlformats.org/officeDocument/2006/relationships" ref="N173" r:id="rId633"/>
    <hyperlink xmlns:r="http://schemas.openxmlformats.org/officeDocument/2006/relationships" ref="O173" r:id="rId634"/>
    <hyperlink xmlns:r="http://schemas.openxmlformats.org/officeDocument/2006/relationships" ref="P173" r:id="rId635"/>
    <hyperlink xmlns:r="http://schemas.openxmlformats.org/officeDocument/2006/relationships" ref="M174" r:id="rId636"/>
    <hyperlink xmlns:r="http://schemas.openxmlformats.org/officeDocument/2006/relationships" ref="N174" r:id="rId637"/>
    <hyperlink xmlns:r="http://schemas.openxmlformats.org/officeDocument/2006/relationships" ref="O174" r:id="rId638"/>
    <hyperlink xmlns:r="http://schemas.openxmlformats.org/officeDocument/2006/relationships" ref="P174" r:id="rId639"/>
    <hyperlink xmlns:r="http://schemas.openxmlformats.org/officeDocument/2006/relationships" ref="M175" r:id="rId640"/>
    <hyperlink xmlns:r="http://schemas.openxmlformats.org/officeDocument/2006/relationships" ref="N175" r:id="rId641"/>
    <hyperlink xmlns:r="http://schemas.openxmlformats.org/officeDocument/2006/relationships" ref="O175" r:id="rId642"/>
    <hyperlink xmlns:r="http://schemas.openxmlformats.org/officeDocument/2006/relationships" ref="P175" r:id="rId643"/>
    <hyperlink xmlns:r="http://schemas.openxmlformats.org/officeDocument/2006/relationships" ref="M176" r:id="rId644"/>
    <hyperlink xmlns:r="http://schemas.openxmlformats.org/officeDocument/2006/relationships" ref="N176" r:id="rId645"/>
    <hyperlink xmlns:r="http://schemas.openxmlformats.org/officeDocument/2006/relationships" ref="P176" r:id="rId646"/>
    <hyperlink xmlns:r="http://schemas.openxmlformats.org/officeDocument/2006/relationships" ref="M177" r:id="rId647"/>
    <hyperlink xmlns:r="http://schemas.openxmlformats.org/officeDocument/2006/relationships" ref="N177" r:id="rId648"/>
    <hyperlink xmlns:r="http://schemas.openxmlformats.org/officeDocument/2006/relationships" ref="P177" r:id="rId649"/>
    <hyperlink xmlns:r="http://schemas.openxmlformats.org/officeDocument/2006/relationships" ref="M178" r:id="rId650"/>
    <hyperlink xmlns:r="http://schemas.openxmlformats.org/officeDocument/2006/relationships" ref="N178" r:id="rId651"/>
    <hyperlink xmlns:r="http://schemas.openxmlformats.org/officeDocument/2006/relationships" ref="O178" r:id="rId652"/>
    <hyperlink xmlns:r="http://schemas.openxmlformats.org/officeDocument/2006/relationships" ref="P178" r:id="rId653"/>
    <hyperlink xmlns:r="http://schemas.openxmlformats.org/officeDocument/2006/relationships" ref="N179" r:id="rId654"/>
    <hyperlink xmlns:r="http://schemas.openxmlformats.org/officeDocument/2006/relationships" ref="O179" r:id="rId655"/>
    <hyperlink xmlns:r="http://schemas.openxmlformats.org/officeDocument/2006/relationships" ref="P179" r:id="rId656"/>
    <hyperlink xmlns:r="http://schemas.openxmlformats.org/officeDocument/2006/relationships" ref="M180" r:id="rId657"/>
    <hyperlink xmlns:r="http://schemas.openxmlformats.org/officeDocument/2006/relationships" ref="N180" r:id="rId658"/>
    <hyperlink xmlns:r="http://schemas.openxmlformats.org/officeDocument/2006/relationships" ref="P180" r:id="rId659"/>
    <hyperlink xmlns:r="http://schemas.openxmlformats.org/officeDocument/2006/relationships" ref="M181" r:id="rId660"/>
    <hyperlink xmlns:r="http://schemas.openxmlformats.org/officeDocument/2006/relationships" ref="N181" r:id="rId661"/>
    <hyperlink xmlns:r="http://schemas.openxmlformats.org/officeDocument/2006/relationships" ref="O181" r:id="rId662"/>
    <hyperlink xmlns:r="http://schemas.openxmlformats.org/officeDocument/2006/relationships" ref="P181" r:id="rId663"/>
    <hyperlink xmlns:r="http://schemas.openxmlformats.org/officeDocument/2006/relationships" ref="N182" r:id="rId664"/>
    <hyperlink xmlns:r="http://schemas.openxmlformats.org/officeDocument/2006/relationships" ref="O182" r:id="rId665"/>
    <hyperlink xmlns:r="http://schemas.openxmlformats.org/officeDocument/2006/relationships" ref="P182" r:id="rId666"/>
    <hyperlink xmlns:r="http://schemas.openxmlformats.org/officeDocument/2006/relationships" ref="M183" r:id="rId667"/>
    <hyperlink xmlns:r="http://schemas.openxmlformats.org/officeDocument/2006/relationships" ref="N183" r:id="rId668"/>
    <hyperlink xmlns:r="http://schemas.openxmlformats.org/officeDocument/2006/relationships" ref="P183" r:id="rId669"/>
    <hyperlink xmlns:r="http://schemas.openxmlformats.org/officeDocument/2006/relationships" ref="M184" r:id="rId670"/>
    <hyperlink xmlns:r="http://schemas.openxmlformats.org/officeDocument/2006/relationships" ref="N184" r:id="rId671"/>
    <hyperlink xmlns:r="http://schemas.openxmlformats.org/officeDocument/2006/relationships" ref="O184" r:id="rId672"/>
    <hyperlink xmlns:r="http://schemas.openxmlformats.org/officeDocument/2006/relationships" ref="P184" r:id="rId673"/>
    <hyperlink xmlns:r="http://schemas.openxmlformats.org/officeDocument/2006/relationships" ref="M185" r:id="rId674"/>
    <hyperlink xmlns:r="http://schemas.openxmlformats.org/officeDocument/2006/relationships" ref="N185" r:id="rId675"/>
    <hyperlink xmlns:r="http://schemas.openxmlformats.org/officeDocument/2006/relationships" ref="O185" r:id="rId676"/>
    <hyperlink xmlns:r="http://schemas.openxmlformats.org/officeDocument/2006/relationships" ref="P185" r:id="rId677"/>
    <hyperlink xmlns:r="http://schemas.openxmlformats.org/officeDocument/2006/relationships" ref="M186" r:id="rId678"/>
    <hyperlink xmlns:r="http://schemas.openxmlformats.org/officeDocument/2006/relationships" ref="N186" r:id="rId679"/>
    <hyperlink xmlns:r="http://schemas.openxmlformats.org/officeDocument/2006/relationships" ref="O186" r:id="rId680"/>
    <hyperlink xmlns:r="http://schemas.openxmlformats.org/officeDocument/2006/relationships" ref="P186" r:id="rId681"/>
    <hyperlink xmlns:r="http://schemas.openxmlformats.org/officeDocument/2006/relationships" ref="M188" r:id="rId682"/>
    <hyperlink xmlns:r="http://schemas.openxmlformats.org/officeDocument/2006/relationships" ref="N188" r:id="rId683"/>
    <hyperlink xmlns:r="http://schemas.openxmlformats.org/officeDocument/2006/relationships" ref="O188" r:id="rId684"/>
    <hyperlink xmlns:r="http://schemas.openxmlformats.org/officeDocument/2006/relationships" ref="P188" r:id="rId685"/>
    <hyperlink xmlns:r="http://schemas.openxmlformats.org/officeDocument/2006/relationships" ref="M189" r:id="rId686"/>
    <hyperlink xmlns:r="http://schemas.openxmlformats.org/officeDocument/2006/relationships" ref="N189" r:id="rId687"/>
    <hyperlink xmlns:r="http://schemas.openxmlformats.org/officeDocument/2006/relationships" ref="O189" r:id="rId688"/>
    <hyperlink xmlns:r="http://schemas.openxmlformats.org/officeDocument/2006/relationships" ref="P189" r:id="rId689"/>
    <hyperlink xmlns:r="http://schemas.openxmlformats.org/officeDocument/2006/relationships" ref="M190" r:id="rId690"/>
    <hyperlink xmlns:r="http://schemas.openxmlformats.org/officeDocument/2006/relationships" ref="N190" r:id="rId691"/>
    <hyperlink xmlns:r="http://schemas.openxmlformats.org/officeDocument/2006/relationships" ref="O190" r:id="rId692"/>
    <hyperlink xmlns:r="http://schemas.openxmlformats.org/officeDocument/2006/relationships" ref="P190" r:id="rId693"/>
    <hyperlink xmlns:r="http://schemas.openxmlformats.org/officeDocument/2006/relationships" ref="N191" r:id="rId694"/>
    <hyperlink xmlns:r="http://schemas.openxmlformats.org/officeDocument/2006/relationships" ref="O191" r:id="rId695"/>
    <hyperlink xmlns:r="http://schemas.openxmlformats.org/officeDocument/2006/relationships" ref="P191" r:id="rId696"/>
    <hyperlink xmlns:r="http://schemas.openxmlformats.org/officeDocument/2006/relationships" ref="M192" r:id="rId697"/>
    <hyperlink xmlns:r="http://schemas.openxmlformats.org/officeDocument/2006/relationships" ref="N192" r:id="rId698"/>
    <hyperlink xmlns:r="http://schemas.openxmlformats.org/officeDocument/2006/relationships" ref="O192" r:id="rId699"/>
    <hyperlink xmlns:r="http://schemas.openxmlformats.org/officeDocument/2006/relationships" ref="P192" r:id="rId700"/>
    <hyperlink xmlns:r="http://schemas.openxmlformats.org/officeDocument/2006/relationships" ref="M193" r:id="rId701"/>
    <hyperlink xmlns:r="http://schemas.openxmlformats.org/officeDocument/2006/relationships" ref="N193" r:id="rId702"/>
    <hyperlink xmlns:r="http://schemas.openxmlformats.org/officeDocument/2006/relationships" ref="O193" r:id="rId703"/>
    <hyperlink xmlns:r="http://schemas.openxmlformats.org/officeDocument/2006/relationships" ref="P193" r:id="rId704"/>
    <hyperlink xmlns:r="http://schemas.openxmlformats.org/officeDocument/2006/relationships" ref="N194" r:id="rId705"/>
    <hyperlink xmlns:r="http://schemas.openxmlformats.org/officeDocument/2006/relationships" ref="O194" r:id="rId706"/>
    <hyperlink xmlns:r="http://schemas.openxmlformats.org/officeDocument/2006/relationships" ref="P194" r:id="rId707"/>
    <hyperlink xmlns:r="http://schemas.openxmlformats.org/officeDocument/2006/relationships" ref="M195" r:id="rId708"/>
    <hyperlink xmlns:r="http://schemas.openxmlformats.org/officeDocument/2006/relationships" ref="N195" r:id="rId709"/>
    <hyperlink xmlns:r="http://schemas.openxmlformats.org/officeDocument/2006/relationships" ref="O195" r:id="rId710"/>
    <hyperlink xmlns:r="http://schemas.openxmlformats.org/officeDocument/2006/relationships" ref="P195" r:id="rId711"/>
    <hyperlink xmlns:r="http://schemas.openxmlformats.org/officeDocument/2006/relationships" ref="M196" r:id="rId712"/>
    <hyperlink xmlns:r="http://schemas.openxmlformats.org/officeDocument/2006/relationships" ref="N196" r:id="rId713"/>
    <hyperlink xmlns:r="http://schemas.openxmlformats.org/officeDocument/2006/relationships" ref="P196" r:id="rId714"/>
    <hyperlink xmlns:r="http://schemas.openxmlformats.org/officeDocument/2006/relationships" ref="M197" r:id="rId715"/>
    <hyperlink xmlns:r="http://schemas.openxmlformats.org/officeDocument/2006/relationships" ref="N197" r:id="rId716"/>
    <hyperlink xmlns:r="http://schemas.openxmlformats.org/officeDocument/2006/relationships" ref="O197" r:id="rId717"/>
    <hyperlink xmlns:r="http://schemas.openxmlformats.org/officeDocument/2006/relationships" ref="P197" r:id="rId718"/>
    <hyperlink xmlns:r="http://schemas.openxmlformats.org/officeDocument/2006/relationships" ref="M198" r:id="rId719"/>
    <hyperlink xmlns:r="http://schemas.openxmlformats.org/officeDocument/2006/relationships" ref="N198" r:id="rId720"/>
    <hyperlink xmlns:r="http://schemas.openxmlformats.org/officeDocument/2006/relationships" ref="P198" r:id="rId721"/>
    <hyperlink xmlns:r="http://schemas.openxmlformats.org/officeDocument/2006/relationships" ref="M199" r:id="rId722"/>
    <hyperlink xmlns:r="http://schemas.openxmlformats.org/officeDocument/2006/relationships" ref="N199" r:id="rId723"/>
    <hyperlink xmlns:r="http://schemas.openxmlformats.org/officeDocument/2006/relationships" ref="O199" r:id="rId724"/>
    <hyperlink xmlns:r="http://schemas.openxmlformats.org/officeDocument/2006/relationships" ref="P199" r:id="rId725"/>
    <hyperlink xmlns:r="http://schemas.openxmlformats.org/officeDocument/2006/relationships" ref="M200" r:id="rId726"/>
    <hyperlink xmlns:r="http://schemas.openxmlformats.org/officeDocument/2006/relationships" ref="N200" r:id="rId727"/>
    <hyperlink xmlns:r="http://schemas.openxmlformats.org/officeDocument/2006/relationships" ref="O200" r:id="rId728"/>
    <hyperlink xmlns:r="http://schemas.openxmlformats.org/officeDocument/2006/relationships" ref="P200" r:id="rId729"/>
    <hyperlink xmlns:r="http://schemas.openxmlformats.org/officeDocument/2006/relationships" ref="M201" r:id="rId730"/>
    <hyperlink xmlns:r="http://schemas.openxmlformats.org/officeDocument/2006/relationships" ref="N201" r:id="rId731"/>
    <hyperlink xmlns:r="http://schemas.openxmlformats.org/officeDocument/2006/relationships" ref="P201" r:id="rId732"/>
    <hyperlink xmlns:r="http://schemas.openxmlformats.org/officeDocument/2006/relationships" ref="N202" r:id="rId733"/>
    <hyperlink xmlns:r="http://schemas.openxmlformats.org/officeDocument/2006/relationships" ref="O202" r:id="rId734"/>
    <hyperlink xmlns:r="http://schemas.openxmlformats.org/officeDocument/2006/relationships" ref="P202" r:id="rId735"/>
    <hyperlink xmlns:r="http://schemas.openxmlformats.org/officeDocument/2006/relationships" ref="M203" r:id="rId736"/>
    <hyperlink xmlns:r="http://schemas.openxmlformats.org/officeDocument/2006/relationships" ref="N203" r:id="rId737"/>
    <hyperlink xmlns:r="http://schemas.openxmlformats.org/officeDocument/2006/relationships" ref="O203" r:id="rId738"/>
    <hyperlink xmlns:r="http://schemas.openxmlformats.org/officeDocument/2006/relationships" ref="P203" r:id="rId739"/>
    <hyperlink xmlns:r="http://schemas.openxmlformats.org/officeDocument/2006/relationships" ref="M204" r:id="rId740"/>
    <hyperlink xmlns:r="http://schemas.openxmlformats.org/officeDocument/2006/relationships" ref="N204" r:id="rId741"/>
    <hyperlink xmlns:r="http://schemas.openxmlformats.org/officeDocument/2006/relationships" ref="O204" r:id="rId742"/>
    <hyperlink xmlns:r="http://schemas.openxmlformats.org/officeDocument/2006/relationships" ref="P204" r:id="rId743"/>
    <hyperlink xmlns:r="http://schemas.openxmlformats.org/officeDocument/2006/relationships" ref="M205" r:id="rId744"/>
    <hyperlink xmlns:r="http://schemas.openxmlformats.org/officeDocument/2006/relationships" ref="N205" r:id="rId745"/>
    <hyperlink xmlns:r="http://schemas.openxmlformats.org/officeDocument/2006/relationships" ref="O205" r:id="rId746"/>
    <hyperlink xmlns:r="http://schemas.openxmlformats.org/officeDocument/2006/relationships" ref="P205" r:id="rId747"/>
    <hyperlink xmlns:r="http://schemas.openxmlformats.org/officeDocument/2006/relationships" ref="M206" r:id="rId748"/>
    <hyperlink xmlns:r="http://schemas.openxmlformats.org/officeDocument/2006/relationships" ref="N206" r:id="rId749"/>
    <hyperlink xmlns:r="http://schemas.openxmlformats.org/officeDocument/2006/relationships" ref="O206" r:id="rId750"/>
    <hyperlink xmlns:r="http://schemas.openxmlformats.org/officeDocument/2006/relationships" ref="P206" r:id="rId751"/>
    <hyperlink xmlns:r="http://schemas.openxmlformats.org/officeDocument/2006/relationships" ref="N207" r:id="rId752"/>
    <hyperlink xmlns:r="http://schemas.openxmlformats.org/officeDocument/2006/relationships" ref="O207" r:id="rId753"/>
    <hyperlink xmlns:r="http://schemas.openxmlformats.org/officeDocument/2006/relationships" ref="P207" r:id="rId754"/>
    <hyperlink xmlns:r="http://schemas.openxmlformats.org/officeDocument/2006/relationships" ref="M208" r:id="rId755"/>
    <hyperlink xmlns:r="http://schemas.openxmlformats.org/officeDocument/2006/relationships" ref="N208" r:id="rId756"/>
    <hyperlink xmlns:r="http://schemas.openxmlformats.org/officeDocument/2006/relationships" ref="O208" r:id="rId757"/>
    <hyperlink xmlns:r="http://schemas.openxmlformats.org/officeDocument/2006/relationships" ref="P208" r:id="rId758"/>
    <hyperlink xmlns:r="http://schemas.openxmlformats.org/officeDocument/2006/relationships" ref="M209" r:id="rId759"/>
    <hyperlink xmlns:r="http://schemas.openxmlformats.org/officeDocument/2006/relationships" ref="N209" r:id="rId760"/>
    <hyperlink xmlns:r="http://schemas.openxmlformats.org/officeDocument/2006/relationships" ref="O209" r:id="rId761"/>
    <hyperlink xmlns:r="http://schemas.openxmlformats.org/officeDocument/2006/relationships" ref="P209" r:id="rId762"/>
    <hyperlink xmlns:r="http://schemas.openxmlformats.org/officeDocument/2006/relationships" ref="M210" r:id="rId763"/>
    <hyperlink xmlns:r="http://schemas.openxmlformats.org/officeDocument/2006/relationships" ref="N210" r:id="rId764"/>
    <hyperlink xmlns:r="http://schemas.openxmlformats.org/officeDocument/2006/relationships" ref="O210" r:id="rId765"/>
    <hyperlink xmlns:r="http://schemas.openxmlformats.org/officeDocument/2006/relationships" ref="P210" r:id="rId766"/>
    <hyperlink xmlns:r="http://schemas.openxmlformats.org/officeDocument/2006/relationships" ref="M211" r:id="rId767"/>
    <hyperlink xmlns:r="http://schemas.openxmlformats.org/officeDocument/2006/relationships" ref="N211" r:id="rId768"/>
    <hyperlink xmlns:r="http://schemas.openxmlformats.org/officeDocument/2006/relationships" ref="O211" r:id="rId769"/>
    <hyperlink xmlns:r="http://schemas.openxmlformats.org/officeDocument/2006/relationships" ref="P211" r:id="rId770"/>
    <hyperlink xmlns:r="http://schemas.openxmlformats.org/officeDocument/2006/relationships" ref="M212" r:id="rId771"/>
    <hyperlink xmlns:r="http://schemas.openxmlformats.org/officeDocument/2006/relationships" ref="N212" r:id="rId772"/>
    <hyperlink xmlns:r="http://schemas.openxmlformats.org/officeDocument/2006/relationships" ref="O212" r:id="rId773"/>
    <hyperlink xmlns:r="http://schemas.openxmlformats.org/officeDocument/2006/relationships" ref="P212" r:id="rId774"/>
    <hyperlink xmlns:r="http://schemas.openxmlformats.org/officeDocument/2006/relationships" ref="M213" r:id="rId775"/>
    <hyperlink xmlns:r="http://schemas.openxmlformats.org/officeDocument/2006/relationships" ref="N213" r:id="rId776"/>
    <hyperlink xmlns:r="http://schemas.openxmlformats.org/officeDocument/2006/relationships" ref="P213" r:id="rId777"/>
    <hyperlink xmlns:r="http://schemas.openxmlformats.org/officeDocument/2006/relationships" ref="M214" r:id="rId778"/>
    <hyperlink xmlns:r="http://schemas.openxmlformats.org/officeDocument/2006/relationships" ref="N214" r:id="rId779"/>
    <hyperlink xmlns:r="http://schemas.openxmlformats.org/officeDocument/2006/relationships" ref="O214" r:id="rId780"/>
    <hyperlink xmlns:r="http://schemas.openxmlformats.org/officeDocument/2006/relationships" ref="P214" r:id="rId781"/>
    <hyperlink xmlns:r="http://schemas.openxmlformats.org/officeDocument/2006/relationships" ref="M215" r:id="rId782"/>
    <hyperlink xmlns:r="http://schemas.openxmlformats.org/officeDocument/2006/relationships" ref="N215" r:id="rId783"/>
    <hyperlink xmlns:r="http://schemas.openxmlformats.org/officeDocument/2006/relationships" ref="O215" r:id="rId784"/>
    <hyperlink xmlns:r="http://schemas.openxmlformats.org/officeDocument/2006/relationships" ref="P215" r:id="rId785"/>
    <hyperlink xmlns:r="http://schemas.openxmlformats.org/officeDocument/2006/relationships" ref="M216" r:id="rId786"/>
    <hyperlink xmlns:r="http://schemas.openxmlformats.org/officeDocument/2006/relationships" ref="N216" r:id="rId787"/>
    <hyperlink xmlns:r="http://schemas.openxmlformats.org/officeDocument/2006/relationships" ref="O216" r:id="rId788"/>
    <hyperlink xmlns:r="http://schemas.openxmlformats.org/officeDocument/2006/relationships" ref="P216" r:id="rId789"/>
    <hyperlink xmlns:r="http://schemas.openxmlformats.org/officeDocument/2006/relationships" ref="N217" r:id="rId790"/>
    <hyperlink xmlns:r="http://schemas.openxmlformats.org/officeDocument/2006/relationships" ref="O217" r:id="rId791"/>
    <hyperlink xmlns:r="http://schemas.openxmlformats.org/officeDocument/2006/relationships" ref="P217" r:id="rId792"/>
    <hyperlink xmlns:r="http://schemas.openxmlformats.org/officeDocument/2006/relationships" ref="N218" r:id="rId793"/>
    <hyperlink xmlns:r="http://schemas.openxmlformats.org/officeDocument/2006/relationships" ref="O218" r:id="rId794"/>
    <hyperlink xmlns:r="http://schemas.openxmlformats.org/officeDocument/2006/relationships" ref="P218" r:id="rId795"/>
    <hyperlink xmlns:r="http://schemas.openxmlformats.org/officeDocument/2006/relationships" ref="M219" r:id="rId796"/>
    <hyperlink xmlns:r="http://schemas.openxmlformats.org/officeDocument/2006/relationships" ref="N219" r:id="rId797"/>
    <hyperlink xmlns:r="http://schemas.openxmlformats.org/officeDocument/2006/relationships" ref="O219" r:id="rId798"/>
    <hyperlink xmlns:r="http://schemas.openxmlformats.org/officeDocument/2006/relationships" ref="P219" r:id="rId799"/>
    <hyperlink xmlns:r="http://schemas.openxmlformats.org/officeDocument/2006/relationships" ref="M220" r:id="rId800"/>
    <hyperlink xmlns:r="http://schemas.openxmlformats.org/officeDocument/2006/relationships" ref="N220" r:id="rId801"/>
    <hyperlink xmlns:r="http://schemas.openxmlformats.org/officeDocument/2006/relationships" ref="O220" r:id="rId802"/>
    <hyperlink xmlns:r="http://schemas.openxmlformats.org/officeDocument/2006/relationships" ref="P220" r:id="rId803"/>
    <hyperlink xmlns:r="http://schemas.openxmlformats.org/officeDocument/2006/relationships" ref="M221" r:id="rId804"/>
    <hyperlink xmlns:r="http://schemas.openxmlformats.org/officeDocument/2006/relationships" ref="N221" r:id="rId805"/>
    <hyperlink xmlns:r="http://schemas.openxmlformats.org/officeDocument/2006/relationships" ref="P221" r:id="rId806"/>
    <hyperlink xmlns:r="http://schemas.openxmlformats.org/officeDocument/2006/relationships" ref="M222" r:id="rId807"/>
    <hyperlink xmlns:r="http://schemas.openxmlformats.org/officeDocument/2006/relationships" ref="N222" r:id="rId808"/>
    <hyperlink xmlns:r="http://schemas.openxmlformats.org/officeDocument/2006/relationships" ref="O222" r:id="rId809"/>
    <hyperlink xmlns:r="http://schemas.openxmlformats.org/officeDocument/2006/relationships" ref="P222" r:id="rId810"/>
    <hyperlink xmlns:r="http://schemas.openxmlformats.org/officeDocument/2006/relationships" ref="M223" r:id="rId811"/>
    <hyperlink xmlns:r="http://schemas.openxmlformats.org/officeDocument/2006/relationships" ref="N223" r:id="rId812"/>
    <hyperlink xmlns:r="http://schemas.openxmlformats.org/officeDocument/2006/relationships" ref="O223" r:id="rId813"/>
    <hyperlink xmlns:r="http://schemas.openxmlformats.org/officeDocument/2006/relationships" ref="P223" r:id="rId814"/>
    <hyperlink xmlns:r="http://schemas.openxmlformats.org/officeDocument/2006/relationships" ref="M224" r:id="rId815"/>
    <hyperlink xmlns:r="http://schemas.openxmlformats.org/officeDocument/2006/relationships" ref="N224" r:id="rId816"/>
    <hyperlink xmlns:r="http://schemas.openxmlformats.org/officeDocument/2006/relationships" ref="O224" r:id="rId817"/>
    <hyperlink xmlns:r="http://schemas.openxmlformats.org/officeDocument/2006/relationships" ref="P224" r:id="rId818"/>
    <hyperlink xmlns:r="http://schemas.openxmlformats.org/officeDocument/2006/relationships" ref="M225" r:id="rId819"/>
    <hyperlink xmlns:r="http://schemas.openxmlformats.org/officeDocument/2006/relationships" ref="N225" r:id="rId820"/>
    <hyperlink xmlns:r="http://schemas.openxmlformats.org/officeDocument/2006/relationships" ref="O225" r:id="rId821"/>
    <hyperlink xmlns:r="http://schemas.openxmlformats.org/officeDocument/2006/relationships" ref="P225" r:id="rId822"/>
    <hyperlink xmlns:r="http://schemas.openxmlformats.org/officeDocument/2006/relationships" ref="M226" r:id="rId823"/>
    <hyperlink xmlns:r="http://schemas.openxmlformats.org/officeDocument/2006/relationships" ref="N226" r:id="rId824"/>
    <hyperlink xmlns:r="http://schemas.openxmlformats.org/officeDocument/2006/relationships" ref="P226" r:id="rId825"/>
    <hyperlink xmlns:r="http://schemas.openxmlformats.org/officeDocument/2006/relationships" ref="M227" r:id="rId826"/>
    <hyperlink xmlns:r="http://schemas.openxmlformats.org/officeDocument/2006/relationships" ref="N227" r:id="rId827"/>
    <hyperlink xmlns:r="http://schemas.openxmlformats.org/officeDocument/2006/relationships" ref="O227" r:id="rId828"/>
    <hyperlink xmlns:r="http://schemas.openxmlformats.org/officeDocument/2006/relationships" ref="P227" r:id="rId829"/>
    <hyperlink xmlns:r="http://schemas.openxmlformats.org/officeDocument/2006/relationships" ref="M228" r:id="rId830"/>
    <hyperlink xmlns:r="http://schemas.openxmlformats.org/officeDocument/2006/relationships" ref="N228" r:id="rId831"/>
    <hyperlink xmlns:r="http://schemas.openxmlformats.org/officeDocument/2006/relationships" ref="O228" r:id="rId832"/>
    <hyperlink xmlns:r="http://schemas.openxmlformats.org/officeDocument/2006/relationships" ref="P228" r:id="rId833"/>
    <hyperlink xmlns:r="http://schemas.openxmlformats.org/officeDocument/2006/relationships" ref="M229" r:id="rId834"/>
    <hyperlink xmlns:r="http://schemas.openxmlformats.org/officeDocument/2006/relationships" ref="N229" r:id="rId835"/>
    <hyperlink xmlns:r="http://schemas.openxmlformats.org/officeDocument/2006/relationships" ref="O229" r:id="rId836"/>
    <hyperlink xmlns:r="http://schemas.openxmlformats.org/officeDocument/2006/relationships" ref="P229" r:id="rId837"/>
    <hyperlink xmlns:r="http://schemas.openxmlformats.org/officeDocument/2006/relationships" ref="M230" r:id="rId838"/>
    <hyperlink xmlns:r="http://schemas.openxmlformats.org/officeDocument/2006/relationships" ref="N230" r:id="rId839"/>
    <hyperlink xmlns:r="http://schemas.openxmlformats.org/officeDocument/2006/relationships" ref="O230" r:id="rId840"/>
    <hyperlink xmlns:r="http://schemas.openxmlformats.org/officeDocument/2006/relationships" ref="P230" r:id="rId841"/>
    <hyperlink xmlns:r="http://schemas.openxmlformats.org/officeDocument/2006/relationships" ref="M231" r:id="rId842"/>
    <hyperlink xmlns:r="http://schemas.openxmlformats.org/officeDocument/2006/relationships" ref="N231" r:id="rId843"/>
    <hyperlink xmlns:r="http://schemas.openxmlformats.org/officeDocument/2006/relationships" ref="P231" r:id="rId844"/>
    <hyperlink xmlns:r="http://schemas.openxmlformats.org/officeDocument/2006/relationships" ref="M232" r:id="rId845"/>
    <hyperlink xmlns:r="http://schemas.openxmlformats.org/officeDocument/2006/relationships" ref="N232" r:id="rId846"/>
    <hyperlink xmlns:r="http://schemas.openxmlformats.org/officeDocument/2006/relationships" ref="O232" r:id="rId847"/>
    <hyperlink xmlns:r="http://schemas.openxmlformats.org/officeDocument/2006/relationships" ref="P232" r:id="rId848"/>
    <hyperlink xmlns:r="http://schemas.openxmlformats.org/officeDocument/2006/relationships" ref="M233" r:id="rId849"/>
    <hyperlink xmlns:r="http://schemas.openxmlformats.org/officeDocument/2006/relationships" ref="N233" r:id="rId850"/>
    <hyperlink xmlns:r="http://schemas.openxmlformats.org/officeDocument/2006/relationships" ref="O233" r:id="rId851"/>
    <hyperlink xmlns:r="http://schemas.openxmlformats.org/officeDocument/2006/relationships" ref="P233" r:id="rId852"/>
    <hyperlink xmlns:r="http://schemas.openxmlformats.org/officeDocument/2006/relationships" ref="M234" r:id="rId853"/>
    <hyperlink xmlns:r="http://schemas.openxmlformats.org/officeDocument/2006/relationships" ref="N234" r:id="rId854"/>
    <hyperlink xmlns:r="http://schemas.openxmlformats.org/officeDocument/2006/relationships" ref="P234" r:id="rId855"/>
    <hyperlink xmlns:r="http://schemas.openxmlformats.org/officeDocument/2006/relationships" ref="M235" r:id="rId856"/>
    <hyperlink xmlns:r="http://schemas.openxmlformats.org/officeDocument/2006/relationships" ref="N235" r:id="rId857"/>
    <hyperlink xmlns:r="http://schemas.openxmlformats.org/officeDocument/2006/relationships" ref="O235" r:id="rId858"/>
    <hyperlink xmlns:r="http://schemas.openxmlformats.org/officeDocument/2006/relationships" ref="P235" r:id="rId859"/>
    <hyperlink xmlns:r="http://schemas.openxmlformats.org/officeDocument/2006/relationships" ref="M236" r:id="rId860"/>
    <hyperlink xmlns:r="http://schemas.openxmlformats.org/officeDocument/2006/relationships" ref="N236" r:id="rId861"/>
    <hyperlink xmlns:r="http://schemas.openxmlformats.org/officeDocument/2006/relationships" ref="P236" r:id="rId862"/>
    <hyperlink xmlns:r="http://schemas.openxmlformats.org/officeDocument/2006/relationships" ref="M237" r:id="rId863"/>
    <hyperlink xmlns:r="http://schemas.openxmlformats.org/officeDocument/2006/relationships" ref="N237" r:id="rId864"/>
    <hyperlink xmlns:r="http://schemas.openxmlformats.org/officeDocument/2006/relationships" ref="O237" r:id="rId865"/>
    <hyperlink xmlns:r="http://schemas.openxmlformats.org/officeDocument/2006/relationships" ref="P237" r:id="rId866"/>
    <hyperlink xmlns:r="http://schemas.openxmlformats.org/officeDocument/2006/relationships" ref="M238" r:id="rId867"/>
    <hyperlink xmlns:r="http://schemas.openxmlformats.org/officeDocument/2006/relationships" ref="N238" r:id="rId868"/>
    <hyperlink xmlns:r="http://schemas.openxmlformats.org/officeDocument/2006/relationships" ref="O238" r:id="rId869"/>
    <hyperlink xmlns:r="http://schemas.openxmlformats.org/officeDocument/2006/relationships" ref="P238" r:id="rId870"/>
    <hyperlink xmlns:r="http://schemas.openxmlformats.org/officeDocument/2006/relationships" ref="M239" r:id="rId871"/>
    <hyperlink xmlns:r="http://schemas.openxmlformats.org/officeDocument/2006/relationships" ref="N239" r:id="rId872"/>
    <hyperlink xmlns:r="http://schemas.openxmlformats.org/officeDocument/2006/relationships" ref="P239" r:id="rId873"/>
    <hyperlink xmlns:r="http://schemas.openxmlformats.org/officeDocument/2006/relationships" ref="M240" r:id="rId874"/>
    <hyperlink xmlns:r="http://schemas.openxmlformats.org/officeDocument/2006/relationships" ref="N240" r:id="rId875"/>
    <hyperlink xmlns:r="http://schemas.openxmlformats.org/officeDocument/2006/relationships" ref="O240" r:id="rId876"/>
    <hyperlink xmlns:r="http://schemas.openxmlformats.org/officeDocument/2006/relationships" ref="P240" r:id="rId877"/>
    <hyperlink xmlns:r="http://schemas.openxmlformats.org/officeDocument/2006/relationships" ref="M241" r:id="rId878"/>
    <hyperlink xmlns:r="http://schemas.openxmlformats.org/officeDocument/2006/relationships" ref="N241" r:id="rId879"/>
    <hyperlink xmlns:r="http://schemas.openxmlformats.org/officeDocument/2006/relationships" ref="O241" r:id="rId880"/>
    <hyperlink xmlns:r="http://schemas.openxmlformats.org/officeDocument/2006/relationships" ref="P241" r:id="rId881"/>
    <hyperlink xmlns:r="http://schemas.openxmlformats.org/officeDocument/2006/relationships" ref="M242" r:id="rId882"/>
    <hyperlink xmlns:r="http://schemas.openxmlformats.org/officeDocument/2006/relationships" ref="N242" r:id="rId883"/>
    <hyperlink xmlns:r="http://schemas.openxmlformats.org/officeDocument/2006/relationships" ref="O242" r:id="rId884"/>
    <hyperlink xmlns:r="http://schemas.openxmlformats.org/officeDocument/2006/relationships" ref="P242" r:id="rId885"/>
    <hyperlink xmlns:r="http://schemas.openxmlformats.org/officeDocument/2006/relationships" ref="M243" r:id="rId886"/>
    <hyperlink xmlns:r="http://schemas.openxmlformats.org/officeDocument/2006/relationships" ref="N243" r:id="rId887"/>
    <hyperlink xmlns:r="http://schemas.openxmlformats.org/officeDocument/2006/relationships" ref="O243" r:id="rId888"/>
    <hyperlink xmlns:r="http://schemas.openxmlformats.org/officeDocument/2006/relationships" ref="P243" r:id="rId889"/>
    <hyperlink xmlns:r="http://schemas.openxmlformats.org/officeDocument/2006/relationships" ref="M244" r:id="rId890"/>
    <hyperlink xmlns:r="http://schemas.openxmlformats.org/officeDocument/2006/relationships" ref="N244" r:id="rId891"/>
    <hyperlink xmlns:r="http://schemas.openxmlformats.org/officeDocument/2006/relationships" ref="O244" r:id="rId892"/>
    <hyperlink xmlns:r="http://schemas.openxmlformats.org/officeDocument/2006/relationships" ref="P244" r:id="rId893"/>
    <hyperlink xmlns:r="http://schemas.openxmlformats.org/officeDocument/2006/relationships" ref="M245" r:id="rId894"/>
    <hyperlink xmlns:r="http://schemas.openxmlformats.org/officeDocument/2006/relationships" ref="N245" r:id="rId895"/>
    <hyperlink xmlns:r="http://schemas.openxmlformats.org/officeDocument/2006/relationships" ref="O245" r:id="rId896"/>
    <hyperlink xmlns:r="http://schemas.openxmlformats.org/officeDocument/2006/relationships" ref="P245" r:id="rId897"/>
    <hyperlink xmlns:r="http://schemas.openxmlformats.org/officeDocument/2006/relationships" ref="M246" r:id="rId898"/>
    <hyperlink xmlns:r="http://schemas.openxmlformats.org/officeDocument/2006/relationships" ref="N246" r:id="rId899"/>
    <hyperlink xmlns:r="http://schemas.openxmlformats.org/officeDocument/2006/relationships" ref="O246" r:id="rId900"/>
    <hyperlink xmlns:r="http://schemas.openxmlformats.org/officeDocument/2006/relationships" ref="P246" r:id="rId901"/>
    <hyperlink xmlns:r="http://schemas.openxmlformats.org/officeDocument/2006/relationships" ref="M247" r:id="rId902"/>
    <hyperlink xmlns:r="http://schemas.openxmlformats.org/officeDocument/2006/relationships" ref="N247" r:id="rId903"/>
    <hyperlink xmlns:r="http://schemas.openxmlformats.org/officeDocument/2006/relationships" ref="O247" r:id="rId904"/>
    <hyperlink xmlns:r="http://schemas.openxmlformats.org/officeDocument/2006/relationships" ref="P247" r:id="rId905"/>
    <hyperlink xmlns:r="http://schemas.openxmlformats.org/officeDocument/2006/relationships" ref="M248" r:id="rId906"/>
    <hyperlink xmlns:r="http://schemas.openxmlformats.org/officeDocument/2006/relationships" ref="N248" r:id="rId907"/>
    <hyperlink xmlns:r="http://schemas.openxmlformats.org/officeDocument/2006/relationships" ref="P248" r:id="rId908"/>
    <hyperlink xmlns:r="http://schemas.openxmlformats.org/officeDocument/2006/relationships" ref="M249" r:id="rId909"/>
    <hyperlink xmlns:r="http://schemas.openxmlformats.org/officeDocument/2006/relationships" ref="N249" r:id="rId910"/>
    <hyperlink xmlns:r="http://schemas.openxmlformats.org/officeDocument/2006/relationships" ref="O249" r:id="rId911"/>
    <hyperlink xmlns:r="http://schemas.openxmlformats.org/officeDocument/2006/relationships" ref="P249" r:id="rId912"/>
    <hyperlink xmlns:r="http://schemas.openxmlformats.org/officeDocument/2006/relationships" ref="M250" r:id="rId913"/>
    <hyperlink xmlns:r="http://schemas.openxmlformats.org/officeDocument/2006/relationships" ref="N250" r:id="rId914"/>
    <hyperlink xmlns:r="http://schemas.openxmlformats.org/officeDocument/2006/relationships" ref="O250" r:id="rId915"/>
    <hyperlink xmlns:r="http://schemas.openxmlformats.org/officeDocument/2006/relationships" ref="P250" r:id="rId916"/>
    <hyperlink xmlns:r="http://schemas.openxmlformats.org/officeDocument/2006/relationships" ref="M251" r:id="rId917"/>
    <hyperlink xmlns:r="http://schemas.openxmlformats.org/officeDocument/2006/relationships" ref="N251" r:id="rId918"/>
    <hyperlink xmlns:r="http://schemas.openxmlformats.org/officeDocument/2006/relationships" ref="O251" r:id="rId919"/>
    <hyperlink xmlns:r="http://schemas.openxmlformats.org/officeDocument/2006/relationships" ref="P251" r:id="rId920"/>
    <hyperlink xmlns:r="http://schemas.openxmlformats.org/officeDocument/2006/relationships" ref="M252" r:id="rId921"/>
    <hyperlink xmlns:r="http://schemas.openxmlformats.org/officeDocument/2006/relationships" ref="N252" r:id="rId922"/>
    <hyperlink xmlns:r="http://schemas.openxmlformats.org/officeDocument/2006/relationships" ref="P252" r:id="rId923"/>
    <hyperlink xmlns:r="http://schemas.openxmlformats.org/officeDocument/2006/relationships" ref="M253" r:id="rId924"/>
    <hyperlink xmlns:r="http://schemas.openxmlformats.org/officeDocument/2006/relationships" ref="N253" r:id="rId925"/>
    <hyperlink xmlns:r="http://schemas.openxmlformats.org/officeDocument/2006/relationships" ref="O253" r:id="rId926"/>
    <hyperlink xmlns:r="http://schemas.openxmlformats.org/officeDocument/2006/relationships" ref="P253" r:id="rId927"/>
    <hyperlink xmlns:r="http://schemas.openxmlformats.org/officeDocument/2006/relationships" ref="M254" r:id="rId928"/>
    <hyperlink xmlns:r="http://schemas.openxmlformats.org/officeDocument/2006/relationships" ref="N254" r:id="rId929"/>
    <hyperlink xmlns:r="http://schemas.openxmlformats.org/officeDocument/2006/relationships" ref="P254" r:id="rId930"/>
    <hyperlink xmlns:r="http://schemas.openxmlformats.org/officeDocument/2006/relationships" ref="M255" r:id="rId931"/>
    <hyperlink xmlns:r="http://schemas.openxmlformats.org/officeDocument/2006/relationships" ref="N255" r:id="rId932"/>
    <hyperlink xmlns:r="http://schemas.openxmlformats.org/officeDocument/2006/relationships" ref="P255" r:id="rId933"/>
    <hyperlink xmlns:r="http://schemas.openxmlformats.org/officeDocument/2006/relationships" ref="M256" r:id="rId934"/>
    <hyperlink xmlns:r="http://schemas.openxmlformats.org/officeDocument/2006/relationships" ref="N256" r:id="rId935"/>
    <hyperlink xmlns:r="http://schemas.openxmlformats.org/officeDocument/2006/relationships" ref="O256" r:id="rId936"/>
    <hyperlink xmlns:r="http://schemas.openxmlformats.org/officeDocument/2006/relationships" ref="P256" r:id="rId937"/>
    <hyperlink xmlns:r="http://schemas.openxmlformats.org/officeDocument/2006/relationships" ref="M257" r:id="rId938"/>
    <hyperlink xmlns:r="http://schemas.openxmlformats.org/officeDocument/2006/relationships" ref="N257" r:id="rId939"/>
    <hyperlink xmlns:r="http://schemas.openxmlformats.org/officeDocument/2006/relationships" ref="P257" r:id="rId940"/>
    <hyperlink xmlns:r="http://schemas.openxmlformats.org/officeDocument/2006/relationships" ref="M258" r:id="rId941"/>
    <hyperlink xmlns:r="http://schemas.openxmlformats.org/officeDocument/2006/relationships" ref="N258" r:id="rId942"/>
    <hyperlink xmlns:r="http://schemas.openxmlformats.org/officeDocument/2006/relationships" ref="O258" r:id="rId943"/>
    <hyperlink xmlns:r="http://schemas.openxmlformats.org/officeDocument/2006/relationships" ref="P258" r:id="rId944"/>
    <hyperlink xmlns:r="http://schemas.openxmlformats.org/officeDocument/2006/relationships" ref="M259" r:id="rId945"/>
    <hyperlink xmlns:r="http://schemas.openxmlformats.org/officeDocument/2006/relationships" ref="N259" r:id="rId946"/>
    <hyperlink xmlns:r="http://schemas.openxmlformats.org/officeDocument/2006/relationships" ref="O259" r:id="rId947"/>
    <hyperlink xmlns:r="http://schemas.openxmlformats.org/officeDocument/2006/relationships" ref="P259" r:id="rId948"/>
    <hyperlink xmlns:r="http://schemas.openxmlformats.org/officeDocument/2006/relationships" ref="M260" r:id="rId949"/>
    <hyperlink xmlns:r="http://schemas.openxmlformats.org/officeDocument/2006/relationships" ref="N260" r:id="rId950"/>
    <hyperlink xmlns:r="http://schemas.openxmlformats.org/officeDocument/2006/relationships" ref="O260" r:id="rId951"/>
    <hyperlink xmlns:r="http://schemas.openxmlformats.org/officeDocument/2006/relationships" ref="P260" r:id="rId952"/>
    <hyperlink xmlns:r="http://schemas.openxmlformats.org/officeDocument/2006/relationships" ref="M261" r:id="rId953"/>
    <hyperlink xmlns:r="http://schemas.openxmlformats.org/officeDocument/2006/relationships" ref="N261" r:id="rId954"/>
    <hyperlink xmlns:r="http://schemas.openxmlformats.org/officeDocument/2006/relationships" ref="P261" r:id="rId955"/>
    <hyperlink xmlns:r="http://schemas.openxmlformats.org/officeDocument/2006/relationships" ref="M262" r:id="rId956"/>
    <hyperlink xmlns:r="http://schemas.openxmlformats.org/officeDocument/2006/relationships" ref="N262" r:id="rId957"/>
    <hyperlink xmlns:r="http://schemas.openxmlformats.org/officeDocument/2006/relationships" ref="O262" r:id="rId958"/>
    <hyperlink xmlns:r="http://schemas.openxmlformats.org/officeDocument/2006/relationships" ref="P262" r:id="rId959"/>
    <hyperlink xmlns:r="http://schemas.openxmlformats.org/officeDocument/2006/relationships" ref="M263" r:id="rId960"/>
    <hyperlink xmlns:r="http://schemas.openxmlformats.org/officeDocument/2006/relationships" ref="N263" r:id="rId961"/>
    <hyperlink xmlns:r="http://schemas.openxmlformats.org/officeDocument/2006/relationships" ref="O263" r:id="rId962"/>
    <hyperlink xmlns:r="http://schemas.openxmlformats.org/officeDocument/2006/relationships" ref="P263" r:id="rId963"/>
    <hyperlink xmlns:r="http://schemas.openxmlformats.org/officeDocument/2006/relationships" ref="M264" r:id="rId964"/>
    <hyperlink xmlns:r="http://schemas.openxmlformats.org/officeDocument/2006/relationships" ref="N264" r:id="rId965"/>
    <hyperlink xmlns:r="http://schemas.openxmlformats.org/officeDocument/2006/relationships" ref="P264" r:id="rId966"/>
    <hyperlink xmlns:r="http://schemas.openxmlformats.org/officeDocument/2006/relationships" ref="M265" r:id="rId967"/>
    <hyperlink xmlns:r="http://schemas.openxmlformats.org/officeDocument/2006/relationships" ref="N265" r:id="rId968"/>
    <hyperlink xmlns:r="http://schemas.openxmlformats.org/officeDocument/2006/relationships" ref="O265" r:id="rId969"/>
    <hyperlink xmlns:r="http://schemas.openxmlformats.org/officeDocument/2006/relationships" ref="P265" r:id="rId970"/>
    <hyperlink xmlns:r="http://schemas.openxmlformats.org/officeDocument/2006/relationships" ref="M266" r:id="rId971"/>
    <hyperlink xmlns:r="http://schemas.openxmlformats.org/officeDocument/2006/relationships" ref="N266" r:id="rId972"/>
    <hyperlink xmlns:r="http://schemas.openxmlformats.org/officeDocument/2006/relationships" ref="O266" r:id="rId973"/>
    <hyperlink xmlns:r="http://schemas.openxmlformats.org/officeDocument/2006/relationships" ref="P266" r:id="rId974"/>
    <hyperlink xmlns:r="http://schemas.openxmlformats.org/officeDocument/2006/relationships" ref="M267" r:id="rId975"/>
    <hyperlink xmlns:r="http://schemas.openxmlformats.org/officeDocument/2006/relationships" ref="N267" r:id="rId976"/>
    <hyperlink xmlns:r="http://schemas.openxmlformats.org/officeDocument/2006/relationships" ref="O267" r:id="rId977"/>
    <hyperlink xmlns:r="http://schemas.openxmlformats.org/officeDocument/2006/relationships" ref="P267" r:id="rId97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s="5" t="inlineStr">
        <is>
          <t>Intercommunalités de France : coordonnées publiques</t>
        </is>
      </c>
    </row>
    <row r="2">
      <c r="A2" t="inlineStr">
        <is>
          <t>Extraction du 27/09/2026</t>
        </is>
      </c>
    </row>
    <row r="4">
      <c r="A4" t="inlineStr">
        <is>
          <t>Liste, population, départements, régions, communes</t>
        </is>
      </c>
      <c r="B4" t="inlineStr">
        <is>
          <t>geo.api.gouv.fr (découpage administratif, Insee / Etalab)</t>
        </is>
      </c>
    </row>
    <row r="5">
      <c r="A5" t="inlineStr">
        <is>
          <t>Adresse, téléphone, courriel, site, formulaire</t>
        </is>
      </c>
      <c r="B5" t="inlineStr">
        <is>
          <t>Annuaire de l’administration, Service-public.fr (Dila)</t>
        </is>
      </c>
    </row>
    <row r="6">
      <c r="A6" t="inlineStr">
        <is>
          <t>Adresse du siège (EPCI sans fiche dans l’annuaire)</t>
        </is>
      </c>
      <c r="B6" t="inlineStr">
        <is>
          <t>Registre SIRENE, recherche-entreprises.api.gouv.fr</t>
        </is>
      </c>
    </row>
    <row r="7">
      <c r="A7" t="inlineStr">
        <is>
          <t>Licence</t>
        </is>
      </c>
      <c r="B7" t="inlineStr">
        <is>
          <t>Licence Ouverte Etalab 2.0 : réutilisation libre, source à mentionner</t>
        </is>
      </c>
    </row>
    <row r="9">
      <c r="A9" t="inlineStr">
        <is>
          <t>Toutes les intercommunalités (premier onglet)</t>
        </is>
      </c>
      <c r="B9" t="n">
        <v>1255</v>
      </c>
    </row>
    <row r="10">
      <c r="A10" t="inlineStr">
        <is>
          <t>Communautés de communes</t>
        </is>
      </c>
      <c r="B10" t="n">
        <v>989</v>
      </c>
    </row>
    <row r="11">
      <c r="A11" t="inlineStr">
        <is>
          <t>Autres intercommunalités</t>
        </is>
      </c>
      <c r="B11" t="n">
        <v>266</v>
      </c>
    </row>
    <row r="12">
      <c r="A12" t="inlineStr">
        <is>
          <t>Sans fiche dans l’annuaire</t>
        </is>
      </c>
      <c r="B12" t="inlineStr">
        <is>
          <t>CC de Lévézou Pareloup, CC du Pays de Salars, CC du Pays de Sancey-Belleherbe, CA Portes de France-Thionville, CA du Val de Fensch, CC du Pays de la Zorn, Métropole de Lyon, CC des Ballons des Hautes-Vosges</t>
        </is>
      </c>
    </row>
    <row r="14">
      <c r="A14" t="inlineStr">
        <is>
          <t>Usage</t>
        </is>
      </c>
      <c r="B14" t="inlineStr">
        <is>
          <t>Coordonnées institutionnelles publiées par les collectivités. Prospection B2B vers les collectivités :</t>
        </is>
      </c>
    </row>
    <row r="15">
      <c r="A15" t="inlineStr"/>
      <c r="B15" t="inlineStr">
        <is>
          <t>proposer une désinscription et respecter les demandes d’opposition (RGPD).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2026-09-27T21:59:41Z</dcterms:created>
  <dcterms:modified xsi:type="dcterms:W3CDTF">2026-09-27T21:59:42Z</dcterms:modified>
</cp:coreProperties>
</file>